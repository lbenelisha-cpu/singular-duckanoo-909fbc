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https://maind-my.sharepoint.com/personal/yaniv_barak_adama_com/Documents/תוכניות חודשיות מפעל/קבצי ביצוע SAP/"/>
    </mc:Choice>
  </mc:AlternateContent>
  <xr:revisionPtr revIDLastSave="0" documentId="8_{ADC004E2-5E77-42F8-B5ED-B94C52B1D058}" xr6:coauthVersionLast="47" xr6:coauthVersionMax="47" xr10:uidLastSave="{00000000-0000-0000-0000-000000000000}"/>
  <bookViews>
    <workbookView xWindow="-120" yWindow="-120" windowWidth="29040" windowHeight="15720" tabRatio="776" activeTab="7" xr2:uid="{00000000-000D-0000-FFFF-FFFF00000000}"/>
  </bookViews>
  <sheets>
    <sheet name="מלאי לא תקין" sheetId="23" r:id="rId1"/>
    <sheet name="מתקן ופירוט לצורך בדיקה" sheetId="7" r:id="rId2"/>
    <sheet name="מתקן" sheetId="4" state="hidden" r:id="rId3"/>
    <sheet name="פיוות ביצוע יומי" sheetId="24" r:id="rId4"/>
    <sheet name="משפחת מוצר (2)" sheetId="6" state="hidden" r:id="rId5"/>
    <sheet name="לעדכן בסינתזה דאטה אריזה 42+24" sheetId="20" state="hidden" r:id="rId6"/>
    <sheet name="42" sheetId="5" state="hidden" r:id="rId7"/>
    <sheet name="Sum" sheetId="17" r:id="rId8"/>
    <sheet name="גיליון להדבקת production" sheetId="19" r:id="rId9"/>
    <sheet name="גיליון דאטה להכל" sheetId="21" r:id="rId10"/>
    <sheet name="גיליון להדבקת Last day" sheetId="1" r:id="rId11"/>
    <sheet name="sumif" sheetId="18" r:id="rId12"/>
  </sheets>
  <externalReferences>
    <externalReference r:id="rId13"/>
  </externalReferences>
  <definedNames>
    <definedName name="_xlnm._FilterDatabase" localSheetId="7" hidden="1">Sum!$A$2:$AM$48</definedName>
    <definedName name="_xlnm._FilterDatabase" localSheetId="9" hidden="1">'גיליון דאטה להכל'!$A$1:$F$1679</definedName>
    <definedName name="_xlnm._FilterDatabase" localSheetId="10" hidden="1">'גיליון להדבקת Last day'!$A$1:$R$1879</definedName>
    <definedName name="_xlnm._FilterDatabase" localSheetId="8" hidden="1">'גיליון להדבקת production'!$A$1:$U$2897</definedName>
    <definedName name="_xlnm._FilterDatabase" localSheetId="5" hidden="1">'לעדכן בסינתזה דאטה אריזה 42+24'!$A$1:$J$1498</definedName>
    <definedName name="_xlnm._FilterDatabase" localSheetId="0" hidden="1">'מלאי לא תקין'!$A$1:$AG$1320</definedName>
    <definedName name="_xlnm.Print_Area" localSheetId="7">Sum!$A$1:$AO$45</definedName>
  </definedNames>
  <calcPr calcId="191029"/>
  <pivotCaches>
    <pivotCache cacheId="4" r:id="rId14"/>
    <pivotCache cacheId="5" r:id="rId15"/>
    <pivotCache cacheId="6" r:id="rId16"/>
    <pivotCache cacheId="7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R63" i="17" l="1"/>
  <c r="AR64" i="17"/>
  <c r="AQ5" i="17" l="1"/>
  <c r="AQ6" i="17"/>
  <c r="AQ7" i="17"/>
  <c r="AQ8" i="17"/>
  <c r="AQ9" i="17"/>
  <c r="AQ10" i="17"/>
  <c r="AQ11" i="17"/>
  <c r="AQ12" i="17"/>
  <c r="AQ13" i="17"/>
  <c r="AQ14" i="17"/>
  <c r="AQ15" i="17"/>
  <c r="AQ16" i="17"/>
  <c r="AQ17" i="17"/>
  <c r="AQ18" i="17"/>
  <c r="AQ19" i="17"/>
  <c r="AQ20" i="17"/>
  <c r="AQ21" i="17"/>
  <c r="AQ22" i="17"/>
  <c r="AQ23" i="17"/>
  <c r="AQ24" i="17"/>
  <c r="AQ25" i="17"/>
  <c r="AQ26" i="17"/>
  <c r="AQ27" i="17"/>
  <c r="AQ28" i="17"/>
  <c r="AQ29" i="17"/>
  <c r="AQ30" i="17"/>
  <c r="AQ31" i="17"/>
  <c r="AQ32" i="17"/>
  <c r="AQ33" i="17"/>
  <c r="AQ34" i="17"/>
  <c r="AQ35" i="17"/>
  <c r="AQ36" i="17"/>
  <c r="AQ37" i="17"/>
  <c r="AQ38" i="17"/>
  <c r="AQ39" i="17"/>
  <c r="AQ40" i="17"/>
  <c r="AQ41" i="17"/>
  <c r="AQ42" i="17"/>
  <c r="AQ43" i="17"/>
  <c r="AQ44" i="17"/>
  <c r="AQ45" i="17"/>
  <c r="AQ4" i="17"/>
  <c r="B12" i="17" l="1"/>
  <c r="AQ46" i="17" l="1"/>
  <c r="AQ47" i="17"/>
  <c r="AQ48" i="17"/>
  <c r="AQ49" i="17"/>
  <c r="AQ50" i="17"/>
  <c r="AQ51" i="17"/>
  <c r="AQ52" i="17"/>
  <c r="AQ53" i="17"/>
  <c r="AQ54" i="17"/>
  <c r="AQ55" i="17"/>
  <c r="AQ56" i="17"/>
  <c r="AQ57" i="17"/>
  <c r="AQ58" i="17"/>
  <c r="AQ59" i="17"/>
  <c r="AQ60" i="17"/>
  <c r="AQ61" i="17"/>
  <c r="AQ62" i="17"/>
  <c r="AA18" i="17" l="1"/>
  <c r="Q226" i="19" l="1"/>
  <c r="Q227" i="19"/>
  <c r="Q228" i="19"/>
  <c r="Q229" i="19"/>
  <c r="Q230" i="19"/>
  <c r="Q231" i="19"/>
  <c r="Q232" i="19"/>
  <c r="Q233" i="19"/>
  <c r="Q234" i="19"/>
  <c r="Q235" i="19"/>
  <c r="Q236" i="19"/>
  <c r="Q237" i="19"/>
  <c r="Q238" i="19"/>
  <c r="Q239" i="19"/>
  <c r="Q240" i="19"/>
  <c r="Q241" i="19"/>
  <c r="Q242" i="19"/>
  <c r="Q243" i="19"/>
  <c r="Q244" i="19"/>
  <c r="Q245" i="19"/>
  <c r="Q246" i="19"/>
  <c r="Q247" i="19"/>
  <c r="Q248" i="19"/>
  <c r="Q249" i="19"/>
  <c r="Q250" i="19"/>
  <c r="Q251" i="19"/>
  <c r="Q252" i="19"/>
  <c r="Q253" i="19"/>
  <c r="Q254" i="19"/>
  <c r="Q255" i="19"/>
  <c r="Q256" i="19"/>
  <c r="Q257" i="19"/>
  <c r="Q258" i="19"/>
  <c r="Q259" i="19"/>
  <c r="Q260" i="19"/>
  <c r="Q261" i="19"/>
  <c r="Q262" i="19"/>
  <c r="Q263" i="19"/>
  <c r="Q264" i="19"/>
  <c r="Q265" i="19"/>
  <c r="Q266" i="19"/>
  <c r="Q267" i="19"/>
  <c r="Q268" i="19"/>
  <c r="Q269" i="19"/>
  <c r="Q270" i="19"/>
  <c r="Q271" i="19"/>
  <c r="Q272" i="19"/>
  <c r="Q273" i="19"/>
  <c r="Q274" i="19"/>
  <c r="Q275" i="19"/>
  <c r="Q276" i="19"/>
  <c r="Q277" i="19"/>
  <c r="Q278" i="19"/>
  <c r="Q279" i="19"/>
  <c r="Q280" i="19"/>
  <c r="Q281" i="19"/>
  <c r="Q282" i="19"/>
  <c r="Q283" i="19"/>
  <c r="Q284" i="19"/>
  <c r="Q285" i="19"/>
  <c r="Q286" i="19"/>
  <c r="Q287" i="19"/>
  <c r="Q288" i="19"/>
  <c r="Q289" i="19"/>
  <c r="Q290" i="19"/>
  <c r="Q291" i="19"/>
  <c r="Q292" i="19"/>
  <c r="Q293" i="19"/>
  <c r="Q294" i="19"/>
  <c r="Q295" i="19"/>
  <c r="Q296" i="19"/>
  <c r="Q297" i="19"/>
  <c r="Q298" i="19"/>
  <c r="Q299" i="19"/>
  <c r="Q300" i="19"/>
  <c r="Q301" i="19"/>
  <c r="Q302" i="19"/>
  <c r="Q303" i="19"/>
  <c r="Q304" i="19"/>
  <c r="Q305" i="19"/>
  <c r="Q306" i="19"/>
  <c r="Q307" i="19"/>
  <c r="Q308" i="19"/>
  <c r="Q309" i="19"/>
  <c r="Q310" i="19"/>
  <c r="Q311" i="19"/>
  <c r="Q312" i="19"/>
  <c r="Q313" i="19"/>
  <c r="Q314" i="19"/>
  <c r="Q315" i="19"/>
  <c r="Q316" i="19"/>
  <c r="Q317" i="19"/>
  <c r="Q318" i="19"/>
  <c r="Q319" i="19"/>
  <c r="Q320" i="19"/>
  <c r="Q321" i="19"/>
  <c r="Q322" i="19"/>
  <c r="Q323" i="19"/>
  <c r="Q324" i="19"/>
  <c r="Q325" i="19"/>
  <c r="Q326" i="19"/>
  <c r="Q327" i="19"/>
  <c r="Q328" i="19"/>
  <c r="Q329" i="19"/>
  <c r="Q330" i="19"/>
  <c r="Q331" i="19"/>
  <c r="Q332" i="19"/>
  <c r="Q333" i="19"/>
  <c r="Q334" i="19"/>
  <c r="Q335" i="19"/>
  <c r="Q336" i="19"/>
  <c r="Q337" i="19"/>
  <c r="Q338" i="19"/>
  <c r="Q339" i="19"/>
  <c r="Q340" i="19"/>
  <c r="Q341" i="19"/>
  <c r="Q342" i="19"/>
  <c r="Q343" i="19"/>
  <c r="Q344" i="19"/>
  <c r="Q345" i="19"/>
  <c r="Q346" i="19"/>
  <c r="Q347" i="19"/>
  <c r="Q348" i="19"/>
  <c r="Q349" i="19"/>
  <c r="Q350" i="19"/>
  <c r="Q351" i="19"/>
  <c r="Q352" i="19"/>
  <c r="Q353" i="19"/>
  <c r="Q354" i="19"/>
  <c r="Q355" i="19"/>
  <c r="Q356" i="19"/>
  <c r="Q357" i="19"/>
  <c r="Q358" i="19"/>
  <c r="Q359" i="19"/>
  <c r="Q360" i="19"/>
  <c r="Q361" i="19"/>
  <c r="Q362" i="19"/>
  <c r="Q363" i="19"/>
  <c r="Q364" i="19"/>
  <c r="Q365" i="19"/>
  <c r="Q366" i="19"/>
  <c r="Q367" i="19"/>
  <c r="Q368" i="19"/>
  <c r="Q369" i="19"/>
  <c r="Q370" i="19"/>
  <c r="Q371" i="19"/>
  <c r="Q372" i="19"/>
  <c r="Q373" i="19"/>
  <c r="Q374" i="19"/>
  <c r="Q375" i="19"/>
  <c r="Q376" i="19"/>
  <c r="Q377" i="19"/>
  <c r="Q378" i="19"/>
  <c r="Q379" i="19"/>
  <c r="Q380" i="19"/>
  <c r="Q381" i="19"/>
  <c r="Q382" i="19"/>
  <c r="Q383" i="19"/>
  <c r="Q384" i="19"/>
  <c r="Q385" i="19"/>
  <c r="Q386" i="19"/>
  <c r="Q387" i="19"/>
  <c r="Q388" i="19"/>
  <c r="Q389" i="19"/>
  <c r="Q390" i="19"/>
  <c r="Q391" i="19"/>
  <c r="Q392" i="19"/>
  <c r="Q393" i="19"/>
  <c r="Q394" i="19"/>
  <c r="Q395" i="19"/>
  <c r="Q396" i="19"/>
  <c r="Q397" i="19"/>
  <c r="Q398" i="19"/>
  <c r="Q399" i="19"/>
  <c r="Q400" i="19"/>
  <c r="Q401" i="19"/>
  <c r="Q402" i="19"/>
  <c r="Q403" i="19"/>
  <c r="Q404" i="19"/>
  <c r="Q405" i="19"/>
  <c r="Q406" i="19"/>
  <c r="Q407" i="19"/>
  <c r="Q408" i="19"/>
  <c r="Q409" i="19"/>
  <c r="Q410" i="19"/>
  <c r="Q411" i="19"/>
  <c r="Q412" i="19"/>
  <c r="Q413" i="19"/>
  <c r="Q414" i="19"/>
  <c r="Q415" i="19"/>
  <c r="Q416" i="19"/>
  <c r="Q417" i="19"/>
  <c r="Q418" i="19"/>
  <c r="Q419" i="19"/>
  <c r="Q420" i="19"/>
  <c r="Q421" i="19"/>
  <c r="Q422" i="19"/>
  <c r="Q423" i="19"/>
  <c r="Q424" i="19"/>
  <c r="Q425" i="19"/>
  <c r="Q426" i="19"/>
  <c r="Q427" i="19"/>
  <c r="Q428" i="19"/>
  <c r="Q429" i="19"/>
  <c r="Q430" i="19"/>
  <c r="Q431" i="19"/>
  <c r="Q432" i="19"/>
  <c r="Q433" i="19"/>
  <c r="Q434" i="19"/>
  <c r="Q435" i="19"/>
  <c r="Q436" i="19"/>
  <c r="Q437" i="19"/>
  <c r="Q438" i="19"/>
  <c r="Q439" i="19"/>
  <c r="Q440" i="19"/>
  <c r="Q441" i="19"/>
  <c r="Q442" i="19"/>
  <c r="Q443" i="19"/>
  <c r="Q444" i="19"/>
  <c r="Q445" i="19"/>
  <c r="Q446" i="19"/>
  <c r="Q447" i="19"/>
  <c r="Q448" i="19"/>
  <c r="Q449" i="19"/>
  <c r="Q450" i="19"/>
  <c r="Q451" i="19"/>
  <c r="Q452" i="19"/>
  <c r="Q453" i="19"/>
  <c r="Q454" i="19"/>
  <c r="Q455" i="19"/>
  <c r="Q456" i="19"/>
  <c r="Q457" i="19"/>
  <c r="Q458" i="19"/>
  <c r="Q459" i="19"/>
  <c r="Q460" i="19"/>
  <c r="Q461" i="19"/>
  <c r="Q462" i="19"/>
  <c r="Q463" i="19"/>
  <c r="Q464" i="19"/>
  <c r="Q465" i="19"/>
  <c r="Q466" i="19"/>
  <c r="Q467" i="19"/>
  <c r="Q468" i="19"/>
  <c r="Q469" i="19"/>
  <c r="Q470" i="19"/>
  <c r="Q471" i="19"/>
  <c r="Q472" i="19"/>
  <c r="Q473" i="19"/>
  <c r="Q474" i="19"/>
  <c r="Q475" i="19"/>
  <c r="Q476" i="19"/>
  <c r="Q477" i="19"/>
  <c r="Q478" i="19"/>
  <c r="Q479" i="19"/>
  <c r="Q480" i="19"/>
  <c r="Q481" i="19"/>
  <c r="Q482" i="19"/>
  <c r="Q483" i="19"/>
  <c r="Q484" i="19"/>
  <c r="Q485" i="19"/>
  <c r="Q486" i="19"/>
  <c r="Q487" i="19"/>
  <c r="Q488" i="19"/>
  <c r="Q489" i="19"/>
  <c r="Q490" i="19"/>
  <c r="Q491" i="19"/>
  <c r="Q492" i="19"/>
  <c r="Q493" i="19"/>
  <c r="Q494" i="19"/>
  <c r="Q495" i="19"/>
  <c r="Q496" i="19"/>
  <c r="Q497" i="19"/>
  <c r="Q498" i="19"/>
  <c r="Q499" i="19"/>
  <c r="Q500" i="19"/>
  <c r="Q501" i="19"/>
  <c r="Q502" i="19"/>
  <c r="Q503" i="19"/>
  <c r="Q504" i="19"/>
  <c r="Q505" i="19"/>
  <c r="Q506" i="19"/>
  <c r="Q507" i="19"/>
  <c r="Q508" i="19"/>
  <c r="Q509" i="19"/>
  <c r="Q510" i="19"/>
  <c r="Q511" i="19"/>
  <c r="Q512" i="19"/>
  <c r="Q513" i="19"/>
  <c r="Q514" i="19"/>
  <c r="Q515" i="19"/>
  <c r="Q516" i="19"/>
  <c r="Q517" i="19"/>
  <c r="Q518" i="19"/>
  <c r="Q519" i="19"/>
  <c r="Q520" i="19"/>
  <c r="Q521" i="19"/>
  <c r="Q522" i="19"/>
  <c r="Q523" i="19"/>
  <c r="Q524" i="19"/>
  <c r="Q525" i="19"/>
  <c r="Q526" i="19"/>
  <c r="Q527" i="19"/>
  <c r="Q528" i="19"/>
  <c r="Q529" i="19"/>
  <c r="Q530" i="19"/>
  <c r="Q531" i="19"/>
  <c r="Q532" i="19"/>
  <c r="Q533" i="19"/>
  <c r="Q534" i="19"/>
  <c r="Q535" i="19"/>
  <c r="Q536" i="19"/>
  <c r="Q537" i="19"/>
  <c r="Q538" i="19"/>
  <c r="Q539" i="19"/>
  <c r="Q540" i="19"/>
  <c r="Q541" i="19"/>
  <c r="Q542" i="19"/>
  <c r="Q543" i="19"/>
  <c r="Q544" i="19"/>
  <c r="Q545" i="19"/>
  <c r="Q546" i="19"/>
  <c r="Q547" i="19"/>
  <c r="Q548" i="19"/>
  <c r="Q549" i="19"/>
  <c r="Q550" i="19"/>
  <c r="Q551" i="19"/>
  <c r="Q552" i="19"/>
  <c r="Q553" i="19"/>
  <c r="Q554" i="19"/>
  <c r="Q555" i="19"/>
  <c r="Q556" i="19"/>
  <c r="Q557" i="19"/>
  <c r="Q558" i="19"/>
  <c r="Q559" i="19"/>
  <c r="Q560" i="19"/>
  <c r="Q561" i="19"/>
  <c r="Q562" i="19"/>
  <c r="Q563" i="19"/>
  <c r="Q564" i="19"/>
  <c r="Q565" i="19"/>
  <c r="Q566" i="19"/>
  <c r="Q567" i="19"/>
  <c r="Q568" i="19"/>
  <c r="Q569" i="19"/>
  <c r="Q570" i="19"/>
  <c r="Q571" i="19"/>
  <c r="Q572" i="19"/>
  <c r="Q573" i="19"/>
  <c r="Q574" i="19"/>
  <c r="Q575" i="19"/>
  <c r="Q576" i="19"/>
  <c r="Q577" i="19"/>
  <c r="Q578" i="19"/>
  <c r="Q579" i="19"/>
  <c r="Q580" i="19"/>
  <c r="Q581" i="19"/>
  <c r="Q582" i="19"/>
  <c r="Q583" i="19"/>
  <c r="Q584" i="19"/>
  <c r="Q585" i="19"/>
  <c r="Q586" i="19"/>
  <c r="Q587" i="19"/>
  <c r="Q588" i="19"/>
  <c r="Q589" i="19"/>
  <c r="Q590" i="19"/>
  <c r="Q591" i="19"/>
  <c r="Q592" i="19"/>
  <c r="Q593" i="19"/>
  <c r="Q594" i="19"/>
  <c r="Q595" i="19"/>
  <c r="Q596" i="19"/>
  <c r="Q597" i="19"/>
  <c r="Q598" i="19"/>
  <c r="Q599" i="19"/>
  <c r="Q600" i="19"/>
  <c r="Q601" i="19"/>
  <c r="Q602" i="19"/>
  <c r="Q603" i="19"/>
  <c r="Q604" i="19"/>
  <c r="Q605" i="19"/>
  <c r="Q606" i="19"/>
  <c r="Q607" i="19"/>
  <c r="Q608" i="19"/>
  <c r="Q609" i="19"/>
  <c r="Q610" i="19"/>
  <c r="Q611" i="19"/>
  <c r="Q612" i="19"/>
  <c r="Q613" i="19"/>
  <c r="Q614" i="19"/>
  <c r="Q615" i="19"/>
  <c r="Q616" i="19"/>
  <c r="Q617" i="19"/>
  <c r="Q618" i="19"/>
  <c r="Q619" i="19"/>
  <c r="Q620" i="19"/>
  <c r="Q621" i="19"/>
  <c r="Q622" i="19"/>
  <c r="Q623" i="19"/>
  <c r="Q624" i="19"/>
  <c r="Q625" i="19"/>
  <c r="Q626" i="19"/>
  <c r="Q627" i="19"/>
  <c r="Q628" i="19"/>
  <c r="Q629" i="19"/>
  <c r="Q630" i="19"/>
  <c r="Q631" i="19"/>
  <c r="Q632" i="19"/>
  <c r="Q633" i="19"/>
  <c r="Q634" i="19"/>
  <c r="Q635" i="19"/>
  <c r="Q636" i="19"/>
  <c r="Q637" i="19"/>
  <c r="Q638" i="19"/>
  <c r="Q639" i="19"/>
  <c r="Q640" i="19"/>
  <c r="Q641" i="19"/>
  <c r="Q642" i="19"/>
  <c r="Q643" i="19"/>
  <c r="Q644" i="19"/>
  <c r="Q645" i="19"/>
  <c r="Q646" i="19"/>
  <c r="Q647" i="19"/>
  <c r="Q648" i="19"/>
  <c r="Q649" i="19"/>
  <c r="Q650" i="19"/>
  <c r="Q651" i="19"/>
  <c r="Q652" i="19"/>
  <c r="Q653" i="19"/>
  <c r="Q654" i="19"/>
  <c r="Q655" i="19"/>
  <c r="Q656" i="19"/>
  <c r="Q657" i="19"/>
  <c r="Q658" i="19"/>
  <c r="Q659" i="19"/>
  <c r="Q660" i="19"/>
  <c r="Q661" i="19"/>
  <c r="Q662" i="19"/>
  <c r="Q663" i="19"/>
  <c r="Q664" i="19"/>
  <c r="Q665" i="19"/>
  <c r="Q666" i="19"/>
  <c r="Q667" i="19"/>
  <c r="Q668" i="19"/>
  <c r="Q669" i="19"/>
  <c r="Q670" i="19"/>
  <c r="Q671" i="19"/>
  <c r="Q672" i="19"/>
  <c r="Q673" i="19"/>
  <c r="Q674" i="19"/>
  <c r="Q675" i="19"/>
  <c r="Q676" i="19"/>
  <c r="Q677" i="19"/>
  <c r="Q678" i="19"/>
  <c r="Q679" i="19"/>
  <c r="Q680" i="19"/>
  <c r="Q681" i="19"/>
  <c r="Q682" i="19"/>
  <c r="Q683" i="19"/>
  <c r="Q684" i="19"/>
  <c r="Q685" i="19"/>
  <c r="Q686" i="19"/>
  <c r="Q687" i="19"/>
  <c r="Q688" i="19"/>
  <c r="Q689" i="19"/>
  <c r="Q690" i="19"/>
  <c r="Q691" i="19"/>
  <c r="Q692" i="19"/>
  <c r="Q693" i="19"/>
  <c r="Q694" i="19"/>
  <c r="Q695" i="19"/>
  <c r="Q696" i="19"/>
  <c r="Q697" i="19"/>
  <c r="Q698" i="19"/>
  <c r="Q699" i="19"/>
  <c r="Q700" i="19"/>
  <c r="Q701" i="19"/>
  <c r="Q702" i="19"/>
  <c r="Q703" i="19"/>
  <c r="Q704" i="19"/>
  <c r="Q705" i="19"/>
  <c r="Q706" i="19"/>
  <c r="Q707" i="19"/>
  <c r="Q708" i="19"/>
  <c r="Q709" i="19"/>
  <c r="Q710" i="19"/>
  <c r="Q711" i="19"/>
  <c r="Q712" i="19"/>
  <c r="Q713" i="19"/>
  <c r="Q714" i="19"/>
  <c r="Q715" i="19"/>
  <c r="Q716" i="19"/>
  <c r="Q717" i="19"/>
  <c r="Q718" i="19"/>
  <c r="Q719" i="19"/>
  <c r="Q720" i="19"/>
  <c r="Q721" i="19"/>
  <c r="Q722" i="19"/>
  <c r="Q723" i="19"/>
  <c r="Q724" i="19"/>
  <c r="Q725" i="19"/>
  <c r="Q726" i="19"/>
  <c r="Q727" i="19"/>
  <c r="Q728" i="19"/>
  <c r="Q729" i="19"/>
  <c r="Q730" i="19"/>
  <c r="Q731" i="19"/>
  <c r="Q732" i="19"/>
  <c r="Q733" i="19"/>
  <c r="Q734" i="19"/>
  <c r="Q735" i="19"/>
  <c r="Q736" i="19"/>
  <c r="Q737" i="19"/>
  <c r="Q738" i="19"/>
  <c r="Q739" i="19"/>
  <c r="Q740" i="19"/>
  <c r="Q741" i="19"/>
  <c r="Q742" i="19"/>
  <c r="Q743" i="19"/>
  <c r="Q744" i="19"/>
  <c r="Q745" i="19"/>
  <c r="Q746" i="19"/>
  <c r="Q747" i="19"/>
  <c r="Q748" i="19"/>
  <c r="Q749" i="19"/>
  <c r="Q750" i="19"/>
  <c r="Q751" i="19"/>
  <c r="Q752" i="19"/>
  <c r="Q753" i="19"/>
  <c r="Q754" i="19"/>
  <c r="Q755" i="19"/>
  <c r="Q756" i="19"/>
  <c r="Q757" i="19"/>
  <c r="Q758" i="19"/>
  <c r="Q759" i="19"/>
  <c r="Q760" i="19"/>
  <c r="Q761" i="19"/>
  <c r="Q762" i="19"/>
  <c r="Q763" i="19"/>
  <c r="Q764" i="19"/>
  <c r="Q765" i="19"/>
  <c r="Q766" i="19"/>
  <c r="Q767" i="19"/>
  <c r="Q768" i="19"/>
  <c r="Q769" i="19"/>
  <c r="Q770" i="19"/>
  <c r="Q771" i="19"/>
  <c r="Q772" i="19"/>
  <c r="Q773" i="19"/>
  <c r="Q774" i="19"/>
  <c r="Q775" i="19"/>
  <c r="Q776" i="19"/>
  <c r="Q777" i="19"/>
  <c r="Q778" i="19"/>
  <c r="Q779" i="19"/>
  <c r="Q780" i="19"/>
  <c r="Q781" i="19"/>
  <c r="Q782" i="19"/>
  <c r="Q783" i="19"/>
  <c r="Q784" i="19"/>
  <c r="Q785" i="19"/>
  <c r="Q786" i="19"/>
  <c r="Q787" i="19"/>
  <c r="Q788" i="19"/>
  <c r="Q789" i="19"/>
  <c r="Q790" i="19"/>
  <c r="Q791" i="19"/>
  <c r="Q792" i="19"/>
  <c r="Q793" i="19"/>
  <c r="Q794" i="19"/>
  <c r="Q795" i="19"/>
  <c r="Q796" i="19"/>
  <c r="Q797" i="19"/>
  <c r="Q798" i="19"/>
  <c r="Q799" i="19"/>
  <c r="Q800" i="19"/>
  <c r="Q801" i="19"/>
  <c r="Q802" i="19"/>
  <c r="Q803" i="19"/>
  <c r="Q804" i="19"/>
  <c r="Q805" i="19"/>
  <c r="Q806" i="19"/>
  <c r="Q807" i="19"/>
  <c r="Q808" i="19"/>
  <c r="Q809" i="19"/>
  <c r="Q810" i="19"/>
  <c r="Q811" i="19"/>
  <c r="Q812" i="19"/>
  <c r="Q813" i="19"/>
  <c r="Q814" i="19"/>
  <c r="Q815" i="19"/>
  <c r="Q816" i="19"/>
  <c r="Q817" i="19"/>
  <c r="Q818" i="19"/>
  <c r="Q819" i="19"/>
  <c r="Q820" i="19"/>
  <c r="Q821" i="19"/>
  <c r="Q822" i="19"/>
  <c r="Q823" i="19"/>
  <c r="Q824" i="19"/>
  <c r="Q825" i="19"/>
  <c r="Q826" i="19"/>
  <c r="Q827" i="19"/>
  <c r="Q828" i="19"/>
  <c r="Q829" i="19"/>
  <c r="Q830" i="19"/>
  <c r="Q831" i="19"/>
  <c r="Q832" i="19"/>
  <c r="Q833" i="19"/>
  <c r="Q834" i="19"/>
  <c r="Q835" i="19"/>
  <c r="Q836" i="19"/>
  <c r="Q837" i="19"/>
  <c r="Q838" i="19"/>
  <c r="Q839" i="19"/>
  <c r="Q840" i="19"/>
  <c r="Q841" i="19"/>
  <c r="Q842" i="19"/>
  <c r="Q843" i="19"/>
  <c r="Q844" i="19"/>
  <c r="Q845" i="19"/>
  <c r="Q846" i="19"/>
  <c r="Q847" i="19"/>
  <c r="Q848" i="19"/>
  <c r="Q849" i="19"/>
  <c r="Q850" i="19"/>
  <c r="Q851" i="19"/>
  <c r="Q852" i="19"/>
  <c r="Q853" i="19"/>
  <c r="Q854" i="19"/>
  <c r="Q855" i="19"/>
  <c r="Q856" i="19"/>
  <c r="Q857" i="19"/>
  <c r="Q858" i="19"/>
  <c r="Q859" i="19"/>
  <c r="Q860" i="19"/>
  <c r="Q861" i="19"/>
  <c r="Q862" i="19"/>
  <c r="Q863" i="19"/>
  <c r="Q864" i="19"/>
  <c r="Q865" i="19"/>
  <c r="Q866" i="19"/>
  <c r="Q867" i="19"/>
  <c r="Q868" i="19"/>
  <c r="Q869" i="19"/>
  <c r="Q870" i="19"/>
  <c r="Q871" i="19"/>
  <c r="Q872" i="19"/>
  <c r="Q873" i="19"/>
  <c r="Q874" i="19"/>
  <c r="Q875" i="19"/>
  <c r="Q876" i="19"/>
  <c r="Q877" i="19"/>
  <c r="Q878" i="19"/>
  <c r="Q879" i="19"/>
  <c r="Q880" i="19"/>
  <c r="Q881" i="19"/>
  <c r="Q882" i="19"/>
  <c r="Q883" i="19"/>
  <c r="Q884" i="19"/>
  <c r="Q885" i="19"/>
  <c r="Q886" i="19"/>
  <c r="Q887" i="19"/>
  <c r="Q888" i="19"/>
  <c r="Q889" i="19"/>
  <c r="Q890" i="19"/>
  <c r="Q891" i="19"/>
  <c r="Q892" i="19"/>
  <c r="Q893" i="19"/>
  <c r="Q894" i="19"/>
  <c r="Q895" i="19"/>
  <c r="Q896" i="19"/>
  <c r="Q897" i="19"/>
  <c r="Q898" i="19"/>
  <c r="Q899" i="19"/>
  <c r="Q900" i="19"/>
  <c r="Q901" i="19"/>
  <c r="Q902" i="19"/>
  <c r="Q903" i="19"/>
  <c r="Q904" i="19"/>
  <c r="Q905" i="19"/>
  <c r="Q906" i="19"/>
  <c r="Q907" i="19"/>
  <c r="Q908" i="19"/>
  <c r="Q909" i="19"/>
  <c r="Q910" i="19"/>
  <c r="Q911" i="19"/>
  <c r="Q912" i="19"/>
  <c r="Q913" i="19"/>
  <c r="Q914" i="19"/>
  <c r="Q915" i="19"/>
  <c r="Q916" i="19"/>
  <c r="Q917" i="19"/>
  <c r="Q918" i="19"/>
  <c r="Q919" i="19"/>
  <c r="Q920" i="19"/>
  <c r="Q921" i="19"/>
  <c r="Q922" i="19"/>
  <c r="Q923" i="19"/>
  <c r="Q924" i="19"/>
  <c r="Q925" i="19"/>
  <c r="Q926" i="19"/>
  <c r="Q927" i="19"/>
  <c r="Q928" i="19"/>
  <c r="Q929" i="19"/>
  <c r="Q930" i="19"/>
  <c r="Q931" i="19"/>
  <c r="Q932" i="19"/>
  <c r="Q933" i="19"/>
  <c r="Q934" i="19"/>
  <c r="Q935" i="19"/>
  <c r="Q936" i="19"/>
  <c r="Q937" i="19"/>
  <c r="Q938" i="19"/>
  <c r="Q939" i="19"/>
  <c r="Q940" i="19"/>
  <c r="Q941" i="19"/>
  <c r="Q942" i="19"/>
  <c r="Q943" i="19"/>
  <c r="Q944" i="19"/>
  <c r="Q945" i="19"/>
  <c r="Q946" i="19"/>
  <c r="Q947" i="19"/>
  <c r="Q948" i="19"/>
  <c r="Q949" i="19"/>
  <c r="Q950" i="19"/>
  <c r="Q951" i="19"/>
  <c r="Q952" i="19"/>
  <c r="Q953" i="19"/>
  <c r="Q954" i="19"/>
  <c r="Q955" i="19"/>
  <c r="Q956" i="19"/>
  <c r="Q957" i="19"/>
  <c r="Q958" i="19"/>
  <c r="Q959" i="19"/>
  <c r="Q960" i="19"/>
  <c r="Q961" i="19"/>
  <c r="Q962" i="19"/>
  <c r="Q963" i="19"/>
  <c r="Q964" i="19"/>
  <c r="Q965" i="19"/>
  <c r="Q966" i="19"/>
  <c r="Q967" i="19"/>
  <c r="Q968" i="19"/>
  <c r="Q969" i="19"/>
  <c r="Q970" i="19"/>
  <c r="Q971" i="19"/>
  <c r="Q972" i="19"/>
  <c r="Q973" i="19"/>
  <c r="Q974" i="19"/>
  <c r="Q975" i="19"/>
  <c r="Q976" i="19"/>
  <c r="Q977" i="19"/>
  <c r="Q978" i="19"/>
  <c r="Q979" i="19"/>
  <c r="Q980" i="19"/>
  <c r="Q981" i="19"/>
  <c r="Q982" i="19"/>
  <c r="Q983" i="19"/>
  <c r="Q984" i="19"/>
  <c r="Q985" i="19"/>
  <c r="Q986" i="19"/>
  <c r="Q987" i="19"/>
  <c r="Q988" i="19"/>
  <c r="Q989" i="19"/>
  <c r="Q990" i="19"/>
  <c r="Q991" i="19"/>
  <c r="Q992" i="19"/>
  <c r="Q993" i="19"/>
  <c r="Q994" i="19"/>
  <c r="Q995" i="19"/>
  <c r="Q996" i="19"/>
  <c r="Q997" i="19"/>
  <c r="Q998" i="19"/>
  <c r="Q999" i="19"/>
  <c r="Q1000" i="19"/>
  <c r="Q1001" i="19"/>
  <c r="Q1002" i="19"/>
  <c r="Q1003" i="19"/>
  <c r="Q1004" i="19"/>
  <c r="Q1005" i="19"/>
  <c r="Q1006" i="19"/>
  <c r="Q1007" i="19"/>
  <c r="Q1008" i="19"/>
  <c r="Q1009" i="19"/>
  <c r="Q1010" i="19"/>
  <c r="Q1011" i="19"/>
  <c r="Q1012" i="19"/>
  <c r="Q1013" i="19"/>
  <c r="Q1014" i="19"/>
  <c r="Q1015" i="19"/>
  <c r="Q1016" i="19"/>
  <c r="Q1017" i="19"/>
  <c r="Q1018" i="19"/>
  <c r="Q1019" i="19"/>
  <c r="Q1020" i="19"/>
  <c r="Q1021" i="19"/>
  <c r="Q1022" i="19"/>
  <c r="Q1023" i="19"/>
  <c r="Q1024" i="19"/>
  <c r="Q1025" i="19"/>
  <c r="Q1026" i="19"/>
  <c r="Q1027" i="19"/>
  <c r="Q1028" i="19"/>
  <c r="Q1029" i="19"/>
  <c r="Q1030" i="19"/>
  <c r="Q1031" i="19"/>
  <c r="Q1032" i="19"/>
  <c r="Q1033" i="19"/>
  <c r="Q1034" i="19"/>
  <c r="Q1035" i="19"/>
  <c r="Q1036" i="19"/>
  <c r="Q1037" i="19"/>
  <c r="Q1038" i="19"/>
  <c r="Q1039" i="19"/>
  <c r="Q1040" i="19"/>
  <c r="Q1041" i="19"/>
  <c r="Q1042" i="19"/>
  <c r="Q1043" i="19"/>
  <c r="Q1044" i="19"/>
  <c r="Q1045" i="19"/>
  <c r="Q1046" i="19"/>
  <c r="Q1047" i="19"/>
  <c r="Q1048" i="19"/>
  <c r="Q1049" i="19"/>
  <c r="Q1050" i="19"/>
  <c r="Q1051" i="19"/>
  <c r="Q1052" i="19"/>
  <c r="Q1053" i="19"/>
  <c r="Q1054" i="19"/>
  <c r="Q1055" i="19"/>
  <c r="Q1056" i="19"/>
  <c r="Q1057" i="19"/>
  <c r="Q1058" i="19"/>
  <c r="Q1059" i="19"/>
  <c r="Q1060" i="19"/>
  <c r="Q1061" i="19"/>
  <c r="Q1062" i="19"/>
  <c r="Q1063" i="19"/>
  <c r="Q1064" i="19"/>
  <c r="Q1065" i="19"/>
  <c r="Q1066" i="19"/>
  <c r="Q1067" i="19"/>
  <c r="Q1068" i="19"/>
  <c r="Q1069" i="19"/>
  <c r="Q1070" i="19"/>
  <c r="Q1071" i="19"/>
  <c r="Q1072" i="19"/>
  <c r="Q1073" i="19"/>
  <c r="Q1074" i="19"/>
  <c r="Q1075" i="19"/>
  <c r="Q1076" i="19"/>
  <c r="Q1077" i="19"/>
  <c r="Q1078" i="19"/>
  <c r="Q1079" i="19"/>
  <c r="Q1080" i="19"/>
  <c r="Q1081" i="19"/>
  <c r="Q1082" i="19"/>
  <c r="Q1083" i="19"/>
  <c r="Q1084" i="19"/>
  <c r="Q1085" i="19"/>
  <c r="Q1086" i="19"/>
  <c r="Q1087" i="19"/>
  <c r="Q1088" i="19"/>
  <c r="Q1089" i="19"/>
  <c r="Q1090" i="19"/>
  <c r="Q1091" i="19"/>
  <c r="Q1092" i="19"/>
  <c r="Q1093" i="19"/>
  <c r="Q1094" i="19"/>
  <c r="Q1095" i="19"/>
  <c r="Q1096" i="19"/>
  <c r="Q1097" i="19"/>
  <c r="Q1098" i="19"/>
  <c r="Q1099" i="19"/>
  <c r="Q1100" i="19"/>
  <c r="Q1101" i="19"/>
  <c r="Q1102" i="19"/>
  <c r="Q1103" i="19"/>
  <c r="Q1104" i="19"/>
  <c r="Q1105" i="19"/>
  <c r="Q1106" i="19"/>
  <c r="Q1107" i="19"/>
  <c r="Q1108" i="19"/>
  <c r="Q1109" i="19"/>
  <c r="Q1110" i="19"/>
  <c r="Q1111" i="19"/>
  <c r="Q1112" i="19"/>
  <c r="Q1113" i="19"/>
  <c r="Q1114" i="19"/>
  <c r="Q1115" i="19"/>
  <c r="Q1116" i="19"/>
  <c r="Q1117" i="19"/>
  <c r="Q1118" i="19"/>
  <c r="Q1119" i="19"/>
  <c r="Q1120" i="19"/>
  <c r="Q1121" i="19"/>
  <c r="Q1122" i="19"/>
  <c r="Q1123" i="19"/>
  <c r="Q1124" i="19"/>
  <c r="Q1125" i="19"/>
  <c r="Q1126" i="19"/>
  <c r="Q1127" i="19"/>
  <c r="Q1128" i="19"/>
  <c r="Q1129" i="19"/>
  <c r="Q1130" i="19"/>
  <c r="Q1131" i="19"/>
  <c r="Q1132" i="19"/>
  <c r="Q1133" i="19"/>
  <c r="Q1134" i="19"/>
  <c r="Q1135" i="19"/>
  <c r="Q1136" i="19"/>
  <c r="Q1137" i="19"/>
  <c r="Q1138" i="19"/>
  <c r="Q1139" i="19"/>
  <c r="Q1140" i="19"/>
  <c r="Q1141" i="19"/>
  <c r="Q1142" i="19"/>
  <c r="Q1143" i="19"/>
  <c r="Q1144" i="19"/>
  <c r="Q1145" i="19"/>
  <c r="Q1146" i="19"/>
  <c r="Q1147" i="19"/>
  <c r="Q1148" i="19"/>
  <c r="Q1149" i="19"/>
  <c r="Q1150" i="19"/>
  <c r="Q1151" i="19"/>
  <c r="Q1152" i="19"/>
  <c r="Q1153" i="19"/>
  <c r="Q1154" i="19"/>
  <c r="Q1155" i="19"/>
  <c r="Q1156" i="19"/>
  <c r="Q1157" i="19"/>
  <c r="Q1158" i="19"/>
  <c r="Q1159" i="19"/>
  <c r="Q1160" i="19"/>
  <c r="Q1161" i="19"/>
  <c r="Q1162" i="19"/>
  <c r="Q1163" i="19"/>
  <c r="Q1164" i="19"/>
  <c r="Q1165" i="19"/>
  <c r="Q1166" i="19"/>
  <c r="Q1167" i="19"/>
  <c r="Q1168" i="19"/>
  <c r="Q1169" i="19"/>
  <c r="Q1170" i="19"/>
  <c r="Q1171" i="19"/>
  <c r="Q1172" i="19"/>
  <c r="Q1173" i="19"/>
  <c r="Q1174" i="19"/>
  <c r="Q1175" i="19"/>
  <c r="Q1176" i="19"/>
  <c r="Q1177" i="19"/>
  <c r="Q1178" i="19"/>
  <c r="Q1179" i="19"/>
  <c r="Q1180" i="19"/>
  <c r="Q1181" i="19"/>
  <c r="Q1182" i="19"/>
  <c r="Q1183" i="19"/>
  <c r="Q1184" i="19"/>
  <c r="Q1185" i="19"/>
  <c r="Q1186" i="19"/>
  <c r="Q1187" i="19"/>
  <c r="Q1188" i="19"/>
  <c r="Q1189" i="19"/>
  <c r="Q1190" i="19"/>
  <c r="Q1191" i="19"/>
  <c r="Q1192" i="19"/>
  <c r="Q1193" i="19"/>
  <c r="Q1194" i="19"/>
  <c r="Q1195" i="19"/>
  <c r="Q1196" i="19"/>
  <c r="Q1197" i="19"/>
  <c r="Q1198" i="19"/>
  <c r="Q1199" i="19"/>
  <c r="Q1200" i="19"/>
  <c r="Q1201" i="19"/>
  <c r="Q1202" i="19"/>
  <c r="Q1203" i="19"/>
  <c r="Q1204" i="19"/>
  <c r="Q1205" i="19"/>
  <c r="Q1206" i="19"/>
  <c r="Q1207" i="19"/>
  <c r="Q1208" i="19"/>
  <c r="Q1209" i="19"/>
  <c r="Q1210" i="19"/>
  <c r="Q1211" i="19"/>
  <c r="Q1212" i="19"/>
  <c r="Q1213" i="19"/>
  <c r="Q1214" i="19"/>
  <c r="Q1215" i="19"/>
  <c r="Q1216" i="19"/>
  <c r="Q1217" i="19"/>
  <c r="Q1218" i="19"/>
  <c r="Q1219" i="19"/>
  <c r="Q1220" i="19"/>
  <c r="Q1221" i="19"/>
  <c r="Q1222" i="19"/>
  <c r="Q1223" i="19"/>
  <c r="Q1224" i="19"/>
  <c r="Q1225" i="19"/>
  <c r="Q1226" i="19"/>
  <c r="Q1227" i="19"/>
  <c r="Q1228" i="19"/>
  <c r="Q1229" i="19"/>
  <c r="Q1230" i="19"/>
  <c r="Q1231" i="19"/>
  <c r="Q1232" i="19"/>
  <c r="Q1233" i="19"/>
  <c r="Q1234" i="19"/>
  <c r="Q1235" i="19"/>
  <c r="Q1236" i="19"/>
  <c r="Q1237" i="19"/>
  <c r="Q1238" i="19"/>
  <c r="Q1239" i="19"/>
  <c r="Q1240" i="19"/>
  <c r="Q1241" i="19"/>
  <c r="Q1242" i="19"/>
  <c r="Q1243" i="19"/>
  <c r="Q1244" i="19"/>
  <c r="Q1245" i="19"/>
  <c r="Q1246" i="19"/>
  <c r="Q1247" i="19"/>
  <c r="Q1248" i="19"/>
  <c r="Q1249" i="19"/>
  <c r="Q1250" i="19"/>
  <c r="Q1251" i="19"/>
  <c r="Q1252" i="19"/>
  <c r="Q1253" i="19"/>
  <c r="Q1254" i="19"/>
  <c r="Q1255" i="19"/>
  <c r="Q1256" i="19"/>
  <c r="Q1257" i="19"/>
  <c r="Q1258" i="19"/>
  <c r="Q1259" i="19"/>
  <c r="Q1260" i="19"/>
  <c r="Q1261" i="19"/>
  <c r="Q1262" i="19"/>
  <c r="Q1263" i="19"/>
  <c r="Q1264" i="19"/>
  <c r="Q1265" i="19"/>
  <c r="Q1266" i="19"/>
  <c r="Q1267" i="19"/>
  <c r="Q1268" i="19"/>
  <c r="Q1269" i="19"/>
  <c r="Q1270" i="19"/>
  <c r="Q1271" i="19"/>
  <c r="Q1272" i="19"/>
  <c r="Q1273" i="19"/>
  <c r="Q1274" i="19"/>
  <c r="Q1275" i="19"/>
  <c r="Q1276" i="19"/>
  <c r="Q1277" i="19"/>
  <c r="Q1278" i="19"/>
  <c r="Q1279" i="19"/>
  <c r="Q1280" i="19"/>
  <c r="Q1281" i="19"/>
  <c r="Q1282" i="19"/>
  <c r="Q1283" i="19"/>
  <c r="Q1284" i="19"/>
  <c r="Q1285" i="19"/>
  <c r="Q1286" i="19"/>
  <c r="Q1287" i="19"/>
  <c r="Q1288" i="19"/>
  <c r="Q1289" i="19"/>
  <c r="Q1290" i="19"/>
  <c r="Q1291" i="19"/>
  <c r="Q1292" i="19"/>
  <c r="Q1293" i="19"/>
  <c r="Q1294" i="19"/>
  <c r="Q1295" i="19"/>
  <c r="Q1296" i="19"/>
  <c r="Q1297" i="19"/>
  <c r="Q1298" i="19"/>
  <c r="Q1299" i="19"/>
  <c r="Q1300" i="19"/>
  <c r="Q1301" i="19"/>
  <c r="Q1302" i="19"/>
  <c r="Q1303" i="19"/>
  <c r="Q1304" i="19"/>
  <c r="Q1305" i="19"/>
  <c r="Q1306" i="19"/>
  <c r="Q1307" i="19"/>
  <c r="Q1308" i="19"/>
  <c r="Q1309" i="19"/>
  <c r="Q1310" i="19"/>
  <c r="Q1311" i="19"/>
  <c r="Q1312" i="19"/>
  <c r="Q1313" i="19"/>
  <c r="Q1314" i="19"/>
  <c r="Q1315" i="19"/>
  <c r="Q1316" i="19"/>
  <c r="Q1317" i="19"/>
  <c r="Q1318" i="19"/>
  <c r="Q1319" i="19"/>
  <c r="Q1320" i="19"/>
  <c r="Q1321" i="19"/>
  <c r="Q1322" i="19"/>
  <c r="Q1323" i="19"/>
  <c r="Q1324" i="19"/>
  <c r="Q1325" i="19"/>
  <c r="Q1326" i="19"/>
  <c r="Q1327" i="19"/>
  <c r="Q1328" i="19"/>
  <c r="Q1329" i="19"/>
  <c r="Q1330" i="19"/>
  <c r="Q1331" i="19"/>
  <c r="Q1332" i="19"/>
  <c r="Q1333" i="19"/>
  <c r="Q1334" i="19"/>
  <c r="Q1335" i="19"/>
  <c r="Q1336" i="19"/>
  <c r="Q1337" i="19"/>
  <c r="Q1338" i="19"/>
  <c r="Q1339" i="19"/>
  <c r="Q1340" i="19"/>
  <c r="Q1341" i="19"/>
  <c r="Q1342" i="19"/>
  <c r="Q1343" i="19"/>
  <c r="Q1344" i="19"/>
  <c r="Q1345" i="19"/>
  <c r="Q1346" i="19"/>
  <c r="Q1347" i="19"/>
  <c r="Q1348" i="19"/>
  <c r="Q1349" i="19"/>
  <c r="Q1350" i="19"/>
  <c r="Q1351" i="19"/>
  <c r="Q1352" i="19"/>
  <c r="Q1353" i="19"/>
  <c r="Q1354" i="19"/>
  <c r="Q1355" i="19"/>
  <c r="Q1356" i="19"/>
  <c r="Q1357" i="19"/>
  <c r="Q1358" i="19"/>
  <c r="Q1359" i="19"/>
  <c r="Q1360" i="19"/>
  <c r="Q1361" i="19"/>
  <c r="Q1362" i="19"/>
  <c r="Q1363" i="19"/>
  <c r="Q1364" i="19"/>
  <c r="Q1365" i="19"/>
  <c r="Q1366" i="19"/>
  <c r="Q1367" i="19"/>
  <c r="Q1368" i="19"/>
  <c r="Q1369" i="19"/>
  <c r="Q1370" i="19"/>
  <c r="Q1371" i="19"/>
  <c r="Q1372" i="19"/>
  <c r="Q1373" i="19"/>
  <c r="Q1374" i="19"/>
  <c r="Q1375" i="19"/>
  <c r="Q1376" i="19"/>
  <c r="Q1377" i="19"/>
  <c r="Q1378" i="19"/>
  <c r="Q1379" i="19"/>
  <c r="Q1380" i="19"/>
  <c r="Q1381" i="19"/>
  <c r="Q1382" i="19"/>
  <c r="Q1383" i="19"/>
  <c r="Q1384" i="19"/>
  <c r="Q1385" i="19"/>
  <c r="Q1386" i="19"/>
  <c r="Q1387" i="19"/>
  <c r="Q1388" i="19"/>
  <c r="Q1389" i="19"/>
  <c r="Q1390" i="19"/>
  <c r="Q1391" i="19"/>
  <c r="Q1392" i="19"/>
  <c r="Q1393" i="19"/>
  <c r="Q1394" i="19"/>
  <c r="Q1395" i="19"/>
  <c r="Q1396" i="19"/>
  <c r="Q1397" i="19"/>
  <c r="Q1398" i="19"/>
  <c r="Q1399" i="19"/>
  <c r="Q1400" i="19"/>
  <c r="Q1401" i="19"/>
  <c r="Q1402" i="19"/>
  <c r="Q1403" i="19"/>
  <c r="Q1404" i="19"/>
  <c r="Q1405" i="19"/>
  <c r="Q1406" i="19"/>
  <c r="Q1407" i="19"/>
  <c r="Q1408" i="19"/>
  <c r="Q1409" i="19"/>
  <c r="Q1410" i="19"/>
  <c r="Q1411" i="19"/>
  <c r="Q1412" i="19"/>
  <c r="Q1413" i="19"/>
  <c r="Q1414" i="19"/>
  <c r="Q1415" i="19"/>
  <c r="Q1416" i="19"/>
  <c r="Q1417" i="19"/>
  <c r="Q1418" i="19"/>
  <c r="Q1419" i="19"/>
  <c r="Q1420" i="19"/>
  <c r="Q1421" i="19"/>
  <c r="Q1422" i="19"/>
  <c r="Q1423" i="19"/>
  <c r="Q1424" i="19"/>
  <c r="Q1425" i="19"/>
  <c r="Q1426" i="19"/>
  <c r="Q1427" i="19"/>
  <c r="Q1428" i="19"/>
  <c r="Q1429" i="19"/>
  <c r="Q1430" i="19"/>
  <c r="Q1431" i="19"/>
  <c r="Q1432" i="19"/>
  <c r="Q1433" i="19"/>
  <c r="Q1434" i="19"/>
  <c r="Q1435" i="19"/>
  <c r="Q1436" i="19"/>
  <c r="Q1437" i="19"/>
  <c r="Q1438" i="19"/>
  <c r="Q1439" i="19"/>
  <c r="Q1440" i="19"/>
  <c r="Q1441" i="19"/>
  <c r="Q1442" i="19"/>
  <c r="Q1443" i="19"/>
  <c r="Q1444" i="19"/>
  <c r="Q1445" i="19"/>
  <c r="Q1446" i="19"/>
  <c r="Q1447" i="19"/>
  <c r="Q1448" i="19"/>
  <c r="Q1449" i="19"/>
  <c r="Q1450" i="19"/>
  <c r="Q1451" i="19"/>
  <c r="Q1452" i="19"/>
  <c r="Q1453" i="19"/>
  <c r="Q1454" i="19"/>
  <c r="Q1455" i="19"/>
  <c r="Q1456" i="19"/>
  <c r="Q1457" i="19"/>
  <c r="Q1458" i="19"/>
  <c r="Q1459" i="19"/>
  <c r="Q1460" i="19"/>
  <c r="Q1461" i="19"/>
  <c r="Q1462" i="19"/>
  <c r="Q1463" i="19"/>
  <c r="Q1464" i="19"/>
  <c r="Q1465" i="19"/>
  <c r="Q1466" i="19"/>
  <c r="Q1467" i="19"/>
  <c r="Q1468" i="19"/>
  <c r="Q1469" i="19"/>
  <c r="Q1470" i="19"/>
  <c r="Q1471" i="19"/>
  <c r="Q1472" i="19"/>
  <c r="Q1473" i="19"/>
  <c r="Q1474" i="19"/>
  <c r="Q1475" i="19"/>
  <c r="Q1476" i="19"/>
  <c r="Q1477" i="19"/>
  <c r="Q1478" i="19"/>
  <c r="Q1479" i="19"/>
  <c r="Q1480" i="19"/>
  <c r="Q1481" i="19"/>
  <c r="Q1482" i="19"/>
  <c r="Q1483" i="19"/>
  <c r="Q1484" i="19"/>
  <c r="Q1485" i="19"/>
  <c r="Q1486" i="19"/>
  <c r="Q1487" i="19"/>
  <c r="Q1488" i="19"/>
  <c r="Q1489" i="19"/>
  <c r="Q1490" i="19"/>
  <c r="Q1491" i="19"/>
  <c r="Q1492" i="19"/>
  <c r="Q1493" i="19"/>
  <c r="Q1494" i="19"/>
  <c r="Q1495" i="19"/>
  <c r="Q1496" i="19"/>
  <c r="Q1497" i="19"/>
  <c r="Q1498" i="19"/>
  <c r="Q1499" i="19"/>
  <c r="Q1500" i="19"/>
  <c r="Q1501" i="19"/>
  <c r="Q1502" i="19"/>
  <c r="Q1503" i="19"/>
  <c r="Q1504" i="19"/>
  <c r="Q1505" i="19"/>
  <c r="Q1506" i="19"/>
  <c r="Q1507" i="19"/>
  <c r="Q1508" i="19"/>
  <c r="Q1509" i="19"/>
  <c r="Q1510" i="19"/>
  <c r="Q1511" i="19"/>
  <c r="Q1512" i="19"/>
  <c r="Q1513" i="19"/>
  <c r="Q1514" i="19"/>
  <c r="Q1515" i="19"/>
  <c r="Q1516" i="19"/>
  <c r="Q1517" i="19"/>
  <c r="Q1518" i="19"/>
  <c r="Q1519" i="19"/>
  <c r="Q1520" i="19"/>
  <c r="Q1521" i="19"/>
  <c r="Q1522" i="19"/>
  <c r="Q1523" i="19"/>
  <c r="Q1524" i="19"/>
  <c r="Q1525" i="19"/>
  <c r="Q1526" i="19"/>
  <c r="Q1527" i="19"/>
  <c r="Q1528" i="19"/>
  <c r="Q1529" i="19"/>
  <c r="Q1530" i="19"/>
  <c r="Q1531" i="19"/>
  <c r="Q1532" i="19"/>
  <c r="Q1533" i="19"/>
  <c r="Q1534" i="19"/>
  <c r="Q1535" i="19"/>
  <c r="Q1536" i="19"/>
  <c r="Q1537" i="19"/>
  <c r="Q1538" i="19"/>
  <c r="Q1539" i="19"/>
  <c r="Q1540" i="19"/>
  <c r="Q1541" i="19"/>
  <c r="Q1542" i="19"/>
  <c r="Q1543" i="19"/>
  <c r="Q1544" i="19"/>
  <c r="Q1545" i="19"/>
  <c r="Q1546" i="19"/>
  <c r="Q1547" i="19"/>
  <c r="Q1548" i="19"/>
  <c r="Q1549" i="19"/>
  <c r="Q1550" i="19"/>
  <c r="Q1551" i="19"/>
  <c r="Q1552" i="19"/>
  <c r="Q1553" i="19"/>
  <c r="Q1554" i="19"/>
  <c r="Q1555" i="19"/>
  <c r="Q1556" i="19"/>
  <c r="Q1557" i="19"/>
  <c r="Q1558" i="19"/>
  <c r="Q1559" i="19"/>
  <c r="Q1560" i="19"/>
  <c r="Q1561" i="19"/>
  <c r="Q1562" i="19"/>
  <c r="Q1563" i="19"/>
  <c r="Q1564" i="19"/>
  <c r="Q1565" i="19"/>
  <c r="Q1566" i="19"/>
  <c r="Q1567" i="19"/>
  <c r="Q1568" i="19"/>
  <c r="Q1569" i="19"/>
  <c r="Q1570" i="19"/>
  <c r="Q1571" i="19"/>
  <c r="Q1572" i="19"/>
  <c r="Q1573" i="19"/>
  <c r="Q1574" i="19"/>
  <c r="Q1575" i="19"/>
  <c r="Q1576" i="19"/>
  <c r="Q1577" i="19"/>
  <c r="Q1578" i="19"/>
  <c r="Q1579" i="19"/>
  <c r="Q1580" i="19"/>
  <c r="Q1581" i="19"/>
  <c r="Q1582" i="19"/>
  <c r="Q1583" i="19"/>
  <c r="Q1584" i="19"/>
  <c r="Q1585" i="19"/>
  <c r="Q1586" i="19"/>
  <c r="Q1587" i="19"/>
  <c r="Q1588" i="19"/>
  <c r="Q1589" i="19"/>
  <c r="Q1590" i="19"/>
  <c r="Q1591" i="19"/>
  <c r="Q1592" i="19"/>
  <c r="Q1593" i="19"/>
  <c r="Q1594" i="19"/>
  <c r="Q1595" i="19"/>
  <c r="Q1596" i="19"/>
  <c r="Q1597" i="19"/>
  <c r="Q1598" i="19"/>
  <c r="Q1599" i="19"/>
  <c r="Q1600" i="19"/>
  <c r="Q1601" i="19"/>
  <c r="Q1602" i="19"/>
  <c r="Q1603" i="19"/>
  <c r="Q1604" i="19"/>
  <c r="Q1605" i="19"/>
  <c r="Q1606" i="19"/>
  <c r="Q1607" i="19"/>
  <c r="Q1608" i="19"/>
  <c r="Q1609" i="19"/>
  <c r="Q1610" i="19"/>
  <c r="Q1611" i="19"/>
  <c r="Q1612" i="19"/>
  <c r="Q1613" i="19"/>
  <c r="Q1614" i="19"/>
  <c r="Q1615" i="19"/>
  <c r="Q1616" i="19"/>
  <c r="Q1617" i="19"/>
  <c r="Q1618" i="19"/>
  <c r="Q1619" i="19"/>
  <c r="Q1620" i="19"/>
  <c r="Q1621" i="19"/>
  <c r="Q1622" i="19"/>
  <c r="Q1623" i="19"/>
  <c r="Q1624" i="19"/>
  <c r="Q1625" i="19"/>
  <c r="Q1626" i="19"/>
  <c r="Q1627" i="19"/>
  <c r="Q1628" i="19"/>
  <c r="Q1629" i="19"/>
  <c r="Q1630" i="19"/>
  <c r="Q1631" i="19"/>
  <c r="Q1632" i="19"/>
  <c r="Q1633" i="19"/>
  <c r="Q1634" i="19"/>
  <c r="Q1635" i="19"/>
  <c r="Q1636" i="19"/>
  <c r="Q1637" i="19"/>
  <c r="Q1638" i="19"/>
  <c r="Q1639" i="19"/>
  <c r="Q1640" i="19"/>
  <c r="Q1641" i="19"/>
  <c r="Q1642" i="19"/>
  <c r="Q1643" i="19"/>
  <c r="Q1644" i="19"/>
  <c r="Q1645" i="19"/>
  <c r="Q1646" i="19"/>
  <c r="Q1647" i="19"/>
  <c r="Q1648" i="19"/>
  <c r="Q1649" i="19"/>
  <c r="Q1650" i="19"/>
  <c r="Q1651" i="19"/>
  <c r="Q1652" i="19"/>
  <c r="Q1653" i="19"/>
  <c r="Q1654" i="19"/>
  <c r="Q1655" i="19"/>
  <c r="Q1656" i="19"/>
  <c r="Q1657" i="19"/>
  <c r="Q1658" i="19"/>
  <c r="Q1659" i="19"/>
  <c r="Q1660" i="19"/>
  <c r="Q1661" i="19"/>
  <c r="Q1662" i="19"/>
  <c r="Q1663" i="19"/>
  <c r="Q1664" i="19"/>
  <c r="Q1665" i="19"/>
  <c r="Q1666" i="19"/>
  <c r="Q1667" i="19"/>
  <c r="Q1668" i="19"/>
  <c r="Q1669" i="19"/>
  <c r="Q1670" i="19"/>
  <c r="Q1671" i="19"/>
  <c r="Q1672" i="19"/>
  <c r="Q1673" i="19"/>
  <c r="Q1674" i="19"/>
  <c r="Q1675" i="19"/>
  <c r="Q1676" i="19"/>
  <c r="Q1677" i="19"/>
  <c r="Q1678" i="19"/>
  <c r="Q1679" i="19"/>
  <c r="Q1680" i="19"/>
  <c r="Q1681" i="19"/>
  <c r="Q1682" i="19"/>
  <c r="Q1683" i="19"/>
  <c r="Q1684" i="19"/>
  <c r="Q1685" i="19"/>
  <c r="Q1686" i="19"/>
  <c r="Q1687" i="19"/>
  <c r="Q1688" i="19"/>
  <c r="Q1689" i="19"/>
  <c r="Q1690" i="19"/>
  <c r="Q1691" i="19"/>
  <c r="Q1692" i="19"/>
  <c r="Q1693" i="19"/>
  <c r="Q1694" i="19"/>
  <c r="Q1695" i="19"/>
  <c r="Q1696" i="19"/>
  <c r="Q1697" i="19"/>
  <c r="Q1698" i="19"/>
  <c r="Q1699" i="19"/>
  <c r="Q1700" i="19"/>
  <c r="Q1701" i="19"/>
  <c r="Q1702" i="19"/>
  <c r="Q1703" i="19"/>
  <c r="Q1704" i="19"/>
  <c r="Q1705" i="19"/>
  <c r="Q1706" i="19"/>
  <c r="Q1707" i="19"/>
  <c r="Q1708" i="19"/>
  <c r="Q1709" i="19"/>
  <c r="Q1710" i="19"/>
  <c r="Q1711" i="19"/>
  <c r="Q1712" i="19"/>
  <c r="Q1713" i="19"/>
  <c r="Q1714" i="19"/>
  <c r="Q1715" i="19"/>
  <c r="Q1716" i="19"/>
  <c r="Q1717" i="19"/>
  <c r="Q1718" i="19"/>
  <c r="Q1719" i="19"/>
  <c r="Q1720" i="19"/>
  <c r="Q1721" i="19"/>
  <c r="Q1722" i="19"/>
  <c r="Q1723" i="19"/>
  <c r="Q1724" i="19"/>
  <c r="Q1725" i="19"/>
  <c r="Q1726" i="19"/>
  <c r="Q1727" i="19"/>
  <c r="Q1728" i="19"/>
  <c r="Q1729" i="19"/>
  <c r="Q1730" i="19"/>
  <c r="Q1731" i="19"/>
  <c r="Q1732" i="19"/>
  <c r="Q1733" i="19"/>
  <c r="Q1734" i="19"/>
  <c r="Q1735" i="19"/>
  <c r="Q1736" i="19"/>
  <c r="Q1737" i="19"/>
  <c r="Q1738" i="19"/>
  <c r="Q1739" i="19"/>
  <c r="Q1740" i="19"/>
  <c r="Q1741" i="19"/>
  <c r="Q1742" i="19"/>
  <c r="Q1743" i="19"/>
  <c r="Q1744" i="19"/>
  <c r="Q1745" i="19"/>
  <c r="Q1746" i="19"/>
  <c r="Q1747" i="19"/>
  <c r="Q1748" i="19"/>
  <c r="Q1749" i="19"/>
  <c r="Q1750" i="19"/>
  <c r="Q1751" i="19"/>
  <c r="Q1752" i="19"/>
  <c r="Q1753" i="19"/>
  <c r="Q1754" i="19"/>
  <c r="Q1755" i="19"/>
  <c r="Q1756" i="19"/>
  <c r="Q1757" i="19"/>
  <c r="Q1758" i="19"/>
  <c r="Q1759" i="19"/>
  <c r="Q1760" i="19"/>
  <c r="Q1761" i="19"/>
  <c r="Q1762" i="19"/>
  <c r="Q1763" i="19"/>
  <c r="Q1764" i="19"/>
  <c r="Q1765" i="19"/>
  <c r="Q1766" i="19"/>
  <c r="Q1767" i="19"/>
  <c r="Q1768" i="19"/>
  <c r="Q1769" i="19"/>
  <c r="Q1770" i="19"/>
  <c r="Q1771" i="19"/>
  <c r="Q1772" i="19"/>
  <c r="Q1773" i="19"/>
  <c r="Q1774" i="19"/>
  <c r="Q1775" i="19"/>
  <c r="Q1776" i="19"/>
  <c r="Q1777" i="19"/>
  <c r="Q1778" i="19"/>
  <c r="Q1779" i="19"/>
  <c r="Q1780" i="19"/>
  <c r="Q1781" i="19"/>
  <c r="Q1782" i="19"/>
  <c r="Q1783" i="19"/>
  <c r="Q1784" i="19"/>
  <c r="Q1785" i="19"/>
  <c r="Q1786" i="19"/>
  <c r="Q1787" i="19"/>
  <c r="Q1788" i="19"/>
  <c r="Q1789" i="19"/>
  <c r="Q1790" i="19"/>
  <c r="Q1791" i="19"/>
  <c r="Q1792" i="19"/>
  <c r="Q1793" i="19"/>
  <c r="Q1794" i="19"/>
  <c r="Q1795" i="19"/>
  <c r="Q1796" i="19"/>
  <c r="Q1797" i="19"/>
  <c r="Q1798" i="19"/>
  <c r="Q1799" i="19"/>
  <c r="Q1800" i="19"/>
  <c r="Q1801" i="19"/>
  <c r="Q1802" i="19"/>
  <c r="Q1803" i="19"/>
  <c r="Q1804" i="19"/>
  <c r="Q1805" i="19"/>
  <c r="Q1806" i="19"/>
  <c r="Q1807" i="19"/>
  <c r="Q1808" i="19"/>
  <c r="Q1809" i="19"/>
  <c r="Q1810" i="19"/>
  <c r="Q1811" i="19"/>
  <c r="Q1812" i="19"/>
  <c r="Q1813" i="19"/>
  <c r="Q1814" i="19"/>
  <c r="Q1815" i="19"/>
  <c r="Q1816" i="19"/>
  <c r="Q1817" i="19"/>
  <c r="Q1818" i="19"/>
  <c r="Q1819" i="19"/>
  <c r="Q1820" i="19"/>
  <c r="Q1821" i="19"/>
  <c r="Q1822" i="19"/>
  <c r="Q1823" i="19"/>
  <c r="Q1824" i="19"/>
  <c r="Q1825" i="19"/>
  <c r="Q1826" i="19"/>
  <c r="Q1827" i="19"/>
  <c r="Q1828" i="19"/>
  <c r="Q1829" i="19"/>
  <c r="Q1830" i="19"/>
  <c r="Q1831" i="19"/>
  <c r="Q1832" i="19"/>
  <c r="Q1833" i="19"/>
  <c r="Q1834" i="19"/>
  <c r="Q1835" i="19"/>
  <c r="Q1836" i="19"/>
  <c r="Q1837" i="19"/>
  <c r="Q1838" i="19"/>
  <c r="Q1839" i="19"/>
  <c r="Q1840" i="19"/>
  <c r="Q1841" i="19"/>
  <c r="Q1842" i="19"/>
  <c r="Q1843" i="19"/>
  <c r="Q1844" i="19"/>
  <c r="Q1845" i="19"/>
  <c r="Q1846" i="19"/>
  <c r="Q1847" i="19"/>
  <c r="Q1848" i="19"/>
  <c r="Q1849" i="19"/>
  <c r="Q1850" i="19"/>
  <c r="Q1851" i="19"/>
  <c r="Q1852" i="19"/>
  <c r="Q1853" i="19"/>
  <c r="Q1854" i="19"/>
  <c r="Q1855" i="19"/>
  <c r="Q1856" i="19"/>
  <c r="Q1857" i="19"/>
  <c r="Q1858" i="19"/>
  <c r="Q1859" i="19"/>
  <c r="Q1860" i="19"/>
  <c r="Q1861" i="19"/>
  <c r="Q1862" i="19"/>
  <c r="Q1863" i="19"/>
  <c r="Q1864" i="19"/>
  <c r="Q1865" i="19"/>
  <c r="Q1866" i="19"/>
  <c r="Q1867" i="19"/>
  <c r="Q1868" i="19"/>
  <c r="Q1869" i="19"/>
  <c r="Q1870" i="19"/>
  <c r="Q1871" i="19"/>
  <c r="Q1872" i="19"/>
  <c r="Q1873" i="19"/>
  <c r="Q1874" i="19"/>
  <c r="Q1875" i="19"/>
  <c r="Q1876" i="19"/>
  <c r="Q1877" i="19"/>
  <c r="Q1878" i="19"/>
  <c r="Q1879" i="19"/>
  <c r="Q1880" i="19"/>
  <c r="Q1881" i="19"/>
  <c r="Q1882" i="19"/>
  <c r="Q1883" i="19"/>
  <c r="Q1884" i="19"/>
  <c r="Q1885" i="19"/>
  <c r="Q1886" i="19"/>
  <c r="Q1887" i="19"/>
  <c r="Q1888" i="19"/>
  <c r="Q1889" i="19"/>
  <c r="Q1890" i="19"/>
  <c r="Q1891" i="19"/>
  <c r="Q1892" i="19"/>
  <c r="Q1893" i="19"/>
  <c r="Q1894" i="19"/>
  <c r="Q1895" i="19"/>
  <c r="Q1896" i="19"/>
  <c r="Q1897" i="19"/>
  <c r="Q1898" i="19"/>
  <c r="Q1899" i="19"/>
  <c r="Q1900" i="19"/>
  <c r="Q1901" i="19"/>
  <c r="Q1902" i="19"/>
  <c r="Q1903" i="19"/>
  <c r="Q1904" i="19"/>
  <c r="Q1905" i="19"/>
  <c r="Q1906" i="19"/>
  <c r="Q1907" i="19"/>
  <c r="Q1908" i="19"/>
  <c r="Q1909" i="19"/>
  <c r="Q1910" i="19"/>
  <c r="Q1911" i="19"/>
  <c r="Q1912" i="19"/>
  <c r="Q1913" i="19"/>
  <c r="Q1914" i="19"/>
  <c r="Q1915" i="19"/>
  <c r="Q1916" i="19"/>
  <c r="Q1917" i="19"/>
  <c r="Q1918" i="19"/>
  <c r="Q1919" i="19"/>
  <c r="Q1920" i="19"/>
  <c r="Q1921" i="19"/>
  <c r="Q1922" i="19"/>
  <c r="Q1923" i="19"/>
  <c r="Q1924" i="19"/>
  <c r="Q1925" i="19"/>
  <c r="Q1926" i="19"/>
  <c r="Q1927" i="19"/>
  <c r="Q1928" i="19"/>
  <c r="Q1929" i="19"/>
  <c r="Q1930" i="19"/>
  <c r="Q1931" i="19"/>
  <c r="Q1932" i="19"/>
  <c r="Q1933" i="19"/>
  <c r="Q1934" i="19"/>
  <c r="Q1935" i="19"/>
  <c r="Q1936" i="19"/>
  <c r="Q1937" i="19"/>
  <c r="Q1938" i="19"/>
  <c r="Q1939" i="19"/>
  <c r="Q1940" i="19"/>
  <c r="Q1941" i="19"/>
  <c r="Q1942" i="19"/>
  <c r="Q1943" i="19"/>
  <c r="Q1944" i="19"/>
  <c r="Q1945" i="19"/>
  <c r="Q1946" i="19"/>
  <c r="Q1947" i="19"/>
  <c r="Q1948" i="19"/>
  <c r="Q1949" i="19"/>
  <c r="Q1950" i="19"/>
  <c r="Q1951" i="19"/>
  <c r="Q1952" i="19"/>
  <c r="Q1953" i="19"/>
  <c r="Q1954" i="19"/>
  <c r="Q1955" i="19"/>
  <c r="Q1956" i="19"/>
  <c r="Q1957" i="19"/>
  <c r="Q1958" i="19"/>
  <c r="Q1959" i="19"/>
  <c r="Q1960" i="19"/>
  <c r="Q1961" i="19"/>
  <c r="Q1962" i="19"/>
  <c r="Q1963" i="19"/>
  <c r="Q1964" i="19"/>
  <c r="Q1965" i="19"/>
  <c r="Q1966" i="19"/>
  <c r="Q1967" i="19"/>
  <c r="Q1968" i="19"/>
  <c r="Q1969" i="19"/>
  <c r="Q1970" i="19"/>
  <c r="Q1971" i="19"/>
  <c r="Q1972" i="19"/>
  <c r="Q1973" i="19"/>
  <c r="Q1974" i="19"/>
  <c r="Q1975" i="19"/>
  <c r="Q1976" i="19"/>
  <c r="Q1977" i="19"/>
  <c r="Q1978" i="19"/>
  <c r="Q1979" i="19"/>
  <c r="Q1980" i="19"/>
  <c r="Q1981" i="19"/>
  <c r="Q1982" i="19"/>
  <c r="Q1983" i="19"/>
  <c r="Q1984" i="19"/>
  <c r="Q1985" i="19"/>
  <c r="Q1986" i="19"/>
  <c r="Q1987" i="19"/>
  <c r="Q1988" i="19"/>
  <c r="Q1989" i="19"/>
  <c r="Q1990" i="19"/>
  <c r="Q1991" i="19"/>
  <c r="Q1992" i="19"/>
  <c r="Q1993" i="19"/>
  <c r="Q1994" i="19"/>
  <c r="Q1995" i="19"/>
  <c r="Q1996" i="19"/>
  <c r="Q1997" i="19"/>
  <c r="Q1998" i="19"/>
  <c r="Q1999" i="19"/>
  <c r="Q2000" i="19"/>
  <c r="Q2001" i="19"/>
  <c r="Q2002" i="19"/>
  <c r="Q2003" i="19"/>
  <c r="Q2004" i="19"/>
  <c r="Q2005" i="19"/>
  <c r="Q2006" i="19"/>
  <c r="Q2007" i="19"/>
  <c r="Q2008" i="19"/>
  <c r="Q2009" i="19"/>
  <c r="Q2010" i="19"/>
  <c r="Q2011" i="19"/>
  <c r="Q2012" i="19"/>
  <c r="Q2013" i="19"/>
  <c r="Q2014" i="19"/>
  <c r="Q2015" i="19"/>
  <c r="Q2016" i="19"/>
  <c r="Q2017" i="19"/>
  <c r="Q2018" i="19"/>
  <c r="Q2019" i="19"/>
  <c r="Q2020" i="19"/>
  <c r="Q2021" i="19"/>
  <c r="Q2022" i="19"/>
  <c r="Q2023" i="19"/>
  <c r="Q2024" i="19"/>
  <c r="Q2025" i="19"/>
  <c r="Q2026" i="19"/>
  <c r="Q2027" i="19"/>
  <c r="Q2028" i="19"/>
  <c r="Q2029" i="19"/>
  <c r="Q2030" i="19"/>
  <c r="Q2031" i="19"/>
  <c r="Q2032" i="19"/>
  <c r="Q2033" i="19"/>
  <c r="Q2034" i="19"/>
  <c r="Q2035" i="19"/>
  <c r="Q2036" i="19"/>
  <c r="Q2037" i="19"/>
  <c r="Q2038" i="19"/>
  <c r="Q2039" i="19"/>
  <c r="Q2040" i="19"/>
  <c r="Q2041" i="19"/>
  <c r="Q2042" i="19"/>
  <c r="Q2043" i="19"/>
  <c r="Q2044" i="19"/>
  <c r="Q2045" i="19"/>
  <c r="Q2046" i="19"/>
  <c r="Q2047" i="19"/>
  <c r="Q2048" i="19"/>
  <c r="Q2049" i="19"/>
  <c r="Q2050" i="19"/>
  <c r="Q2051" i="19"/>
  <c r="Q2052" i="19"/>
  <c r="Q2053" i="19"/>
  <c r="Q2054" i="19"/>
  <c r="Q2055" i="19"/>
  <c r="Q2056" i="19"/>
  <c r="Q2057" i="19"/>
  <c r="Q2058" i="19"/>
  <c r="Q2059" i="19"/>
  <c r="Q2060" i="19"/>
  <c r="Q2061" i="19"/>
  <c r="Q2062" i="19"/>
  <c r="Q2063" i="19"/>
  <c r="Q2064" i="19"/>
  <c r="Q2065" i="19"/>
  <c r="Q2066" i="19"/>
  <c r="Q2067" i="19"/>
  <c r="Q2068" i="19"/>
  <c r="Q2069" i="19"/>
  <c r="Q2070" i="19"/>
  <c r="Q2071" i="19"/>
  <c r="Q2072" i="19"/>
  <c r="Q2073" i="19"/>
  <c r="Q2074" i="19"/>
  <c r="Q2075" i="19"/>
  <c r="Q2076" i="19"/>
  <c r="Q2077" i="19"/>
  <c r="Q2078" i="19"/>
  <c r="Q2079" i="19"/>
  <c r="Q2080" i="19"/>
  <c r="Q2081" i="19"/>
  <c r="Q2082" i="19"/>
  <c r="Q2083" i="19"/>
  <c r="Q2084" i="19"/>
  <c r="Q2085" i="19"/>
  <c r="Q2086" i="19"/>
  <c r="Q2087" i="19"/>
  <c r="Q2088" i="19"/>
  <c r="Q2089" i="19"/>
  <c r="Q2090" i="19"/>
  <c r="Q2091" i="19"/>
  <c r="Q2092" i="19"/>
  <c r="Q2093" i="19"/>
  <c r="Q2094" i="19"/>
  <c r="Q2095" i="19"/>
  <c r="C38" i="18" l="1"/>
  <c r="D14" i="17" s="1"/>
  <c r="G14" i="17" s="1"/>
  <c r="B38" i="18"/>
  <c r="I14" i="17" s="1"/>
  <c r="M14" i="17" l="1"/>
  <c r="Q14" i="17"/>
  <c r="E14" i="17"/>
  <c r="O14" i="17" s="1"/>
  <c r="L14" i="17"/>
  <c r="Q5" i="1" l="1"/>
  <c r="Q2" i="1" l="1"/>
  <c r="Q3" i="1"/>
  <c r="Q4" i="1" l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C43" i="18" l="1"/>
  <c r="D11" i="17" s="1"/>
  <c r="B43" i="18"/>
  <c r="I11" i="17" s="1"/>
  <c r="Q11" i="17" l="1"/>
  <c r="E11" i="17"/>
  <c r="O11" i="17" s="1"/>
  <c r="S11" i="17" s="1"/>
  <c r="R1345" i="19"/>
  <c r="S1345" i="19"/>
  <c r="T1345" i="19" s="1"/>
  <c r="U1345" i="19" l="1"/>
  <c r="B21" i="17" l="1"/>
  <c r="B45" i="17" l="1"/>
  <c r="AA12" i="17" l="1"/>
  <c r="AF12" i="17"/>
  <c r="Z12" i="17" s="1"/>
  <c r="C46" i="18"/>
  <c r="C47" i="18"/>
  <c r="B46" i="18"/>
  <c r="B47" i="18"/>
  <c r="C45" i="18"/>
  <c r="B45" i="18"/>
  <c r="F12" i="17"/>
  <c r="C44" i="18" l="1"/>
  <c r="D12" i="17" s="1"/>
  <c r="Q12" i="17" s="1"/>
  <c r="B44" i="18"/>
  <c r="I12" i="17" s="1"/>
  <c r="E12" i="17" l="1"/>
  <c r="O12" i="17" s="1"/>
  <c r="S12" i="17" s="1"/>
  <c r="AD12" i="17"/>
  <c r="M12" i="17"/>
  <c r="L12" i="17"/>
  <c r="G12" i="17"/>
  <c r="AP12" i="17" s="1"/>
  <c r="F7" i="17" l="1"/>
  <c r="F15" i="17"/>
  <c r="F16" i="17"/>
  <c r="F17" i="17"/>
  <c r="F20" i="17"/>
  <c r="F21" i="17"/>
  <c r="F22" i="17"/>
  <c r="F23" i="17"/>
  <c r="F24" i="17"/>
  <c r="F25" i="17"/>
  <c r="F26" i="17"/>
  <c r="F27" i="17"/>
  <c r="F30" i="17"/>
  <c r="F31" i="17"/>
  <c r="F32" i="17"/>
  <c r="F33" i="17"/>
  <c r="F34" i="17"/>
  <c r="F35" i="17"/>
  <c r="F36" i="17"/>
  <c r="F37" i="17"/>
  <c r="F38" i="17"/>
  <c r="F39" i="17"/>
  <c r="F40" i="17"/>
  <c r="G40" i="17"/>
  <c r="F41" i="17"/>
  <c r="F42" i="17"/>
  <c r="G42" i="17"/>
  <c r="F43" i="17"/>
  <c r="G43" i="17"/>
  <c r="G16" i="17"/>
  <c r="G17" i="17"/>
  <c r="F19" i="17" l="1"/>
  <c r="F29" i="17"/>
  <c r="F28" i="17" l="1"/>
  <c r="Q16" i="17"/>
  <c r="Q17" i="17"/>
  <c r="Q40" i="17"/>
  <c r="Q42" i="17"/>
  <c r="Q43" i="17"/>
  <c r="Q44" i="17"/>
  <c r="Q46" i="17"/>
  <c r="Q47" i="17"/>
  <c r="Q48" i="17"/>
  <c r="Q49" i="17"/>
  <c r="Q52" i="17"/>
  <c r="Q53" i="17"/>
  <c r="Q54" i="17"/>
  <c r="Q55" i="17"/>
  <c r="Q56" i="17"/>
  <c r="Q57" i="17"/>
  <c r="Q58" i="17"/>
  <c r="Q59" i="17"/>
  <c r="AA37" i="17" l="1"/>
  <c r="Z37" i="17" s="1"/>
  <c r="Q3" i="19" l="1"/>
  <c r="Q4" i="19"/>
  <c r="Q5" i="19"/>
  <c r="Q6" i="19"/>
  <c r="Q7" i="19"/>
  <c r="Q8" i="19"/>
  <c r="Q9" i="19"/>
  <c r="Q10" i="19"/>
  <c r="Q11" i="19"/>
  <c r="Q12" i="19"/>
  <c r="Q13" i="19"/>
  <c r="Q14" i="19"/>
  <c r="Q15" i="19"/>
  <c r="Q16" i="19"/>
  <c r="Q17" i="19"/>
  <c r="Q18" i="19"/>
  <c r="Q19" i="19"/>
  <c r="Q20" i="19"/>
  <c r="Q21" i="19"/>
  <c r="Q22" i="19"/>
  <c r="Q23" i="19"/>
  <c r="Q24" i="19"/>
  <c r="Q25" i="19"/>
  <c r="Q26" i="19"/>
  <c r="Q27" i="19"/>
  <c r="Q28" i="19"/>
  <c r="Q29" i="19"/>
  <c r="Q30" i="19"/>
  <c r="Q31" i="19"/>
  <c r="Q32" i="19"/>
  <c r="Q33" i="19"/>
  <c r="Q34" i="19"/>
  <c r="Q35" i="19"/>
  <c r="Q36" i="19"/>
  <c r="Q37" i="19"/>
  <c r="Q38" i="19"/>
  <c r="Q39" i="19"/>
  <c r="Q40" i="19"/>
  <c r="Q41" i="19"/>
  <c r="Q42" i="19"/>
  <c r="Q43" i="19"/>
  <c r="Q44" i="19"/>
  <c r="Q45" i="19"/>
  <c r="Q46" i="19"/>
  <c r="Q47" i="19"/>
  <c r="Q48" i="19"/>
  <c r="Q49" i="19"/>
  <c r="Q50" i="19"/>
  <c r="Q51" i="19"/>
  <c r="Q52" i="19"/>
  <c r="Q53" i="19"/>
  <c r="Q54" i="19"/>
  <c r="Q55" i="19"/>
  <c r="Q56" i="19"/>
  <c r="Q57" i="19"/>
  <c r="Q58" i="19"/>
  <c r="Q59" i="19"/>
  <c r="Q60" i="19"/>
  <c r="Q61" i="19"/>
  <c r="Q62" i="19"/>
  <c r="Q63" i="19"/>
  <c r="Q64" i="19"/>
  <c r="Q65" i="19"/>
  <c r="Q66" i="19"/>
  <c r="Q67" i="19"/>
  <c r="Q68" i="19"/>
  <c r="Q69" i="19"/>
  <c r="Q70" i="19"/>
  <c r="Q71" i="19"/>
  <c r="Q72" i="19"/>
  <c r="Q73" i="19"/>
  <c r="Q74" i="19"/>
  <c r="Q75" i="19"/>
  <c r="Q76" i="19"/>
  <c r="Q77" i="19"/>
  <c r="Q78" i="19"/>
  <c r="Q79" i="19"/>
  <c r="Q80" i="19"/>
  <c r="Q81" i="19"/>
  <c r="Q82" i="19"/>
  <c r="Q83" i="19"/>
  <c r="Q84" i="19"/>
  <c r="Q85" i="19"/>
  <c r="Q86" i="19"/>
  <c r="Q87" i="19"/>
  <c r="Q88" i="19"/>
  <c r="Q89" i="19"/>
  <c r="Q90" i="19"/>
  <c r="Q91" i="19"/>
  <c r="Q92" i="19"/>
  <c r="Q93" i="19"/>
  <c r="Q94" i="19"/>
  <c r="Q95" i="19"/>
  <c r="Q96" i="19"/>
  <c r="Q97" i="19"/>
  <c r="Q98" i="19"/>
  <c r="Q99" i="19"/>
  <c r="Q100" i="19"/>
  <c r="Q101" i="19"/>
  <c r="Q102" i="19"/>
  <c r="Q103" i="19"/>
  <c r="Q104" i="19"/>
  <c r="Q105" i="19"/>
  <c r="Q106" i="19"/>
  <c r="Q107" i="19"/>
  <c r="Q108" i="19"/>
  <c r="Q109" i="19"/>
  <c r="Q110" i="19"/>
  <c r="Q111" i="19"/>
  <c r="Q112" i="19"/>
  <c r="Q113" i="19"/>
  <c r="Q114" i="19"/>
  <c r="Q115" i="19"/>
  <c r="Q116" i="19"/>
  <c r="Q117" i="19"/>
  <c r="Q120" i="19"/>
  <c r="Q121" i="19"/>
  <c r="Q122" i="19"/>
  <c r="Q123" i="19"/>
  <c r="Q124" i="19"/>
  <c r="Q125" i="19"/>
  <c r="Q126" i="19"/>
  <c r="Q127" i="19"/>
  <c r="Q128" i="19"/>
  <c r="Q129" i="19"/>
  <c r="Q130" i="19"/>
  <c r="Q131" i="19"/>
  <c r="Q132" i="19"/>
  <c r="Q133" i="19"/>
  <c r="Q134" i="19"/>
  <c r="Q135" i="19"/>
  <c r="Q136" i="19"/>
  <c r="Q137" i="19"/>
  <c r="Q138" i="19"/>
  <c r="Q139" i="19"/>
  <c r="Q140" i="19"/>
  <c r="Q141" i="19"/>
  <c r="Q142" i="19"/>
  <c r="Q143" i="19"/>
  <c r="Q144" i="19"/>
  <c r="Q145" i="19"/>
  <c r="Q146" i="19"/>
  <c r="Q147" i="19"/>
  <c r="Q148" i="19"/>
  <c r="Q149" i="19"/>
  <c r="Q150" i="19"/>
  <c r="Q151" i="19"/>
  <c r="Q152" i="19"/>
  <c r="Q153" i="19"/>
  <c r="Q154" i="19"/>
  <c r="Q155" i="19"/>
  <c r="Q156" i="19"/>
  <c r="Q157" i="19"/>
  <c r="Q158" i="19"/>
  <c r="Q159" i="19"/>
  <c r="Q160" i="19"/>
  <c r="Q161" i="19"/>
  <c r="Q162" i="19"/>
  <c r="Q163" i="19"/>
  <c r="Q164" i="19"/>
  <c r="Q165" i="19"/>
  <c r="Q166" i="19"/>
  <c r="Q167" i="19"/>
  <c r="Q168" i="19"/>
  <c r="Q169" i="19"/>
  <c r="Q170" i="19"/>
  <c r="Q171" i="19"/>
  <c r="Q172" i="19"/>
  <c r="Q173" i="19"/>
  <c r="Q174" i="19"/>
  <c r="Q175" i="19"/>
  <c r="Q176" i="19"/>
  <c r="Q177" i="19"/>
  <c r="Q178" i="19"/>
  <c r="Q179" i="19"/>
  <c r="Q180" i="19"/>
  <c r="Q181" i="19"/>
  <c r="Q182" i="19"/>
  <c r="Q183" i="19"/>
  <c r="Q184" i="19"/>
  <c r="Q185" i="19"/>
  <c r="Q186" i="19"/>
  <c r="Q187" i="19"/>
  <c r="Q188" i="19"/>
  <c r="Q189" i="19"/>
  <c r="Q190" i="19"/>
  <c r="Q191" i="19"/>
  <c r="Q192" i="19"/>
  <c r="Q193" i="19"/>
  <c r="Q194" i="19"/>
  <c r="Q195" i="19"/>
  <c r="Q196" i="19"/>
  <c r="Q197" i="19"/>
  <c r="Q198" i="19"/>
  <c r="Q199" i="19"/>
  <c r="Q200" i="19"/>
  <c r="Q201" i="19"/>
  <c r="Q202" i="19"/>
  <c r="Q203" i="19"/>
  <c r="Q204" i="19"/>
  <c r="Q205" i="19"/>
  <c r="Q206" i="19"/>
  <c r="Q207" i="19"/>
  <c r="Q208" i="19"/>
  <c r="Q209" i="19"/>
  <c r="Q210" i="19"/>
  <c r="Q211" i="19"/>
  <c r="Q212" i="19"/>
  <c r="Q213" i="19"/>
  <c r="Q214" i="19"/>
  <c r="Q215" i="19"/>
  <c r="Q216" i="19"/>
  <c r="Q217" i="19"/>
  <c r="Q218" i="19"/>
  <c r="Q219" i="19"/>
  <c r="Q220" i="19"/>
  <c r="Q221" i="19"/>
  <c r="Q222" i="19"/>
  <c r="Q223" i="19"/>
  <c r="Q224" i="19"/>
  <c r="Q225" i="19"/>
  <c r="Q119" i="19"/>
  <c r="Q118" i="19"/>
  <c r="Q2096" i="19"/>
  <c r="Q2097" i="19"/>
  <c r="Q2098" i="19"/>
  <c r="Q2099" i="19"/>
  <c r="Q2100" i="19"/>
  <c r="Q2101" i="19"/>
  <c r="Q2102" i="19"/>
  <c r="Q2103" i="19"/>
  <c r="Q2104" i="19"/>
  <c r="Q2105" i="19"/>
  <c r="Q2106" i="19"/>
  <c r="Q2107" i="19"/>
  <c r="Q2108" i="19"/>
  <c r="Q2109" i="19"/>
  <c r="Q2110" i="19"/>
  <c r="Q2111" i="19"/>
  <c r="Q2112" i="19"/>
  <c r="Q2113" i="19"/>
  <c r="Q2114" i="19"/>
  <c r="Q2115" i="19"/>
  <c r="Q2116" i="19"/>
  <c r="Q2117" i="19"/>
  <c r="Q2118" i="19"/>
  <c r="Q2119" i="19"/>
  <c r="Q2120" i="19"/>
  <c r="Q2121" i="19"/>
  <c r="Q2122" i="19"/>
  <c r="Q2123" i="19"/>
  <c r="Q2124" i="19"/>
  <c r="Q2125" i="19"/>
  <c r="Q2126" i="19"/>
  <c r="Q2127" i="19"/>
  <c r="Q2128" i="19"/>
  <c r="Q2129" i="19"/>
  <c r="Q2130" i="19"/>
  <c r="Q2131" i="19"/>
  <c r="Q2132" i="19"/>
  <c r="Q2133" i="19"/>
  <c r="Q2134" i="19"/>
  <c r="Q2135" i="19"/>
  <c r="Q2136" i="19"/>
  <c r="Q2137" i="19"/>
  <c r="Q2138" i="19"/>
  <c r="Q2139" i="19"/>
  <c r="Q2140" i="19"/>
  <c r="Q2141" i="19"/>
  <c r="Q2142" i="19"/>
  <c r="Q2143" i="19"/>
  <c r="Q2144" i="19"/>
  <c r="Q2145" i="19"/>
  <c r="Q2146" i="19"/>
  <c r="Q2147" i="19"/>
  <c r="Q2148" i="19"/>
  <c r="Q2149" i="19"/>
  <c r="Q2150" i="19"/>
  <c r="Q2151" i="19"/>
  <c r="Q2152" i="19"/>
  <c r="Q2153" i="19"/>
  <c r="Q2154" i="19"/>
  <c r="Q2155" i="19"/>
  <c r="Q2156" i="19"/>
  <c r="Q2157" i="19"/>
  <c r="Q2158" i="19"/>
  <c r="Q2159" i="19"/>
  <c r="Q2160" i="19"/>
  <c r="Q2161" i="19"/>
  <c r="Q2162" i="19"/>
  <c r="Q2163" i="19"/>
  <c r="Q2164" i="19"/>
  <c r="Q2165" i="19"/>
  <c r="Q2166" i="19"/>
  <c r="Q2167" i="19"/>
  <c r="Q2168" i="19"/>
  <c r="Q2169" i="19"/>
  <c r="Q2170" i="19"/>
  <c r="Q2171" i="19"/>
  <c r="Q2172" i="19"/>
  <c r="Q2173" i="19"/>
  <c r="Q2174" i="19"/>
  <c r="Q2175" i="19"/>
  <c r="Q2176" i="19"/>
  <c r="Q2177" i="19"/>
  <c r="Q2178" i="19"/>
  <c r="Q2179" i="19"/>
  <c r="Q2180" i="19"/>
  <c r="Q2181" i="19"/>
  <c r="Q2182" i="19"/>
  <c r="Q2183" i="19"/>
  <c r="Q2184" i="19"/>
  <c r="Q2185" i="19"/>
  <c r="Q2186" i="19"/>
  <c r="Q2187" i="19"/>
  <c r="Q2188" i="19"/>
  <c r="Q2189" i="19"/>
  <c r="Q2190" i="19"/>
  <c r="Q2191" i="19"/>
  <c r="Q2192" i="19"/>
  <c r="Q2193" i="19"/>
  <c r="Q2194" i="19"/>
  <c r="Q2195" i="19"/>
  <c r="Q2196" i="19"/>
  <c r="Q2197" i="19"/>
  <c r="Q2198" i="19"/>
  <c r="Q2199" i="19"/>
  <c r="Q2200" i="19"/>
  <c r="Q2201" i="19"/>
  <c r="Q2202" i="19"/>
  <c r="Q2203" i="19"/>
  <c r="Q2204" i="19"/>
  <c r="Q2205" i="19"/>
  <c r="Q2206" i="19"/>
  <c r="Q2207" i="19"/>
  <c r="Q2208" i="19"/>
  <c r="Q2209" i="19"/>
  <c r="Q2210" i="19"/>
  <c r="Q2211" i="19"/>
  <c r="Q2212" i="19"/>
  <c r="Q2213" i="19"/>
  <c r="Q2214" i="19"/>
  <c r="Q2215" i="19"/>
  <c r="Q2216" i="19"/>
  <c r="Q2217" i="19"/>
  <c r="Q2218" i="19"/>
  <c r="Q2219" i="19"/>
  <c r="Q2220" i="19"/>
  <c r="Q2221" i="19"/>
  <c r="Q2222" i="19"/>
  <c r="Q2223" i="19"/>
  <c r="Q2224" i="19"/>
  <c r="Q2225" i="19"/>
  <c r="Q2226" i="19"/>
  <c r="Q2227" i="19"/>
  <c r="Q2228" i="19"/>
  <c r="Q2229" i="19"/>
  <c r="Q2230" i="19"/>
  <c r="Q2231" i="19"/>
  <c r="Q2232" i="19"/>
  <c r="Q2233" i="19"/>
  <c r="Q2234" i="19"/>
  <c r="Q2235" i="19"/>
  <c r="Q2236" i="19"/>
  <c r="Q2237" i="19"/>
  <c r="Q2238" i="19"/>
  <c r="Q2239" i="19"/>
  <c r="Q2240" i="19"/>
  <c r="Q2241" i="19"/>
  <c r="Q2242" i="19"/>
  <c r="Q2243" i="19"/>
  <c r="Q2244" i="19"/>
  <c r="Q2245" i="19"/>
  <c r="Q2246" i="19"/>
  <c r="Q2247" i="19"/>
  <c r="Q2248" i="19"/>
  <c r="Q2249" i="19"/>
  <c r="Q2250" i="19"/>
  <c r="Q2251" i="19"/>
  <c r="Q2252" i="19"/>
  <c r="Q2253" i="19"/>
  <c r="Q2254" i="19"/>
  <c r="Q2255" i="19"/>
  <c r="Q2256" i="19"/>
  <c r="Q2257" i="19"/>
  <c r="Q2258" i="19"/>
  <c r="Q2259" i="19"/>
  <c r="Q2260" i="19"/>
  <c r="Q2261" i="19"/>
  <c r="Q2262" i="19"/>
  <c r="Q2263" i="19"/>
  <c r="Q2264" i="19"/>
  <c r="Q2265" i="19"/>
  <c r="Q2266" i="19"/>
  <c r="Q2267" i="19"/>
  <c r="Q2268" i="19"/>
  <c r="Q2269" i="19"/>
  <c r="Q2270" i="19"/>
  <c r="Q2271" i="19"/>
  <c r="Q2272" i="19"/>
  <c r="Q2273" i="19"/>
  <c r="Q2274" i="19"/>
  <c r="Q2275" i="19"/>
  <c r="Q2276" i="19"/>
  <c r="Q2277" i="19"/>
  <c r="Q2278" i="19"/>
  <c r="Q2279" i="19"/>
  <c r="Q2280" i="19"/>
  <c r="Q2281" i="19"/>
  <c r="Q2282" i="19"/>
  <c r="Q2283" i="19"/>
  <c r="Q2284" i="19"/>
  <c r="Q2285" i="19"/>
  <c r="Q2286" i="19"/>
  <c r="Q2287" i="19"/>
  <c r="Q2288" i="19"/>
  <c r="Q2289" i="19"/>
  <c r="Q2290" i="19"/>
  <c r="Q2291" i="19"/>
  <c r="Q2292" i="19"/>
  <c r="Q2293" i="19"/>
  <c r="Q2294" i="19"/>
  <c r="Q2295" i="19"/>
  <c r="Q2296" i="19"/>
  <c r="Q2297" i="19"/>
  <c r="Q2298" i="19"/>
  <c r="Q2299" i="19"/>
  <c r="Q2300" i="19"/>
  <c r="Q2301" i="19"/>
  <c r="Q2302" i="19"/>
  <c r="Q2303" i="19"/>
  <c r="Q2304" i="19"/>
  <c r="Q2305" i="19"/>
  <c r="Q2306" i="19"/>
  <c r="Q2307" i="19"/>
  <c r="Q2308" i="19"/>
  <c r="Q2309" i="19"/>
  <c r="Q2310" i="19"/>
  <c r="Q2311" i="19"/>
  <c r="Q2312" i="19"/>
  <c r="Q2313" i="19"/>
  <c r="Q2314" i="19"/>
  <c r="Q2315" i="19"/>
  <c r="Q2316" i="19"/>
  <c r="Q2317" i="19"/>
  <c r="Q2318" i="19"/>
  <c r="Q2319" i="19"/>
  <c r="Q2320" i="19"/>
  <c r="Q2321" i="19"/>
  <c r="Q2322" i="19"/>
  <c r="Q2323" i="19"/>
  <c r="Q2324" i="19"/>
  <c r="Q2325" i="19"/>
  <c r="Q2326" i="19"/>
  <c r="Q2327" i="19"/>
  <c r="Q2328" i="19"/>
  <c r="Q2329" i="19"/>
  <c r="Q2330" i="19"/>
  <c r="Q2331" i="19"/>
  <c r="Q2332" i="19"/>
  <c r="Q2333" i="19"/>
  <c r="Q2334" i="19"/>
  <c r="Q2335" i="19"/>
  <c r="Q2336" i="19"/>
  <c r="Q2337" i="19"/>
  <c r="Q2338" i="19"/>
  <c r="Q2339" i="19"/>
  <c r="Q2340" i="19"/>
  <c r="Q2341" i="19"/>
  <c r="Q2342" i="19"/>
  <c r="Q2343" i="19"/>
  <c r="Q2344" i="19"/>
  <c r="Q2345" i="19"/>
  <c r="Q2346" i="19"/>
  <c r="Q2347" i="19"/>
  <c r="Q2348" i="19"/>
  <c r="Q2349" i="19"/>
  <c r="Q2350" i="19"/>
  <c r="Q2351" i="19"/>
  <c r="Q2352" i="19"/>
  <c r="Q2353" i="19"/>
  <c r="Q2354" i="19"/>
  <c r="Q2355" i="19"/>
  <c r="Q2356" i="19"/>
  <c r="Q2357" i="19"/>
  <c r="Q2358" i="19"/>
  <c r="Q2359" i="19"/>
  <c r="Q2360" i="19"/>
  <c r="Q2361" i="19"/>
  <c r="Q2362" i="19"/>
  <c r="Q2363" i="19"/>
  <c r="Q2364" i="19"/>
  <c r="Q2365" i="19"/>
  <c r="Q2366" i="19"/>
  <c r="Q2367" i="19"/>
  <c r="Q2368" i="19"/>
  <c r="Q2369" i="19"/>
  <c r="Q2370" i="19"/>
  <c r="Q2371" i="19"/>
  <c r="Q2372" i="19"/>
  <c r="Q2373" i="19"/>
  <c r="Q2374" i="19"/>
  <c r="Q2375" i="19"/>
  <c r="Q2376" i="19"/>
  <c r="Q2377" i="19"/>
  <c r="Q2378" i="19"/>
  <c r="Q2379" i="19"/>
  <c r="Q2380" i="19"/>
  <c r="Q2381" i="19"/>
  <c r="Q2382" i="19"/>
  <c r="Q2383" i="19"/>
  <c r="Q2384" i="19"/>
  <c r="Q2385" i="19"/>
  <c r="Q2386" i="19"/>
  <c r="Q2387" i="19"/>
  <c r="Q2388" i="19"/>
  <c r="Q2389" i="19"/>
  <c r="Q2390" i="19"/>
  <c r="Q2391" i="19"/>
  <c r="Q2392" i="19"/>
  <c r="Q2393" i="19"/>
  <c r="Q2394" i="19"/>
  <c r="Q2395" i="19"/>
  <c r="Q2396" i="19"/>
  <c r="Q2397" i="19"/>
  <c r="Q2398" i="19"/>
  <c r="Q2399" i="19"/>
  <c r="Q2400" i="19"/>
  <c r="Q2401" i="19"/>
  <c r="Q2402" i="19"/>
  <c r="Q2403" i="19"/>
  <c r="Q2404" i="19"/>
  <c r="Q2405" i="19"/>
  <c r="Q2406" i="19"/>
  <c r="Q2407" i="19"/>
  <c r="Q2408" i="19"/>
  <c r="Q2409" i="19"/>
  <c r="Q2410" i="19"/>
  <c r="Q2411" i="19"/>
  <c r="Q2412" i="19"/>
  <c r="Q2413" i="19"/>
  <c r="Q2414" i="19"/>
  <c r="Q2415" i="19"/>
  <c r="Q2416" i="19"/>
  <c r="Q2417" i="19"/>
  <c r="Q2418" i="19"/>
  <c r="Q2419" i="19"/>
  <c r="Q2420" i="19"/>
  <c r="Q2421" i="19"/>
  <c r="Q2422" i="19"/>
  <c r="Q2423" i="19"/>
  <c r="Q2424" i="19"/>
  <c r="Q2425" i="19"/>
  <c r="Q2426" i="19"/>
  <c r="Q2427" i="19"/>
  <c r="Q2428" i="19"/>
  <c r="Q2429" i="19"/>
  <c r="Q2430" i="19"/>
  <c r="Q2431" i="19"/>
  <c r="Q2432" i="19"/>
  <c r="Q2433" i="19"/>
  <c r="Q2434" i="19"/>
  <c r="Q2435" i="19"/>
  <c r="Q2436" i="19"/>
  <c r="Q2437" i="19"/>
  <c r="Q2438" i="19"/>
  <c r="Q2439" i="19"/>
  <c r="Q2440" i="19"/>
  <c r="Q2441" i="19"/>
  <c r="Q2442" i="19"/>
  <c r="Q2443" i="19"/>
  <c r="Q2444" i="19"/>
  <c r="Q2445" i="19"/>
  <c r="Q2446" i="19"/>
  <c r="Q2447" i="19"/>
  <c r="Q2448" i="19"/>
  <c r="Q2449" i="19"/>
  <c r="Q2450" i="19"/>
  <c r="Q2451" i="19"/>
  <c r="Q2452" i="19"/>
  <c r="Q2453" i="19"/>
  <c r="Q2454" i="19"/>
  <c r="Q2455" i="19"/>
  <c r="Q2456" i="19"/>
  <c r="Q2457" i="19"/>
  <c r="Q2458" i="19"/>
  <c r="Q2459" i="19"/>
  <c r="Q2460" i="19"/>
  <c r="Q2461" i="19"/>
  <c r="Q2462" i="19"/>
  <c r="Q2463" i="19"/>
  <c r="Q2464" i="19"/>
  <c r="Q2465" i="19"/>
  <c r="Q2466" i="19"/>
  <c r="Q2467" i="19"/>
  <c r="Q2468" i="19"/>
  <c r="Q2469" i="19"/>
  <c r="Q2470" i="19"/>
  <c r="Q2471" i="19"/>
  <c r="Q2472" i="19"/>
  <c r="Q2473" i="19"/>
  <c r="Q2474" i="19"/>
  <c r="Q2475" i="19"/>
  <c r="Q2476" i="19"/>
  <c r="Q2477" i="19"/>
  <c r="Q2478" i="19"/>
  <c r="Q2479" i="19"/>
  <c r="Q2480" i="19"/>
  <c r="Q2481" i="19"/>
  <c r="Q2482" i="19"/>
  <c r="Q2483" i="19"/>
  <c r="Q2484" i="19"/>
  <c r="Q2485" i="19"/>
  <c r="Q2486" i="19"/>
  <c r="Q2487" i="19"/>
  <c r="Q2488" i="19"/>
  <c r="Q2489" i="19"/>
  <c r="Q2490" i="19"/>
  <c r="Q2491" i="19"/>
  <c r="Q2492" i="19"/>
  <c r="Q2493" i="19"/>
  <c r="Q2494" i="19"/>
  <c r="Q2495" i="19"/>
  <c r="Q2496" i="19"/>
  <c r="Q2497" i="19"/>
  <c r="Q2498" i="19"/>
  <c r="Q2499" i="19"/>
  <c r="Q2500" i="19"/>
  <c r="Q2501" i="19"/>
  <c r="Q2502" i="19"/>
  <c r="Q2503" i="19"/>
  <c r="Q2504" i="19"/>
  <c r="Q2505" i="19"/>
  <c r="Q2506" i="19"/>
  <c r="Q2507" i="19"/>
  <c r="Q2508" i="19"/>
  <c r="Q2509" i="19"/>
  <c r="Q2510" i="19"/>
  <c r="Q2511" i="19"/>
  <c r="Q2512" i="19"/>
  <c r="Q2513" i="19"/>
  <c r="Q2514" i="19"/>
  <c r="Q2515" i="19"/>
  <c r="Q2516" i="19"/>
  <c r="Q2517" i="19"/>
  <c r="Q2518" i="19"/>
  <c r="Q2519" i="19"/>
  <c r="Q2520" i="19"/>
  <c r="Q2521" i="19"/>
  <c r="Q2522" i="19"/>
  <c r="Q2523" i="19"/>
  <c r="Q2524" i="19"/>
  <c r="Q2525" i="19"/>
  <c r="Q2526" i="19"/>
  <c r="Q2527" i="19"/>
  <c r="Q2528" i="19"/>
  <c r="Q2529" i="19"/>
  <c r="Q2530" i="19"/>
  <c r="Q2531" i="19"/>
  <c r="Q2532" i="19"/>
  <c r="Q2533" i="19"/>
  <c r="Q2534" i="19"/>
  <c r="Q2535" i="19"/>
  <c r="Q2536" i="19"/>
  <c r="Q2537" i="19"/>
  <c r="Q2538" i="19"/>
  <c r="Q2539" i="19"/>
  <c r="Q2540" i="19"/>
  <c r="Q2541" i="19"/>
  <c r="Q2542" i="19"/>
  <c r="Q2543" i="19"/>
  <c r="Q2544" i="19"/>
  <c r="Q2545" i="19"/>
  <c r="Q2546" i="19"/>
  <c r="Q2547" i="19"/>
  <c r="Q2548" i="19"/>
  <c r="Q2549" i="19"/>
  <c r="Q2550" i="19"/>
  <c r="Q2551" i="19"/>
  <c r="Q2552" i="19"/>
  <c r="Q2553" i="19"/>
  <c r="Q2554" i="19"/>
  <c r="Q2555" i="19"/>
  <c r="Q2556" i="19"/>
  <c r="Q2557" i="19"/>
  <c r="Q2558" i="19"/>
  <c r="Q2559" i="19"/>
  <c r="Q2560" i="19"/>
  <c r="Q2561" i="19"/>
  <c r="Q2562" i="19"/>
  <c r="Q2563" i="19"/>
  <c r="Q2564" i="19"/>
  <c r="Q2565" i="19"/>
  <c r="Q2566" i="19"/>
  <c r="Q2567" i="19"/>
  <c r="Q2568" i="19"/>
  <c r="Q2569" i="19"/>
  <c r="Q2570" i="19"/>
  <c r="Q2571" i="19"/>
  <c r="Q2572" i="19"/>
  <c r="Q2573" i="19"/>
  <c r="Q2574" i="19"/>
  <c r="Q2575" i="19"/>
  <c r="Q2576" i="19"/>
  <c r="Q2577" i="19"/>
  <c r="Q2578" i="19"/>
  <c r="Q2579" i="19"/>
  <c r="Q2580" i="19"/>
  <c r="Q2581" i="19"/>
  <c r="Q2582" i="19"/>
  <c r="Q2583" i="19"/>
  <c r="Q2584" i="19"/>
  <c r="Q2585" i="19"/>
  <c r="Q2586" i="19"/>
  <c r="Q2587" i="19"/>
  <c r="Q2588" i="19"/>
  <c r="Q2589" i="19"/>
  <c r="Q2590" i="19"/>
  <c r="Q2591" i="19"/>
  <c r="Q2592" i="19"/>
  <c r="Q2593" i="19"/>
  <c r="Q2594" i="19"/>
  <c r="Q2595" i="19"/>
  <c r="Q2596" i="19"/>
  <c r="Q2597" i="19"/>
  <c r="Q2598" i="19"/>
  <c r="Q2599" i="19"/>
  <c r="Q2600" i="19"/>
  <c r="Q2601" i="19"/>
  <c r="Q2602" i="19"/>
  <c r="Q2603" i="19"/>
  <c r="Q2604" i="19"/>
  <c r="Q2605" i="19"/>
  <c r="Q2606" i="19"/>
  <c r="Q2607" i="19"/>
  <c r="Q2608" i="19"/>
  <c r="Q2609" i="19"/>
  <c r="Q2610" i="19"/>
  <c r="Q2611" i="19"/>
  <c r="Q2612" i="19"/>
  <c r="Q2613" i="19"/>
  <c r="Q2614" i="19"/>
  <c r="Q2615" i="19"/>
  <c r="Q2616" i="19"/>
  <c r="Q2617" i="19"/>
  <c r="Q2618" i="19"/>
  <c r="Q2619" i="19"/>
  <c r="Q2620" i="19"/>
  <c r="Q2621" i="19"/>
  <c r="Q2622" i="19"/>
  <c r="Q2623" i="19"/>
  <c r="Q2624" i="19"/>
  <c r="Q2625" i="19"/>
  <c r="Q2626" i="19"/>
  <c r="Q2627" i="19"/>
  <c r="Q2628" i="19"/>
  <c r="Q2629" i="19"/>
  <c r="Q2630" i="19"/>
  <c r="Q2631" i="19"/>
  <c r="Q2632" i="19"/>
  <c r="Q2633" i="19"/>
  <c r="Q2634" i="19"/>
  <c r="Q2635" i="19"/>
  <c r="Q2636" i="19"/>
  <c r="Q2637" i="19"/>
  <c r="Q2638" i="19"/>
  <c r="Q2639" i="19"/>
  <c r="Q2640" i="19"/>
  <c r="Q2641" i="19"/>
  <c r="Q2642" i="19"/>
  <c r="Q2643" i="19"/>
  <c r="Q2644" i="19"/>
  <c r="Q2645" i="19"/>
  <c r="Q2646" i="19"/>
  <c r="Q2647" i="19"/>
  <c r="Q2648" i="19"/>
  <c r="Q2649" i="19"/>
  <c r="Q2650" i="19"/>
  <c r="Q2651" i="19"/>
  <c r="Q2652" i="19"/>
  <c r="Q2653" i="19"/>
  <c r="Q2654" i="19"/>
  <c r="Q2655" i="19"/>
  <c r="Q2656" i="19"/>
  <c r="Q2657" i="19"/>
  <c r="Q2658" i="19"/>
  <c r="Q2659" i="19"/>
  <c r="Q2660" i="19"/>
  <c r="Q2661" i="19"/>
  <c r="Q2662" i="19"/>
  <c r="Q2663" i="19"/>
  <c r="Q2664" i="19"/>
  <c r="Q2665" i="19"/>
  <c r="Q2666" i="19"/>
  <c r="Q2667" i="19"/>
  <c r="Q2668" i="19"/>
  <c r="Q2669" i="19"/>
  <c r="Q2670" i="19"/>
  <c r="Q2671" i="19"/>
  <c r="Q2672" i="19"/>
  <c r="Q2673" i="19"/>
  <c r="Q2674" i="19"/>
  <c r="Q2675" i="19"/>
  <c r="Q2676" i="19"/>
  <c r="Q2677" i="19"/>
  <c r="Q2678" i="19"/>
  <c r="Q2679" i="19"/>
  <c r="Q2680" i="19"/>
  <c r="Q2681" i="19"/>
  <c r="Q2682" i="19"/>
  <c r="Q2683" i="19"/>
  <c r="Q2684" i="19"/>
  <c r="Q2685" i="19"/>
  <c r="Q2686" i="19"/>
  <c r="Q2687" i="19"/>
  <c r="Q2688" i="19"/>
  <c r="Q2689" i="19"/>
  <c r="Q2690" i="19"/>
  <c r="Q2691" i="19"/>
  <c r="Q2692" i="19"/>
  <c r="Q2693" i="19"/>
  <c r="Q2694" i="19"/>
  <c r="Q2695" i="19"/>
  <c r="Q2696" i="19"/>
  <c r="Q2697" i="19"/>
  <c r="Q2698" i="19"/>
  <c r="Q2699" i="19"/>
  <c r="Q2700" i="19"/>
  <c r="Q2701" i="19"/>
  <c r="Q2702" i="19"/>
  <c r="Q2703" i="19"/>
  <c r="Q2704" i="19"/>
  <c r="Q2705" i="19"/>
  <c r="Q2706" i="19"/>
  <c r="Q2707" i="19"/>
  <c r="Q2708" i="19"/>
  <c r="Q2709" i="19"/>
  <c r="Q2710" i="19"/>
  <c r="Q2711" i="19"/>
  <c r="Q2712" i="19"/>
  <c r="Q2713" i="19"/>
  <c r="Q2714" i="19"/>
  <c r="Q2715" i="19"/>
  <c r="Q2716" i="19"/>
  <c r="Q2717" i="19"/>
  <c r="Q2718" i="19"/>
  <c r="Q2719" i="19"/>
  <c r="Q2720" i="19"/>
  <c r="Q2721" i="19"/>
  <c r="Q2722" i="19"/>
  <c r="Q2723" i="19"/>
  <c r="Q2724" i="19"/>
  <c r="Q2725" i="19"/>
  <c r="Q2726" i="19"/>
  <c r="Q2727" i="19"/>
  <c r="Q2728" i="19"/>
  <c r="Q2729" i="19"/>
  <c r="Q2730" i="19"/>
  <c r="Q2731" i="19"/>
  <c r="Q2732" i="19"/>
  <c r="Q2733" i="19"/>
  <c r="Q2734" i="19"/>
  <c r="Q2735" i="19"/>
  <c r="Q2736" i="19"/>
  <c r="Q2737" i="19"/>
  <c r="Q2738" i="19"/>
  <c r="Q2739" i="19"/>
  <c r="Q2740" i="19"/>
  <c r="Q2741" i="19"/>
  <c r="Q2742" i="19"/>
  <c r="Q2743" i="19"/>
  <c r="Q2744" i="19"/>
  <c r="Q2745" i="19"/>
  <c r="Q2746" i="19"/>
  <c r="Q2747" i="19"/>
  <c r="Q2748" i="19"/>
  <c r="Q2749" i="19"/>
  <c r="Q2750" i="19"/>
  <c r="Q2751" i="19"/>
  <c r="Q2752" i="19"/>
  <c r="Q2753" i="19"/>
  <c r="Q2754" i="19"/>
  <c r="Q2755" i="19"/>
  <c r="Q2756" i="19"/>
  <c r="Q2757" i="19"/>
  <c r="Q2758" i="19"/>
  <c r="Q2759" i="19"/>
  <c r="Q2760" i="19"/>
  <c r="Q2761" i="19"/>
  <c r="Q2762" i="19"/>
  <c r="Q2763" i="19"/>
  <c r="Q2764" i="19"/>
  <c r="Q2765" i="19"/>
  <c r="Q2766" i="19"/>
  <c r="Q2767" i="19"/>
  <c r="Q2768" i="19"/>
  <c r="Q2769" i="19"/>
  <c r="Q2770" i="19"/>
  <c r="Q2771" i="19"/>
  <c r="Q2772" i="19"/>
  <c r="Q2773" i="19"/>
  <c r="Q2774" i="19"/>
  <c r="Q2775" i="19"/>
  <c r="Q2776" i="19"/>
  <c r="Q2777" i="19"/>
  <c r="Q2778" i="19"/>
  <c r="Q2779" i="19"/>
  <c r="Q2780" i="19"/>
  <c r="Q2781" i="19"/>
  <c r="Q2782" i="19"/>
  <c r="Q2783" i="19"/>
  <c r="Q2784" i="19"/>
  <c r="Q2785" i="19"/>
  <c r="Q2786" i="19"/>
  <c r="Q2787" i="19"/>
  <c r="Q2788" i="19"/>
  <c r="Q2789" i="19"/>
  <c r="Q2790" i="19"/>
  <c r="Q2791" i="19"/>
  <c r="Q2792" i="19"/>
  <c r="Q2793" i="19"/>
  <c r="Q2794" i="19"/>
  <c r="Q2795" i="19"/>
  <c r="Q2796" i="19"/>
  <c r="Q2797" i="19"/>
  <c r="Q2798" i="19"/>
  <c r="Q2799" i="19"/>
  <c r="Q2800" i="19"/>
  <c r="Q2801" i="19"/>
  <c r="Q2802" i="19"/>
  <c r="Q2803" i="19"/>
  <c r="Q2804" i="19"/>
  <c r="Q2805" i="19"/>
  <c r="Q2806" i="19"/>
  <c r="Q2807" i="19"/>
  <c r="Q2808" i="19"/>
  <c r="Q2809" i="19"/>
  <c r="Q2810" i="19"/>
  <c r="Q2811" i="19"/>
  <c r="Q2812" i="19"/>
  <c r="Q2813" i="19"/>
  <c r="Q2814" i="19"/>
  <c r="Q2815" i="19"/>
  <c r="Q2816" i="19"/>
  <c r="Q2817" i="19"/>
  <c r="Q2818" i="19"/>
  <c r="Q2819" i="19"/>
  <c r="Q2820" i="19"/>
  <c r="Q2821" i="19"/>
  <c r="Q2822" i="19"/>
  <c r="Q2823" i="19"/>
  <c r="Q2824" i="19"/>
  <c r="Q2825" i="19"/>
  <c r="Q2826" i="19"/>
  <c r="Q2827" i="19"/>
  <c r="Q2828" i="19"/>
  <c r="Q2829" i="19"/>
  <c r="Q2830" i="19"/>
  <c r="Q2831" i="19"/>
  <c r="Q2832" i="19"/>
  <c r="Q2833" i="19"/>
  <c r="Q2834" i="19"/>
  <c r="Q2835" i="19"/>
  <c r="Q2836" i="19"/>
  <c r="Q2837" i="19"/>
  <c r="Q2838" i="19"/>
  <c r="Q2839" i="19"/>
  <c r="Q2840" i="19"/>
  <c r="Q2841" i="19"/>
  <c r="Q2842" i="19"/>
  <c r="Q2843" i="19"/>
  <c r="Q2844" i="19"/>
  <c r="Q2845" i="19"/>
  <c r="Q2846" i="19"/>
  <c r="Q2847" i="19"/>
  <c r="Q2848" i="19"/>
  <c r="Q2849" i="19"/>
  <c r="Q2850" i="19"/>
  <c r="Q2851" i="19"/>
  <c r="Q2852" i="19"/>
  <c r="Q2853" i="19"/>
  <c r="Q2854" i="19"/>
  <c r="Q2855" i="19"/>
  <c r="Q2856" i="19"/>
  <c r="Q2857" i="19"/>
  <c r="Q2858" i="19"/>
  <c r="Q2859" i="19"/>
  <c r="Q2860" i="19"/>
  <c r="Q2861" i="19"/>
  <c r="Q2862" i="19"/>
  <c r="Q2863" i="19"/>
  <c r="Q2864" i="19"/>
  <c r="Q2865" i="19"/>
  <c r="Q2866" i="19"/>
  <c r="Q2867" i="19"/>
  <c r="Q2868" i="19"/>
  <c r="Q2869" i="19"/>
  <c r="Q2870" i="19"/>
  <c r="Q2871" i="19"/>
  <c r="Q2872" i="19"/>
  <c r="Q2873" i="19"/>
  <c r="Q2874" i="19"/>
  <c r="Q2875" i="19"/>
  <c r="Q2876" i="19"/>
  <c r="Q2877" i="19"/>
  <c r="Q2878" i="19"/>
  <c r="Q2879" i="19"/>
  <c r="Q2880" i="19"/>
  <c r="Q2881" i="19"/>
  <c r="Q2882" i="19"/>
  <c r="Q2883" i="19"/>
  <c r="Q2884" i="19"/>
  <c r="Q2885" i="19"/>
  <c r="Q2886" i="19"/>
  <c r="Q2887" i="19"/>
  <c r="Q2888" i="19"/>
  <c r="Q2889" i="19"/>
  <c r="Q2890" i="19"/>
  <c r="Q2891" i="19"/>
  <c r="Q2892" i="19"/>
  <c r="Q2893" i="19"/>
  <c r="Q2894" i="19"/>
  <c r="Q2895" i="19"/>
  <c r="Q2896" i="19"/>
  <c r="Q2897" i="19"/>
  <c r="Q2898" i="19"/>
  <c r="Q59" i="1" l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T41" i="17" l="1"/>
  <c r="T33" i="17"/>
  <c r="T30" i="17"/>
  <c r="T29" i="17"/>
  <c r="T26" i="17"/>
  <c r="U41" i="17"/>
  <c r="U33" i="17"/>
  <c r="U30" i="17"/>
  <c r="U29" i="17"/>
  <c r="U26" i="17"/>
  <c r="U5" i="17" l="1"/>
  <c r="U15" i="17"/>
  <c r="U31" i="17"/>
  <c r="U34" i="17"/>
  <c r="U35" i="17"/>
  <c r="U40" i="17"/>
  <c r="U42" i="17"/>
  <c r="U43" i="17"/>
  <c r="T5" i="17"/>
  <c r="T15" i="17"/>
  <c r="T31" i="17"/>
  <c r="T34" i="17"/>
  <c r="T35" i="17"/>
  <c r="T40" i="17"/>
  <c r="T42" i="17"/>
  <c r="T43" i="17"/>
  <c r="AH1319" i="23"/>
  <c r="AH1320" i="23"/>
  <c r="S2" i="19"/>
  <c r="Q2" i="19"/>
  <c r="R2" i="19"/>
  <c r="S3" i="19"/>
  <c r="R3" i="19"/>
  <c r="S4" i="19"/>
  <c r="R4" i="19"/>
  <c r="S5" i="19"/>
  <c r="U5" i="19" s="1"/>
  <c r="R5" i="19"/>
  <c r="S6" i="19"/>
  <c r="R6" i="19"/>
  <c r="R7" i="19"/>
  <c r="S7" i="19"/>
  <c r="U7" i="19" s="1"/>
  <c r="S8" i="19"/>
  <c r="R8" i="19"/>
  <c r="S9" i="19"/>
  <c r="U9" i="19" s="1"/>
  <c r="R9" i="19"/>
  <c r="S10" i="19"/>
  <c r="R10" i="19"/>
  <c r="S11" i="19"/>
  <c r="U11" i="19" s="1"/>
  <c r="R11" i="19"/>
  <c r="S12" i="19"/>
  <c r="T12" i="19" s="1"/>
  <c r="R12" i="19"/>
  <c r="S13" i="19"/>
  <c r="U13" i="19" s="1"/>
  <c r="R13" i="19"/>
  <c r="S14" i="19"/>
  <c r="R14" i="19"/>
  <c r="S15" i="19"/>
  <c r="R15" i="19"/>
  <c r="S16" i="19"/>
  <c r="R16" i="19"/>
  <c r="R17" i="19"/>
  <c r="S17" i="19"/>
  <c r="U17" i="19" s="1"/>
  <c r="S18" i="19"/>
  <c r="R18" i="19"/>
  <c r="S19" i="19"/>
  <c r="R19" i="19"/>
  <c r="S20" i="19"/>
  <c r="R20" i="19"/>
  <c r="S21" i="19"/>
  <c r="U21" i="19" s="1"/>
  <c r="R21" i="19"/>
  <c r="S22" i="19"/>
  <c r="R22" i="19"/>
  <c r="S23" i="19"/>
  <c r="U23" i="19" s="1"/>
  <c r="R23" i="19"/>
  <c r="S24" i="19"/>
  <c r="R24" i="19"/>
  <c r="S25" i="19"/>
  <c r="U25" i="19" s="1"/>
  <c r="R25" i="19"/>
  <c r="S26" i="19"/>
  <c r="R26" i="19"/>
  <c r="S27" i="19"/>
  <c r="R27" i="19"/>
  <c r="S28" i="19"/>
  <c r="R28" i="19"/>
  <c r="S29" i="19"/>
  <c r="U29" i="19" s="1"/>
  <c r="R29" i="19"/>
  <c r="S30" i="19"/>
  <c r="R30" i="19"/>
  <c r="S31" i="19"/>
  <c r="R31" i="19"/>
  <c r="S32" i="19"/>
  <c r="R32" i="19"/>
  <c r="S33" i="19"/>
  <c r="U33" i="19" s="1"/>
  <c r="R33" i="19"/>
  <c r="S34" i="19"/>
  <c r="R34" i="19"/>
  <c r="S35" i="19"/>
  <c r="U35" i="19" s="1"/>
  <c r="R35" i="19"/>
  <c r="S36" i="19"/>
  <c r="R36" i="19"/>
  <c r="S37" i="19"/>
  <c r="U37" i="19" s="1"/>
  <c r="R37" i="19"/>
  <c r="S38" i="19"/>
  <c r="R38" i="19"/>
  <c r="S39" i="19"/>
  <c r="R39" i="19"/>
  <c r="S40" i="19"/>
  <c r="R40" i="19"/>
  <c r="S41" i="19"/>
  <c r="U41" i="19" s="1"/>
  <c r="R41" i="19"/>
  <c r="S42" i="19"/>
  <c r="R42" i="19"/>
  <c r="S43" i="19"/>
  <c r="R43" i="19"/>
  <c r="S44" i="19"/>
  <c r="R44" i="19"/>
  <c r="S45" i="19"/>
  <c r="U45" i="19" s="1"/>
  <c r="R45" i="19"/>
  <c r="S46" i="19"/>
  <c r="R46" i="19"/>
  <c r="S47" i="19"/>
  <c r="U47" i="19" s="1"/>
  <c r="R47" i="19"/>
  <c r="S48" i="19"/>
  <c r="T48" i="19" s="1"/>
  <c r="R48" i="19"/>
  <c r="S49" i="19"/>
  <c r="U49" i="19" s="1"/>
  <c r="R49" i="19"/>
  <c r="S50" i="19"/>
  <c r="R50" i="19"/>
  <c r="S51" i="19"/>
  <c r="R51" i="19"/>
  <c r="S52" i="19"/>
  <c r="R52" i="19"/>
  <c r="S53" i="19"/>
  <c r="U53" i="19" s="1"/>
  <c r="R53" i="19"/>
  <c r="S54" i="19"/>
  <c r="R54" i="19"/>
  <c r="S55" i="19"/>
  <c r="R55" i="19"/>
  <c r="S56" i="19"/>
  <c r="R56" i="19"/>
  <c r="S57" i="19"/>
  <c r="U57" i="19" s="1"/>
  <c r="R57" i="19"/>
  <c r="S58" i="19"/>
  <c r="R58" i="19"/>
  <c r="R59" i="19"/>
  <c r="S59" i="19"/>
  <c r="U59" i="19" s="1"/>
  <c r="S60" i="19"/>
  <c r="R60" i="19"/>
  <c r="S61" i="19"/>
  <c r="U61" i="19" s="1"/>
  <c r="R61" i="19"/>
  <c r="S62" i="19"/>
  <c r="R62" i="19"/>
  <c r="S63" i="19"/>
  <c r="R63" i="19"/>
  <c r="S64" i="19"/>
  <c r="R64" i="19"/>
  <c r="S65" i="19"/>
  <c r="U65" i="19" s="1"/>
  <c r="R65" i="19"/>
  <c r="S66" i="19"/>
  <c r="R66" i="19"/>
  <c r="S67" i="19"/>
  <c r="R67" i="19"/>
  <c r="S68" i="19"/>
  <c r="R68" i="19"/>
  <c r="S69" i="19"/>
  <c r="U69" i="19" s="1"/>
  <c r="R69" i="19"/>
  <c r="S70" i="19"/>
  <c r="R70" i="19"/>
  <c r="S71" i="19"/>
  <c r="U71" i="19" s="1"/>
  <c r="R71" i="19"/>
  <c r="S72" i="19"/>
  <c r="R72" i="19"/>
  <c r="S73" i="19"/>
  <c r="R73" i="19"/>
  <c r="S74" i="19"/>
  <c r="T74" i="19" s="1"/>
  <c r="R74" i="19"/>
  <c r="S75" i="19"/>
  <c r="R75" i="19"/>
  <c r="S76" i="19"/>
  <c r="R76" i="19"/>
  <c r="S77" i="19"/>
  <c r="U77" i="19" s="1"/>
  <c r="R77" i="19"/>
  <c r="S78" i="19"/>
  <c r="R78" i="19"/>
  <c r="S79" i="19"/>
  <c r="R79" i="19"/>
  <c r="S80" i="19"/>
  <c r="R80" i="19"/>
  <c r="S81" i="19"/>
  <c r="R81" i="19"/>
  <c r="S82" i="19"/>
  <c r="R82" i="19"/>
  <c r="S83" i="19"/>
  <c r="R83" i="19"/>
  <c r="S84" i="19"/>
  <c r="U84" i="19" s="1"/>
  <c r="R84" i="19"/>
  <c r="S85" i="19"/>
  <c r="T85" i="19" s="1"/>
  <c r="R85" i="19"/>
  <c r="S86" i="19"/>
  <c r="R86" i="19"/>
  <c r="S87" i="19"/>
  <c r="T87" i="19" s="1"/>
  <c r="R87" i="19"/>
  <c r="S88" i="19"/>
  <c r="R88" i="19"/>
  <c r="S89" i="19"/>
  <c r="R89" i="19"/>
  <c r="S90" i="19"/>
  <c r="R90" i="19"/>
  <c r="S91" i="19"/>
  <c r="T91" i="19" s="1"/>
  <c r="R91" i="19"/>
  <c r="S92" i="19"/>
  <c r="R92" i="19"/>
  <c r="S93" i="19"/>
  <c r="U93" i="19" s="1"/>
  <c r="R93" i="19"/>
  <c r="S94" i="19"/>
  <c r="R94" i="19"/>
  <c r="S95" i="19"/>
  <c r="T95" i="19" s="1"/>
  <c r="R95" i="19"/>
  <c r="S96" i="19"/>
  <c r="R96" i="19"/>
  <c r="S97" i="19"/>
  <c r="T97" i="19" s="1"/>
  <c r="R97" i="19"/>
  <c r="S98" i="19"/>
  <c r="R98" i="19"/>
  <c r="S99" i="19"/>
  <c r="T99" i="19" s="1"/>
  <c r="R99" i="19"/>
  <c r="S100" i="19"/>
  <c r="R100" i="19"/>
  <c r="S101" i="19"/>
  <c r="T101" i="19" s="1"/>
  <c r="R101" i="19"/>
  <c r="S102" i="19"/>
  <c r="T102" i="19" s="1"/>
  <c r="R102" i="19"/>
  <c r="R103" i="19"/>
  <c r="S103" i="19"/>
  <c r="U103" i="19" s="1"/>
  <c r="S104" i="19"/>
  <c r="R104" i="19"/>
  <c r="S105" i="19"/>
  <c r="T105" i="19" s="1"/>
  <c r="R105" i="19"/>
  <c r="S106" i="19"/>
  <c r="T106" i="19" s="1"/>
  <c r="R106" i="19"/>
  <c r="S107" i="19"/>
  <c r="R107" i="19"/>
  <c r="S108" i="19"/>
  <c r="R108" i="19"/>
  <c r="S109" i="19"/>
  <c r="R109" i="19"/>
  <c r="S110" i="19"/>
  <c r="R110" i="19"/>
  <c r="S111" i="19"/>
  <c r="T111" i="19" s="1"/>
  <c r="R111" i="19"/>
  <c r="S112" i="19"/>
  <c r="R112" i="19"/>
  <c r="S113" i="19"/>
  <c r="T113" i="19" s="1"/>
  <c r="R113" i="19"/>
  <c r="S114" i="19"/>
  <c r="T114" i="19" s="1"/>
  <c r="R114" i="19"/>
  <c r="S115" i="19"/>
  <c r="T115" i="19" s="1"/>
  <c r="R115" i="19"/>
  <c r="S116" i="19"/>
  <c r="T116" i="19" s="1"/>
  <c r="R116" i="19"/>
  <c r="S117" i="19"/>
  <c r="T117" i="19" s="1"/>
  <c r="R117" i="19"/>
  <c r="S418" i="19"/>
  <c r="R418" i="19"/>
  <c r="S437" i="19"/>
  <c r="R437" i="19"/>
  <c r="S120" i="19"/>
  <c r="R120" i="19"/>
  <c r="S121" i="19"/>
  <c r="R121" i="19"/>
  <c r="S122" i="19"/>
  <c r="R122" i="19"/>
  <c r="S123" i="19"/>
  <c r="U123" i="19" s="1"/>
  <c r="R123" i="19"/>
  <c r="S124" i="19"/>
  <c r="R124" i="19"/>
  <c r="S125" i="19"/>
  <c r="R125" i="19"/>
  <c r="S126" i="19"/>
  <c r="T126" i="19" s="1"/>
  <c r="R126" i="19"/>
  <c r="S127" i="19"/>
  <c r="T127" i="19" s="1"/>
  <c r="R127" i="19"/>
  <c r="S128" i="19"/>
  <c r="T128" i="19" s="1"/>
  <c r="R128" i="19"/>
  <c r="S129" i="19"/>
  <c r="R129" i="19"/>
  <c r="S130" i="19"/>
  <c r="R130" i="19"/>
  <c r="S131" i="19"/>
  <c r="R131" i="19"/>
  <c r="S132" i="19"/>
  <c r="R132" i="19"/>
  <c r="S133" i="19"/>
  <c r="U133" i="19" s="1"/>
  <c r="R133" i="19"/>
  <c r="S134" i="19"/>
  <c r="R134" i="19"/>
  <c r="S135" i="19"/>
  <c r="R135" i="19"/>
  <c r="S136" i="19"/>
  <c r="T136" i="19" s="1"/>
  <c r="R136" i="19"/>
  <c r="S137" i="19"/>
  <c r="R137" i="19"/>
  <c r="S138" i="19"/>
  <c r="R138" i="19"/>
  <c r="S139" i="19"/>
  <c r="U139" i="19" s="1"/>
  <c r="R139" i="19"/>
  <c r="S140" i="19"/>
  <c r="R140" i="19"/>
  <c r="S141" i="19"/>
  <c r="T141" i="19" s="1"/>
  <c r="R141" i="19"/>
  <c r="S142" i="19"/>
  <c r="R142" i="19"/>
  <c r="S143" i="19"/>
  <c r="R143" i="19"/>
  <c r="S144" i="19"/>
  <c r="R144" i="19"/>
  <c r="S145" i="19"/>
  <c r="R145" i="19"/>
  <c r="S146" i="19"/>
  <c r="R146" i="19"/>
  <c r="S147" i="19"/>
  <c r="U147" i="19" s="1"/>
  <c r="R147" i="19"/>
  <c r="S148" i="19"/>
  <c r="R148" i="19"/>
  <c r="S149" i="19"/>
  <c r="R149" i="19"/>
  <c r="S150" i="19"/>
  <c r="R150" i="19"/>
  <c r="S151" i="19"/>
  <c r="T151" i="19" s="1"/>
  <c r="R151" i="19"/>
  <c r="S152" i="19"/>
  <c r="T152" i="19" s="1"/>
  <c r="R152" i="19"/>
  <c r="S153" i="19"/>
  <c r="R153" i="19"/>
  <c r="S154" i="19"/>
  <c r="R154" i="19"/>
  <c r="S155" i="19"/>
  <c r="R155" i="19"/>
  <c r="S156" i="19"/>
  <c r="R156" i="19"/>
  <c r="S157" i="19"/>
  <c r="R157" i="19"/>
  <c r="S158" i="19"/>
  <c r="R158" i="19"/>
  <c r="S159" i="19"/>
  <c r="R159" i="19"/>
  <c r="S160" i="19"/>
  <c r="R160" i="19"/>
  <c r="S161" i="19"/>
  <c r="U161" i="19" s="1"/>
  <c r="R161" i="19"/>
  <c r="S162" i="19"/>
  <c r="R162" i="19"/>
  <c r="S163" i="19"/>
  <c r="T163" i="19" s="1"/>
  <c r="R163" i="19"/>
  <c r="S164" i="19"/>
  <c r="T164" i="19" s="1"/>
  <c r="R164" i="19"/>
  <c r="S165" i="19"/>
  <c r="T165" i="19" s="1"/>
  <c r="R165" i="19"/>
  <c r="S166" i="19"/>
  <c r="R166" i="19"/>
  <c r="S167" i="19"/>
  <c r="R167" i="19"/>
  <c r="S168" i="19"/>
  <c r="R168" i="19"/>
  <c r="S169" i="19"/>
  <c r="R169" i="19"/>
  <c r="S170" i="19"/>
  <c r="R170" i="19"/>
  <c r="S171" i="19"/>
  <c r="R171" i="19"/>
  <c r="S172" i="19"/>
  <c r="T172" i="19" s="1"/>
  <c r="R172" i="19"/>
  <c r="S173" i="19"/>
  <c r="T173" i="19" s="1"/>
  <c r="R173" i="19"/>
  <c r="S174" i="19"/>
  <c r="T174" i="19" s="1"/>
  <c r="R174" i="19"/>
  <c r="S175" i="19"/>
  <c r="R175" i="19"/>
  <c r="S176" i="19"/>
  <c r="T176" i="19" s="1"/>
  <c r="R176" i="19"/>
  <c r="S177" i="19"/>
  <c r="R177" i="19"/>
  <c r="S178" i="19"/>
  <c r="R178" i="19"/>
  <c r="S179" i="19"/>
  <c r="R179" i="19"/>
  <c r="S180" i="19"/>
  <c r="R180" i="19"/>
  <c r="S181" i="19"/>
  <c r="R181" i="19"/>
  <c r="S182" i="19"/>
  <c r="R182" i="19"/>
  <c r="S183" i="19"/>
  <c r="T183" i="19" s="1"/>
  <c r="R183" i="19"/>
  <c r="S184" i="19"/>
  <c r="R184" i="19"/>
  <c r="R185" i="19"/>
  <c r="S185" i="19"/>
  <c r="T185" i="19" s="1"/>
  <c r="S186" i="19"/>
  <c r="R186" i="19"/>
  <c r="S187" i="19"/>
  <c r="R187" i="19"/>
  <c r="S188" i="19"/>
  <c r="R188" i="19"/>
  <c r="S189" i="19"/>
  <c r="T189" i="19" s="1"/>
  <c r="R189" i="19"/>
  <c r="S190" i="19"/>
  <c r="R190" i="19"/>
  <c r="S191" i="19"/>
  <c r="U191" i="19" s="1"/>
  <c r="R191" i="19"/>
  <c r="S192" i="19"/>
  <c r="R192" i="19"/>
  <c r="S193" i="19"/>
  <c r="T193" i="19" s="1"/>
  <c r="R193" i="19"/>
  <c r="S194" i="19"/>
  <c r="R194" i="19"/>
  <c r="S195" i="19"/>
  <c r="R195" i="19"/>
  <c r="S196" i="19"/>
  <c r="R196" i="19"/>
  <c r="S197" i="19"/>
  <c r="R197" i="19"/>
  <c r="S198" i="19"/>
  <c r="T198" i="19" s="1"/>
  <c r="R198" i="19"/>
  <c r="S199" i="19"/>
  <c r="U199" i="19" s="1"/>
  <c r="R199" i="19"/>
  <c r="S200" i="19"/>
  <c r="T200" i="19" s="1"/>
  <c r="R200" i="19"/>
  <c r="S201" i="19"/>
  <c r="R201" i="19"/>
  <c r="S202" i="19"/>
  <c r="R202" i="19"/>
  <c r="S203" i="19"/>
  <c r="R203" i="19"/>
  <c r="S204" i="19"/>
  <c r="T204" i="19" s="1"/>
  <c r="R204" i="19"/>
  <c r="S205" i="19"/>
  <c r="T205" i="19" s="1"/>
  <c r="R205" i="19"/>
  <c r="S206" i="19"/>
  <c r="R206" i="19"/>
  <c r="S207" i="19"/>
  <c r="R207" i="19"/>
  <c r="S208" i="19"/>
  <c r="T208" i="19" s="1"/>
  <c r="R208" i="19"/>
  <c r="S209" i="19"/>
  <c r="R209" i="19"/>
  <c r="S210" i="19"/>
  <c r="R210" i="19"/>
  <c r="S211" i="19"/>
  <c r="T211" i="19" s="1"/>
  <c r="R211" i="19"/>
  <c r="S212" i="19"/>
  <c r="T212" i="19" s="1"/>
  <c r="R212" i="19"/>
  <c r="S213" i="19"/>
  <c r="R213" i="19"/>
  <c r="S214" i="19"/>
  <c r="R214" i="19"/>
  <c r="S215" i="19"/>
  <c r="U215" i="19" s="1"/>
  <c r="R215" i="19"/>
  <c r="S216" i="19"/>
  <c r="R216" i="19"/>
  <c r="S217" i="19"/>
  <c r="R217" i="19"/>
  <c r="S218" i="19"/>
  <c r="R218" i="19"/>
  <c r="S219" i="19"/>
  <c r="R219" i="19"/>
  <c r="S220" i="19"/>
  <c r="T220" i="19" s="1"/>
  <c r="R220" i="19"/>
  <c r="S221" i="19"/>
  <c r="R221" i="19"/>
  <c r="S222" i="19"/>
  <c r="R222" i="19"/>
  <c r="R223" i="19"/>
  <c r="S223" i="19"/>
  <c r="S224" i="19"/>
  <c r="U224" i="19" s="1"/>
  <c r="R224" i="19"/>
  <c r="S225" i="19"/>
  <c r="U225" i="19" s="1"/>
  <c r="R225" i="19"/>
  <c r="S226" i="19"/>
  <c r="T226" i="19" s="1"/>
  <c r="R226" i="19"/>
  <c r="S227" i="19"/>
  <c r="U227" i="19" s="1"/>
  <c r="R227" i="19"/>
  <c r="S228" i="19"/>
  <c r="R228" i="19"/>
  <c r="S229" i="19"/>
  <c r="R229" i="19"/>
  <c r="S230" i="19"/>
  <c r="R230" i="19"/>
  <c r="S231" i="19"/>
  <c r="U231" i="19" s="1"/>
  <c r="R231" i="19"/>
  <c r="S232" i="19"/>
  <c r="T232" i="19" s="1"/>
  <c r="R232" i="19"/>
  <c r="S233" i="19"/>
  <c r="R233" i="19"/>
  <c r="R234" i="19"/>
  <c r="S234" i="19"/>
  <c r="S235" i="19"/>
  <c r="R235" i="19"/>
  <c r="S236" i="19"/>
  <c r="U236" i="19" s="1"/>
  <c r="R236" i="19"/>
  <c r="S237" i="19"/>
  <c r="U237" i="19" s="1"/>
  <c r="R237" i="19"/>
  <c r="S238" i="19"/>
  <c r="R238" i="19"/>
  <c r="S239" i="19"/>
  <c r="R239" i="19"/>
  <c r="S240" i="19"/>
  <c r="R240" i="19"/>
  <c r="S241" i="19"/>
  <c r="R241" i="19"/>
  <c r="S242" i="19"/>
  <c r="U242" i="19" s="1"/>
  <c r="R242" i="19"/>
  <c r="S243" i="19"/>
  <c r="R243" i="19"/>
  <c r="S244" i="19"/>
  <c r="T244" i="19" s="1"/>
  <c r="R244" i="19"/>
  <c r="S245" i="19"/>
  <c r="R245" i="19"/>
  <c r="S246" i="19"/>
  <c r="R246" i="19"/>
  <c r="S247" i="19"/>
  <c r="R247" i="19"/>
  <c r="S248" i="19"/>
  <c r="U248" i="19" s="1"/>
  <c r="R248" i="19"/>
  <c r="R249" i="19"/>
  <c r="S249" i="19"/>
  <c r="U249" i="19" s="1"/>
  <c r="S250" i="19"/>
  <c r="T250" i="19" s="1"/>
  <c r="R250" i="19"/>
  <c r="S792" i="19"/>
  <c r="R792" i="19"/>
  <c r="S119" i="19"/>
  <c r="R119" i="19"/>
  <c r="S253" i="19"/>
  <c r="R253" i="19"/>
  <c r="S254" i="19"/>
  <c r="R254" i="19"/>
  <c r="S255" i="19"/>
  <c r="U255" i="19" s="1"/>
  <c r="R255" i="19"/>
  <c r="S256" i="19"/>
  <c r="R256" i="19"/>
  <c r="S257" i="19"/>
  <c r="R257" i="19"/>
  <c r="S258" i="19"/>
  <c r="R258" i="19"/>
  <c r="S259" i="19"/>
  <c r="R259" i="19"/>
  <c r="S260" i="19"/>
  <c r="U260" i="19" s="1"/>
  <c r="R260" i="19"/>
  <c r="S261" i="19"/>
  <c r="U261" i="19" s="1"/>
  <c r="R261" i="19"/>
  <c r="R262" i="19"/>
  <c r="S262" i="19"/>
  <c r="U262" i="19" s="1"/>
  <c r="S263" i="19"/>
  <c r="R263" i="19"/>
  <c r="S264" i="19"/>
  <c r="R264" i="19"/>
  <c r="S265" i="19"/>
  <c r="R265" i="19"/>
  <c r="S266" i="19"/>
  <c r="U266" i="19" s="1"/>
  <c r="R266" i="19"/>
  <c r="S267" i="19"/>
  <c r="U267" i="19" s="1"/>
  <c r="R267" i="19"/>
  <c r="S268" i="19"/>
  <c r="T268" i="19" s="1"/>
  <c r="R268" i="19"/>
  <c r="S269" i="19"/>
  <c r="U269" i="19" s="1"/>
  <c r="R269" i="19"/>
  <c r="S270" i="19"/>
  <c r="R270" i="19"/>
  <c r="S271" i="19"/>
  <c r="R271" i="19"/>
  <c r="S272" i="19"/>
  <c r="U272" i="19" s="1"/>
  <c r="R272" i="19"/>
  <c r="S273" i="19"/>
  <c r="U273" i="19" s="1"/>
  <c r="R273" i="19"/>
  <c r="S274" i="19"/>
  <c r="T274" i="19" s="1"/>
  <c r="R274" i="19"/>
  <c r="S275" i="19"/>
  <c r="U275" i="19" s="1"/>
  <c r="R275" i="19"/>
  <c r="S276" i="19"/>
  <c r="R276" i="19"/>
  <c r="S277" i="19"/>
  <c r="R277" i="19"/>
  <c r="S278" i="19"/>
  <c r="U278" i="19" s="1"/>
  <c r="R278" i="19"/>
  <c r="S279" i="19"/>
  <c r="U279" i="19" s="1"/>
  <c r="R279" i="19"/>
  <c r="S280" i="19"/>
  <c r="U280" i="19" s="1"/>
  <c r="R280" i="19"/>
  <c r="S281" i="19"/>
  <c r="U281" i="19" s="1"/>
  <c r="R281" i="19"/>
  <c r="S282" i="19"/>
  <c r="R282" i="19"/>
  <c r="S283" i="19"/>
  <c r="T283" i="19" s="1"/>
  <c r="R283" i="19"/>
  <c r="S284" i="19"/>
  <c r="R284" i="19"/>
  <c r="S285" i="19"/>
  <c r="U285" i="19" s="1"/>
  <c r="R285" i="19"/>
  <c r="S286" i="19"/>
  <c r="R286" i="19"/>
  <c r="S287" i="19"/>
  <c r="T287" i="19" s="1"/>
  <c r="R287" i="19"/>
  <c r="S288" i="19"/>
  <c r="R288" i="19"/>
  <c r="S289" i="19"/>
  <c r="R289" i="19"/>
  <c r="S290" i="19"/>
  <c r="R290" i="19"/>
  <c r="S291" i="19"/>
  <c r="U291" i="19" s="1"/>
  <c r="R291" i="19"/>
  <c r="S292" i="19"/>
  <c r="R292" i="19"/>
  <c r="S293" i="19"/>
  <c r="T293" i="19" s="1"/>
  <c r="R293" i="19"/>
  <c r="S294" i="19"/>
  <c r="R294" i="19"/>
  <c r="S295" i="19"/>
  <c r="R295" i="19"/>
  <c r="S296" i="19"/>
  <c r="R296" i="19"/>
  <c r="S297" i="19"/>
  <c r="R297" i="19"/>
  <c r="S298" i="19"/>
  <c r="U298" i="19" s="1"/>
  <c r="R298" i="19"/>
  <c r="S299" i="19"/>
  <c r="U299" i="19" s="1"/>
  <c r="R299" i="19"/>
  <c r="S857" i="19"/>
  <c r="R857" i="19"/>
  <c r="S301" i="19"/>
  <c r="R301" i="19"/>
  <c r="S302" i="19"/>
  <c r="R302" i="19"/>
  <c r="S303" i="19"/>
  <c r="R303" i="19"/>
  <c r="S304" i="19"/>
  <c r="U304" i="19" s="1"/>
  <c r="R304" i="19"/>
  <c r="S305" i="19"/>
  <c r="R305" i="19"/>
  <c r="S306" i="19"/>
  <c r="R306" i="19"/>
  <c r="S307" i="19"/>
  <c r="T307" i="19" s="1"/>
  <c r="R307" i="19"/>
  <c r="S308" i="19"/>
  <c r="R308" i="19"/>
  <c r="S309" i="19"/>
  <c r="R309" i="19"/>
  <c r="S310" i="19"/>
  <c r="R310" i="19"/>
  <c r="S311" i="19"/>
  <c r="T311" i="19" s="1"/>
  <c r="R311" i="19"/>
  <c r="S312" i="19"/>
  <c r="R312" i="19"/>
  <c r="S313" i="19"/>
  <c r="R313" i="19"/>
  <c r="S314" i="19"/>
  <c r="R314" i="19"/>
  <c r="S315" i="19"/>
  <c r="U315" i="19" s="1"/>
  <c r="R315" i="19"/>
  <c r="S316" i="19"/>
  <c r="R316" i="19"/>
  <c r="S317" i="19"/>
  <c r="T317" i="19" s="1"/>
  <c r="R317" i="19"/>
  <c r="S318" i="19"/>
  <c r="R318" i="19"/>
  <c r="S319" i="19"/>
  <c r="R319" i="19"/>
  <c r="S320" i="19"/>
  <c r="R320" i="19"/>
  <c r="S321" i="19"/>
  <c r="R321" i="19"/>
  <c r="S322" i="19"/>
  <c r="U322" i="19" s="1"/>
  <c r="R322" i="19"/>
  <c r="S323" i="19"/>
  <c r="R323" i="19"/>
  <c r="S324" i="19"/>
  <c r="R324" i="19"/>
  <c r="S325" i="19"/>
  <c r="R325" i="19"/>
  <c r="S326" i="19"/>
  <c r="R326" i="19"/>
  <c r="S327" i="19"/>
  <c r="U327" i="19" s="1"/>
  <c r="R327" i="19"/>
  <c r="S328" i="19"/>
  <c r="R328" i="19"/>
  <c r="S329" i="19"/>
  <c r="R329" i="19"/>
  <c r="S330" i="19"/>
  <c r="R330" i="19"/>
  <c r="S331" i="19"/>
  <c r="R331" i="19"/>
  <c r="S332" i="19"/>
  <c r="R332" i="19"/>
  <c r="S333" i="19"/>
  <c r="U333" i="19" s="1"/>
  <c r="R333" i="19"/>
  <c r="S334" i="19"/>
  <c r="R334" i="19"/>
  <c r="S335" i="19"/>
  <c r="R335" i="19"/>
  <c r="S336" i="19"/>
  <c r="U336" i="19" s="1"/>
  <c r="R336" i="19"/>
  <c r="S337" i="19"/>
  <c r="R337" i="19"/>
  <c r="S338" i="19"/>
  <c r="R338" i="19"/>
  <c r="S339" i="19"/>
  <c r="R339" i="19"/>
  <c r="S340" i="19"/>
  <c r="R340" i="19"/>
  <c r="S341" i="19"/>
  <c r="T341" i="19" s="1"/>
  <c r="R341" i="19"/>
  <c r="S342" i="19"/>
  <c r="U342" i="19" s="1"/>
  <c r="R342" i="19"/>
  <c r="S343" i="19"/>
  <c r="R343" i="19"/>
  <c r="S344" i="19"/>
  <c r="R344" i="19"/>
  <c r="S345" i="19"/>
  <c r="R345" i="19"/>
  <c r="S346" i="19"/>
  <c r="R346" i="19"/>
  <c r="S347" i="19"/>
  <c r="R347" i="19"/>
  <c r="S348" i="19"/>
  <c r="R348" i="19"/>
  <c r="S349" i="19"/>
  <c r="T349" i="19" s="1"/>
  <c r="R349" i="19"/>
  <c r="S350" i="19"/>
  <c r="R350" i="19"/>
  <c r="S351" i="19"/>
  <c r="R351" i="19"/>
  <c r="S352" i="19"/>
  <c r="U352" i="19" s="1"/>
  <c r="R352" i="19"/>
  <c r="S353" i="19"/>
  <c r="T353" i="19" s="1"/>
  <c r="R353" i="19"/>
  <c r="S354" i="19"/>
  <c r="R354" i="19"/>
  <c r="S355" i="19"/>
  <c r="T355" i="19" s="1"/>
  <c r="R355" i="19"/>
  <c r="S356" i="19"/>
  <c r="R356" i="19"/>
  <c r="S357" i="19"/>
  <c r="U357" i="19" s="1"/>
  <c r="R357" i="19"/>
  <c r="S358" i="19"/>
  <c r="R358" i="19"/>
  <c r="S359" i="19"/>
  <c r="T359" i="19" s="1"/>
  <c r="R359" i="19"/>
  <c r="S360" i="19"/>
  <c r="R360" i="19"/>
  <c r="S361" i="19"/>
  <c r="R361" i="19"/>
  <c r="S362" i="19"/>
  <c r="R362" i="19"/>
  <c r="S1551" i="19"/>
  <c r="U1551" i="19" s="1"/>
  <c r="R1551" i="19"/>
  <c r="S364" i="19"/>
  <c r="U364" i="19" s="1"/>
  <c r="R364" i="19"/>
  <c r="S365" i="19"/>
  <c r="R365" i="19"/>
  <c r="R366" i="19"/>
  <c r="S366" i="19"/>
  <c r="U366" i="19" s="1"/>
  <c r="S367" i="19"/>
  <c r="R367" i="19"/>
  <c r="S368" i="19"/>
  <c r="R368" i="19"/>
  <c r="S369" i="19"/>
  <c r="R369" i="19"/>
  <c r="S370" i="19"/>
  <c r="U370" i="19" s="1"/>
  <c r="R370" i="19"/>
  <c r="S371" i="19"/>
  <c r="U371" i="19" s="1"/>
  <c r="R371" i="19"/>
  <c r="S372" i="19"/>
  <c r="R372" i="19"/>
  <c r="S373" i="19"/>
  <c r="R373" i="19"/>
  <c r="S374" i="19"/>
  <c r="R374" i="19"/>
  <c r="S375" i="19"/>
  <c r="R375" i="19"/>
  <c r="S376" i="19"/>
  <c r="U376" i="19" s="1"/>
  <c r="R376" i="19"/>
  <c r="S377" i="19"/>
  <c r="R377" i="19"/>
  <c r="S378" i="19"/>
  <c r="R378" i="19"/>
  <c r="S379" i="19"/>
  <c r="R379" i="19"/>
  <c r="S380" i="19"/>
  <c r="R380" i="19"/>
  <c r="S381" i="19"/>
  <c r="R381" i="19"/>
  <c r="S382" i="19"/>
  <c r="U382" i="19" s="1"/>
  <c r="R382" i="19"/>
  <c r="S383" i="19"/>
  <c r="R383" i="19"/>
  <c r="S384" i="19"/>
  <c r="R384" i="19"/>
  <c r="S385" i="19"/>
  <c r="R385" i="19"/>
  <c r="S386" i="19"/>
  <c r="R386" i="19"/>
  <c r="S387" i="19"/>
  <c r="U387" i="19" s="1"/>
  <c r="R387" i="19"/>
  <c r="S388" i="19"/>
  <c r="U388" i="19" s="1"/>
  <c r="R388" i="19"/>
  <c r="S389" i="19"/>
  <c r="T389" i="19" s="1"/>
  <c r="R389" i="19"/>
  <c r="S390" i="19"/>
  <c r="U390" i="19" s="1"/>
  <c r="R390" i="19"/>
  <c r="S391" i="19"/>
  <c r="R391" i="19"/>
  <c r="S392" i="19"/>
  <c r="R392" i="19"/>
  <c r="S393" i="19"/>
  <c r="R393" i="19"/>
  <c r="S394" i="19"/>
  <c r="U394" i="19" s="1"/>
  <c r="R394" i="19"/>
  <c r="S395" i="19"/>
  <c r="T395" i="19" s="1"/>
  <c r="R395" i="19"/>
  <c r="S396" i="19"/>
  <c r="U396" i="19" s="1"/>
  <c r="R396" i="19"/>
  <c r="S397" i="19"/>
  <c r="R397" i="19"/>
  <c r="S398" i="19"/>
  <c r="R398" i="19"/>
  <c r="S399" i="19"/>
  <c r="R399" i="19"/>
  <c r="S400" i="19"/>
  <c r="U400" i="19" s="1"/>
  <c r="R400" i="19"/>
  <c r="S401" i="19"/>
  <c r="T401" i="19" s="1"/>
  <c r="R401" i="19"/>
  <c r="S402" i="19"/>
  <c r="R402" i="19"/>
  <c r="S403" i="19"/>
  <c r="R403" i="19"/>
  <c r="S404" i="19"/>
  <c r="U404" i="19" s="1"/>
  <c r="R404" i="19"/>
  <c r="S405" i="19"/>
  <c r="R405" i="19"/>
  <c r="S406" i="19"/>
  <c r="T406" i="19" s="1"/>
  <c r="R406" i="19"/>
  <c r="S407" i="19"/>
  <c r="U407" i="19" s="1"/>
  <c r="R407" i="19"/>
  <c r="S408" i="19"/>
  <c r="R408" i="19"/>
  <c r="S409" i="19"/>
  <c r="U409" i="19" s="1"/>
  <c r="R409" i="19"/>
  <c r="S410" i="19"/>
  <c r="R410" i="19"/>
  <c r="S411" i="19"/>
  <c r="R411" i="19"/>
  <c r="S412" i="19"/>
  <c r="R412" i="19"/>
  <c r="S413" i="19"/>
  <c r="R413" i="19"/>
  <c r="S414" i="19"/>
  <c r="R414" i="19"/>
  <c r="S415" i="19"/>
  <c r="R415" i="19"/>
  <c r="S416" i="19"/>
  <c r="U416" i="19" s="1"/>
  <c r="R416" i="19"/>
  <c r="S417" i="19"/>
  <c r="R417" i="19"/>
  <c r="S891" i="19"/>
  <c r="R891" i="19"/>
  <c r="S419" i="19"/>
  <c r="R419" i="19"/>
  <c r="S420" i="19"/>
  <c r="R420" i="19"/>
  <c r="S421" i="19"/>
  <c r="T421" i="19" s="1"/>
  <c r="R421" i="19"/>
  <c r="S422" i="19"/>
  <c r="R422" i="19"/>
  <c r="S423" i="19"/>
  <c r="R423" i="19"/>
  <c r="S424" i="19"/>
  <c r="R424" i="19"/>
  <c r="S425" i="19"/>
  <c r="R425" i="19"/>
  <c r="S426" i="19"/>
  <c r="R426" i="19"/>
  <c r="S427" i="19"/>
  <c r="R427" i="19"/>
  <c r="S428" i="19"/>
  <c r="U428" i="19" s="1"/>
  <c r="R428" i="19"/>
  <c r="S429" i="19"/>
  <c r="T429" i="19" s="1"/>
  <c r="R429" i="19"/>
  <c r="S430" i="19"/>
  <c r="R430" i="19"/>
  <c r="S431" i="19"/>
  <c r="U431" i="19" s="1"/>
  <c r="R431" i="19"/>
  <c r="S432" i="19"/>
  <c r="U432" i="19" s="1"/>
  <c r="R432" i="19"/>
  <c r="S433" i="19"/>
  <c r="U433" i="19" s="1"/>
  <c r="R433" i="19"/>
  <c r="S434" i="19"/>
  <c r="R434" i="19"/>
  <c r="S435" i="19"/>
  <c r="R435" i="19"/>
  <c r="S436" i="19"/>
  <c r="R436" i="19"/>
  <c r="R1555" i="19"/>
  <c r="S1555" i="19"/>
  <c r="T1555" i="19" s="1"/>
  <c r="S438" i="19"/>
  <c r="U438" i="19" s="1"/>
  <c r="R438" i="19"/>
  <c r="S439" i="19"/>
  <c r="U439" i="19" s="1"/>
  <c r="R439" i="19"/>
  <c r="S440" i="19"/>
  <c r="U440" i="19" s="1"/>
  <c r="R440" i="19"/>
  <c r="R441" i="19"/>
  <c r="S441" i="19"/>
  <c r="S442" i="19"/>
  <c r="R442" i="19"/>
  <c r="S443" i="19"/>
  <c r="T443" i="19" s="1"/>
  <c r="R443" i="19"/>
  <c r="S444" i="19"/>
  <c r="R444" i="19"/>
  <c r="S445" i="19"/>
  <c r="T445" i="19" s="1"/>
  <c r="R445" i="19"/>
  <c r="S446" i="19"/>
  <c r="R446" i="19"/>
  <c r="S447" i="19"/>
  <c r="T447" i="19" s="1"/>
  <c r="R447" i="19"/>
  <c r="S448" i="19"/>
  <c r="R448" i="19"/>
  <c r="S449" i="19"/>
  <c r="R449" i="19"/>
  <c r="S450" i="19"/>
  <c r="R450" i="19"/>
  <c r="S451" i="19"/>
  <c r="U451" i="19" s="1"/>
  <c r="R451" i="19"/>
  <c r="S452" i="19"/>
  <c r="R452" i="19"/>
  <c r="S453" i="19"/>
  <c r="T453" i="19" s="1"/>
  <c r="R453" i="19"/>
  <c r="S454" i="19"/>
  <c r="R454" i="19"/>
  <c r="S455" i="19"/>
  <c r="U455" i="19" s="1"/>
  <c r="R455" i="19"/>
  <c r="S456" i="19"/>
  <c r="R456" i="19"/>
  <c r="S457" i="19"/>
  <c r="U457" i="19" s="1"/>
  <c r="R457" i="19"/>
  <c r="S458" i="19"/>
  <c r="U458" i="19" s="1"/>
  <c r="R458" i="19"/>
  <c r="S459" i="19"/>
  <c r="R459" i="19"/>
  <c r="S460" i="19"/>
  <c r="R460" i="19"/>
  <c r="S461" i="19"/>
  <c r="R461" i="19"/>
  <c r="S462" i="19"/>
  <c r="R462" i="19"/>
  <c r="S463" i="19"/>
  <c r="T463" i="19" s="1"/>
  <c r="R463" i="19"/>
  <c r="S464" i="19"/>
  <c r="R464" i="19"/>
  <c r="S465" i="19"/>
  <c r="U465" i="19" s="1"/>
  <c r="R465" i="19"/>
  <c r="S466" i="19"/>
  <c r="R466" i="19"/>
  <c r="S467" i="19"/>
  <c r="T467" i="19" s="1"/>
  <c r="R467" i="19"/>
  <c r="S468" i="19"/>
  <c r="R468" i="19"/>
  <c r="S469" i="19"/>
  <c r="T469" i="19" s="1"/>
  <c r="R469" i="19"/>
  <c r="S470" i="19"/>
  <c r="R470" i="19"/>
  <c r="S471" i="19"/>
  <c r="R471" i="19"/>
  <c r="S472" i="19"/>
  <c r="U472" i="19" s="1"/>
  <c r="R472" i="19"/>
  <c r="S473" i="19"/>
  <c r="U473" i="19" s="1"/>
  <c r="R473" i="19"/>
  <c r="S474" i="19"/>
  <c r="R474" i="19"/>
  <c r="S475" i="19"/>
  <c r="U475" i="19" s="1"/>
  <c r="R475" i="19"/>
  <c r="S476" i="19"/>
  <c r="R476" i="19"/>
  <c r="S477" i="19"/>
  <c r="R477" i="19"/>
  <c r="S478" i="19"/>
  <c r="R478" i="19"/>
  <c r="S479" i="19"/>
  <c r="U479" i="19" s="1"/>
  <c r="R479" i="19"/>
  <c r="S480" i="19"/>
  <c r="R480" i="19"/>
  <c r="S481" i="19"/>
  <c r="U481" i="19" s="1"/>
  <c r="R481" i="19"/>
  <c r="S482" i="19"/>
  <c r="R482" i="19"/>
  <c r="S483" i="19"/>
  <c r="R483" i="19"/>
  <c r="S484" i="19"/>
  <c r="R484" i="19"/>
  <c r="S485" i="19"/>
  <c r="U485" i="19" s="1"/>
  <c r="R485" i="19"/>
  <c r="S486" i="19"/>
  <c r="R486" i="19"/>
  <c r="S487" i="19"/>
  <c r="R487" i="19"/>
  <c r="S488" i="19"/>
  <c r="T488" i="19" s="1"/>
  <c r="R488" i="19"/>
  <c r="S489" i="19"/>
  <c r="R489" i="19"/>
  <c r="S490" i="19"/>
  <c r="T490" i="19" s="1"/>
  <c r="R490" i="19"/>
  <c r="S491" i="19"/>
  <c r="T491" i="19" s="1"/>
  <c r="R491" i="19"/>
  <c r="S492" i="19"/>
  <c r="U492" i="19" s="1"/>
  <c r="R492" i="19"/>
  <c r="S493" i="19"/>
  <c r="R493" i="19"/>
  <c r="S494" i="19"/>
  <c r="T494" i="19" s="1"/>
  <c r="R494" i="19"/>
  <c r="S495" i="19"/>
  <c r="R495" i="19"/>
  <c r="S496" i="19"/>
  <c r="R496" i="19"/>
  <c r="S497" i="19"/>
  <c r="U497" i="19" s="1"/>
  <c r="R497" i="19"/>
  <c r="S498" i="19"/>
  <c r="T498" i="19" s="1"/>
  <c r="R498" i="19"/>
  <c r="S499" i="19"/>
  <c r="T499" i="19" s="1"/>
  <c r="R499" i="19"/>
  <c r="S500" i="19"/>
  <c r="R500" i="19"/>
  <c r="S501" i="19"/>
  <c r="R501" i="19"/>
  <c r="S502" i="19"/>
  <c r="U502" i="19" s="1"/>
  <c r="R502" i="19"/>
  <c r="S503" i="19"/>
  <c r="R503" i="19"/>
  <c r="S504" i="19"/>
  <c r="T504" i="19" s="1"/>
  <c r="R504" i="19"/>
  <c r="S505" i="19"/>
  <c r="U505" i="19" s="1"/>
  <c r="R505" i="19"/>
  <c r="S506" i="19"/>
  <c r="U506" i="19" s="1"/>
  <c r="R506" i="19"/>
  <c r="S507" i="19"/>
  <c r="T507" i="19" s="1"/>
  <c r="R507" i="19"/>
  <c r="S508" i="19"/>
  <c r="R508" i="19"/>
  <c r="S509" i="19"/>
  <c r="R509" i="19"/>
  <c r="S510" i="19"/>
  <c r="R510" i="19"/>
  <c r="S511" i="19"/>
  <c r="R511" i="19"/>
  <c r="S512" i="19"/>
  <c r="T512" i="19" s="1"/>
  <c r="R512" i="19"/>
  <c r="S513" i="19"/>
  <c r="R513" i="19"/>
  <c r="S514" i="19"/>
  <c r="T514" i="19" s="1"/>
  <c r="R514" i="19"/>
  <c r="S515" i="19"/>
  <c r="U515" i="19" s="1"/>
  <c r="R515" i="19"/>
  <c r="S516" i="19"/>
  <c r="U516" i="19" s="1"/>
  <c r="R516" i="19"/>
  <c r="S517" i="19"/>
  <c r="T517" i="19" s="1"/>
  <c r="R517" i="19"/>
  <c r="S518" i="19"/>
  <c r="T518" i="19" s="1"/>
  <c r="R518" i="19"/>
  <c r="S519" i="19"/>
  <c r="T519" i="19" s="1"/>
  <c r="R519" i="19"/>
  <c r="S520" i="19"/>
  <c r="U520" i="19" s="1"/>
  <c r="R520" i="19"/>
  <c r="S521" i="19"/>
  <c r="T521" i="19" s="1"/>
  <c r="R521" i="19"/>
  <c r="S522" i="19"/>
  <c r="T522" i="19" s="1"/>
  <c r="R522" i="19"/>
  <c r="S523" i="19"/>
  <c r="R523" i="19"/>
  <c r="S524" i="19"/>
  <c r="T524" i="19" s="1"/>
  <c r="R524" i="19"/>
  <c r="S525" i="19"/>
  <c r="T525" i="19" s="1"/>
  <c r="R525" i="19"/>
  <c r="S526" i="19"/>
  <c r="R526" i="19"/>
  <c r="S527" i="19"/>
  <c r="R527" i="19"/>
  <c r="S528" i="19"/>
  <c r="T528" i="19" s="1"/>
  <c r="R528" i="19"/>
  <c r="S529" i="19"/>
  <c r="T529" i="19" s="1"/>
  <c r="R529" i="19"/>
  <c r="S530" i="19"/>
  <c r="R530" i="19"/>
  <c r="S531" i="19"/>
  <c r="T531" i="19" s="1"/>
  <c r="R531" i="19"/>
  <c r="S532" i="19"/>
  <c r="R532" i="19"/>
  <c r="S533" i="19"/>
  <c r="T533" i="19" s="1"/>
  <c r="R533" i="19"/>
  <c r="S534" i="19"/>
  <c r="T534" i="19" s="1"/>
  <c r="R534" i="19"/>
  <c r="S535" i="19"/>
  <c r="R535" i="19"/>
  <c r="S536" i="19"/>
  <c r="U536" i="19" s="1"/>
  <c r="R536" i="19"/>
  <c r="S537" i="19"/>
  <c r="R537" i="19"/>
  <c r="S538" i="19"/>
  <c r="R538" i="19"/>
  <c r="S539" i="19"/>
  <c r="T539" i="19" s="1"/>
  <c r="R539" i="19"/>
  <c r="S540" i="19"/>
  <c r="T540" i="19" s="1"/>
  <c r="R540" i="19"/>
  <c r="S541" i="19"/>
  <c r="T541" i="19" s="1"/>
  <c r="R541" i="19"/>
  <c r="S542" i="19"/>
  <c r="T542" i="19" s="1"/>
  <c r="R542" i="19"/>
  <c r="S543" i="19"/>
  <c r="T543" i="19" s="1"/>
  <c r="R543" i="19"/>
  <c r="S544" i="19"/>
  <c r="U544" i="19" s="1"/>
  <c r="R544" i="19"/>
  <c r="R545" i="19"/>
  <c r="S545" i="19"/>
  <c r="T545" i="19" s="1"/>
  <c r="S546" i="19"/>
  <c r="T546" i="19" s="1"/>
  <c r="R546" i="19"/>
  <c r="S547" i="19"/>
  <c r="T547" i="19" s="1"/>
  <c r="R547" i="19"/>
  <c r="S548" i="19"/>
  <c r="T548" i="19" s="1"/>
  <c r="R548" i="19"/>
  <c r="S549" i="19"/>
  <c r="R549" i="19"/>
  <c r="S550" i="19"/>
  <c r="T550" i="19" s="1"/>
  <c r="R550" i="19"/>
  <c r="R551" i="19"/>
  <c r="S551" i="19"/>
  <c r="S552" i="19"/>
  <c r="T552" i="19" s="1"/>
  <c r="R552" i="19"/>
  <c r="S553" i="19"/>
  <c r="T553" i="19" s="1"/>
  <c r="R553" i="19"/>
  <c r="S956" i="19"/>
  <c r="R956" i="19"/>
  <c r="S555" i="19"/>
  <c r="R555" i="19"/>
  <c r="S556" i="19"/>
  <c r="U556" i="19" s="1"/>
  <c r="R556" i="19"/>
  <c r="S557" i="19"/>
  <c r="R557" i="19"/>
  <c r="S558" i="19"/>
  <c r="R558" i="19"/>
  <c r="S559" i="19"/>
  <c r="T559" i="19" s="1"/>
  <c r="R559" i="19"/>
  <c r="S560" i="19"/>
  <c r="U560" i="19" s="1"/>
  <c r="R560" i="19"/>
  <c r="S561" i="19"/>
  <c r="T561" i="19" s="1"/>
  <c r="R561" i="19"/>
  <c r="S562" i="19"/>
  <c r="R562" i="19"/>
  <c r="S563" i="19"/>
  <c r="T563" i="19" s="1"/>
  <c r="R563" i="19"/>
  <c r="S564" i="19"/>
  <c r="T564" i="19" s="1"/>
  <c r="R564" i="19"/>
  <c r="S565" i="19"/>
  <c r="T565" i="19" s="1"/>
  <c r="R565" i="19"/>
  <c r="S566" i="19"/>
  <c r="U566" i="19" s="1"/>
  <c r="R566" i="19"/>
  <c r="S567" i="19"/>
  <c r="R567" i="19"/>
  <c r="S568" i="19"/>
  <c r="T568" i="19" s="1"/>
  <c r="R568" i="19"/>
  <c r="S569" i="19"/>
  <c r="U569" i="19" s="1"/>
  <c r="R569" i="19"/>
  <c r="S570" i="19"/>
  <c r="T570" i="19" s="1"/>
  <c r="R570" i="19"/>
  <c r="S571" i="19"/>
  <c r="R571" i="19"/>
  <c r="S572" i="19"/>
  <c r="T572" i="19" s="1"/>
  <c r="R572" i="19"/>
  <c r="S573" i="19"/>
  <c r="U573" i="19" s="1"/>
  <c r="R573" i="19"/>
  <c r="S574" i="19"/>
  <c r="R574" i="19"/>
  <c r="S575" i="19"/>
  <c r="T575" i="19" s="1"/>
  <c r="R575" i="19"/>
  <c r="S576" i="19"/>
  <c r="T576" i="19" s="1"/>
  <c r="R576" i="19"/>
  <c r="S577" i="19"/>
  <c r="T577" i="19" s="1"/>
  <c r="R577" i="19"/>
  <c r="S578" i="19"/>
  <c r="R578" i="19"/>
  <c r="S579" i="19"/>
  <c r="U579" i="19" s="1"/>
  <c r="R579" i="19"/>
  <c r="S580" i="19"/>
  <c r="T580" i="19" s="1"/>
  <c r="R580" i="19"/>
  <c r="S581" i="19"/>
  <c r="T581" i="19" s="1"/>
  <c r="R581" i="19"/>
  <c r="S582" i="19"/>
  <c r="U582" i="19" s="1"/>
  <c r="R582" i="19"/>
  <c r="S583" i="19"/>
  <c r="T583" i="19" s="1"/>
  <c r="R583" i="19"/>
  <c r="S584" i="19"/>
  <c r="R584" i="19"/>
  <c r="S585" i="19"/>
  <c r="R585" i="19"/>
  <c r="S586" i="19"/>
  <c r="T586" i="19" s="1"/>
  <c r="R586" i="19"/>
  <c r="S587" i="19"/>
  <c r="T587" i="19" s="1"/>
  <c r="R587" i="19"/>
  <c r="S588" i="19"/>
  <c r="T588" i="19" s="1"/>
  <c r="R588" i="19"/>
  <c r="S589" i="19"/>
  <c r="T589" i="19" s="1"/>
  <c r="R589" i="19"/>
  <c r="S590" i="19"/>
  <c r="T590" i="19" s="1"/>
  <c r="R590" i="19"/>
  <c r="S591" i="19"/>
  <c r="R591" i="19"/>
  <c r="S592" i="19"/>
  <c r="U592" i="19" s="1"/>
  <c r="R592" i="19"/>
  <c r="S593" i="19"/>
  <c r="R593" i="19"/>
  <c r="S594" i="19"/>
  <c r="T594" i="19" s="1"/>
  <c r="R594" i="19"/>
  <c r="S595" i="19"/>
  <c r="T595" i="19" s="1"/>
  <c r="R595" i="19"/>
  <c r="S596" i="19"/>
  <c r="T596" i="19" s="1"/>
  <c r="R596" i="19"/>
  <c r="S597" i="19"/>
  <c r="R597" i="19"/>
  <c r="S598" i="19"/>
  <c r="R598" i="19"/>
  <c r="S599" i="19"/>
  <c r="R599" i="19"/>
  <c r="S600" i="19"/>
  <c r="T600" i="19" s="1"/>
  <c r="R600" i="19"/>
  <c r="S601" i="19"/>
  <c r="R601" i="19"/>
  <c r="S602" i="19"/>
  <c r="R602" i="19"/>
  <c r="S603" i="19"/>
  <c r="R603" i="19"/>
  <c r="S604" i="19"/>
  <c r="R604" i="19"/>
  <c r="S605" i="19"/>
  <c r="T605" i="19" s="1"/>
  <c r="R605" i="19"/>
  <c r="S606" i="19"/>
  <c r="T606" i="19" s="1"/>
  <c r="R606" i="19"/>
  <c r="S607" i="19"/>
  <c r="T607" i="19" s="1"/>
  <c r="R607" i="19"/>
  <c r="S608" i="19"/>
  <c r="U608" i="19" s="1"/>
  <c r="R608" i="19"/>
  <c r="S609" i="19"/>
  <c r="R609" i="19"/>
  <c r="S610" i="19"/>
  <c r="R610" i="19"/>
  <c r="S611" i="19"/>
  <c r="T611" i="19" s="1"/>
  <c r="R611" i="19"/>
  <c r="S612" i="19"/>
  <c r="T612" i="19" s="1"/>
  <c r="R612" i="19"/>
  <c r="S613" i="19"/>
  <c r="T613" i="19" s="1"/>
  <c r="R613" i="19"/>
  <c r="S614" i="19"/>
  <c r="T614" i="19" s="1"/>
  <c r="R614" i="19"/>
  <c r="S615" i="19"/>
  <c r="R615" i="19"/>
  <c r="S616" i="19"/>
  <c r="T616" i="19" s="1"/>
  <c r="R616" i="19"/>
  <c r="S617" i="19"/>
  <c r="U617" i="19" s="1"/>
  <c r="R617" i="19"/>
  <c r="S618" i="19"/>
  <c r="T618" i="19" s="1"/>
  <c r="R618" i="19"/>
  <c r="S619" i="19"/>
  <c r="R619" i="19"/>
  <c r="S620" i="19"/>
  <c r="R620" i="19"/>
  <c r="S621" i="19"/>
  <c r="T621" i="19" s="1"/>
  <c r="R621" i="19"/>
  <c r="S622" i="19"/>
  <c r="R622" i="19"/>
  <c r="S623" i="19"/>
  <c r="R623" i="19"/>
  <c r="S1007" i="19"/>
  <c r="R1007" i="19"/>
  <c r="S1015" i="19"/>
  <c r="T1015" i="19" s="1"/>
  <c r="R1015" i="19"/>
  <c r="S626" i="19"/>
  <c r="R626" i="19"/>
  <c r="S627" i="19"/>
  <c r="R627" i="19"/>
  <c r="S628" i="19"/>
  <c r="R628" i="19"/>
  <c r="S629" i="19"/>
  <c r="T629" i="19" s="1"/>
  <c r="R629" i="19"/>
  <c r="S630" i="19"/>
  <c r="R630" i="19"/>
  <c r="S631" i="19"/>
  <c r="R631" i="19"/>
  <c r="S632" i="19"/>
  <c r="R632" i="19"/>
  <c r="S633" i="19"/>
  <c r="T633" i="19" s="1"/>
  <c r="R633" i="19"/>
  <c r="S634" i="19"/>
  <c r="R634" i="19"/>
  <c r="S635" i="19"/>
  <c r="T635" i="19" s="1"/>
  <c r="R635" i="19"/>
  <c r="S636" i="19"/>
  <c r="R636" i="19"/>
  <c r="S637" i="19"/>
  <c r="T637" i="19" s="1"/>
  <c r="R637" i="19"/>
  <c r="S638" i="19"/>
  <c r="R638" i="19"/>
  <c r="S639" i="19"/>
  <c r="U639" i="19" s="1"/>
  <c r="R639" i="19"/>
  <c r="S640" i="19"/>
  <c r="R640" i="19"/>
  <c r="S641" i="19"/>
  <c r="T641" i="19" s="1"/>
  <c r="R641" i="19"/>
  <c r="S642" i="19"/>
  <c r="R642" i="19"/>
  <c r="R643" i="19"/>
  <c r="S643" i="19"/>
  <c r="T643" i="19" s="1"/>
  <c r="S644" i="19"/>
  <c r="R644" i="19"/>
  <c r="S645" i="19"/>
  <c r="T645" i="19" s="1"/>
  <c r="R645" i="19"/>
  <c r="S646" i="19"/>
  <c r="R646" i="19"/>
  <c r="S647" i="19"/>
  <c r="R647" i="19"/>
  <c r="S648" i="19"/>
  <c r="R648" i="19"/>
  <c r="R649" i="19"/>
  <c r="S649" i="19"/>
  <c r="T649" i="19" s="1"/>
  <c r="S650" i="19"/>
  <c r="U650" i="19" s="1"/>
  <c r="R650" i="19"/>
  <c r="S651" i="19"/>
  <c r="U651" i="19" s="1"/>
  <c r="R651" i="19"/>
  <c r="S652" i="19"/>
  <c r="U652" i="19" s="1"/>
  <c r="R652" i="19"/>
  <c r="S653" i="19"/>
  <c r="R653" i="19"/>
  <c r="S654" i="19"/>
  <c r="U654" i="19" s="1"/>
  <c r="R654" i="19"/>
  <c r="S655" i="19"/>
  <c r="T655" i="19" s="1"/>
  <c r="R655" i="19"/>
  <c r="S656" i="19"/>
  <c r="U656" i="19" s="1"/>
  <c r="R656" i="19"/>
  <c r="S657" i="19"/>
  <c r="R657" i="19"/>
  <c r="S658" i="19"/>
  <c r="U658" i="19" s="1"/>
  <c r="R658" i="19"/>
  <c r="S659" i="19"/>
  <c r="R659" i="19"/>
  <c r="S660" i="19"/>
  <c r="U660" i="19" s="1"/>
  <c r="R660" i="19"/>
  <c r="S661" i="19"/>
  <c r="T661" i="19" s="1"/>
  <c r="R661" i="19"/>
  <c r="S662" i="19"/>
  <c r="R662" i="19"/>
  <c r="S663" i="19"/>
  <c r="T663" i="19" s="1"/>
  <c r="R663" i="19"/>
  <c r="S664" i="19"/>
  <c r="R664" i="19"/>
  <c r="S665" i="19"/>
  <c r="T665" i="19" s="1"/>
  <c r="R665" i="19"/>
  <c r="S666" i="19"/>
  <c r="U666" i="19" s="1"/>
  <c r="R666" i="19"/>
  <c r="S667" i="19"/>
  <c r="T667" i="19" s="1"/>
  <c r="R667" i="19"/>
  <c r="S668" i="19"/>
  <c r="U668" i="19" s="1"/>
  <c r="R668" i="19"/>
  <c r="S669" i="19"/>
  <c r="R669" i="19"/>
  <c r="S670" i="19"/>
  <c r="U670" i="19" s="1"/>
  <c r="R670" i="19"/>
  <c r="S671" i="19"/>
  <c r="U671" i="19" s="1"/>
  <c r="R671" i="19"/>
  <c r="S672" i="19"/>
  <c r="T672" i="19" s="1"/>
  <c r="R672" i="19"/>
  <c r="S673" i="19"/>
  <c r="U673" i="19" s="1"/>
  <c r="R673" i="19"/>
  <c r="R674" i="19"/>
  <c r="S674" i="19"/>
  <c r="U674" i="19" s="1"/>
  <c r="S675" i="19"/>
  <c r="U675" i="19" s="1"/>
  <c r="R675" i="19"/>
  <c r="S676" i="19"/>
  <c r="T676" i="19" s="1"/>
  <c r="R676" i="19"/>
  <c r="S677" i="19"/>
  <c r="U677" i="19" s="1"/>
  <c r="R677" i="19"/>
  <c r="S1138" i="19"/>
  <c r="T1138" i="19" s="1"/>
  <c r="R1138" i="19"/>
  <c r="S679" i="19"/>
  <c r="U679" i="19" s="1"/>
  <c r="R679" i="19"/>
  <c r="S680" i="19"/>
  <c r="R680" i="19"/>
  <c r="S681" i="19"/>
  <c r="U681" i="19" s="1"/>
  <c r="R681" i="19"/>
  <c r="S682" i="19"/>
  <c r="T682" i="19" s="1"/>
  <c r="R682" i="19"/>
  <c r="S683" i="19"/>
  <c r="T683" i="19" s="1"/>
  <c r="R683" i="19"/>
  <c r="S684" i="19"/>
  <c r="U684" i="19" s="1"/>
  <c r="R684" i="19"/>
  <c r="S685" i="19"/>
  <c r="T685" i="19" s="1"/>
  <c r="R685" i="19"/>
  <c r="S686" i="19"/>
  <c r="U686" i="19" s="1"/>
  <c r="R686" i="19"/>
  <c r="S687" i="19"/>
  <c r="U687" i="19" s="1"/>
  <c r="R687" i="19"/>
  <c r="S688" i="19"/>
  <c r="R688" i="19"/>
  <c r="S689" i="19"/>
  <c r="T689" i="19" s="1"/>
  <c r="R689" i="19"/>
  <c r="S690" i="19"/>
  <c r="U690" i="19" s="1"/>
  <c r="R690" i="19"/>
  <c r="S691" i="19"/>
  <c r="T691" i="19" s="1"/>
  <c r="R691" i="19"/>
  <c r="S692" i="19"/>
  <c r="U692" i="19" s="1"/>
  <c r="R692" i="19"/>
  <c r="S693" i="19"/>
  <c r="T693" i="19" s="1"/>
  <c r="R693" i="19"/>
  <c r="S694" i="19"/>
  <c r="U694" i="19" s="1"/>
  <c r="R694" i="19"/>
  <c r="S695" i="19"/>
  <c r="R695" i="19"/>
  <c r="S696" i="19"/>
  <c r="T696" i="19" s="1"/>
  <c r="R696" i="19"/>
  <c r="S697" i="19"/>
  <c r="R697" i="19"/>
  <c r="S698" i="19"/>
  <c r="U698" i="19" s="1"/>
  <c r="R698" i="19"/>
  <c r="S699" i="19"/>
  <c r="R699" i="19"/>
  <c r="S700" i="19"/>
  <c r="T700" i="19" s="1"/>
  <c r="R700" i="19"/>
  <c r="S701" i="19"/>
  <c r="U701" i="19" s="1"/>
  <c r="R701" i="19"/>
  <c r="S702" i="19"/>
  <c r="T702" i="19" s="1"/>
  <c r="R702" i="19"/>
  <c r="S703" i="19"/>
  <c r="T703" i="19" s="1"/>
  <c r="R703" i="19"/>
  <c r="S704" i="19"/>
  <c r="R704" i="19"/>
  <c r="S705" i="19"/>
  <c r="T705" i="19" s="1"/>
  <c r="R705" i="19"/>
  <c r="S706" i="19"/>
  <c r="T706" i="19" s="1"/>
  <c r="R706" i="19"/>
  <c r="S707" i="19"/>
  <c r="R707" i="19"/>
  <c r="S708" i="19"/>
  <c r="R708" i="19"/>
  <c r="S709" i="19"/>
  <c r="U709" i="19" s="1"/>
  <c r="R709" i="19"/>
  <c r="S710" i="19"/>
  <c r="T710" i="19" s="1"/>
  <c r="R710" i="19"/>
  <c r="S711" i="19"/>
  <c r="R711" i="19"/>
  <c r="R712" i="19"/>
  <c r="S712" i="19"/>
  <c r="T712" i="19" s="1"/>
  <c r="S713" i="19"/>
  <c r="R713" i="19"/>
  <c r="S714" i="19"/>
  <c r="R714" i="19"/>
  <c r="S715" i="19"/>
  <c r="U715" i="19" s="1"/>
  <c r="R715" i="19"/>
  <c r="S716" i="19"/>
  <c r="T716" i="19" s="1"/>
  <c r="R716" i="19"/>
  <c r="S717" i="19"/>
  <c r="T717" i="19" s="1"/>
  <c r="R717" i="19"/>
  <c r="S718" i="19"/>
  <c r="U718" i="19" s="1"/>
  <c r="R718" i="19"/>
  <c r="S719" i="19"/>
  <c r="U719" i="19" s="1"/>
  <c r="R719" i="19"/>
  <c r="S720" i="19"/>
  <c r="R720" i="19"/>
  <c r="S721" i="19"/>
  <c r="T721" i="19" s="1"/>
  <c r="R721" i="19"/>
  <c r="S722" i="19"/>
  <c r="U722" i="19" s="1"/>
  <c r="R722" i="19"/>
  <c r="S723" i="19"/>
  <c r="T723" i="19" s="1"/>
  <c r="R723" i="19"/>
  <c r="S724" i="19"/>
  <c r="R724" i="19"/>
  <c r="S725" i="19"/>
  <c r="R725" i="19"/>
  <c r="S726" i="19"/>
  <c r="R726" i="19"/>
  <c r="S727" i="19"/>
  <c r="R727" i="19"/>
  <c r="S728" i="19"/>
  <c r="T728" i="19" s="1"/>
  <c r="R728" i="19"/>
  <c r="S729" i="19"/>
  <c r="T729" i="19" s="1"/>
  <c r="R729" i="19"/>
  <c r="S730" i="19"/>
  <c r="U730" i="19" s="1"/>
  <c r="R730" i="19"/>
  <c r="S731" i="19"/>
  <c r="T731" i="19" s="1"/>
  <c r="R731" i="19"/>
  <c r="S732" i="19"/>
  <c r="U732" i="19" s="1"/>
  <c r="R732" i="19"/>
  <c r="S733" i="19"/>
  <c r="U733" i="19" s="1"/>
  <c r="R733" i="19"/>
  <c r="S734" i="19"/>
  <c r="R734" i="19"/>
  <c r="S735" i="19"/>
  <c r="T735" i="19" s="1"/>
  <c r="R735" i="19"/>
  <c r="S736" i="19"/>
  <c r="T736" i="19" s="1"/>
  <c r="R736" i="19"/>
  <c r="S737" i="19"/>
  <c r="R737" i="19"/>
  <c r="S738" i="19"/>
  <c r="R738" i="19"/>
  <c r="S739" i="19"/>
  <c r="U739" i="19" s="1"/>
  <c r="R739" i="19"/>
  <c r="S740" i="19"/>
  <c r="T740" i="19" s="1"/>
  <c r="R740" i="19"/>
  <c r="S741" i="19"/>
  <c r="R741" i="19"/>
  <c r="S742" i="19"/>
  <c r="U742" i="19" s="1"/>
  <c r="R742" i="19"/>
  <c r="S1197" i="19"/>
  <c r="T1197" i="19" s="1"/>
  <c r="R1197" i="19"/>
  <c r="S744" i="19"/>
  <c r="R744" i="19"/>
  <c r="S745" i="19"/>
  <c r="T745" i="19" s="1"/>
  <c r="R745" i="19"/>
  <c r="S746" i="19"/>
  <c r="R746" i="19"/>
  <c r="S747" i="19"/>
  <c r="T747" i="19" s="1"/>
  <c r="R747" i="19"/>
  <c r="S748" i="19"/>
  <c r="U748" i="19" s="1"/>
  <c r="R748" i="19"/>
  <c r="S749" i="19"/>
  <c r="T749" i="19" s="1"/>
  <c r="R749" i="19"/>
  <c r="S750" i="19"/>
  <c r="T750" i="19" s="1"/>
  <c r="R750" i="19"/>
  <c r="S751" i="19"/>
  <c r="R751" i="19"/>
  <c r="R752" i="19"/>
  <c r="S752" i="19"/>
  <c r="T752" i="19" s="1"/>
  <c r="S753" i="19"/>
  <c r="T753" i="19" s="1"/>
  <c r="R753" i="19"/>
  <c r="S754" i="19"/>
  <c r="R754" i="19"/>
  <c r="S755" i="19"/>
  <c r="T755" i="19" s="1"/>
  <c r="R755" i="19"/>
  <c r="S756" i="19"/>
  <c r="T756" i="19" s="1"/>
  <c r="R756" i="19"/>
  <c r="S757" i="19"/>
  <c r="T757" i="19" s="1"/>
  <c r="R757" i="19"/>
  <c r="S758" i="19"/>
  <c r="R758" i="19"/>
  <c r="S759" i="19"/>
  <c r="T759" i="19" s="1"/>
  <c r="R759" i="19"/>
  <c r="S760" i="19"/>
  <c r="R760" i="19"/>
  <c r="S761" i="19"/>
  <c r="T761" i="19" s="1"/>
  <c r="R761" i="19"/>
  <c r="S762" i="19"/>
  <c r="T762" i="19" s="1"/>
  <c r="R762" i="19"/>
  <c r="S763" i="19"/>
  <c r="U763" i="19" s="1"/>
  <c r="R763" i="19"/>
  <c r="S764" i="19"/>
  <c r="T764" i="19" s="1"/>
  <c r="R764" i="19"/>
  <c r="S765" i="19"/>
  <c r="U765" i="19" s="1"/>
  <c r="R765" i="19"/>
  <c r="S766" i="19"/>
  <c r="R766" i="19"/>
  <c r="S251" i="19"/>
  <c r="U251" i="19" s="1"/>
  <c r="R251" i="19"/>
  <c r="S768" i="19"/>
  <c r="R768" i="19"/>
  <c r="S769" i="19"/>
  <c r="T769" i="19" s="1"/>
  <c r="R769" i="19"/>
  <c r="S770" i="19"/>
  <c r="U770" i="19" s="1"/>
  <c r="R770" i="19"/>
  <c r="S771" i="19"/>
  <c r="T771" i="19" s="1"/>
  <c r="R771" i="19"/>
  <c r="S118" i="19"/>
  <c r="R118" i="19"/>
  <c r="S773" i="19"/>
  <c r="T773" i="19" s="1"/>
  <c r="R773" i="19"/>
  <c r="S774" i="19"/>
  <c r="R774" i="19"/>
  <c r="S775" i="19"/>
  <c r="R775" i="19"/>
  <c r="S776" i="19"/>
  <c r="T776" i="19" s="1"/>
  <c r="R776" i="19"/>
  <c r="S777" i="19"/>
  <c r="T777" i="19" s="1"/>
  <c r="R777" i="19"/>
  <c r="S778" i="19"/>
  <c r="R778" i="19"/>
  <c r="S779" i="19"/>
  <c r="T779" i="19" s="1"/>
  <c r="R779" i="19"/>
  <c r="S780" i="19"/>
  <c r="T780" i="19" s="1"/>
  <c r="R780" i="19"/>
  <c r="S781" i="19"/>
  <c r="T781" i="19" s="1"/>
  <c r="R781" i="19"/>
  <c r="S782" i="19"/>
  <c r="R782" i="19"/>
  <c r="S783" i="19"/>
  <c r="T783" i="19" s="1"/>
  <c r="R783" i="19"/>
  <c r="S784" i="19"/>
  <c r="U784" i="19" s="1"/>
  <c r="R784" i="19"/>
  <c r="S785" i="19"/>
  <c r="R785" i="19"/>
  <c r="S786" i="19"/>
  <c r="T786" i="19" s="1"/>
  <c r="R786" i="19"/>
  <c r="S787" i="19"/>
  <c r="U787" i="19" s="1"/>
  <c r="R787" i="19"/>
  <c r="S788" i="19"/>
  <c r="T788" i="19" s="1"/>
  <c r="R788" i="19"/>
  <c r="S789" i="19"/>
  <c r="U789" i="19" s="1"/>
  <c r="R789" i="19"/>
  <c r="S790" i="19"/>
  <c r="R790" i="19"/>
  <c r="S791" i="19"/>
  <c r="R791" i="19"/>
  <c r="S1624" i="19"/>
  <c r="R1624" i="19"/>
  <c r="S793" i="19"/>
  <c r="T793" i="19" s="1"/>
  <c r="R793" i="19"/>
  <c r="S794" i="19"/>
  <c r="U794" i="19" s="1"/>
  <c r="R794" i="19"/>
  <c r="S795" i="19"/>
  <c r="T795" i="19" s="1"/>
  <c r="R795" i="19"/>
  <c r="R796" i="19"/>
  <c r="S796" i="19"/>
  <c r="T796" i="19" s="1"/>
  <c r="S797" i="19"/>
  <c r="T797" i="19" s="1"/>
  <c r="R797" i="19"/>
  <c r="S798" i="19"/>
  <c r="R798" i="19"/>
  <c r="S799" i="19"/>
  <c r="R799" i="19"/>
  <c r="S800" i="19"/>
  <c r="T800" i="19" s="1"/>
  <c r="R800" i="19"/>
  <c r="S801" i="19"/>
  <c r="T801" i="19" s="1"/>
  <c r="R801" i="19"/>
  <c r="S802" i="19"/>
  <c r="R802" i="19"/>
  <c r="S803" i="19"/>
  <c r="T803" i="19" s="1"/>
  <c r="R803" i="19"/>
  <c r="S804" i="19"/>
  <c r="T804" i="19" s="1"/>
  <c r="R804" i="19"/>
  <c r="S805" i="19"/>
  <c r="T805" i="19" s="1"/>
  <c r="R805" i="19"/>
  <c r="S806" i="19"/>
  <c r="R806" i="19"/>
  <c r="S807" i="19"/>
  <c r="T807" i="19" s="1"/>
  <c r="R807" i="19"/>
  <c r="S808" i="19"/>
  <c r="R808" i="19"/>
  <c r="S809" i="19"/>
  <c r="T809" i="19" s="1"/>
  <c r="R809" i="19"/>
  <c r="S810" i="19"/>
  <c r="T810" i="19" s="1"/>
  <c r="R810" i="19"/>
  <c r="S811" i="19"/>
  <c r="R811" i="19"/>
  <c r="S812" i="19"/>
  <c r="T812" i="19" s="1"/>
  <c r="R812" i="19"/>
  <c r="S813" i="19"/>
  <c r="R813" i="19"/>
  <c r="S814" i="19"/>
  <c r="T814" i="19" s="1"/>
  <c r="R814" i="19"/>
  <c r="S815" i="19"/>
  <c r="T815" i="19" s="1"/>
  <c r="R815" i="19"/>
  <c r="S816" i="19"/>
  <c r="R816" i="19"/>
  <c r="S817" i="19"/>
  <c r="T817" i="19" s="1"/>
  <c r="R817" i="19"/>
  <c r="S818" i="19"/>
  <c r="U818" i="19" s="1"/>
  <c r="R818" i="19"/>
  <c r="S819" i="19"/>
  <c r="T819" i="19" s="1"/>
  <c r="R819" i="19"/>
  <c r="S820" i="19"/>
  <c r="U820" i="19" s="1"/>
  <c r="R820" i="19"/>
  <c r="S821" i="19"/>
  <c r="T821" i="19" s="1"/>
  <c r="R821" i="19"/>
  <c r="S822" i="19"/>
  <c r="R822" i="19"/>
  <c r="S823" i="19"/>
  <c r="R823" i="19"/>
  <c r="S824" i="19"/>
  <c r="T824" i="19" s="1"/>
  <c r="R824" i="19"/>
  <c r="S825" i="19"/>
  <c r="T825" i="19" s="1"/>
  <c r="R825" i="19"/>
  <c r="S826" i="19"/>
  <c r="U826" i="19" s="1"/>
  <c r="R826" i="19"/>
  <c r="S827" i="19"/>
  <c r="T827" i="19" s="1"/>
  <c r="R827" i="19"/>
  <c r="S828" i="19"/>
  <c r="T828" i="19" s="1"/>
  <c r="R828" i="19"/>
  <c r="S829" i="19"/>
  <c r="R829" i="19"/>
  <c r="S830" i="19"/>
  <c r="T830" i="19" s="1"/>
  <c r="R830" i="19"/>
  <c r="S831" i="19"/>
  <c r="R831" i="19"/>
  <c r="S832" i="19"/>
  <c r="R832" i="19"/>
  <c r="S833" i="19"/>
  <c r="T833" i="19" s="1"/>
  <c r="R833" i="19"/>
  <c r="S834" i="19"/>
  <c r="T834" i="19" s="1"/>
  <c r="R834" i="19"/>
  <c r="S835" i="19"/>
  <c r="U835" i="19" s="1"/>
  <c r="R835" i="19"/>
  <c r="S836" i="19"/>
  <c r="T836" i="19" s="1"/>
  <c r="R836" i="19"/>
  <c r="S837" i="19"/>
  <c r="U837" i="19" s="1"/>
  <c r="R837" i="19"/>
  <c r="S838" i="19"/>
  <c r="T838" i="19" s="1"/>
  <c r="R838" i="19"/>
  <c r="S839" i="19"/>
  <c r="T839" i="19" s="1"/>
  <c r="R839" i="19"/>
  <c r="S840" i="19"/>
  <c r="R840" i="19"/>
  <c r="S841" i="19"/>
  <c r="T841" i="19" s="1"/>
  <c r="R841" i="19"/>
  <c r="S842" i="19"/>
  <c r="R842" i="19"/>
  <c r="S843" i="19"/>
  <c r="T843" i="19" s="1"/>
  <c r="R843" i="19"/>
  <c r="S844" i="19"/>
  <c r="U844" i="19" s="1"/>
  <c r="R844" i="19"/>
  <c r="S845" i="19"/>
  <c r="T845" i="19" s="1"/>
  <c r="R845" i="19"/>
  <c r="S846" i="19"/>
  <c r="T846" i="19" s="1"/>
  <c r="R846" i="19"/>
  <c r="S847" i="19"/>
  <c r="R847" i="19"/>
  <c r="S848" i="19"/>
  <c r="T848" i="19" s="1"/>
  <c r="R848" i="19"/>
  <c r="S849" i="19"/>
  <c r="T849" i="19" s="1"/>
  <c r="R849" i="19"/>
  <c r="S850" i="19"/>
  <c r="U850" i="19" s="1"/>
  <c r="R850" i="19"/>
  <c r="S851" i="19"/>
  <c r="U851" i="19" s="1"/>
  <c r="R851" i="19"/>
  <c r="S852" i="19"/>
  <c r="R852" i="19"/>
  <c r="S853" i="19"/>
  <c r="T853" i="19" s="1"/>
  <c r="R853" i="19"/>
  <c r="S854" i="19"/>
  <c r="T854" i="19" s="1"/>
  <c r="R854" i="19"/>
  <c r="S855" i="19"/>
  <c r="T855" i="19" s="1"/>
  <c r="R855" i="19"/>
  <c r="S856" i="19"/>
  <c r="R856" i="19"/>
  <c r="S1251" i="19"/>
  <c r="T1251" i="19" s="1"/>
  <c r="R1251" i="19"/>
  <c r="S858" i="19"/>
  <c r="R858" i="19"/>
  <c r="S859" i="19"/>
  <c r="R859" i="19"/>
  <c r="S860" i="19"/>
  <c r="T860" i="19" s="1"/>
  <c r="R860" i="19"/>
  <c r="S861" i="19"/>
  <c r="U861" i="19" s="1"/>
  <c r="R861" i="19"/>
  <c r="S862" i="19"/>
  <c r="T862" i="19" s="1"/>
  <c r="R862" i="19"/>
  <c r="S863" i="19"/>
  <c r="R863" i="19"/>
  <c r="S864" i="19"/>
  <c r="R864" i="19"/>
  <c r="S865" i="19"/>
  <c r="U865" i="19" s="1"/>
  <c r="R865" i="19"/>
  <c r="R866" i="19"/>
  <c r="S866" i="19"/>
  <c r="S867" i="19"/>
  <c r="T867" i="19" s="1"/>
  <c r="R867" i="19"/>
  <c r="S868" i="19"/>
  <c r="U868" i="19" s="1"/>
  <c r="R868" i="19"/>
  <c r="S869" i="19"/>
  <c r="T869" i="19" s="1"/>
  <c r="R869" i="19"/>
  <c r="S870" i="19"/>
  <c r="R870" i="19"/>
  <c r="S871" i="19"/>
  <c r="R871" i="19"/>
  <c r="S872" i="19"/>
  <c r="T872" i="19" s="1"/>
  <c r="R872" i="19"/>
  <c r="S873" i="19"/>
  <c r="T873" i="19" s="1"/>
  <c r="R873" i="19"/>
  <c r="S874" i="19"/>
  <c r="R874" i="19"/>
  <c r="S875" i="19"/>
  <c r="R875" i="19"/>
  <c r="S876" i="19"/>
  <c r="U876" i="19" s="1"/>
  <c r="R876" i="19"/>
  <c r="S877" i="19"/>
  <c r="U877" i="19" s="1"/>
  <c r="R877" i="19"/>
  <c r="S878" i="19"/>
  <c r="T878" i="19" s="1"/>
  <c r="R878" i="19"/>
  <c r="S879" i="19"/>
  <c r="T879" i="19" s="1"/>
  <c r="R879" i="19"/>
  <c r="S880" i="19"/>
  <c r="R880" i="19"/>
  <c r="S881" i="19"/>
  <c r="R881" i="19"/>
  <c r="R882" i="19"/>
  <c r="S882" i="19"/>
  <c r="T882" i="19" s="1"/>
  <c r="S883" i="19"/>
  <c r="U883" i="19" s="1"/>
  <c r="R883" i="19"/>
  <c r="S884" i="19"/>
  <c r="R884" i="19"/>
  <c r="S885" i="19"/>
  <c r="T885" i="19" s="1"/>
  <c r="R885" i="19"/>
  <c r="S886" i="19"/>
  <c r="T886" i="19" s="1"/>
  <c r="R886" i="19"/>
  <c r="S887" i="19"/>
  <c r="R887" i="19"/>
  <c r="S888" i="19"/>
  <c r="U888" i="19" s="1"/>
  <c r="R888" i="19"/>
  <c r="S889" i="19"/>
  <c r="R889" i="19"/>
  <c r="S890" i="19"/>
  <c r="T890" i="19" s="1"/>
  <c r="R890" i="19"/>
  <c r="S1300" i="19"/>
  <c r="T1300" i="19" s="1"/>
  <c r="R1300" i="19"/>
  <c r="S892" i="19"/>
  <c r="T892" i="19" s="1"/>
  <c r="R892" i="19"/>
  <c r="R893" i="19"/>
  <c r="S893" i="19"/>
  <c r="T893" i="19" s="1"/>
  <c r="S894" i="19"/>
  <c r="R894" i="19"/>
  <c r="S895" i="19"/>
  <c r="R895" i="19"/>
  <c r="S896" i="19"/>
  <c r="T896" i="19" s="1"/>
  <c r="R896" i="19"/>
  <c r="S897" i="19"/>
  <c r="R897" i="19"/>
  <c r="S898" i="19"/>
  <c r="T898" i="19" s="1"/>
  <c r="R898" i="19"/>
  <c r="S899" i="19"/>
  <c r="R899" i="19"/>
  <c r="S900" i="19"/>
  <c r="U900" i="19" s="1"/>
  <c r="R900" i="19"/>
  <c r="S901" i="19"/>
  <c r="T901" i="19" s="1"/>
  <c r="R901" i="19"/>
  <c r="S902" i="19"/>
  <c r="T902" i="19" s="1"/>
  <c r="R902" i="19"/>
  <c r="S903" i="19"/>
  <c r="R903" i="19"/>
  <c r="S904" i="19"/>
  <c r="T904" i="19" s="1"/>
  <c r="R904" i="19"/>
  <c r="S905" i="19"/>
  <c r="T905" i="19" s="1"/>
  <c r="R905" i="19"/>
  <c r="S906" i="19"/>
  <c r="U906" i="19" s="1"/>
  <c r="R906" i="19"/>
  <c r="S907" i="19"/>
  <c r="T907" i="19" s="1"/>
  <c r="R907" i="19"/>
  <c r="S908" i="19"/>
  <c r="U908" i="19" s="1"/>
  <c r="R908" i="19"/>
  <c r="S909" i="19"/>
  <c r="T909" i="19" s="1"/>
  <c r="R909" i="19"/>
  <c r="S910" i="19"/>
  <c r="R910" i="19"/>
  <c r="S911" i="19"/>
  <c r="R911" i="19"/>
  <c r="S912" i="19"/>
  <c r="T912" i="19" s="1"/>
  <c r="R912" i="19"/>
  <c r="S913" i="19"/>
  <c r="R913" i="19"/>
  <c r="S914" i="19"/>
  <c r="U914" i="19" s="1"/>
  <c r="R914" i="19"/>
  <c r="R915" i="19"/>
  <c r="S915" i="19"/>
  <c r="S916" i="19"/>
  <c r="T916" i="19" s="1"/>
  <c r="R916" i="19"/>
  <c r="S917" i="19"/>
  <c r="R917" i="19"/>
  <c r="S918" i="19"/>
  <c r="T918" i="19" s="1"/>
  <c r="R918" i="19"/>
  <c r="S919" i="19"/>
  <c r="R919" i="19"/>
  <c r="S920" i="19"/>
  <c r="R920" i="19"/>
  <c r="S921" i="19"/>
  <c r="R921" i="19"/>
  <c r="S922" i="19"/>
  <c r="R922" i="19"/>
  <c r="S923" i="19"/>
  <c r="R923" i="19"/>
  <c r="S924" i="19"/>
  <c r="R924" i="19"/>
  <c r="S925" i="19"/>
  <c r="R925" i="19"/>
  <c r="S926" i="19"/>
  <c r="T926" i="19" s="1"/>
  <c r="R926" i="19"/>
  <c r="S927" i="19"/>
  <c r="R927" i="19"/>
  <c r="S928" i="19"/>
  <c r="R928" i="19"/>
  <c r="S929" i="19"/>
  <c r="R929" i="19"/>
  <c r="S930" i="19"/>
  <c r="T930" i="19" s="1"/>
  <c r="R930" i="19"/>
  <c r="S931" i="19"/>
  <c r="R931" i="19"/>
  <c r="S932" i="19"/>
  <c r="R932" i="19"/>
  <c r="S933" i="19"/>
  <c r="R933" i="19"/>
  <c r="S934" i="19"/>
  <c r="R934" i="19"/>
  <c r="S935" i="19"/>
  <c r="R935" i="19"/>
  <c r="S936" i="19"/>
  <c r="R936" i="19"/>
  <c r="S937" i="19"/>
  <c r="R937" i="19"/>
  <c r="R938" i="19"/>
  <c r="S938" i="19"/>
  <c r="T938" i="19" s="1"/>
  <c r="S939" i="19"/>
  <c r="R939" i="19"/>
  <c r="S940" i="19"/>
  <c r="T940" i="19" s="1"/>
  <c r="R940" i="19"/>
  <c r="S941" i="19"/>
  <c r="R941" i="19"/>
  <c r="S942" i="19"/>
  <c r="R942" i="19"/>
  <c r="S943" i="19"/>
  <c r="R943" i="19"/>
  <c r="S944" i="19"/>
  <c r="R944" i="19"/>
  <c r="R945" i="19"/>
  <c r="S945" i="19"/>
  <c r="S946" i="19"/>
  <c r="T946" i="19" s="1"/>
  <c r="R946" i="19"/>
  <c r="S947" i="19"/>
  <c r="R947" i="19"/>
  <c r="S948" i="19"/>
  <c r="R948" i="19"/>
  <c r="S949" i="19"/>
  <c r="R949" i="19"/>
  <c r="S950" i="19"/>
  <c r="R950" i="19"/>
  <c r="S951" i="19"/>
  <c r="R951" i="19"/>
  <c r="S952" i="19"/>
  <c r="R952" i="19"/>
  <c r="S953" i="19"/>
  <c r="R953" i="19"/>
  <c r="S954" i="19"/>
  <c r="R954" i="19"/>
  <c r="S955" i="19"/>
  <c r="R955" i="19"/>
  <c r="S1301" i="19"/>
  <c r="R1301" i="19"/>
  <c r="R957" i="19"/>
  <c r="S957" i="19"/>
  <c r="S958" i="19"/>
  <c r="T958" i="19" s="1"/>
  <c r="R958" i="19"/>
  <c r="S959" i="19"/>
  <c r="R959" i="19"/>
  <c r="S960" i="19"/>
  <c r="R960" i="19"/>
  <c r="S961" i="19"/>
  <c r="R961" i="19"/>
  <c r="S962" i="19"/>
  <c r="R962" i="19"/>
  <c r="S963" i="19"/>
  <c r="R963" i="19"/>
  <c r="R964" i="19"/>
  <c r="S964" i="19"/>
  <c r="T964" i="19" s="1"/>
  <c r="S965" i="19"/>
  <c r="R965" i="19"/>
  <c r="S966" i="19"/>
  <c r="R966" i="19"/>
  <c r="S967" i="19"/>
  <c r="R967" i="19"/>
  <c r="S968" i="19"/>
  <c r="T968" i="19" s="1"/>
  <c r="R968" i="19"/>
  <c r="S969" i="19"/>
  <c r="R969" i="19"/>
  <c r="S970" i="19"/>
  <c r="T970" i="19" s="1"/>
  <c r="R970" i="19"/>
  <c r="S971" i="19"/>
  <c r="R971" i="19"/>
  <c r="R972" i="19"/>
  <c r="S972" i="19"/>
  <c r="T972" i="19" s="1"/>
  <c r="S973" i="19"/>
  <c r="R973" i="19"/>
  <c r="S974" i="19"/>
  <c r="R974" i="19"/>
  <c r="S975" i="19"/>
  <c r="R975" i="19"/>
  <c r="S976" i="19"/>
  <c r="R976" i="19"/>
  <c r="S977" i="19"/>
  <c r="R977" i="19"/>
  <c r="S978" i="19"/>
  <c r="R978" i="19"/>
  <c r="S979" i="19"/>
  <c r="R979" i="19"/>
  <c r="S980" i="19"/>
  <c r="T980" i="19" s="1"/>
  <c r="R980" i="19"/>
  <c r="S981" i="19"/>
  <c r="R981" i="19"/>
  <c r="S982" i="19"/>
  <c r="R982" i="19"/>
  <c r="S983" i="19"/>
  <c r="R983" i="19"/>
  <c r="S984" i="19"/>
  <c r="R984" i="19"/>
  <c r="S985" i="19"/>
  <c r="R985" i="19"/>
  <c r="S986" i="19"/>
  <c r="R986" i="19"/>
  <c r="S987" i="19"/>
  <c r="R987" i="19"/>
  <c r="S988" i="19"/>
  <c r="R988" i="19"/>
  <c r="S989" i="19"/>
  <c r="R989" i="19"/>
  <c r="S990" i="19"/>
  <c r="R990" i="19"/>
  <c r="S991" i="19"/>
  <c r="R991" i="19"/>
  <c r="S992" i="19"/>
  <c r="R992" i="19"/>
  <c r="S993" i="19"/>
  <c r="R993" i="19"/>
  <c r="S994" i="19"/>
  <c r="R994" i="19"/>
  <c r="S995" i="19"/>
  <c r="R995" i="19"/>
  <c r="S996" i="19"/>
  <c r="T996" i="19" s="1"/>
  <c r="R996" i="19"/>
  <c r="S997" i="19"/>
  <c r="R997" i="19"/>
  <c r="S998" i="19"/>
  <c r="R998" i="19"/>
  <c r="S999" i="19"/>
  <c r="R999" i="19"/>
  <c r="S1000" i="19"/>
  <c r="R1000" i="19"/>
  <c r="S1001" i="19"/>
  <c r="R1001" i="19"/>
  <c r="S1002" i="19"/>
  <c r="R1002" i="19"/>
  <c r="S1003" i="19"/>
  <c r="R1003" i="19"/>
  <c r="S1004" i="19"/>
  <c r="T1004" i="19" s="1"/>
  <c r="R1004" i="19"/>
  <c r="S1005" i="19"/>
  <c r="R1005" i="19"/>
  <c r="S1006" i="19"/>
  <c r="R1006" i="19"/>
  <c r="S252" i="19"/>
  <c r="R252" i="19"/>
  <c r="S1008" i="19"/>
  <c r="R1008" i="19"/>
  <c r="S1009" i="19"/>
  <c r="R1009" i="19"/>
  <c r="S1010" i="19"/>
  <c r="T1010" i="19" s="1"/>
  <c r="R1010" i="19"/>
  <c r="S1011" i="19"/>
  <c r="R1011" i="19"/>
  <c r="S1012" i="19"/>
  <c r="R1012" i="19"/>
  <c r="S1013" i="19"/>
  <c r="U1013" i="19" s="1"/>
  <c r="R1013" i="19"/>
  <c r="S1014" i="19"/>
  <c r="T1014" i="19" s="1"/>
  <c r="R1014" i="19"/>
  <c r="S1307" i="19"/>
  <c r="R1307" i="19"/>
  <c r="R1016" i="19"/>
  <c r="S1016" i="19"/>
  <c r="S1017" i="19"/>
  <c r="R1017" i="19"/>
  <c r="S1018" i="19"/>
  <c r="R1018" i="19"/>
  <c r="S1019" i="19"/>
  <c r="R1019" i="19"/>
  <c r="S1020" i="19"/>
  <c r="U1020" i="19" s="1"/>
  <c r="R1020" i="19"/>
  <c r="S1021" i="19"/>
  <c r="R1021" i="19"/>
  <c r="S1022" i="19"/>
  <c r="U1022" i="19" s="1"/>
  <c r="R1022" i="19"/>
  <c r="R1023" i="19"/>
  <c r="S1023" i="19"/>
  <c r="S1024" i="19"/>
  <c r="U1024" i="19" s="1"/>
  <c r="R1024" i="19"/>
  <c r="S1025" i="19"/>
  <c r="R1025" i="19"/>
  <c r="S1026" i="19"/>
  <c r="U1026" i="19" s="1"/>
  <c r="R1026" i="19"/>
  <c r="S1027" i="19"/>
  <c r="R1027" i="19"/>
  <c r="S1028" i="19"/>
  <c r="U1028" i="19" s="1"/>
  <c r="R1028" i="19"/>
  <c r="S1029" i="19"/>
  <c r="R1029" i="19"/>
  <c r="S1030" i="19"/>
  <c r="U1030" i="19" s="1"/>
  <c r="R1030" i="19"/>
  <c r="S1031" i="19"/>
  <c r="R1031" i="19"/>
  <c r="S1032" i="19"/>
  <c r="U1032" i="19" s="1"/>
  <c r="R1032" i="19"/>
  <c r="S1033" i="19"/>
  <c r="R1033" i="19"/>
  <c r="S1034" i="19"/>
  <c r="U1034" i="19" s="1"/>
  <c r="R1034" i="19"/>
  <c r="S1035" i="19"/>
  <c r="R1035" i="19"/>
  <c r="S1036" i="19"/>
  <c r="U1036" i="19" s="1"/>
  <c r="R1036" i="19"/>
  <c r="S1037" i="19"/>
  <c r="R1037" i="19"/>
  <c r="S1038" i="19"/>
  <c r="U1038" i="19" s="1"/>
  <c r="R1038" i="19"/>
  <c r="S1039" i="19"/>
  <c r="R1039" i="19"/>
  <c r="S1040" i="19"/>
  <c r="U1040" i="19" s="1"/>
  <c r="R1040" i="19"/>
  <c r="S1041" i="19"/>
  <c r="R1041" i="19"/>
  <c r="S1042" i="19"/>
  <c r="U1042" i="19" s="1"/>
  <c r="R1042" i="19"/>
  <c r="S1043" i="19"/>
  <c r="R1043" i="19"/>
  <c r="S1044" i="19"/>
  <c r="U1044" i="19" s="1"/>
  <c r="R1044" i="19"/>
  <c r="S1045" i="19"/>
  <c r="R1045" i="19"/>
  <c r="S1046" i="19"/>
  <c r="U1046" i="19" s="1"/>
  <c r="R1046" i="19"/>
  <c r="S1047" i="19"/>
  <c r="R1047" i="19"/>
  <c r="S1048" i="19"/>
  <c r="U1048" i="19" s="1"/>
  <c r="R1048" i="19"/>
  <c r="S1049" i="19"/>
  <c r="R1049" i="19"/>
  <c r="S1050" i="19"/>
  <c r="U1050" i="19" s="1"/>
  <c r="R1050" i="19"/>
  <c r="S1051" i="19"/>
  <c r="R1051" i="19"/>
  <c r="S1052" i="19"/>
  <c r="U1052" i="19" s="1"/>
  <c r="R1052" i="19"/>
  <c r="S1053" i="19"/>
  <c r="R1053" i="19"/>
  <c r="S1054" i="19"/>
  <c r="U1054" i="19" s="1"/>
  <c r="R1054" i="19"/>
  <c r="S1055" i="19"/>
  <c r="R1055" i="19"/>
  <c r="S1056" i="19"/>
  <c r="U1056" i="19" s="1"/>
  <c r="R1056" i="19"/>
  <c r="S1057" i="19"/>
  <c r="R1057" i="19"/>
  <c r="S1058" i="19"/>
  <c r="U1058" i="19" s="1"/>
  <c r="R1058" i="19"/>
  <c r="S1059" i="19"/>
  <c r="R1059" i="19"/>
  <c r="S1060" i="19"/>
  <c r="U1060" i="19" s="1"/>
  <c r="R1060" i="19"/>
  <c r="S1061" i="19"/>
  <c r="R1061" i="19"/>
  <c r="S1062" i="19"/>
  <c r="U1062" i="19" s="1"/>
  <c r="R1062" i="19"/>
  <c r="S1063" i="19"/>
  <c r="R1063" i="19"/>
  <c r="S1064" i="19"/>
  <c r="U1064" i="19" s="1"/>
  <c r="R1064" i="19"/>
  <c r="S1065" i="19"/>
  <c r="R1065" i="19"/>
  <c r="S1066" i="19"/>
  <c r="U1066" i="19" s="1"/>
  <c r="R1066" i="19"/>
  <c r="S1067" i="19"/>
  <c r="R1067" i="19"/>
  <c r="S1068" i="19"/>
  <c r="U1068" i="19" s="1"/>
  <c r="R1068" i="19"/>
  <c r="S1069" i="19"/>
  <c r="R1069" i="19"/>
  <c r="S1070" i="19"/>
  <c r="U1070" i="19" s="1"/>
  <c r="R1070" i="19"/>
  <c r="S1071" i="19"/>
  <c r="R1071" i="19"/>
  <c r="S1072" i="19"/>
  <c r="R1072" i="19"/>
  <c r="S1073" i="19"/>
  <c r="R1073" i="19"/>
  <c r="R1074" i="19"/>
  <c r="S1074" i="19"/>
  <c r="U1074" i="19" s="1"/>
  <c r="S1075" i="19"/>
  <c r="U1075" i="19" s="1"/>
  <c r="R1075" i="19"/>
  <c r="S1076" i="19"/>
  <c r="R1076" i="19"/>
  <c r="S1077" i="19"/>
  <c r="R1077" i="19"/>
  <c r="S1078" i="19"/>
  <c r="R1078" i="19"/>
  <c r="S1079" i="19"/>
  <c r="R1079" i="19"/>
  <c r="R1080" i="19"/>
  <c r="S1080" i="19"/>
  <c r="S1081" i="19"/>
  <c r="U1081" i="19" s="1"/>
  <c r="R1081" i="19"/>
  <c r="S1082" i="19"/>
  <c r="R1082" i="19"/>
  <c r="S1083" i="19"/>
  <c r="R1083" i="19"/>
  <c r="R1084" i="19"/>
  <c r="S1084" i="19"/>
  <c r="S1085" i="19"/>
  <c r="R1085" i="19"/>
  <c r="S1086" i="19"/>
  <c r="R1086" i="19"/>
  <c r="S1087" i="19"/>
  <c r="R1087" i="19"/>
  <c r="S1088" i="19"/>
  <c r="R1088" i="19"/>
  <c r="S1089" i="19"/>
  <c r="R1089" i="19"/>
  <c r="S1090" i="19"/>
  <c r="R1090" i="19"/>
  <c r="S1091" i="19"/>
  <c r="U1091" i="19" s="1"/>
  <c r="R1091" i="19"/>
  <c r="S1092" i="19"/>
  <c r="U1092" i="19" s="1"/>
  <c r="R1092" i="19"/>
  <c r="S1093" i="19"/>
  <c r="U1093" i="19" s="1"/>
  <c r="R1093" i="19"/>
  <c r="S1094" i="19"/>
  <c r="R1094" i="19"/>
  <c r="S1095" i="19"/>
  <c r="U1095" i="19" s="1"/>
  <c r="R1095" i="19"/>
  <c r="S1096" i="19"/>
  <c r="U1096" i="19" s="1"/>
  <c r="R1096" i="19"/>
  <c r="S1097" i="19"/>
  <c r="R1097" i="19"/>
  <c r="S1098" i="19"/>
  <c r="R1098" i="19"/>
  <c r="S1099" i="19"/>
  <c r="R1099" i="19"/>
  <c r="S1100" i="19"/>
  <c r="R1100" i="19"/>
  <c r="S1101" i="19"/>
  <c r="R1101" i="19"/>
  <c r="S1102" i="19"/>
  <c r="U1102" i="19" s="1"/>
  <c r="R1102" i="19"/>
  <c r="S1103" i="19"/>
  <c r="R1103" i="19"/>
  <c r="S1104" i="19"/>
  <c r="R1104" i="19"/>
  <c r="S1105" i="19"/>
  <c r="R1105" i="19"/>
  <c r="S1106" i="19"/>
  <c r="R1106" i="19"/>
  <c r="S1107" i="19"/>
  <c r="R1107" i="19"/>
  <c r="S1108" i="19"/>
  <c r="R1108" i="19"/>
  <c r="S1109" i="19"/>
  <c r="R1109" i="19"/>
  <c r="S1110" i="19"/>
  <c r="U1110" i="19" s="1"/>
  <c r="R1110" i="19"/>
  <c r="S1111" i="19"/>
  <c r="R1111" i="19"/>
  <c r="S1112" i="19"/>
  <c r="U1112" i="19" s="1"/>
  <c r="R1112" i="19"/>
  <c r="S1113" i="19"/>
  <c r="R1113" i="19"/>
  <c r="R1114" i="19"/>
  <c r="S1114" i="19"/>
  <c r="U1114" i="19" s="1"/>
  <c r="S1115" i="19"/>
  <c r="U1115" i="19" s="1"/>
  <c r="R1115" i="19"/>
  <c r="S1116" i="19"/>
  <c r="R1116" i="19"/>
  <c r="S1117" i="19"/>
  <c r="R1117" i="19"/>
  <c r="S1118" i="19"/>
  <c r="R1118" i="19"/>
  <c r="S1119" i="19"/>
  <c r="R1119" i="19"/>
  <c r="S1120" i="19"/>
  <c r="R1120" i="19"/>
  <c r="S1121" i="19"/>
  <c r="R1121" i="19"/>
  <c r="R1122" i="19"/>
  <c r="S1122" i="19"/>
  <c r="S1123" i="19"/>
  <c r="U1123" i="19" s="1"/>
  <c r="R1123" i="19"/>
  <c r="S1124" i="19"/>
  <c r="U1124" i="19" s="1"/>
  <c r="R1124" i="19"/>
  <c r="S1125" i="19"/>
  <c r="R1125" i="19"/>
  <c r="S1126" i="19"/>
  <c r="U1126" i="19" s="1"/>
  <c r="R1126" i="19"/>
  <c r="S1127" i="19"/>
  <c r="R1127" i="19"/>
  <c r="S1128" i="19"/>
  <c r="R1128" i="19"/>
  <c r="S1129" i="19"/>
  <c r="U1129" i="19" s="1"/>
  <c r="R1129" i="19"/>
  <c r="S1130" i="19"/>
  <c r="R1130" i="19"/>
  <c r="S1131" i="19"/>
  <c r="R1131" i="19"/>
  <c r="S1132" i="19"/>
  <c r="R1132" i="19"/>
  <c r="S1133" i="19"/>
  <c r="R1133" i="19"/>
  <c r="S1134" i="19"/>
  <c r="R1134" i="19"/>
  <c r="S1135" i="19"/>
  <c r="U1135" i="19" s="1"/>
  <c r="R1135" i="19"/>
  <c r="S1136" i="19"/>
  <c r="U1136" i="19" s="1"/>
  <c r="R1136" i="19"/>
  <c r="S1137" i="19"/>
  <c r="R1137" i="19"/>
  <c r="S1365" i="19"/>
  <c r="U1365" i="19" s="1"/>
  <c r="R1365" i="19"/>
  <c r="S1139" i="19"/>
  <c r="R1139" i="19"/>
  <c r="S1140" i="19"/>
  <c r="R1140" i="19"/>
  <c r="S1141" i="19"/>
  <c r="U1141" i="19" s="1"/>
  <c r="R1141" i="19"/>
  <c r="S1142" i="19"/>
  <c r="R1142" i="19"/>
  <c r="S1143" i="19"/>
  <c r="R1143" i="19"/>
  <c r="S1144" i="19"/>
  <c r="R1144" i="19"/>
  <c r="S1145" i="19"/>
  <c r="U1145" i="19" s="1"/>
  <c r="R1145" i="19"/>
  <c r="S1146" i="19"/>
  <c r="U1146" i="19" s="1"/>
  <c r="R1146" i="19"/>
  <c r="S1147" i="19"/>
  <c r="U1147" i="19" s="1"/>
  <c r="R1147" i="19"/>
  <c r="R1148" i="19"/>
  <c r="S1148" i="19"/>
  <c r="U1148" i="19" s="1"/>
  <c r="S1149" i="19"/>
  <c r="R1149" i="19"/>
  <c r="S1150" i="19"/>
  <c r="R1150" i="19"/>
  <c r="S1151" i="19"/>
  <c r="U1151" i="19" s="1"/>
  <c r="R1151" i="19"/>
  <c r="S1152" i="19"/>
  <c r="R1152" i="19"/>
  <c r="S1153" i="19"/>
  <c r="U1153" i="19" s="1"/>
  <c r="R1153" i="19"/>
  <c r="S1154" i="19"/>
  <c r="R1154" i="19"/>
  <c r="S1155" i="19"/>
  <c r="R1155" i="19"/>
  <c r="S1156" i="19"/>
  <c r="R1156" i="19"/>
  <c r="S1157" i="19"/>
  <c r="U1157" i="19" s="1"/>
  <c r="R1157" i="19"/>
  <c r="S1158" i="19"/>
  <c r="U1158" i="19" s="1"/>
  <c r="R1158" i="19"/>
  <c r="S1159" i="19"/>
  <c r="U1159" i="19" s="1"/>
  <c r="R1159" i="19"/>
  <c r="S1160" i="19"/>
  <c r="U1160" i="19" s="1"/>
  <c r="R1160" i="19"/>
  <c r="S1161" i="19"/>
  <c r="R1161" i="19"/>
  <c r="S1162" i="19"/>
  <c r="R1162" i="19"/>
  <c r="S1163" i="19"/>
  <c r="U1163" i="19" s="1"/>
  <c r="R1163" i="19"/>
  <c r="S1164" i="19"/>
  <c r="R1164" i="19"/>
  <c r="S1165" i="19"/>
  <c r="U1165" i="19" s="1"/>
  <c r="R1165" i="19"/>
  <c r="S1166" i="19"/>
  <c r="T1166" i="19" s="1"/>
  <c r="R1166" i="19"/>
  <c r="S1167" i="19"/>
  <c r="T1167" i="19" s="1"/>
  <c r="R1167" i="19"/>
  <c r="S1168" i="19"/>
  <c r="T1168" i="19" s="1"/>
  <c r="R1168" i="19"/>
  <c r="R1169" i="19"/>
  <c r="S1169" i="19"/>
  <c r="T1169" i="19" s="1"/>
  <c r="S1170" i="19"/>
  <c r="T1170" i="19" s="1"/>
  <c r="R1170" i="19"/>
  <c r="S1171" i="19"/>
  <c r="T1171" i="19" s="1"/>
  <c r="R1171" i="19"/>
  <c r="S1172" i="19"/>
  <c r="T1172" i="19" s="1"/>
  <c r="R1172" i="19"/>
  <c r="S1173" i="19"/>
  <c r="T1173" i="19" s="1"/>
  <c r="R1173" i="19"/>
  <c r="S1174" i="19"/>
  <c r="T1174" i="19" s="1"/>
  <c r="R1174" i="19"/>
  <c r="S1175" i="19"/>
  <c r="R1175" i="19"/>
  <c r="S1176" i="19"/>
  <c r="T1176" i="19" s="1"/>
  <c r="R1176" i="19"/>
  <c r="S1177" i="19"/>
  <c r="R1177" i="19"/>
  <c r="S1178" i="19"/>
  <c r="T1178" i="19" s="1"/>
  <c r="R1178" i="19"/>
  <c r="S1179" i="19"/>
  <c r="T1179" i="19" s="1"/>
  <c r="R1179" i="19"/>
  <c r="S1180" i="19"/>
  <c r="T1180" i="19" s="1"/>
  <c r="R1180" i="19"/>
  <c r="S1181" i="19"/>
  <c r="R1181" i="19"/>
  <c r="S1182" i="19"/>
  <c r="T1182" i="19" s="1"/>
  <c r="R1182" i="19"/>
  <c r="S1183" i="19"/>
  <c r="R1183" i="19"/>
  <c r="S1184" i="19"/>
  <c r="R1184" i="19"/>
  <c r="S1185" i="19"/>
  <c r="T1185" i="19" s="1"/>
  <c r="R1185" i="19"/>
  <c r="S1186" i="19"/>
  <c r="R1186" i="19"/>
  <c r="S1187" i="19"/>
  <c r="T1187" i="19" s="1"/>
  <c r="R1187" i="19"/>
  <c r="S1188" i="19"/>
  <c r="T1188" i="19" s="1"/>
  <c r="R1188" i="19"/>
  <c r="S1189" i="19"/>
  <c r="T1189" i="19" s="1"/>
  <c r="R1189" i="19"/>
  <c r="S1190" i="19"/>
  <c r="R1190" i="19"/>
  <c r="R1191" i="19"/>
  <c r="S1191" i="19"/>
  <c r="T1191" i="19" s="1"/>
  <c r="S1192" i="19"/>
  <c r="R1192" i="19"/>
  <c r="S1193" i="19"/>
  <c r="T1193" i="19" s="1"/>
  <c r="R1193" i="19"/>
  <c r="S1194" i="19"/>
  <c r="R1194" i="19"/>
  <c r="R1195" i="19"/>
  <c r="S1195" i="19"/>
  <c r="S1196" i="19"/>
  <c r="R1196" i="19"/>
  <c r="S1429" i="19"/>
  <c r="T1429" i="19" s="1"/>
  <c r="R1429" i="19"/>
  <c r="S1198" i="19"/>
  <c r="R1198" i="19"/>
  <c r="S1199" i="19"/>
  <c r="T1199" i="19" s="1"/>
  <c r="R1199" i="19"/>
  <c r="S1200" i="19"/>
  <c r="T1200" i="19" s="1"/>
  <c r="R1200" i="19"/>
  <c r="S1201" i="19"/>
  <c r="T1201" i="19" s="1"/>
  <c r="R1201" i="19"/>
  <c r="S1202" i="19"/>
  <c r="R1202" i="19"/>
  <c r="S1203" i="19"/>
  <c r="T1203" i="19" s="1"/>
  <c r="R1203" i="19"/>
  <c r="S1204" i="19"/>
  <c r="R1204" i="19"/>
  <c r="S1205" i="19"/>
  <c r="T1205" i="19" s="1"/>
  <c r="R1205" i="19"/>
  <c r="S1206" i="19"/>
  <c r="R1206" i="19"/>
  <c r="S1207" i="19"/>
  <c r="R1207" i="19"/>
  <c r="S1208" i="19"/>
  <c r="R1208" i="19"/>
  <c r="S1209" i="19"/>
  <c r="T1209" i="19" s="1"/>
  <c r="R1209" i="19"/>
  <c r="S1210" i="19"/>
  <c r="R1210" i="19"/>
  <c r="S1211" i="19"/>
  <c r="T1211" i="19" s="1"/>
  <c r="R1211" i="19"/>
  <c r="S1212" i="19"/>
  <c r="R1212" i="19"/>
  <c r="S1213" i="19"/>
  <c r="T1213" i="19" s="1"/>
  <c r="R1213" i="19"/>
  <c r="S1214" i="19"/>
  <c r="R1214" i="19"/>
  <c r="S1215" i="19"/>
  <c r="R1215" i="19"/>
  <c r="S1216" i="19"/>
  <c r="R1216" i="19"/>
  <c r="S1217" i="19"/>
  <c r="T1217" i="19" s="1"/>
  <c r="R1217" i="19"/>
  <c r="S1218" i="19"/>
  <c r="R1218" i="19"/>
  <c r="S1219" i="19"/>
  <c r="R1219" i="19"/>
  <c r="S1220" i="19"/>
  <c r="R1220" i="19"/>
  <c r="S1221" i="19"/>
  <c r="T1221" i="19" s="1"/>
  <c r="R1221" i="19"/>
  <c r="S1222" i="19"/>
  <c r="R1222" i="19"/>
  <c r="S1223" i="19"/>
  <c r="T1223" i="19" s="1"/>
  <c r="R1223" i="19"/>
  <c r="S1224" i="19"/>
  <c r="R1224" i="19"/>
  <c r="S1225" i="19"/>
  <c r="T1225" i="19" s="1"/>
  <c r="R1225" i="19"/>
  <c r="S1226" i="19"/>
  <c r="R1226" i="19"/>
  <c r="S1227" i="19"/>
  <c r="R1227" i="19"/>
  <c r="S1228" i="19"/>
  <c r="R1228" i="19"/>
  <c r="S1229" i="19"/>
  <c r="T1229" i="19" s="1"/>
  <c r="R1229" i="19"/>
  <c r="S1230" i="19"/>
  <c r="R1230" i="19"/>
  <c r="S1231" i="19"/>
  <c r="R1231" i="19"/>
  <c r="S1232" i="19"/>
  <c r="T1232" i="19" s="1"/>
  <c r="R1232" i="19"/>
  <c r="S1233" i="19"/>
  <c r="R1233" i="19"/>
  <c r="S1234" i="19"/>
  <c r="T1234" i="19" s="1"/>
  <c r="R1234" i="19"/>
  <c r="S1235" i="19"/>
  <c r="T1235" i="19" s="1"/>
  <c r="R1235" i="19"/>
  <c r="S1236" i="19"/>
  <c r="T1236" i="19" s="1"/>
  <c r="R1236" i="19"/>
  <c r="S1237" i="19"/>
  <c r="R1237" i="19"/>
  <c r="S1238" i="19"/>
  <c r="R1238" i="19"/>
  <c r="S1239" i="19"/>
  <c r="R1239" i="19"/>
  <c r="S1240" i="19"/>
  <c r="T1240" i="19" s="1"/>
  <c r="R1240" i="19"/>
  <c r="S1241" i="19"/>
  <c r="R1241" i="19"/>
  <c r="S1242" i="19"/>
  <c r="R1242" i="19"/>
  <c r="S1243" i="19"/>
  <c r="R1243" i="19"/>
  <c r="S1244" i="19"/>
  <c r="T1244" i="19" s="1"/>
  <c r="R1244" i="19"/>
  <c r="S1245" i="19"/>
  <c r="R1245" i="19"/>
  <c r="S1246" i="19"/>
  <c r="T1246" i="19" s="1"/>
  <c r="R1246" i="19"/>
  <c r="S1247" i="19"/>
  <c r="T1247" i="19" s="1"/>
  <c r="R1247" i="19"/>
  <c r="S1248" i="19"/>
  <c r="T1248" i="19" s="1"/>
  <c r="R1248" i="19"/>
  <c r="S1249" i="19"/>
  <c r="R1249" i="19"/>
  <c r="S1250" i="19"/>
  <c r="R1250" i="19"/>
  <c r="S1496" i="19"/>
  <c r="R1496" i="19"/>
  <c r="S1252" i="19"/>
  <c r="T1252" i="19" s="1"/>
  <c r="R1252" i="19"/>
  <c r="S1253" i="19"/>
  <c r="R1253" i="19"/>
  <c r="S1254" i="19"/>
  <c r="T1254" i="19" s="1"/>
  <c r="R1254" i="19"/>
  <c r="S1255" i="19"/>
  <c r="R1255" i="19"/>
  <c r="S1256" i="19"/>
  <c r="T1256" i="19" s="1"/>
  <c r="R1256" i="19"/>
  <c r="S1257" i="19"/>
  <c r="R1257" i="19"/>
  <c r="S1258" i="19"/>
  <c r="R1258" i="19"/>
  <c r="S1259" i="19"/>
  <c r="U1259" i="19" s="1"/>
  <c r="R1259" i="19"/>
  <c r="S1260" i="19"/>
  <c r="R1260" i="19"/>
  <c r="S1261" i="19"/>
  <c r="R1261" i="19"/>
  <c r="R1262" i="19"/>
  <c r="S1262" i="19"/>
  <c r="T1262" i="19" s="1"/>
  <c r="S1263" i="19"/>
  <c r="R1263" i="19"/>
  <c r="S1264" i="19"/>
  <c r="T1264" i="19" s="1"/>
  <c r="R1264" i="19"/>
  <c r="S1265" i="19"/>
  <c r="T1265" i="19" s="1"/>
  <c r="R1265" i="19"/>
  <c r="S1266" i="19"/>
  <c r="T1266" i="19" s="1"/>
  <c r="R1266" i="19"/>
  <c r="S1267" i="19"/>
  <c r="R1267" i="19"/>
  <c r="S1268" i="19"/>
  <c r="R1268" i="19"/>
  <c r="S1269" i="19"/>
  <c r="T1269" i="19" s="1"/>
  <c r="R1269" i="19"/>
  <c r="S1270" i="19"/>
  <c r="T1270" i="19" s="1"/>
  <c r="R1270" i="19"/>
  <c r="S1271" i="19"/>
  <c r="T1271" i="19" s="1"/>
  <c r="R1271" i="19"/>
  <c r="S1272" i="19"/>
  <c r="R1272" i="19"/>
  <c r="S1273" i="19"/>
  <c r="T1273" i="19" s="1"/>
  <c r="R1273" i="19"/>
  <c r="S1274" i="19"/>
  <c r="T1274" i="19" s="1"/>
  <c r="R1274" i="19"/>
  <c r="S1275" i="19"/>
  <c r="T1275" i="19" s="1"/>
  <c r="R1275" i="19"/>
  <c r="S1276" i="19"/>
  <c r="R1276" i="19"/>
  <c r="S1277" i="19"/>
  <c r="R1277" i="19"/>
  <c r="S1278" i="19"/>
  <c r="T1278" i="19" s="1"/>
  <c r="R1278" i="19"/>
  <c r="S1279" i="19"/>
  <c r="R1279" i="19"/>
  <c r="S1280" i="19"/>
  <c r="R1280" i="19"/>
  <c r="S1281" i="19"/>
  <c r="T1281" i="19" s="1"/>
  <c r="R1281" i="19"/>
  <c r="S1282" i="19"/>
  <c r="R1282" i="19"/>
  <c r="S1283" i="19"/>
  <c r="T1283" i="19" s="1"/>
  <c r="R1283" i="19"/>
  <c r="R1284" i="19"/>
  <c r="S1284" i="19"/>
  <c r="T1284" i="19" s="1"/>
  <c r="S1285" i="19"/>
  <c r="T1285" i="19" s="1"/>
  <c r="R1285" i="19"/>
  <c r="S1286" i="19"/>
  <c r="T1286" i="19" s="1"/>
  <c r="R1286" i="19"/>
  <c r="R1287" i="19"/>
  <c r="S1287" i="19"/>
  <c r="S1288" i="19"/>
  <c r="T1288" i="19" s="1"/>
  <c r="R1288" i="19"/>
  <c r="S1289" i="19"/>
  <c r="T1289" i="19" s="1"/>
  <c r="R1289" i="19"/>
  <c r="R1290" i="19"/>
  <c r="S1290" i="19"/>
  <c r="T1290" i="19" s="1"/>
  <c r="S1291" i="19"/>
  <c r="T1291" i="19" s="1"/>
  <c r="R1291" i="19"/>
  <c r="S1292" i="19"/>
  <c r="R1292" i="19"/>
  <c r="S1293" i="19"/>
  <c r="T1293" i="19" s="1"/>
  <c r="R1293" i="19"/>
  <c r="R1294" i="19"/>
  <c r="S1294" i="19"/>
  <c r="T1294" i="19" s="1"/>
  <c r="S1295" i="19"/>
  <c r="R1295" i="19"/>
  <c r="S1296" i="19"/>
  <c r="T1296" i="19" s="1"/>
  <c r="R1296" i="19"/>
  <c r="S1297" i="19"/>
  <c r="R1297" i="19"/>
  <c r="S1298" i="19"/>
  <c r="T1298" i="19" s="1"/>
  <c r="R1298" i="19"/>
  <c r="S1299" i="19"/>
  <c r="T1299" i="19" s="1"/>
  <c r="R1299" i="19"/>
  <c r="S1680" i="19"/>
  <c r="T1680" i="19" s="1"/>
  <c r="R1680" i="19"/>
  <c r="S300" i="19"/>
  <c r="T300" i="19" s="1"/>
  <c r="R300" i="19"/>
  <c r="S1302" i="19"/>
  <c r="R1302" i="19"/>
  <c r="S1303" i="19"/>
  <c r="R1303" i="19"/>
  <c r="S1304" i="19"/>
  <c r="R1304" i="19"/>
  <c r="R1305" i="19"/>
  <c r="S1305" i="19"/>
  <c r="T1305" i="19" s="1"/>
  <c r="S1306" i="19"/>
  <c r="T1306" i="19" s="1"/>
  <c r="R1306" i="19"/>
  <c r="S554" i="19"/>
  <c r="T554" i="19" s="1"/>
  <c r="R554" i="19"/>
  <c r="S1308" i="19"/>
  <c r="T1308" i="19" s="1"/>
  <c r="R1308" i="19"/>
  <c r="S1309" i="19"/>
  <c r="R1309" i="19"/>
  <c r="S1310" i="19"/>
  <c r="T1310" i="19" s="1"/>
  <c r="R1310" i="19"/>
  <c r="S1311" i="19"/>
  <c r="T1311" i="19" s="1"/>
  <c r="R1311" i="19"/>
  <c r="S1312" i="19"/>
  <c r="T1312" i="19" s="1"/>
  <c r="R1312" i="19"/>
  <c r="S1313" i="19"/>
  <c r="T1313" i="19" s="1"/>
  <c r="R1313" i="19"/>
  <c r="S1314" i="19"/>
  <c r="R1314" i="19"/>
  <c r="S1315" i="19"/>
  <c r="R1315" i="19"/>
  <c r="S1316" i="19"/>
  <c r="R1316" i="19"/>
  <c r="S1317" i="19"/>
  <c r="T1317" i="19" s="1"/>
  <c r="R1317" i="19"/>
  <c r="S1318" i="19"/>
  <c r="R1318" i="19"/>
  <c r="S1319" i="19"/>
  <c r="T1319" i="19" s="1"/>
  <c r="R1319" i="19"/>
  <c r="S1320" i="19"/>
  <c r="T1320" i="19" s="1"/>
  <c r="R1320" i="19"/>
  <c r="S1321" i="19"/>
  <c r="T1321" i="19" s="1"/>
  <c r="R1321" i="19"/>
  <c r="S1322" i="19"/>
  <c r="T1322" i="19" s="1"/>
  <c r="R1322" i="19"/>
  <c r="S1323" i="19"/>
  <c r="T1323" i="19" s="1"/>
  <c r="R1323" i="19"/>
  <c r="S1324" i="19"/>
  <c r="T1324" i="19" s="1"/>
  <c r="R1324" i="19"/>
  <c r="S1325" i="19"/>
  <c r="T1325" i="19" s="1"/>
  <c r="R1325" i="19"/>
  <c r="S1326" i="19"/>
  <c r="R1326" i="19"/>
  <c r="S1327" i="19"/>
  <c r="T1327" i="19" s="1"/>
  <c r="R1327" i="19"/>
  <c r="S1328" i="19"/>
  <c r="R1328" i="19"/>
  <c r="S1329" i="19"/>
  <c r="T1329" i="19" s="1"/>
  <c r="R1329" i="19"/>
  <c r="S1330" i="19"/>
  <c r="R1330" i="19"/>
  <c r="S1331" i="19"/>
  <c r="T1331" i="19" s="1"/>
  <c r="R1331" i="19"/>
  <c r="S1332" i="19"/>
  <c r="R1332" i="19"/>
  <c r="S1333" i="19"/>
  <c r="R1333" i="19"/>
  <c r="S1334" i="19"/>
  <c r="R1334" i="19"/>
  <c r="S1335" i="19"/>
  <c r="T1335" i="19" s="1"/>
  <c r="R1335" i="19"/>
  <c r="S1336" i="19"/>
  <c r="T1336" i="19" s="1"/>
  <c r="R1336" i="19"/>
  <c r="S1337" i="19"/>
  <c r="T1337" i="19" s="1"/>
  <c r="R1337" i="19"/>
  <c r="S1338" i="19"/>
  <c r="R1338" i="19"/>
  <c r="S1339" i="19"/>
  <c r="T1339" i="19" s="1"/>
  <c r="R1339" i="19"/>
  <c r="S1340" i="19"/>
  <c r="R1340" i="19"/>
  <c r="S1341" i="19"/>
  <c r="T1341" i="19" s="1"/>
  <c r="R1341" i="19"/>
  <c r="S1342" i="19"/>
  <c r="T1342" i="19" s="1"/>
  <c r="R1342" i="19"/>
  <c r="S1343" i="19"/>
  <c r="T1343" i="19" s="1"/>
  <c r="R1343" i="19"/>
  <c r="S1344" i="19"/>
  <c r="T1344" i="19" s="1"/>
  <c r="R1344" i="19"/>
  <c r="S1346" i="19"/>
  <c r="T1346" i="19" s="1"/>
  <c r="R1346" i="19"/>
  <c r="S1347" i="19"/>
  <c r="T1347" i="19" s="1"/>
  <c r="R1347" i="19"/>
  <c r="S1348" i="19"/>
  <c r="T1348" i="19" s="1"/>
  <c r="R1348" i="19"/>
  <c r="S1349" i="19"/>
  <c r="T1349" i="19" s="1"/>
  <c r="R1349" i="19"/>
  <c r="R1350" i="19"/>
  <c r="S1350" i="19"/>
  <c r="S1351" i="19"/>
  <c r="T1351" i="19" s="1"/>
  <c r="R1351" i="19"/>
  <c r="S1352" i="19"/>
  <c r="R1352" i="19"/>
  <c r="S1353" i="19"/>
  <c r="R1353" i="19"/>
  <c r="S1354" i="19"/>
  <c r="R1354" i="19"/>
  <c r="R1355" i="19"/>
  <c r="S1355" i="19"/>
  <c r="T1355" i="19" s="1"/>
  <c r="S1356" i="19"/>
  <c r="R1356" i="19"/>
  <c r="S1357" i="19"/>
  <c r="R1357" i="19"/>
  <c r="S1358" i="19"/>
  <c r="R1358" i="19"/>
  <c r="S1359" i="19"/>
  <c r="T1359" i="19" s="1"/>
  <c r="R1359" i="19"/>
  <c r="S1360" i="19"/>
  <c r="T1360" i="19" s="1"/>
  <c r="R1360" i="19"/>
  <c r="S1361" i="19"/>
  <c r="T1361" i="19" s="1"/>
  <c r="R1361" i="19"/>
  <c r="S1362" i="19"/>
  <c r="R1362" i="19"/>
  <c r="S1363" i="19"/>
  <c r="T1363" i="19" s="1"/>
  <c r="R1363" i="19"/>
  <c r="S1364" i="19"/>
  <c r="R1364" i="19"/>
  <c r="S624" i="19"/>
  <c r="T624" i="19" s="1"/>
  <c r="R624" i="19"/>
  <c r="S1366" i="19"/>
  <c r="R1366" i="19"/>
  <c r="S1367" i="19"/>
  <c r="T1367" i="19" s="1"/>
  <c r="R1367" i="19"/>
  <c r="S1368" i="19"/>
  <c r="T1368" i="19" s="1"/>
  <c r="R1368" i="19"/>
  <c r="S1369" i="19"/>
  <c r="R1369" i="19"/>
  <c r="S1370" i="19"/>
  <c r="T1370" i="19" s="1"/>
  <c r="R1370" i="19"/>
  <c r="S1371" i="19"/>
  <c r="T1371" i="19" s="1"/>
  <c r="R1371" i="19"/>
  <c r="S1372" i="19"/>
  <c r="R1372" i="19"/>
  <c r="S1373" i="19"/>
  <c r="T1373" i="19" s="1"/>
  <c r="R1373" i="19"/>
  <c r="S1374" i="19"/>
  <c r="R1374" i="19"/>
  <c r="S1375" i="19"/>
  <c r="R1375" i="19"/>
  <c r="S1376" i="19"/>
  <c r="R1376" i="19"/>
  <c r="S1377" i="19"/>
  <c r="R1377" i="19"/>
  <c r="S1378" i="19"/>
  <c r="R1378" i="19"/>
  <c r="S1379" i="19"/>
  <c r="T1379" i="19" s="1"/>
  <c r="R1379" i="19"/>
  <c r="S1380" i="19"/>
  <c r="T1380" i="19" s="1"/>
  <c r="R1380" i="19"/>
  <c r="S1381" i="19"/>
  <c r="R1381" i="19"/>
  <c r="S1382" i="19"/>
  <c r="R1382" i="19"/>
  <c r="S1383" i="19"/>
  <c r="R1383" i="19"/>
  <c r="S1384" i="19"/>
  <c r="R1384" i="19"/>
  <c r="S1385" i="19"/>
  <c r="R1385" i="19"/>
  <c r="S1386" i="19"/>
  <c r="R1386" i="19"/>
  <c r="S1387" i="19"/>
  <c r="T1387" i="19" s="1"/>
  <c r="R1387" i="19"/>
  <c r="S1388" i="19"/>
  <c r="R1388" i="19"/>
  <c r="S1389" i="19"/>
  <c r="R1389" i="19"/>
  <c r="S1390" i="19"/>
  <c r="R1390" i="19"/>
  <c r="S1391" i="19"/>
  <c r="T1391" i="19" s="1"/>
  <c r="R1391" i="19"/>
  <c r="S1392" i="19"/>
  <c r="T1392" i="19" s="1"/>
  <c r="R1392" i="19"/>
  <c r="S1393" i="19"/>
  <c r="T1393" i="19" s="1"/>
  <c r="R1393" i="19"/>
  <c r="S1394" i="19"/>
  <c r="R1394" i="19"/>
  <c r="S1395" i="19"/>
  <c r="R1395" i="19"/>
  <c r="S1396" i="19"/>
  <c r="R1396" i="19"/>
  <c r="S1397" i="19"/>
  <c r="R1397" i="19"/>
  <c r="S1398" i="19"/>
  <c r="R1398" i="19"/>
  <c r="S1399" i="19"/>
  <c r="T1399" i="19" s="1"/>
  <c r="R1399" i="19"/>
  <c r="S1400" i="19"/>
  <c r="R1400" i="19"/>
  <c r="S1401" i="19"/>
  <c r="R1401" i="19"/>
  <c r="S1402" i="19"/>
  <c r="R1402" i="19"/>
  <c r="S1403" i="19"/>
  <c r="T1403" i="19" s="1"/>
  <c r="R1403" i="19"/>
  <c r="S1404" i="19"/>
  <c r="T1404" i="19" s="1"/>
  <c r="R1404" i="19"/>
  <c r="S1405" i="19"/>
  <c r="R1405" i="19"/>
  <c r="S1406" i="19"/>
  <c r="R1406" i="19"/>
  <c r="S1407" i="19"/>
  <c r="R1407" i="19"/>
  <c r="S1408" i="19"/>
  <c r="R1408" i="19"/>
  <c r="S1409" i="19"/>
  <c r="R1409" i="19"/>
  <c r="R1410" i="19"/>
  <c r="S1410" i="19"/>
  <c r="S1411" i="19"/>
  <c r="T1411" i="19" s="1"/>
  <c r="R1411" i="19"/>
  <c r="S1412" i="19"/>
  <c r="R1412" i="19"/>
  <c r="S1413" i="19"/>
  <c r="R1413" i="19"/>
  <c r="S1414" i="19"/>
  <c r="R1414" i="19"/>
  <c r="S1415" i="19"/>
  <c r="T1415" i="19" s="1"/>
  <c r="R1415" i="19"/>
  <c r="S1416" i="19"/>
  <c r="T1416" i="19" s="1"/>
  <c r="R1416" i="19"/>
  <c r="S1417" i="19"/>
  <c r="R1417" i="19"/>
  <c r="S1418" i="19"/>
  <c r="R1418" i="19"/>
  <c r="S1419" i="19"/>
  <c r="R1419" i="19"/>
  <c r="S1420" i="19"/>
  <c r="R1420" i="19"/>
  <c r="S1421" i="19"/>
  <c r="R1421" i="19"/>
  <c r="S1422" i="19"/>
  <c r="R1422" i="19"/>
  <c r="S1423" i="19"/>
  <c r="T1423" i="19" s="1"/>
  <c r="R1423" i="19"/>
  <c r="S1424" i="19"/>
  <c r="R1424" i="19"/>
  <c r="S1425" i="19"/>
  <c r="R1425" i="19"/>
  <c r="S1426" i="19"/>
  <c r="R1426" i="19"/>
  <c r="S1427" i="19"/>
  <c r="T1427" i="19" s="1"/>
  <c r="R1427" i="19"/>
  <c r="S1428" i="19"/>
  <c r="R1428" i="19"/>
  <c r="S625" i="19"/>
  <c r="U625" i="19" s="1"/>
  <c r="R625" i="19"/>
  <c r="S1430" i="19"/>
  <c r="T1430" i="19" s="1"/>
  <c r="R1430" i="19"/>
  <c r="S1431" i="19"/>
  <c r="T1431" i="19" s="1"/>
  <c r="R1431" i="19"/>
  <c r="S1432" i="19"/>
  <c r="R1432" i="19"/>
  <c r="S1433" i="19"/>
  <c r="R1433" i="19"/>
  <c r="S1434" i="19"/>
  <c r="R1434" i="19"/>
  <c r="S1435" i="19"/>
  <c r="R1435" i="19"/>
  <c r="S1436" i="19"/>
  <c r="R1436" i="19"/>
  <c r="S1437" i="19"/>
  <c r="R1437" i="19"/>
  <c r="S1438" i="19"/>
  <c r="T1438" i="19" s="1"/>
  <c r="R1438" i="19"/>
  <c r="S1439" i="19"/>
  <c r="U1439" i="19" s="1"/>
  <c r="R1439" i="19"/>
  <c r="S1440" i="19"/>
  <c r="R1440" i="19"/>
  <c r="R1441" i="19"/>
  <c r="S1441" i="19"/>
  <c r="S1442" i="19"/>
  <c r="T1442" i="19" s="1"/>
  <c r="R1442" i="19"/>
  <c r="S1443" i="19"/>
  <c r="R1443" i="19"/>
  <c r="S1444" i="19"/>
  <c r="R1444" i="19"/>
  <c r="S1445" i="19"/>
  <c r="R1445" i="19"/>
  <c r="S1446" i="19"/>
  <c r="R1446" i="19"/>
  <c r="S1447" i="19"/>
  <c r="R1447" i="19"/>
  <c r="S1448" i="19"/>
  <c r="R1448" i="19"/>
  <c r="R1449" i="19"/>
  <c r="S1449" i="19"/>
  <c r="T1449" i="19" s="1"/>
  <c r="S1450" i="19"/>
  <c r="R1450" i="19"/>
  <c r="R1451" i="19"/>
  <c r="S1451" i="19"/>
  <c r="R1452" i="19"/>
  <c r="S1452" i="19"/>
  <c r="T1452" i="19" s="1"/>
  <c r="S1453" i="19"/>
  <c r="R1453" i="19"/>
  <c r="S1454" i="19"/>
  <c r="T1454" i="19" s="1"/>
  <c r="R1454" i="19"/>
  <c r="S1455" i="19"/>
  <c r="T1455" i="19" s="1"/>
  <c r="R1455" i="19"/>
  <c r="S1456" i="19"/>
  <c r="R1456" i="19"/>
  <c r="S1457" i="19"/>
  <c r="R1457" i="19"/>
  <c r="S1458" i="19"/>
  <c r="R1458" i="19"/>
  <c r="S1459" i="19"/>
  <c r="R1459" i="19"/>
  <c r="S1460" i="19"/>
  <c r="R1460" i="19"/>
  <c r="S1461" i="19"/>
  <c r="R1461" i="19"/>
  <c r="S1462" i="19"/>
  <c r="T1462" i="19" s="1"/>
  <c r="R1462" i="19"/>
  <c r="S1463" i="19"/>
  <c r="R1463" i="19"/>
  <c r="S1464" i="19"/>
  <c r="R1464" i="19"/>
  <c r="S1465" i="19"/>
  <c r="T1465" i="19" s="1"/>
  <c r="R1465" i="19"/>
  <c r="R1466" i="19"/>
  <c r="S1466" i="19"/>
  <c r="T1466" i="19" s="1"/>
  <c r="S1467" i="19"/>
  <c r="R1467" i="19"/>
  <c r="S1468" i="19"/>
  <c r="R1468" i="19"/>
  <c r="S1469" i="19"/>
  <c r="R1469" i="19"/>
  <c r="S1470" i="19"/>
  <c r="R1470" i="19"/>
  <c r="S1471" i="19"/>
  <c r="R1471" i="19"/>
  <c r="S1472" i="19"/>
  <c r="R1472" i="19"/>
  <c r="S1473" i="19"/>
  <c r="T1473" i="19" s="1"/>
  <c r="R1473" i="19"/>
  <c r="S1474" i="19"/>
  <c r="R1474" i="19"/>
  <c r="S1475" i="19"/>
  <c r="R1475" i="19"/>
  <c r="S1476" i="19"/>
  <c r="T1476" i="19" s="1"/>
  <c r="R1476" i="19"/>
  <c r="S1477" i="19"/>
  <c r="U1477" i="19" s="1"/>
  <c r="R1477" i="19"/>
  <c r="S1478" i="19"/>
  <c r="T1478" i="19" s="1"/>
  <c r="R1478" i="19"/>
  <c r="S1479" i="19"/>
  <c r="T1479" i="19" s="1"/>
  <c r="R1479" i="19"/>
  <c r="S1480" i="19"/>
  <c r="R1480" i="19"/>
  <c r="S1481" i="19"/>
  <c r="R1481" i="19"/>
  <c r="S1482" i="19"/>
  <c r="R1482" i="19"/>
  <c r="S1483" i="19"/>
  <c r="R1483" i="19"/>
  <c r="S1484" i="19"/>
  <c r="R1484" i="19"/>
  <c r="S1485" i="19"/>
  <c r="R1485" i="19"/>
  <c r="S1486" i="19"/>
  <c r="T1486" i="19" s="1"/>
  <c r="R1486" i="19"/>
  <c r="S1487" i="19"/>
  <c r="R1487" i="19"/>
  <c r="S1488" i="19"/>
  <c r="R1488" i="19"/>
  <c r="S1489" i="19"/>
  <c r="R1489" i="19"/>
  <c r="S1490" i="19"/>
  <c r="T1490" i="19" s="1"/>
  <c r="R1490" i="19"/>
  <c r="S1491" i="19"/>
  <c r="R1491" i="19"/>
  <c r="S1492" i="19"/>
  <c r="T1492" i="19" s="1"/>
  <c r="R1492" i="19"/>
  <c r="S1493" i="19"/>
  <c r="R1493" i="19"/>
  <c r="S1494" i="19"/>
  <c r="R1494" i="19"/>
  <c r="S1495" i="19"/>
  <c r="R1495" i="19"/>
  <c r="S678" i="19"/>
  <c r="R678" i="19"/>
  <c r="S1497" i="19"/>
  <c r="T1497" i="19" s="1"/>
  <c r="R1497" i="19"/>
  <c r="S1498" i="19"/>
  <c r="R1498" i="19"/>
  <c r="S1499" i="19"/>
  <c r="R1499" i="19"/>
  <c r="S1500" i="19"/>
  <c r="U1500" i="19" s="1"/>
  <c r="R1500" i="19"/>
  <c r="S1501" i="19"/>
  <c r="R1501" i="19"/>
  <c r="S1502" i="19"/>
  <c r="R1502" i="19"/>
  <c r="S1503" i="19"/>
  <c r="R1503" i="19"/>
  <c r="S1504" i="19"/>
  <c r="R1504" i="19"/>
  <c r="S1505" i="19"/>
  <c r="R1505" i="19"/>
  <c r="S1506" i="19"/>
  <c r="U1506" i="19" s="1"/>
  <c r="R1506" i="19"/>
  <c r="S1507" i="19"/>
  <c r="R1507" i="19"/>
  <c r="S1508" i="19"/>
  <c r="U1508" i="19" s="1"/>
  <c r="R1508" i="19"/>
  <c r="S1509" i="19"/>
  <c r="R1509" i="19"/>
  <c r="S1510" i="19"/>
  <c r="R1510" i="19"/>
  <c r="R1511" i="19"/>
  <c r="S1511" i="19"/>
  <c r="S1512" i="19"/>
  <c r="R1512" i="19"/>
  <c r="S1513" i="19"/>
  <c r="R1513" i="19"/>
  <c r="S1514" i="19"/>
  <c r="R1514" i="19"/>
  <c r="S1515" i="19"/>
  <c r="R1515" i="19"/>
  <c r="S1516" i="19"/>
  <c r="U1516" i="19" s="1"/>
  <c r="R1516" i="19"/>
  <c r="S1517" i="19"/>
  <c r="R1517" i="19"/>
  <c r="S1518" i="19"/>
  <c r="R1518" i="19"/>
  <c r="S1519" i="19"/>
  <c r="R1519" i="19"/>
  <c r="S1520" i="19"/>
  <c r="R1520" i="19"/>
  <c r="S1521" i="19"/>
  <c r="R1521" i="19"/>
  <c r="R1522" i="19"/>
  <c r="S1522" i="19"/>
  <c r="U1522" i="19" s="1"/>
  <c r="S1523" i="19"/>
  <c r="R1523" i="19"/>
  <c r="S1524" i="19"/>
  <c r="U1524" i="19" s="1"/>
  <c r="R1524" i="19"/>
  <c r="S1525" i="19"/>
  <c r="R1525" i="19"/>
  <c r="R1526" i="19"/>
  <c r="S1526" i="19"/>
  <c r="U1526" i="19" s="1"/>
  <c r="S1527" i="19"/>
  <c r="R1527" i="19"/>
  <c r="S1528" i="19"/>
  <c r="R1528" i="19"/>
  <c r="S1529" i="19"/>
  <c r="R1529" i="19"/>
  <c r="S1530" i="19"/>
  <c r="U1530" i="19" s="1"/>
  <c r="R1530" i="19"/>
  <c r="S1531" i="19"/>
  <c r="R1531" i="19"/>
  <c r="S1532" i="19"/>
  <c r="R1532" i="19"/>
  <c r="S1533" i="19"/>
  <c r="R1533" i="19"/>
  <c r="S1534" i="19"/>
  <c r="U1534" i="19" s="1"/>
  <c r="R1534" i="19"/>
  <c r="S1535" i="19"/>
  <c r="R1535" i="19"/>
  <c r="S1536" i="19"/>
  <c r="R1536" i="19"/>
  <c r="R1537" i="19"/>
  <c r="S1537" i="19"/>
  <c r="S1538" i="19"/>
  <c r="R1538" i="19"/>
  <c r="S1539" i="19"/>
  <c r="R1539" i="19"/>
  <c r="S1540" i="19"/>
  <c r="U1540" i="19" s="1"/>
  <c r="R1540" i="19"/>
  <c r="S1541" i="19"/>
  <c r="R1541" i="19"/>
  <c r="S1542" i="19"/>
  <c r="U1542" i="19" s="1"/>
  <c r="R1542" i="19"/>
  <c r="S1543" i="19"/>
  <c r="U1543" i="19" s="1"/>
  <c r="R1543" i="19"/>
  <c r="S1544" i="19"/>
  <c r="U1544" i="19" s="1"/>
  <c r="R1544" i="19"/>
  <c r="S1545" i="19"/>
  <c r="R1545" i="19"/>
  <c r="S1546" i="19"/>
  <c r="U1546" i="19" s="1"/>
  <c r="R1546" i="19"/>
  <c r="S1547" i="19"/>
  <c r="R1547" i="19"/>
  <c r="S1548" i="19"/>
  <c r="U1548" i="19" s="1"/>
  <c r="R1548" i="19"/>
  <c r="R1549" i="19"/>
  <c r="S1549" i="19"/>
  <c r="U1549" i="19" s="1"/>
  <c r="S1550" i="19"/>
  <c r="U1550" i="19" s="1"/>
  <c r="R1550" i="19"/>
  <c r="S1721" i="19"/>
  <c r="U1721" i="19" s="1"/>
  <c r="R1721" i="19"/>
  <c r="R1552" i="19"/>
  <c r="S1552" i="19"/>
  <c r="S1553" i="19"/>
  <c r="R1553" i="19"/>
  <c r="S1554" i="19"/>
  <c r="U1554" i="19" s="1"/>
  <c r="R1554" i="19"/>
  <c r="S743" i="19"/>
  <c r="U743" i="19" s="1"/>
  <c r="R743" i="19"/>
  <c r="R1556" i="19"/>
  <c r="S1556" i="19"/>
  <c r="U1556" i="19" s="1"/>
  <c r="S1557" i="19"/>
  <c r="U1557" i="19" s="1"/>
  <c r="R1557" i="19"/>
  <c r="S1558" i="19"/>
  <c r="U1558" i="19" s="1"/>
  <c r="R1558" i="19"/>
  <c r="S1559" i="19"/>
  <c r="U1559" i="19" s="1"/>
  <c r="R1559" i="19"/>
  <c r="S1560" i="19"/>
  <c r="R1560" i="19"/>
  <c r="S1561" i="19"/>
  <c r="U1561" i="19" s="1"/>
  <c r="R1561" i="19"/>
  <c r="S1562" i="19"/>
  <c r="U1562" i="19" s="1"/>
  <c r="R1562" i="19"/>
  <c r="S1563" i="19"/>
  <c r="U1563" i="19" s="1"/>
  <c r="R1563" i="19"/>
  <c r="S1564" i="19"/>
  <c r="R1564" i="19"/>
  <c r="S1565" i="19"/>
  <c r="U1565" i="19" s="1"/>
  <c r="R1565" i="19"/>
  <c r="R1566" i="19"/>
  <c r="S1566" i="19"/>
  <c r="U1566" i="19" s="1"/>
  <c r="S1567" i="19"/>
  <c r="U1567" i="19" s="1"/>
  <c r="R1567" i="19"/>
  <c r="S1568" i="19"/>
  <c r="R1568" i="19"/>
  <c r="S1569" i="19"/>
  <c r="U1569" i="19" s="1"/>
  <c r="R1569" i="19"/>
  <c r="S1570" i="19"/>
  <c r="U1570" i="19" s="1"/>
  <c r="R1570" i="19"/>
  <c r="S1571" i="19"/>
  <c r="U1571" i="19" s="1"/>
  <c r="R1571" i="19"/>
  <c r="S1572" i="19"/>
  <c r="U1572" i="19" s="1"/>
  <c r="R1572" i="19"/>
  <c r="R1573" i="19"/>
  <c r="S1573" i="19"/>
  <c r="U1573" i="19" s="1"/>
  <c r="S1574" i="19"/>
  <c r="U1574" i="19" s="1"/>
  <c r="R1574" i="19"/>
  <c r="S1575" i="19"/>
  <c r="U1575" i="19" s="1"/>
  <c r="R1575" i="19"/>
  <c r="S1576" i="19"/>
  <c r="R1576" i="19"/>
  <c r="S1577" i="19"/>
  <c r="U1577" i="19" s="1"/>
  <c r="R1577" i="19"/>
  <c r="S1578" i="19"/>
  <c r="U1578" i="19" s="1"/>
  <c r="R1578" i="19"/>
  <c r="S1579" i="19"/>
  <c r="U1579" i="19" s="1"/>
  <c r="R1579" i="19"/>
  <c r="S1580" i="19"/>
  <c r="R1580" i="19"/>
  <c r="R1581" i="19"/>
  <c r="S1581" i="19"/>
  <c r="U1581" i="19" s="1"/>
  <c r="S1582" i="19"/>
  <c r="U1582" i="19" s="1"/>
  <c r="R1582" i="19"/>
  <c r="S1583" i="19"/>
  <c r="R1583" i="19"/>
  <c r="S1584" i="19"/>
  <c r="U1584" i="19" s="1"/>
  <c r="R1584" i="19"/>
  <c r="S1585" i="19"/>
  <c r="U1585" i="19" s="1"/>
  <c r="R1585" i="19"/>
  <c r="S1586" i="19"/>
  <c r="U1586" i="19" s="1"/>
  <c r="R1586" i="19"/>
  <c r="S1587" i="19"/>
  <c r="R1587" i="19"/>
  <c r="S1588" i="19"/>
  <c r="R1588" i="19"/>
  <c r="S1589" i="19"/>
  <c r="U1589" i="19" s="1"/>
  <c r="R1589" i="19"/>
  <c r="S1590" i="19"/>
  <c r="U1590" i="19" s="1"/>
  <c r="R1590" i="19"/>
  <c r="S1591" i="19"/>
  <c r="R1591" i="19"/>
  <c r="S1592" i="19"/>
  <c r="R1592" i="19"/>
  <c r="S1593" i="19"/>
  <c r="R1593" i="19"/>
  <c r="S1594" i="19"/>
  <c r="U1594" i="19" s="1"/>
  <c r="R1594" i="19"/>
  <c r="S1595" i="19"/>
  <c r="U1595" i="19" s="1"/>
  <c r="R1595" i="19"/>
  <c r="S1596" i="19"/>
  <c r="U1596" i="19" s="1"/>
  <c r="R1596" i="19"/>
  <c r="S1597" i="19"/>
  <c r="U1597" i="19" s="1"/>
  <c r="R1597" i="19"/>
  <c r="S1598" i="19"/>
  <c r="R1598" i="19"/>
  <c r="S1599" i="19"/>
  <c r="R1599" i="19"/>
  <c r="S1600" i="19"/>
  <c r="R1600" i="19"/>
  <c r="S1601" i="19"/>
  <c r="R1601" i="19"/>
  <c r="S1602" i="19"/>
  <c r="U1602" i="19" s="1"/>
  <c r="R1602" i="19"/>
  <c r="S1603" i="19"/>
  <c r="R1603" i="19"/>
  <c r="S1604" i="19"/>
  <c r="R1604" i="19"/>
  <c r="S1605" i="19"/>
  <c r="R1605" i="19"/>
  <c r="S1606" i="19"/>
  <c r="U1606" i="19" s="1"/>
  <c r="R1606" i="19"/>
  <c r="S1607" i="19"/>
  <c r="U1607" i="19" s="1"/>
  <c r="R1607" i="19"/>
  <c r="S1608" i="19"/>
  <c r="U1608" i="19" s="1"/>
  <c r="R1608" i="19"/>
  <c r="S1609" i="19"/>
  <c r="U1609" i="19" s="1"/>
  <c r="R1609" i="19"/>
  <c r="S1610" i="19"/>
  <c r="U1610" i="19" s="1"/>
  <c r="R1610" i="19"/>
  <c r="S1611" i="19"/>
  <c r="R1611" i="19"/>
  <c r="S1612" i="19"/>
  <c r="R1612" i="19"/>
  <c r="S1613" i="19"/>
  <c r="R1613" i="19"/>
  <c r="S1614" i="19"/>
  <c r="U1614" i="19" s="1"/>
  <c r="R1614" i="19"/>
  <c r="S1615" i="19"/>
  <c r="R1615" i="19"/>
  <c r="S1616" i="19"/>
  <c r="R1616" i="19"/>
  <c r="S1617" i="19"/>
  <c r="R1617" i="19"/>
  <c r="S1618" i="19"/>
  <c r="U1618" i="19" s="1"/>
  <c r="R1618" i="19"/>
  <c r="S1619" i="19"/>
  <c r="R1619" i="19"/>
  <c r="S1620" i="19"/>
  <c r="U1620" i="19" s="1"/>
  <c r="R1620" i="19"/>
  <c r="S1621" i="19"/>
  <c r="U1621" i="19" s="1"/>
  <c r="R1621" i="19"/>
  <c r="S1622" i="19"/>
  <c r="U1622" i="19" s="1"/>
  <c r="R1622" i="19"/>
  <c r="S1623" i="19"/>
  <c r="R1623" i="19"/>
  <c r="S767" i="19"/>
  <c r="R767" i="19"/>
  <c r="S1625" i="19"/>
  <c r="T1625" i="19" s="1"/>
  <c r="R1625" i="19"/>
  <c r="S1626" i="19"/>
  <c r="R1626" i="19"/>
  <c r="S1627" i="19"/>
  <c r="R1627" i="19"/>
  <c r="S1628" i="19"/>
  <c r="U1628" i="19" s="1"/>
  <c r="R1628" i="19"/>
  <c r="S1629" i="19"/>
  <c r="R1629" i="19"/>
  <c r="S1630" i="19"/>
  <c r="U1630" i="19" s="1"/>
  <c r="R1630" i="19"/>
  <c r="S1631" i="19"/>
  <c r="R1631" i="19"/>
  <c r="S1632" i="19"/>
  <c r="U1632" i="19" s="1"/>
  <c r="R1632" i="19"/>
  <c r="S1633" i="19"/>
  <c r="R1633" i="19"/>
  <c r="S1634" i="19"/>
  <c r="R1634" i="19"/>
  <c r="S1635" i="19"/>
  <c r="R1635" i="19"/>
  <c r="S1636" i="19"/>
  <c r="R1636" i="19"/>
  <c r="S1637" i="19"/>
  <c r="R1637" i="19"/>
  <c r="S1638" i="19"/>
  <c r="U1638" i="19" s="1"/>
  <c r="R1638" i="19"/>
  <c r="S1639" i="19"/>
  <c r="U1639" i="19" s="1"/>
  <c r="R1639" i="19"/>
  <c r="S1640" i="19"/>
  <c r="R1640" i="19"/>
  <c r="R1641" i="19"/>
  <c r="S1641" i="19"/>
  <c r="T1641" i="19" s="1"/>
  <c r="R1642" i="19"/>
  <c r="S1642" i="19"/>
  <c r="U1642" i="19" s="1"/>
  <c r="S1643" i="19"/>
  <c r="T1643" i="19" s="1"/>
  <c r="R1643" i="19"/>
  <c r="S1644" i="19"/>
  <c r="R1644" i="19"/>
  <c r="S1645" i="19"/>
  <c r="R1645" i="19"/>
  <c r="S1646" i="19"/>
  <c r="U1646" i="19" s="1"/>
  <c r="R1646" i="19"/>
  <c r="S1647" i="19"/>
  <c r="R1647" i="19"/>
  <c r="S1648" i="19"/>
  <c r="R1648" i="19"/>
  <c r="S1649" i="19"/>
  <c r="T1649" i="19" s="1"/>
  <c r="R1649" i="19"/>
  <c r="S1650" i="19"/>
  <c r="R1650" i="19"/>
  <c r="S1651" i="19"/>
  <c r="R1651" i="19"/>
  <c r="S1652" i="19"/>
  <c r="U1652" i="19" s="1"/>
  <c r="R1652" i="19"/>
  <c r="R1653" i="19"/>
  <c r="S1653" i="19"/>
  <c r="S1654" i="19"/>
  <c r="U1654" i="19" s="1"/>
  <c r="R1654" i="19"/>
  <c r="S1655" i="19"/>
  <c r="R1655" i="19"/>
  <c r="S1656" i="19"/>
  <c r="U1656" i="19" s="1"/>
  <c r="R1656" i="19"/>
  <c r="S1657" i="19"/>
  <c r="T1657" i="19" s="1"/>
  <c r="R1657" i="19"/>
  <c r="S1658" i="19"/>
  <c r="R1658" i="19"/>
  <c r="S1659" i="19"/>
  <c r="R1659" i="19"/>
  <c r="S1660" i="19"/>
  <c r="R1660" i="19"/>
  <c r="S1661" i="19"/>
  <c r="R1661" i="19"/>
  <c r="S1662" i="19"/>
  <c r="U1662" i="19" s="1"/>
  <c r="R1662" i="19"/>
  <c r="S1663" i="19"/>
  <c r="U1663" i="19" s="1"/>
  <c r="R1663" i="19"/>
  <c r="S1664" i="19"/>
  <c r="R1664" i="19"/>
  <c r="S1665" i="19"/>
  <c r="R1665" i="19"/>
  <c r="S1666" i="19"/>
  <c r="U1666" i="19" s="1"/>
  <c r="R1666" i="19"/>
  <c r="R1667" i="19"/>
  <c r="S1667" i="19"/>
  <c r="T1667" i="19" s="1"/>
  <c r="S1668" i="19"/>
  <c r="R1668" i="19"/>
  <c r="S1669" i="19"/>
  <c r="R1669" i="19"/>
  <c r="R1670" i="19"/>
  <c r="S1670" i="19"/>
  <c r="U1670" i="19" s="1"/>
  <c r="S1671" i="19"/>
  <c r="R1671" i="19"/>
  <c r="S1672" i="19"/>
  <c r="R1672" i="19"/>
  <c r="S1673" i="19"/>
  <c r="T1673" i="19" s="1"/>
  <c r="R1673" i="19"/>
  <c r="R1674" i="19"/>
  <c r="S1674" i="19"/>
  <c r="S1675" i="19"/>
  <c r="R1675" i="19"/>
  <c r="S1676" i="19"/>
  <c r="U1676" i="19" s="1"/>
  <c r="R1676" i="19"/>
  <c r="S1677" i="19"/>
  <c r="T1677" i="19" s="1"/>
  <c r="R1677" i="19"/>
  <c r="S1678" i="19"/>
  <c r="U1678" i="19" s="1"/>
  <c r="R1678" i="19"/>
  <c r="S1679" i="19"/>
  <c r="R1679" i="19"/>
  <c r="S363" i="19"/>
  <c r="U363" i="19" s="1"/>
  <c r="R363" i="19"/>
  <c r="S1681" i="19"/>
  <c r="T1681" i="19" s="1"/>
  <c r="R1681" i="19"/>
  <c r="S1682" i="19"/>
  <c r="R1682" i="19"/>
  <c r="S1683" i="19"/>
  <c r="R1683" i="19"/>
  <c r="S1684" i="19"/>
  <c r="R1684" i="19"/>
  <c r="R1685" i="19"/>
  <c r="S1685" i="19"/>
  <c r="S1686" i="19"/>
  <c r="U1686" i="19" s="1"/>
  <c r="R1686" i="19"/>
  <c r="S1687" i="19"/>
  <c r="U1687" i="19" s="1"/>
  <c r="R1687" i="19"/>
  <c r="S1688" i="19"/>
  <c r="R1688" i="19"/>
  <c r="S1689" i="19"/>
  <c r="R1689" i="19"/>
  <c r="S1690" i="19"/>
  <c r="U1690" i="19" s="1"/>
  <c r="R1690" i="19"/>
  <c r="S1691" i="19"/>
  <c r="T1691" i="19" s="1"/>
  <c r="R1691" i="19"/>
  <c r="S1692" i="19"/>
  <c r="R1692" i="19"/>
  <c r="S1693" i="19"/>
  <c r="R1693" i="19"/>
  <c r="S1694" i="19"/>
  <c r="U1694" i="19" s="1"/>
  <c r="R1694" i="19"/>
  <c r="S1695" i="19"/>
  <c r="R1695" i="19"/>
  <c r="S1696" i="19"/>
  <c r="R1696" i="19"/>
  <c r="R1697" i="19"/>
  <c r="S1697" i="19"/>
  <c r="T1697" i="19" s="1"/>
  <c r="S1698" i="19"/>
  <c r="R1698" i="19"/>
  <c r="S1699" i="19"/>
  <c r="R1699" i="19"/>
  <c r="S1700" i="19"/>
  <c r="U1700" i="19" s="1"/>
  <c r="R1700" i="19"/>
  <c r="R1701" i="19"/>
  <c r="S1701" i="19"/>
  <c r="T1701" i="19" s="1"/>
  <c r="S1702" i="19"/>
  <c r="U1702" i="19" s="1"/>
  <c r="R1702" i="19"/>
  <c r="S1703" i="19"/>
  <c r="R1703" i="19"/>
  <c r="R1704" i="19"/>
  <c r="S1704" i="19"/>
  <c r="U1704" i="19" s="1"/>
  <c r="S1705" i="19"/>
  <c r="T1705" i="19" s="1"/>
  <c r="R1705" i="19"/>
  <c r="S1706" i="19"/>
  <c r="R1706" i="19"/>
  <c r="S1707" i="19"/>
  <c r="R1707" i="19"/>
  <c r="S1708" i="19"/>
  <c r="R1708" i="19"/>
  <c r="S1709" i="19"/>
  <c r="R1709" i="19"/>
  <c r="S1710" i="19"/>
  <c r="U1710" i="19" s="1"/>
  <c r="R1710" i="19"/>
  <c r="S1711" i="19"/>
  <c r="U1711" i="19" s="1"/>
  <c r="R1711" i="19"/>
  <c r="S1712" i="19"/>
  <c r="R1712" i="19"/>
  <c r="S1713" i="19"/>
  <c r="R1713" i="19"/>
  <c r="S1714" i="19"/>
  <c r="U1714" i="19" s="1"/>
  <c r="R1714" i="19"/>
  <c r="S1715" i="19"/>
  <c r="T1715" i="19" s="1"/>
  <c r="R1715" i="19"/>
  <c r="S1716" i="19"/>
  <c r="R1716" i="19"/>
  <c r="S1717" i="19"/>
  <c r="R1717" i="19"/>
  <c r="S1718" i="19"/>
  <c r="U1718" i="19" s="1"/>
  <c r="R1718" i="19"/>
  <c r="S1719" i="19"/>
  <c r="R1719" i="19"/>
  <c r="S1720" i="19"/>
  <c r="R1720" i="19"/>
  <c r="S772" i="19"/>
  <c r="T772" i="19" s="1"/>
  <c r="R772" i="19"/>
  <c r="S1722" i="19"/>
  <c r="R1722" i="19"/>
  <c r="S1723" i="19"/>
  <c r="R1723" i="19"/>
  <c r="S1724" i="19"/>
  <c r="U1724" i="19" s="1"/>
  <c r="R1724" i="19"/>
  <c r="S1725" i="19"/>
  <c r="T1725" i="19" s="1"/>
  <c r="R1725" i="19"/>
  <c r="S1726" i="19"/>
  <c r="U1726" i="19" s="1"/>
  <c r="R1726" i="19"/>
  <c r="S1727" i="19"/>
  <c r="R1727" i="19"/>
  <c r="S1728" i="19"/>
  <c r="U1728" i="19" s="1"/>
  <c r="R1728" i="19"/>
  <c r="S1729" i="19"/>
  <c r="R1729" i="19"/>
  <c r="S1730" i="19"/>
  <c r="R1730" i="19"/>
  <c r="S1731" i="19"/>
  <c r="R1731" i="19"/>
  <c r="S1732" i="19"/>
  <c r="R1732" i="19"/>
  <c r="S1733" i="19"/>
  <c r="R1733" i="19"/>
  <c r="S1734" i="19"/>
  <c r="U1734" i="19" s="1"/>
  <c r="R1734" i="19"/>
  <c r="S1735" i="19"/>
  <c r="U1735" i="19" s="1"/>
  <c r="R1735" i="19"/>
  <c r="S1736" i="19"/>
  <c r="R1736" i="19"/>
  <c r="R1737" i="19"/>
  <c r="S1737" i="19"/>
  <c r="T1737" i="19" s="1"/>
  <c r="R1738" i="19"/>
  <c r="S1738" i="19"/>
  <c r="U1738" i="19" s="1"/>
  <c r="S1739" i="19"/>
  <c r="T1739" i="19" s="1"/>
  <c r="R1739" i="19"/>
  <c r="S1740" i="19"/>
  <c r="R1740" i="19"/>
  <c r="S1741" i="19"/>
  <c r="R1741" i="19"/>
  <c r="S1742" i="19"/>
  <c r="U1742" i="19" s="1"/>
  <c r="R1742" i="19"/>
  <c r="S1743" i="19"/>
  <c r="R1743" i="19"/>
  <c r="S1744" i="19"/>
  <c r="R1744" i="19"/>
  <c r="S1745" i="19"/>
  <c r="T1745" i="19" s="1"/>
  <c r="R1745" i="19"/>
  <c r="S1746" i="19"/>
  <c r="R1746" i="19"/>
  <c r="S1747" i="19"/>
  <c r="R1747" i="19"/>
  <c r="S1748" i="19"/>
  <c r="U1748" i="19" s="1"/>
  <c r="R1748" i="19"/>
  <c r="S1749" i="19"/>
  <c r="R1749" i="19"/>
  <c r="R1750" i="19"/>
  <c r="S1750" i="19"/>
  <c r="U1750" i="19" s="1"/>
  <c r="S1751" i="19"/>
  <c r="R1751" i="19"/>
  <c r="S1752" i="19"/>
  <c r="U1752" i="19" s="1"/>
  <c r="R1752" i="19"/>
  <c r="S1753" i="19"/>
  <c r="T1753" i="19" s="1"/>
  <c r="R1753" i="19"/>
  <c r="S1754" i="19"/>
  <c r="R1754" i="19"/>
  <c r="S1755" i="19"/>
  <c r="R1755" i="19"/>
  <c r="S1756" i="19"/>
  <c r="R1756" i="19"/>
  <c r="S1757" i="19"/>
  <c r="R1757" i="19"/>
  <c r="S1758" i="19"/>
  <c r="U1758" i="19" s="1"/>
  <c r="R1758" i="19"/>
  <c r="S1759" i="19"/>
  <c r="U1759" i="19" s="1"/>
  <c r="R1759" i="19"/>
  <c r="S1760" i="19"/>
  <c r="R1760" i="19"/>
  <c r="R1761" i="19"/>
  <c r="S1761" i="19"/>
  <c r="T1761" i="19" s="1"/>
  <c r="S1762" i="19"/>
  <c r="U1762" i="19" s="1"/>
  <c r="R1762" i="19"/>
  <c r="S1763" i="19"/>
  <c r="T1763" i="19" s="1"/>
  <c r="R1763" i="19"/>
  <c r="S1764" i="19"/>
  <c r="R1764" i="19"/>
  <c r="S1765" i="19"/>
  <c r="R1765" i="19"/>
  <c r="S1766" i="19"/>
  <c r="U1766" i="19" s="1"/>
  <c r="R1766" i="19"/>
  <c r="S1767" i="19"/>
  <c r="R1767" i="19"/>
  <c r="S1768" i="19"/>
  <c r="R1768" i="19"/>
  <c r="R1769" i="19"/>
  <c r="S1769" i="19"/>
  <c r="T1769" i="19" s="1"/>
  <c r="S1770" i="19"/>
  <c r="R1770" i="19"/>
  <c r="S1771" i="19"/>
  <c r="R1771" i="19"/>
  <c r="S1772" i="19"/>
  <c r="U1772" i="19" s="1"/>
  <c r="R1772" i="19"/>
  <c r="S1773" i="19"/>
  <c r="R1773" i="19"/>
  <c r="S1774" i="19"/>
  <c r="U1774" i="19" s="1"/>
  <c r="R1774" i="19"/>
  <c r="S1775" i="19"/>
  <c r="R1775" i="19"/>
  <c r="S1776" i="19"/>
  <c r="U1776" i="19" s="1"/>
  <c r="R1776" i="19"/>
  <c r="S1777" i="19"/>
  <c r="R1777" i="19"/>
  <c r="S1778" i="19"/>
  <c r="R1778" i="19"/>
  <c r="R1779" i="19"/>
  <c r="S1779" i="19"/>
  <c r="T1779" i="19" s="1"/>
  <c r="S1780" i="19"/>
  <c r="R1780" i="19"/>
  <c r="S1781" i="19"/>
  <c r="R1781" i="19"/>
  <c r="S1782" i="19"/>
  <c r="R1782" i="19"/>
  <c r="S1783" i="19"/>
  <c r="R1783" i="19"/>
  <c r="S1784" i="19"/>
  <c r="R1784" i="19"/>
  <c r="S1785" i="19"/>
  <c r="T1785" i="19" s="1"/>
  <c r="R1785" i="19"/>
  <c r="S1786" i="19"/>
  <c r="R1786" i="19"/>
  <c r="S1787" i="19"/>
  <c r="R1787" i="19"/>
  <c r="S1788" i="19"/>
  <c r="R1788" i="19"/>
  <c r="S1789" i="19"/>
  <c r="R1789" i="19"/>
  <c r="S1790" i="19"/>
  <c r="R1790" i="19"/>
  <c r="S1791" i="19"/>
  <c r="T1791" i="19" s="1"/>
  <c r="R1791" i="19"/>
  <c r="S1792" i="19"/>
  <c r="R1792" i="19"/>
  <c r="S1793" i="19"/>
  <c r="T1793" i="19" s="1"/>
  <c r="R1793" i="19"/>
  <c r="S1794" i="19"/>
  <c r="R1794" i="19"/>
  <c r="S1795" i="19"/>
  <c r="T1795" i="19" s="1"/>
  <c r="R1795" i="19"/>
  <c r="S1796" i="19"/>
  <c r="R1796" i="19"/>
  <c r="S1797" i="19"/>
  <c r="T1797" i="19" s="1"/>
  <c r="R1797" i="19"/>
  <c r="S1798" i="19"/>
  <c r="R1798" i="19"/>
  <c r="S1799" i="19"/>
  <c r="T1799" i="19" s="1"/>
  <c r="R1799" i="19"/>
  <c r="S1800" i="19"/>
  <c r="R1800" i="19"/>
  <c r="S1801" i="19"/>
  <c r="T1801" i="19" s="1"/>
  <c r="R1801" i="19"/>
  <c r="S1802" i="19"/>
  <c r="R1802" i="19"/>
  <c r="S1803" i="19"/>
  <c r="T1803" i="19" s="1"/>
  <c r="R1803" i="19"/>
  <c r="S1804" i="19"/>
  <c r="R1804" i="19"/>
  <c r="S1805" i="19"/>
  <c r="T1805" i="19" s="1"/>
  <c r="R1805" i="19"/>
  <c r="S1806" i="19"/>
  <c r="R1806" i="19"/>
  <c r="S1807" i="19"/>
  <c r="T1807" i="19" s="1"/>
  <c r="R1807" i="19"/>
  <c r="S1808" i="19"/>
  <c r="R1808" i="19"/>
  <c r="S1809" i="19"/>
  <c r="T1809" i="19" s="1"/>
  <c r="R1809" i="19"/>
  <c r="S1810" i="19"/>
  <c r="R1810" i="19"/>
  <c r="S1811" i="19"/>
  <c r="T1811" i="19" s="1"/>
  <c r="R1811" i="19"/>
  <c r="S1812" i="19"/>
  <c r="R1812" i="19"/>
  <c r="S1813" i="19"/>
  <c r="T1813" i="19" s="1"/>
  <c r="R1813" i="19"/>
  <c r="S1814" i="19"/>
  <c r="R1814" i="19"/>
  <c r="S1815" i="19"/>
  <c r="R1815" i="19"/>
  <c r="S1816" i="19"/>
  <c r="R1816" i="19"/>
  <c r="S1817" i="19"/>
  <c r="R1817" i="19"/>
  <c r="S1818" i="19"/>
  <c r="R1818" i="19"/>
  <c r="S1819" i="19"/>
  <c r="R1819" i="19"/>
  <c r="S1820" i="19"/>
  <c r="U1820" i="19" s="1"/>
  <c r="R1820" i="19"/>
  <c r="S1821" i="19"/>
  <c r="R1821" i="19"/>
  <c r="S1822" i="19"/>
  <c r="U1822" i="19" s="1"/>
  <c r="R1822" i="19"/>
  <c r="S1823" i="19"/>
  <c r="R1823" i="19"/>
  <c r="S1824" i="19"/>
  <c r="U1824" i="19" s="1"/>
  <c r="R1824" i="19"/>
  <c r="R1825" i="19"/>
  <c r="S1825" i="19"/>
  <c r="S1826" i="19"/>
  <c r="U1826" i="19" s="1"/>
  <c r="R1826" i="19"/>
  <c r="S1827" i="19"/>
  <c r="R1827" i="19"/>
  <c r="S1828" i="19"/>
  <c r="U1828" i="19" s="1"/>
  <c r="R1828" i="19"/>
  <c r="R1829" i="19"/>
  <c r="S1829" i="19"/>
  <c r="S1830" i="19"/>
  <c r="U1830" i="19" s="1"/>
  <c r="R1830" i="19"/>
  <c r="S1831" i="19"/>
  <c r="R1831" i="19"/>
  <c r="S1832" i="19"/>
  <c r="U1832" i="19" s="1"/>
  <c r="R1832" i="19"/>
  <c r="S1833" i="19"/>
  <c r="R1833" i="19"/>
  <c r="S1834" i="19"/>
  <c r="U1834" i="19" s="1"/>
  <c r="R1834" i="19"/>
  <c r="S1835" i="19"/>
  <c r="R1835" i="19"/>
  <c r="S1836" i="19"/>
  <c r="U1836" i="19" s="1"/>
  <c r="R1836" i="19"/>
  <c r="S1837" i="19"/>
  <c r="R1837" i="19"/>
  <c r="S1838" i="19"/>
  <c r="U1838" i="19" s="1"/>
  <c r="R1838" i="19"/>
  <c r="R1839" i="19"/>
  <c r="S1839" i="19"/>
  <c r="S1840" i="19"/>
  <c r="U1840" i="19" s="1"/>
  <c r="R1840" i="19"/>
  <c r="S1841" i="19"/>
  <c r="R1841" i="19"/>
  <c r="S1842" i="19"/>
  <c r="U1842" i="19" s="1"/>
  <c r="R1842" i="19"/>
  <c r="S1843" i="19"/>
  <c r="R1843" i="19"/>
  <c r="S1844" i="19"/>
  <c r="U1844" i="19" s="1"/>
  <c r="R1844" i="19"/>
  <c r="S1845" i="19"/>
  <c r="R1845" i="19"/>
  <c r="S1846" i="19"/>
  <c r="U1846" i="19" s="1"/>
  <c r="R1846" i="19"/>
  <c r="S1847" i="19"/>
  <c r="R1847" i="19"/>
  <c r="S1848" i="19"/>
  <c r="U1848" i="19" s="1"/>
  <c r="R1848" i="19"/>
  <c r="S1849" i="19"/>
  <c r="R1849" i="19"/>
  <c r="S1850" i="19"/>
  <c r="U1850" i="19" s="1"/>
  <c r="R1850" i="19"/>
  <c r="R1851" i="19"/>
  <c r="S1851" i="19"/>
  <c r="S1852" i="19"/>
  <c r="U1852" i="19" s="1"/>
  <c r="R1852" i="19"/>
  <c r="S1853" i="19"/>
  <c r="R1853" i="19"/>
  <c r="S1854" i="19"/>
  <c r="U1854" i="19" s="1"/>
  <c r="R1854" i="19"/>
  <c r="S1855" i="19"/>
  <c r="R1855" i="19"/>
  <c r="S1856" i="19"/>
  <c r="U1856" i="19" s="1"/>
  <c r="R1856" i="19"/>
  <c r="S1857" i="19"/>
  <c r="R1857" i="19"/>
  <c r="S1858" i="19"/>
  <c r="U1858" i="19" s="1"/>
  <c r="R1858" i="19"/>
  <c r="S1859" i="19"/>
  <c r="R1859" i="19"/>
  <c r="S1860" i="19"/>
  <c r="U1860" i="19" s="1"/>
  <c r="R1860" i="19"/>
  <c r="S1861" i="19"/>
  <c r="R1861" i="19"/>
  <c r="S1862" i="19"/>
  <c r="U1862" i="19" s="1"/>
  <c r="R1862" i="19"/>
  <c r="S1863" i="19"/>
  <c r="R1863" i="19"/>
  <c r="S1864" i="19"/>
  <c r="U1864" i="19" s="1"/>
  <c r="R1864" i="19"/>
  <c r="S1865" i="19"/>
  <c r="T1865" i="19" s="1"/>
  <c r="R1865" i="19"/>
  <c r="S1866" i="19"/>
  <c r="U1866" i="19" s="1"/>
  <c r="R1866" i="19"/>
  <c r="R1867" i="19"/>
  <c r="S1867" i="19"/>
  <c r="T1867" i="19" s="1"/>
  <c r="S1868" i="19"/>
  <c r="U1868" i="19" s="1"/>
  <c r="R1868" i="19"/>
  <c r="S1869" i="19"/>
  <c r="T1869" i="19" s="1"/>
  <c r="R1869" i="19"/>
  <c r="S1870" i="19"/>
  <c r="U1870" i="19" s="1"/>
  <c r="R1870" i="19"/>
  <c r="S1871" i="19"/>
  <c r="T1871" i="19" s="1"/>
  <c r="R1871" i="19"/>
  <c r="S1872" i="19"/>
  <c r="U1872" i="19" s="1"/>
  <c r="R1872" i="19"/>
  <c r="S1873" i="19"/>
  <c r="R1873" i="19"/>
  <c r="S1874" i="19"/>
  <c r="U1874" i="19" s="1"/>
  <c r="R1874" i="19"/>
  <c r="S1875" i="19"/>
  <c r="T1875" i="19" s="1"/>
  <c r="R1875" i="19"/>
  <c r="S1876" i="19"/>
  <c r="U1876" i="19" s="1"/>
  <c r="R1876" i="19"/>
  <c r="S1877" i="19"/>
  <c r="T1877" i="19" s="1"/>
  <c r="R1877" i="19"/>
  <c r="S1878" i="19"/>
  <c r="U1878" i="19" s="1"/>
  <c r="R1878" i="19"/>
  <c r="S1879" i="19"/>
  <c r="T1879" i="19" s="1"/>
  <c r="R1879" i="19"/>
  <c r="S1880" i="19"/>
  <c r="U1880" i="19" s="1"/>
  <c r="R1880" i="19"/>
  <c r="S1881" i="19"/>
  <c r="T1881" i="19" s="1"/>
  <c r="R1881" i="19"/>
  <c r="S1882" i="19"/>
  <c r="U1882" i="19" s="1"/>
  <c r="R1882" i="19"/>
  <c r="S1883" i="19"/>
  <c r="T1883" i="19" s="1"/>
  <c r="R1883" i="19"/>
  <c r="S1884" i="19"/>
  <c r="U1884" i="19" s="1"/>
  <c r="R1884" i="19"/>
  <c r="S1885" i="19"/>
  <c r="T1885" i="19" s="1"/>
  <c r="R1885" i="19"/>
  <c r="S1886" i="19"/>
  <c r="U1886" i="19" s="1"/>
  <c r="R1886" i="19"/>
  <c r="S1887" i="19"/>
  <c r="T1887" i="19" s="1"/>
  <c r="R1887" i="19"/>
  <c r="S1888" i="19"/>
  <c r="U1888" i="19" s="1"/>
  <c r="R1888" i="19"/>
  <c r="S1889" i="19"/>
  <c r="R1889" i="19"/>
  <c r="S1890" i="19"/>
  <c r="U1890" i="19" s="1"/>
  <c r="R1890" i="19"/>
  <c r="S1891" i="19"/>
  <c r="T1891" i="19" s="1"/>
  <c r="R1891" i="19"/>
  <c r="S1892" i="19"/>
  <c r="U1892" i="19" s="1"/>
  <c r="R1892" i="19"/>
  <c r="S1893" i="19"/>
  <c r="R1893" i="19"/>
  <c r="S1894" i="19"/>
  <c r="U1894" i="19" s="1"/>
  <c r="R1894" i="19"/>
  <c r="S1895" i="19"/>
  <c r="R1895" i="19"/>
  <c r="S1896" i="19"/>
  <c r="U1896" i="19" s="1"/>
  <c r="R1896" i="19"/>
  <c r="S1897" i="19"/>
  <c r="R1897" i="19"/>
  <c r="S1898" i="19"/>
  <c r="T1898" i="19" s="1"/>
  <c r="R1898" i="19"/>
  <c r="S1899" i="19"/>
  <c r="R1899" i="19"/>
  <c r="S1900" i="19"/>
  <c r="T1900" i="19" s="1"/>
  <c r="R1900" i="19"/>
  <c r="S1901" i="19"/>
  <c r="R1901" i="19"/>
  <c r="S1902" i="19"/>
  <c r="T1902" i="19" s="1"/>
  <c r="R1902" i="19"/>
  <c r="S1903" i="19"/>
  <c r="T1903" i="19" s="1"/>
  <c r="R1903" i="19"/>
  <c r="S1904" i="19"/>
  <c r="T1904" i="19" s="1"/>
  <c r="R1904" i="19"/>
  <c r="S1905" i="19"/>
  <c r="R1905" i="19"/>
  <c r="S1906" i="19"/>
  <c r="U1906" i="19" s="1"/>
  <c r="R1906" i="19"/>
  <c r="S1907" i="19"/>
  <c r="R1907" i="19"/>
  <c r="S1908" i="19"/>
  <c r="U1908" i="19" s="1"/>
  <c r="R1908" i="19"/>
  <c r="S1909" i="19"/>
  <c r="R1909" i="19"/>
  <c r="S1910" i="19"/>
  <c r="T1910" i="19" s="1"/>
  <c r="R1910" i="19"/>
  <c r="S1911" i="19"/>
  <c r="R1911" i="19"/>
  <c r="S1912" i="19"/>
  <c r="T1912" i="19" s="1"/>
  <c r="R1912" i="19"/>
  <c r="S1913" i="19"/>
  <c r="R1913" i="19"/>
  <c r="S1914" i="19"/>
  <c r="T1914" i="19" s="1"/>
  <c r="R1914" i="19"/>
  <c r="S1915" i="19"/>
  <c r="T1915" i="19" s="1"/>
  <c r="R1915" i="19"/>
  <c r="S1916" i="19"/>
  <c r="T1916" i="19" s="1"/>
  <c r="R1916" i="19"/>
  <c r="S1917" i="19"/>
  <c r="R1917" i="19"/>
  <c r="S1918" i="19"/>
  <c r="U1918" i="19" s="1"/>
  <c r="R1918" i="19"/>
  <c r="S1919" i="19"/>
  <c r="R1919" i="19"/>
  <c r="S1920" i="19"/>
  <c r="U1920" i="19" s="1"/>
  <c r="R1920" i="19"/>
  <c r="S1921" i="19"/>
  <c r="R1921" i="19"/>
  <c r="S1922" i="19"/>
  <c r="T1922" i="19" s="1"/>
  <c r="R1922" i="19"/>
  <c r="S1923" i="19"/>
  <c r="R1923" i="19"/>
  <c r="S1924" i="19"/>
  <c r="T1924" i="19" s="1"/>
  <c r="R1924" i="19"/>
  <c r="S1925" i="19"/>
  <c r="R1925" i="19"/>
  <c r="S1926" i="19"/>
  <c r="T1926" i="19" s="1"/>
  <c r="R1926" i="19"/>
  <c r="S1927" i="19"/>
  <c r="T1927" i="19" s="1"/>
  <c r="R1927" i="19"/>
  <c r="S1928" i="19"/>
  <c r="T1928" i="19" s="1"/>
  <c r="R1928" i="19"/>
  <c r="S1929" i="19"/>
  <c r="R1929" i="19"/>
  <c r="S1930" i="19"/>
  <c r="U1930" i="19" s="1"/>
  <c r="R1930" i="19"/>
  <c r="S1931" i="19"/>
  <c r="R1931" i="19"/>
  <c r="S1932" i="19"/>
  <c r="U1932" i="19" s="1"/>
  <c r="R1932" i="19"/>
  <c r="S1933" i="19"/>
  <c r="R1933" i="19"/>
  <c r="S1934" i="19"/>
  <c r="T1934" i="19" s="1"/>
  <c r="R1934" i="19"/>
  <c r="S1935" i="19"/>
  <c r="R1935" i="19"/>
  <c r="S1936" i="19"/>
  <c r="T1936" i="19" s="1"/>
  <c r="R1936" i="19"/>
  <c r="S1937" i="19"/>
  <c r="T1937" i="19" s="1"/>
  <c r="R1937" i="19"/>
  <c r="S1938" i="19"/>
  <c r="U1938" i="19" s="1"/>
  <c r="R1938" i="19"/>
  <c r="S1939" i="19"/>
  <c r="T1939" i="19" s="1"/>
  <c r="R1939" i="19"/>
  <c r="S1940" i="19"/>
  <c r="U1940" i="19" s="1"/>
  <c r="R1940" i="19"/>
  <c r="S1941" i="19"/>
  <c r="R1941" i="19"/>
  <c r="S1942" i="19"/>
  <c r="U1942" i="19" s="1"/>
  <c r="R1942" i="19"/>
  <c r="S1943" i="19"/>
  <c r="R1943" i="19"/>
  <c r="S1944" i="19"/>
  <c r="U1944" i="19" s="1"/>
  <c r="R1944" i="19"/>
  <c r="S1945" i="19"/>
  <c r="R1945" i="19"/>
  <c r="S1946" i="19"/>
  <c r="T1946" i="19" s="1"/>
  <c r="R1946" i="19"/>
  <c r="S1947" i="19"/>
  <c r="R1947" i="19"/>
  <c r="S1948" i="19"/>
  <c r="T1948" i="19" s="1"/>
  <c r="R1948" i="19"/>
  <c r="S1949" i="19"/>
  <c r="R1949" i="19"/>
  <c r="S1950" i="19"/>
  <c r="U1950" i="19" s="1"/>
  <c r="R1950" i="19"/>
  <c r="S1951" i="19"/>
  <c r="T1951" i="19" s="1"/>
  <c r="R1951" i="19"/>
  <c r="S1952" i="19"/>
  <c r="T1952" i="19" s="1"/>
  <c r="R1952" i="19"/>
  <c r="S1953" i="19"/>
  <c r="R1953" i="19"/>
  <c r="S1954" i="19"/>
  <c r="U1954" i="19" s="1"/>
  <c r="R1954" i="19"/>
  <c r="S1955" i="19"/>
  <c r="R1955" i="19"/>
  <c r="S1956" i="19"/>
  <c r="U1956" i="19" s="1"/>
  <c r="R1956" i="19"/>
  <c r="S1957" i="19"/>
  <c r="R1957" i="19"/>
  <c r="S1958" i="19"/>
  <c r="T1958" i="19" s="1"/>
  <c r="R1958" i="19"/>
  <c r="S1959" i="19"/>
  <c r="R1959" i="19"/>
  <c r="S1960" i="19"/>
  <c r="T1960" i="19" s="1"/>
  <c r="R1960" i="19"/>
  <c r="S1961" i="19"/>
  <c r="R1961" i="19"/>
  <c r="S1962" i="19"/>
  <c r="T1962" i="19" s="1"/>
  <c r="R1962" i="19"/>
  <c r="S1963" i="19"/>
  <c r="T1963" i="19" s="1"/>
  <c r="R1963" i="19"/>
  <c r="S1964" i="19"/>
  <c r="T1964" i="19" s="1"/>
  <c r="R1964" i="19"/>
  <c r="S1965" i="19"/>
  <c r="R1965" i="19"/>
  <c r="S1966" i="19"/>
  <c r="U1966" i="19" s="1"/>
  <c r="R1966" i="19"/>
  <c r="S1967" i="19"/>
  <c r="R1967" i="19"/>
  <c r="S1968" i="19"/>
  <c r="U1968" i="19" s="1"/>
  <c r="R1968" i="19"/>
  <c r="S1969" i="19"/>
  <c r="R1969" i="19"/>
  <c r="S1970" i="19"/>
  <c r="T1970" i="19" s="1"/>
  <c r="R1970" i="19"/>
  <c r="S1971" i="19"/>
  <c r="R1971" i="19"/>
  <c r="S1972" i="19"/>
  <c r="T1972" i="19" s="1"/>
  <c r="R1972" i="19"/>
  <c r="S1973" i="19"/>
  <c r="R1973" i="19"/>
  <c r="S1974" i="19"/>
  <c r="T1974" i="19" s="1"/>
  <c r="R1974" i="19"/>
  <c r="S1975" i="19"/>
  <c r="T1975" i="19" s="1"/>
  <c r="R1975" i="19"/>
  <c r="S1976" i="19"/>
  <c r="T1976" i="19" s="1"/>
  <c r="R1976" i="19"/>
  <c r="S1977" i="19"/>
  <c r="R1977" i="19"/>
  <c r="S1978" i="19"/>
  <c r="T1978" i="19" s="1"/>
  <c r="R1978" i="19"/>
  <c r="S1979" i="19"/>
  <c r="T1979" i="19" s="1"/>
  <c r="R1979" i="19"/>
  <c r="S1980" i="19"/>
  <c r="T1980" i="19" s="1"/>
  <c r="R1980" i="19"/>
  <c r="S1981" i="19"/>
  <c r="R1981" i="19"/>
  <c r="S1982" i="19"/>
  <c r="U1982" i="19" s="1"/>
  <c r="R1982" i="19"/>
  <c r="S1983" i="19"/>
  <c r="R1983" i="19"/>
  <c r="S1984" i="19"/>
  <c r="U1984" i="19" s="1"/>
  <c r="R1984" i="19"/>
  <c r="S1985" i="19"/>
  <c r="R1985" i="19"/>
  <c r="S1986" i="19"/>
  <c r="U1986" i="19" s="1"/>
  <c r="R1986" i="19"/>
  <c r="S1987" i="19"/>
  <c r="R1987" i="19"/>
  <c r="S1988" i="19"/>
  <c r="T1988" i="19" s="1"/>
  <c r="R1988" i="19"/>
  <c r="S1989" i="19"/>
  <c r="R1989" i="19"/>
  <c r="S1990" i="19"/>
  <c r="T1990" i="19" s="1"/>
  <c r="R1990" i="19"/>
  <c r="S1991" i="19"/>
  <c r="R1991" i="19"/>
  <c r="S1992" i="19"/>
  <c r="U1992" i="19" s="1"/>
  <c r="R1992" i="19"/>
  <c r="S1993" i="19"/>
  <c r="T1993" i="19" s="1"/>
  <c r="R1993" i="19"/>
  <c r="S1994" i="19"/>
  <c r="T1994" i="19" s="1"/>
  <c r="R1994" i="19"/>
  <c r="S1995" i="19"/>
  <c r="R1995" i="19"/>
  <c r="S1996" i="19"/>
  <c r="T1996" i="19" s="1"/>
  <c r="R1996" i="19"/>
  <c r="S1997" i="19"/>
  <c r="R1997" i="19"/>
  <c r="S1998" i="19"/>
  <c r="T1998" i="19" s="1"/>
  <c r="R1998" i="19"/>
  <c r="S1999" i="19"/>
  <c r="T1999" i="19" s="1"/>
  <c r="R1999" i="19"/>
  <c r="S2000" i="19"/>
  <c r="T2000" i="19" s="1"/>
  <c r="R2000" i="19"/>
  <c r="S2001" i="19"/>
  <c r="R2001" i="19"/>
  <c r="S2002" i="19"/>
  <c r="T2002" i="19" s="1"/>
  <c r="R2002" i="19"/>
  <c r="S2003" i="19"/>
  <c r="R2003" i="19"/>
  <c r="S2004" i="19"/>
  <c r="T2004" i="19" s="1"/>
  <c r="R2004" i="19"/>
  <c r="S2005" i="19"/>
  <c r="R2005" i="19"/>
  <c r="S2006" i="19"/>
  <c r="U2006" i="19" s="1"/>
  <c r="R2006" i="19"/>
  <c r="S2007" i="19"/>
  <c r="R2007" i="19"/>
  <c r="S2008" i="19"/>
  <c r="U2008" i="19" s="1"/>
  <c r="R2008" i="19"/>
  <c r="S2009" i="19"/>
  <c r="R2009" i="19"/>
  <c r="S2010" i="19"/>
  <c r="U2010" i="19" s="1"/>
  <c r="R2010" i="19"/>
  <c r="S2011" i="19"/>
  <c r="R2011" i="19"/>
  <c r="S2012" i="19"/>
  <c r="T2012" i="19" s="1"/>
  <c r="R2012" i="19"/>
  <c r="S2013" i="19"/>
  <c r="U2013" i="19" s="1"/>
  <c r="R2013" i="19"/>
  <c r="S2014" i="19"/>
  <c r="T2014" i="19" s="1"/>
  <c r="R2014" i="19"/>
  <c r="S2015" i="19"/>
  <c r="R2015" i="19"/>
  <c r="S2016" i="19"/>
  <c r="U2016" i="19" s="1"/>
  <c r="R2016" i="19"/>
  <c r="S2017" i="19"/>
  <c r="T2017" i="19" s="1"/>
  <c r="R2017" i="19"/>
  <c r="S2018" i="19"/>
  <c r="T2018" i="19" s="1"/>
  <c r="R2018" i="19"/>
  <c r="S2019" i="19"/>
  <c r="U2019" i="19" s="1"/>
  <c r="R2019" i="19"/>
  <c r="S2020" i="19"/>
  <c r="T2020" i="19" s="1"/>
  <c r="R2020" i="19"/>
  <c r="S2021" i="19"/>
  <c r="R2021" i="19"/>
  <c r="S2022" i="19"/>
  <c r="U2022" i="19" s="1"/>
  <c r="R2022" i="19"/>
  <c r="S2023" i="19"/>
  <c r="T2023" i="19" s="1"/>
  <c r="R2023" i="19"/>
  <c r="S2024" i="19"/>
  <c r="T2024" i="19" s="1"/>
  <c r="R2024" i="19"/>
  <c r="S2025" i="19"/>
  <c r="R2025" i="19"/>
  <c r="S2026" i="19"/>
  <c r="T2026" i="19" s="1"/>
  <c r="R2026" i="19"/>
  <c r="S2027" i="19"/>
  <c r="R2027" i="19"/>
  <c r="S2028" i="19"/>
  <c r="T2028" i="19" s="1"/>
  <c r="R2028" i="19"/>
  <c r="S2029" i="19"/>
  <c r="R2029" i="19"/>
  <c r="S2030" i="19"/>
  <c r="U2030" i="19" s="1"/>
  <c r="R2030" i="19"/>
  <c r="S2031" i="19"/>
  <c r="R2031" i="19"/>
  <c r="S2032" i="19"/>
  <c r="U2032" i="19" s="1"/>
  <c r="R2032" i="19"/>
  <c r="S2033" i="19"/>
  <c r="T2033" i="19" s="1"/>
  <c r="R2033" i="19"/>
  <c r="S2034" i="19"/>
  <c r="U2034" i="19" s="1"/>
  <c r="R2034" i="19"/>
  <c r="S2035" i="19"/>
  <c r="R2035" i="19"/>
  <c r="S2036" i="19"/>
  <c r="T2036" i="19" s="1"/>
  <c r="R2036" i="19"/>
  <c r="S2037" i="19"/>
  <c r="U2037" i="19" s="1"/>
  <c r="R2037" i="19"/>
  <c r="S2038" i="19"/>
  <c r="T2038" i="19" s="1"/>
  <c r="R2038" i="19"/>
  <c r="S2039" i="19"/>
  <c r="R2039" i="19"/>
  <c r="S2040" i="19"/>
  <c r="U2040" i="19" s="1"/>
  <c r="R2040" i="19"/>
  <c r="S2041" i="19"/>
  <c r="T2041" i="19" s="1"/>
  <c r="R2041" i="19"/>
  <c r="S2042" i="19"/>
  <c r="T2042" i="19" s="1"/>
  <c r="R2042" i="19"/>
  <c r="S2043" i="19"/>
  <c r="T2043" i="19" s="1"/>
  <c r="R2043" i="19"/>
  <c r="S2044" i="19"/>
  <c r="T2044" i="19" s="1"/>
  <c r="R2044" i="19"/>
  <c r="S2045" i="19"/>
  <c r="R2045" i="19"/>
  <c r="S2046" i="19"/>
  <c r="U2046" i="19" s="1"/>
  <c r="R2046" i="19"/>
  <c r="S2047" i="19"/>
  <c r="T2047" i="19" s="1"/>
  <c r="R2047" i="19"/>
  <c r="S2048" i="19"/>
  <c r="T2048" i="19" s="1"/>
  <c r="R2048" i="19"/>
  <c r="S2049" i="19"/>
  <c r="R2049" i="19"/>
  <c r="S2050" i="19"/>
  <c r="T2050" i="19" s="1"/>
  <c r="R2050" i="19"/>
  <c r="S2051" i="19"/>
  <c r="R2051" i="19"/>
  <c r="S2052" i="19"/>
  <c r="T2052" i="19" s="1"/>
  <c r="R2052" i="19"/>
  <c r="S2053" i="19"/>
  <c r="R2053" i="19"/>
  <c r="S2054" i="19"/>
  <c r="U2054" i="19" s="1"/>
  <c r="R2054" i="19"/>
  <c r="S2055" i="19"/>
  <c r="R2055" i="19"/>
  <c r="S2056" i="19"/>
  <c r="U2056" i="19" s="1"/>
  <c r="R2056" i="19"/>
  <c r="S2057" i="19"/>
  <c r="T2057" i="19" s="1"/>
  <c r="R2057" i="19"/>
  <c r="S2058" i="19"/>
  <c r="U2058" i="19" s="1"/>
  <c r="R2058" i="19"/>
  <c r="S2059" i="19"/>
  <c r="R2059" i="19"/>
  <c r="S2060" i="19"/>
  <c r="T2060" i="19" s="1"/>
  <c r="R2060" i="19"/>
  <c r="S2061" i="19"/>
  <c r="U2061" i="19" s="1"/>
  <c r="R2061" i="19"/>
  <c r="S2062" i="19"/>
  <c r="T2062" i="19" s="1"/>
  <c r="R2062" i="19"/>
  <c r="S2063" i="19"/>
  <c r="R2063" i="19"/>
  <c r="S2064" i="19"/>
  <c r="U2064" i="19" s="1"/>
  <c r="R2064" i="19"/>
  <c r="S2065" i="19"/>
  <c r="T2065" i="19" s="1"/>
  <c r="R2065" i="19"/>
  <c r="S2066" i="19"/>
  <c r="T2066" i="19" s="1"/>
  <c r="R2066" i="19"/>
  <c r="S2067" i="19"/>
  <c r="T2067" i="19" s="1"/>
  <c r="R2067" i="19"/>
  <c r="S2068" i="19"/>
  <c r="T2068" i="19" s="1"/>
  <c r="R2068" i="19"/>
  <c r="S2069" i="19"/>
  <c r="R2069" i="19"/>
  <c r="S2070" i="19"/>
  <c r="U2070" i="19" s="1"/>
  <c r="R2070" i="19"/>
  <c r="S2071" i="19"/>
  <c r="T2071" i="19" s="1"/>
  <c r="R2071" i="19"/>
  <c r="S2072" i="19"/>
  <c r="T2072" i="19" s="1"/>
  <c r="R2072" i="19"/>
  <c r="S2073" i="19"/>
  <c r="R2073" i="19"/>
  <c r="S2074" i="19"/>
  <c r="T2074" i="19" s="1"/>
  <c r="R2074" i="19"/>
  <c r="S2075" i="19"/>
  <c r="R2075" i="19"/>
  <c r="S2076" i="19"/>
  <c r="T2076" i="19" s="1"/>
  <c r="R2076" i="19"/>
  <c r="S2077" i="19"/>
  <c r="R2077" i="19"/>
  <c r="S2078" i="19"/>
  <c r="U2078" i="19" s="1"/>
  <c r="R2078" i="19"/>
  <c r="S2079" i="19"/>
  <c r="R2079" i="19"/>
  <c r="S2080" i="19"/>
  <c r="U2080" i="19" s="1"/>
  <c r="R2080" i="19"/>
  <c r="S2081" i="19"/>
  <c r="T2081" i="19" s="1"/>
  <c r="R2081" i="19"/>
  <c r="S2082" i="19"/>
  <c r="U2082" i="19" s="1"/>
  <c r="R2082" i="19"/>
  <c r="S2083" i="19"/>
  <c r="R2083" i="19"/>
  <c r="S2084" i="19"/>
  <c r="T2084" i="19" s="1"/>
  <c r="R2084" i="19"/>
  <c r="AF3" i="23"/>
  <c r="AH3" i="23" s="1"/>
  <c r="AF4" i="23"/>
  <c r="AH4" i="23" s="1"/>
  <c r="AF5" i="23"/>
  <c r="AH5" i="23" s="1"/>
  <c r="AF6" i="23"/>
  <c r="AH6" i="23" s="1"/>
  <c r="AF7" i="23"/>
  <c r="AH7" i="23" s="1"/>
  <c r="AF8" i="23"/>
  <c r="AH8" i="23" s="1"/>
  <c r="AF9" i="23"/>
  <c r="AH9" i="23" s="1"/>
  <c r="AF10" i="23"/>
  <c r="AH10" i="23" s="1"/>
  <c r="AF11" i="23"/>
  <c r="AH11" i="23" s="1"/>
  <c r="AF12" i="23"/>
  <c r="AH12" i="23" s="1"/>
  <c r="AF13" i="23"/>
  <c r="AH13" i="23" s="1"/>
  <c r="AF14" i="23"/>
  <c r="AH14" i="23" s="1"/>
  <c r="AF15" i="23"/>
  <c r="AH15" i="23" s="1"/>
  <c r="AF16" i="23"/>
  <c r="AH16" i="23" s="1"/>
  <c r="AF17" i="23"/>
  <c r="AH17" i="23" s="1"/>
  <c r="AF18" i="23"/>
  <c r="AH18" i="23" s="1"/>
  <c r="AF19" i="23"/>
  <c r="AH19" i="23" s="1"/>
  <c r="AF20" i="23"/>
  <c r="AH20" i="23" s="1"/>
  <c r="AF21" i="23"/>
  <c r="AH21" i="23" s="1"/>
  <c r="AF22" i="23"/>
  <c r="AH22" i="23" s="1"/>
  <c r="AF23" i="23"/>
  <c r="AH23" i="23" s="1"/>
  <c r="AF24" i="23"/>
  <c r="AH24" i="23" s="1"/>
  <c r="AF25" i="23"/>
  <c r="AH25" i="23" s="1"/>
  <c r="AF26" i="23"/>
  <c r="AH26" i="23" s="1"/>
  <c r="AF27" i="23"/>
  <c r="AH27" i="23" s="1"/>
  <c r="AF28" i="23"/>
  <c r="AH28" i="23" s="1"/>
  <c r="AF29" i="23"/>
  <c r="AH29" i="23" s="1"/>
  <c r="AF30" i="23"/>
  <c r="AH30" i="23" s="1"/>
  <c r="AF31" i="23"/>
  <c r="AH31" i="23" s="1"/>
  <c r="AF32" i="23"/>
  <c r="AH32" i="23" s="1"/>
  <c r="AF33" i="23"/>
  <c r="AH33" i="23" s="1"/>
  <c r="AF34" i="23"/>
  <c r="AH34" i="23" s="1"/>
  <c r="AF35" i="23"/>
  <c r="AH35" i="23" s="1"/>
  <c r="AF36" i="23"/>
  <c r="AH36" i="23" s="1"/>
  <c r="AF37" i="23"/>
  <c r="AH37" i="23" s="1"/>
  <c r="AF38" i="23"/>
  <c r="AH38" i="23" s="1"/>
  <c r="AF39" i="23"/>
  <c r="AH39" i="23" s="1"/>
  <c r="AF40" i="23"/>
  <c r="AH40" i="23" s="1"/>
  <c r="AF41" i="23"/>
  <c r="AH41" i="23" s="1"/>
  <c r="AF42" i="23"/>
  <c r="AH42" i="23" s="1"/>
  <c r="AF43" i="23"/>
  <c r="AH43" i="23" s="1"/>
  <c r="AF44" i="23"/>
  <c r="AH44" i="23" s="1"/>
  <c r="AF45" i="23"/>
  <c r="AH45" i="23" s="1"/>
  <c r="AF46" i="23"/>
  <c r="AH46" i="23" s="1"/>
  <c r="AF47" i="23"/>
  <c r="AH47" i="23" s="1"/>
  <c r="AF48" i="23"/>
  <c r="AH48" i="23" s="1"/>
  <c r="AF49" i="23"/>
  <c r="AH49" i="23" s="1"/>
  <c r="AF50" i="23"/>
  <c r="AH50" i="23" s="1"/>
  <c r="AF51" i="23"/>
  <c r="AH51" i="23" s="1"/>
  <c r="AF52" i="23"/>
  <c r="AH52" i="23" s="1"/>
  <c r="AF53" i="23"/>
  <c r="AH53" i="23" s="1"/>
  <c r="AF54" i="23"/>
  <c r="AH54" i="23" s="1"/>
  <c r="AF55" i="23"/>
  <c r="AH55" i="23" s="1"/>
  <c r="AF56" i="23"/>
  <c r="AH56" i="23" s="1"/>
  <c r="AF57" i="23"/>
  <c r="AH57" i="23" s="1"/>
  <c r="AF58" i="23"/>
  <c r="AH58" i="23" s="1"/>
  <c r="AF59" i="23"/>
  <c r="AH59" i="23" s="1"/>
  <c r="AF60" i="23"/>
  <c r="AH60" i="23" s="1"/>
  <c r="AF61" i="23"/>
  <c r="AH61" i="23" s="1"/>
  <c r="AF62" i="23"/>
  <c r="AH62" i="23" s="1"/>
  <c r="AF63" i="23"/>
  <c r="AH63" i="23" s="1"/>
  <c r="AF64" i="23"/>
  <c r="AH64" i="23" s="1"/>
  <c r="AF65" i="23"/>
  <c r="AH65" i="23" s="1"/>
  <c r="AF66" i="23"/>
  <c r="AH66" i="23" s="1"/>
  <c r="AF67" i="23"/>
  <c r="AH67" i="23" s="1"/>
  <c r="AF68" i="23"/>
  <c r="AH68" i="23" s="1"/>
  <c r="AF69" i="23"/>
  <c r="AH69" i="23" s="1"/>
  <c r="AF70" i="23"/>
  <c r="AH70" i="23" s="1"/>
  <c r="AF71" i="23"/>
  <c r="AH71" i="23" s="1"/>
  <c r="AF72" i="23"/>
  <c r="AH72" i="23" s="1"/>
  <c r="AF73" i="23"/>
  <c r="AH73" i="23" s="1"/>
  <c r="AF74" i="23"/>
  <c r="AH74" i="23" s="1"/>
  <c r="AF75" i="23"/>
  <c r="AH75" i="23" s="1"/>
  <c r="AF76" i="23"/>
  <c r="AH76" i="23" s="1"/>
  <c r="AF77" i="23"/>
  <c r="AH77" i="23" s="1"/>
  <c r="AF78" i="23"/>
  <c r="AH78" i="23" s="1"/>
  <c r="AF79" i="23"/>
  <c r="AH79" i="23" s="1"/>
  <c r="AF80" i="23"/>
  <c r="AH80" i="23" s="1"/>
  <c r="AF81" i="23"/>
  <c r="AH81" i="23" s="1"/>
  <c r="AF82" i="23"/>
  <c r="AH82" i="23" s="1"/>
  <c r="AF83" i="23"/>
  <c r="AH83" i="23" s="1"/>
  <c r="AF84" i="23"/>
  <c r="AH84" i="23" s="1"/>
  <c r="AF85" i="23"/>
  <c r="AH85" i="23" s="1"/>
  <c r="AF86" i="23"/>
  <c r="AH86" i="23" s="1"/>
  <c r="AF87" i="23"/>
  <c r="AH87" i="23" s="1"/>
  <c r="AF88" i="23"/>
  <c r="AH88" i="23" s="1"/>
  <c r="AF89" i="23"/>
  <c r="AH89" i="23" s="1"/>
  <c r="AF90" i="23"/>
  <c r="AH90" i="23" s="1"/>
  <c r="AF91" i="23"/>
  <c r="AH91" i="23" s="1"/>
  <c r="AF92" i="23"/>
  <c r="AH92" i="23" s="1"/>
  <c r="AF93" i="23"/>
  <c r="AH93" i="23" s="1"/>
  <c r="AF94" i="23"/>
  <c r="AH94" i="23" s="1"/>
  <c r="AF95" i="23"/>
  <c r="AH95" i="23" s="1"/>
  <c r="AF96" i="23"/>
  <c r="AH96" i="23" s="1"/>
  <c r="AF97" i="23"/>
  <c r="AH97" i="23" s="1"/>
  <c r="AF98" i="23"/>
  <c r="AH98" i="23" s="1"/>
  <c r="AF99" i="23"/>
  <c r="AH99" i="23" s="1"/>
  <c r="AF100" i="23"/>
  <c r="AH100" i="23" s="1"/>
  <c r="AF101" i="23"/>
  <c r="AH101" i="23" s="1"/>
  <c r="AF102" i="23"/>
  <c r="AH102" i="23" s="1"/>
  <c r="AF103" i="23"/>
  <c r="AH103" i="23" s="1"/>
  <c r="AF104" i="23"/>
  <c r="AH104" i="23" s="1"/>
  <c r="AF105" i="23"/>
  <c r="AH105" i="23" s="1"/>
  <c r="AF106" i="23"/>
  <c r="AH106" i="23" s="1"/>
  <c r="AF107" i="23"/>
  <c r="AH107" i="23" s="1"/>
  <c r="AF108" i="23"/>
  <c r="AH108" i="23" s="1"/>
  <c r="AF109" i="23"/>
  <c r="AH109" i="23" s="1"/>
  <c r="AF110" i="23"/>
  <c r="AH110" i="23" s="1"/>
  <c r="AF111" i="23"/>
  <c r="AH111" i="23" s="1"/>
  <c r="AF112" i="23"/>
  <c r="AH112" i="23" s="1"/>
  <c r="AF113" i="23"/>
  <c r="AH113" i="23" s="1"/>
  <c r="AF114" i="23"/>
  <c r="AH114" i="23" s="1"/>
  <c r="AF115" i="23"/>
  <c r="AH115" i="23" s="1"/>
  <c r="AF116" i="23"/>
  <c r="AH116" i="23" s="1"/>
  <c r="AF117" i="23"/>
  <c r="AH117" i="23" s="1"/>
  <c r="AF118" i="23"/>
  <c r="AH118" i="23" s="1"/>
  <c r="AF119" i="23"/>
  <c r="AH119" i="23" s="1"/>
  <c r="AF120" i="23"/>
  <c r="AH120" i="23" s="1"/>
  <c r="AF121" i="23"/>
  <c r="AH121" i="23" s="1"/>
  <c r="AF122" i="23"/>
  <c r="AH122" i="23" s="1"/>
  <c r="AF123" i="23"/>
  <c r="AH123" i="23" s="1"/>
  <c r="AF124" i="23"/>
  <c r="AH124" i="23" s="1"/>
  <c r="AF125" i="23"/>
  <c r="AH125" i="23" s="1"/>
  <c r="AF126" i="23"/>
  <c r="AH126" i="23" s="1"/>
  <c r="AF127" i="23"/>
  <c r="AH127" i="23" s="1"/>
  <c r="AF128" i="23"/>
  <c r="AH128" i="23" s="1"/>
  <c r="AF129" i="23"/>
  <c r="AH129" i="23" s="1"/>
  <c r="AF130" i="23"/>
  <c r="AH130" i="23" s="1"/>
  <c r="AF131" i="23"/>
  <c r="AH131" i="23" s="1"/>
  <c r="AF132" i="23"/>
  <c r="AH132" i="23" s="1"/>
  <c r="AF133" i="23"/>
  <c r="AH133" i="23" s="1"/>
  <c r="AF134" i="23"/>
  <c r="AH134" i="23" s="1"/>
  <c r="AF135" i="23"/>
  <c r="AH135" i="23" s="1"/>
  <c r="AF136" i="23"/>
  <c r="AH136" i="23" s="1"/>
  <c r="AF137" i="23"/>
  <c r="AH137" i="23" s="1"/>
  <c r="AF138" i="23"/>
  <c r="AH138" i="23" s="1"/>
  <c r="AF139" i="23"/>
  <c r="AH139" i="23" s="1"/>
  <c r="AF140" i="23"/>
  <c r="AH140" i="23" s="1"/>
  <c r="AF141" i="23"/>
  <c r="AH141" i="23" s="1"/>
  <c r="AF142" i="23"/>
  <c r="AH142" i="23" s="1"/>
  <c r="AF143" i="23"/>
  <c r="AH143" i="23" s="1"/>
  <c r="AF144" i="23"/>
  <c r="AH144" i="23" s="1"/>
  <c r="AF145" i="23"/>
  <c r="AH145" i="23" s="1"/>
  <c r="AF146" i="23"/>
  <c r="AH146" i="23" s="1"/>
  <c r="AF147" i="23"/>
  <c r="AH147" i="23" s="1"/>
  <c r="AF148" i="23"/>
  <c r="AH148" i="23" s="1"/>
  <c r="AF149" i="23"/>
  <c r="AH149" i="23" s="1"/>
  <c r="AF150" i="23"/>
  <c r="AH150" i="23" s="1"/>
  <c r="AF151" i="23"/>
  <c r="AH151" i="23" s="1"/>
  <c r="AF152" i="23"/>
  <c r="AH152" i="23" s="1"/>
  <c r="AF153" i="23"/>
  <c r="AH153" i="23" s="1"/>
  <c r="AF154" i="23"/>
  <c r="AH154" i="23" s="1"/>
  <c r="AF155" i="23"/>
  <c r="AH155" i="23" s="1"/>
  <c r="AF156" i="23"/>
  <c r="AH156" i="23" s="1"/>
  <c r="AF157" i="23"/>
  <c r="AH157" i="23" s="1"/>
  <c r="AF158" i="23"/>
  <c r="AH158" i="23" s="1"/>
  <c r="AF159" i="23"/>
  <c r="AH159" i="23" s="1"/>
  <c r="AF160" i="23"/>
  <c r="AH160" i="23" s="1"/>
  <c r="AF161" i="23"/>
  <c r="AH161" i="23" s="1"/>
  <c r="AF162" i="23"/>
  <c r="AH162" i="23" s="1"/>
  <c r="AF163" i="23"/>
  <c r="AH163" i="23" s="1"/>
  <c r="AF164" i="23"/>
  <c r="AH164" i="23" s="1"/>
  <c r="AF165" i="23"/>
  <c r="AH165" i="23" s="1"/>
  <c r="AF166" i="23"/>
  <c r="AH166" i="23" s="1"/>
  <c r="AF167" i="23"/>
  <c r="AH167" i="23" s="1"/>
  <c r="AF168" i="23"/>
  <c r="AH168" i="23" s="1"/>
  <c r="AF169" i="23"/>
  <c r="AH169" i="23" s="1"/>
  <c r="AF170" i="23"/>
  <c r="AH170" i="23" s="1"/>
  <c r="AF171" i="23"/>
  <c r="AH171" i="23" s="1"/>
  <c r="AF172" i="23"/>
  <c r="AH172" i="23" s="1"/>
  <c r="AF173" i="23"/>
  <c r="AH173" i="23" s="1"/>
  <c r="AF174" i="23"/>
  <c r="AH174" i="23" s="1"/>
  <c r="AF175" i="23"/>
  <c r="AH175" i="23" s="1"/>
  <c r="AF176" i="23"/>
  <c r="AH176" i="23" s="1"/>
  <c r="AF177" i="23"/>
  <c r="AH177" i="23" s="1"/>
  <c r="AF178" i="23"/>
  <c r="AH178" i="23" s="1"/>
  <c r="AF179" i="23"/>
  <c r="AH179" i="23" s="1"/>
  <c r="AF180" i="23"/>
  <c r="AH180" i="23" s="1"/>
  <c r="AF181" i="23"/>
  <c r="AH181" i="23" s="1"/>
  <c r="AF182" i="23"/>
  <c r="AH182" i="23" s="1"/>
  <c r="AF183" i="23"/>
  <c r="AH183" i="23" s="1"/>
  <c r="AF184" i="23"/>
  <c r="AH184" i="23" s="1"/>
  <c r="AF185" i="23"/>
  <c r="AH185" i="23" s="1"/>
  <c r="AF186" i="23"/>
  <c r="AH186" i="23" s="1"/>
  <c r="AF187" i="23"/>
  <c r="AH187" i="23" s="1"/>
  <c r="AF188" i="23"/>
  <c r="AH188" i="23" s="1"/>
  <c r="AF189" i="23"/>
  <c r="AH189" i="23" s="1"/>
  <c r="AF190" i="23"/>
  <c r="AH190" i="23" s="1"/>
  <c r="AF191" i="23"/>
  <c r="AH191" i="23" s="1"/>
  <c r="AF192" i="23"/>
  <c r="AH192" i="23" s="1"/>
  <c r="AF193" i="23"/>
  <c r="AH193" i="23" s="1"/>
  <c r="AF194" i="23"/>
  <c r="AH194" i="23" s="1"/>
  <c r="AF195" i="23"/>
  <c r="AH195" i="23" s="1"/>
  <c r="AF196" i="23"/>
  <c r="AH196" i="23" s="1"/>
  <c r="AF197" i="23"/>
  <c r="AH197" i="23" s="1"/>
  <c r="AF198" i="23"/>
  <c r="AH198" i="23" s="1"/>
  <c r="AF199" i="23"/>
  <c r="AH199" i="23" s="1"/>
  <c r="AF200" i="23"/>
  <c r="AH200" i="23" s="1"/>
  <c r="AF201" i="23"/>
  <c r="AH201" i="23" s="1"/>
  <c r="AF202" i="23"/>
  <c r="AH202" i="23" s="1"/>
  <c r="AF203" i="23"/>
  <c r="AH203" i="23" s="1"/>
  <c r="AF204" i="23"/>
  <c r="AH204" i="23" s="1"/>
  <c r="AF205" i="23"/>
  <c r="AH205" i="23" s="1"/>
  <c r="AF206" i="23"/>
  <c r="AH206" i="23" s="1"/>
  <c r="AF207" i="23"/>
  <c r="AH207" i="23" s="1"/>
  <c r="AF208" i="23"/>
  <c r="AH208" i="23" s="1"/>
  <c r="AF209" i="23"/>
  <c r="AH209" i="23" s="1"/>
  <c r="AF210" i="23"/>
  <c r="AH210" i="23" s="1"/>
  <c r="AF211" i="23"/>
  <c r="AH211" i="23" s="1"/>
  <c r="AF212" i="23"/>
  <c r="AH212" i="23" s="1"/>
  <c r="AF213" i="23"/>
  <c r="AH213" i="23" s="1"/>
  <c r="AF214" i="23"/>
  <c r="AH214" i="23" s="1"/>
  <c r="AF215" i="23"/>
  <c r="AH215" i="23" s="1"/>
  <c r="AF216" i="23"/>
  <c r="AH216" i="23" s="1"/>
  <c r="AF217" i="23"/>
  <c r="AH217" i="23" s="1"/>
  <c r="AF218" i="23"/>
  <c r="AH218" i="23" s="1"/>
  <c r="AF219" i="23"/>
  <c r="AH219" i="23" s="1"/>
  <c r="AF220" i="23"/>
  <c r="AH220" i="23" s="1"/>
  <c r="AF221" i="23"/>
  <c r="AH221" i="23" s="1"/>
  <c r="AF222" i="23"/>
  <c r="AH222" i="23" s="1"/>
  <c r="AF223" i="23"/>
  <c r="AH223" i="23" s="1"/>
  <c r="AF224" i="23"/>
  <c r="AH224" i="23" s="1"/>
  <c r="AF225" i="23"/>
  <c r="AH225" i="23" s="1"/>
  <c r="AF226" i="23"/>
  <c r="AH226" i="23" s="1"/>
  <c r="AF227" i="23"/>
  <c r="AH227" i="23" s="1"/>
  <c r="AF228" i="23"/>
  <c r="AH228" i="23" s="1"/>
  <c r="AF229" i="23"/>
  <c r="AH229" i="23" s="1"/>
  <c r="AF230" i="23"/>
  <c r="AH230" i="23" s="1"/>
  <c r="AF231" i="23"/>
  <c r="AH231" i="23" s="1"/>
  <c r="AF232" i="23"/>
  <c r="AH232" i="23" s="1"/>
  <c r="AF233" i="23"/>
  <c r="AH233" i="23" s="1"/>
  <c r="AF234" i="23"/>
  <c r="AH234" i="23" s="1"/>
  <c r="AF235" i="23"/>
  <c r="AH235" i="23" s="1"/>
  <c r="AF236" i="23"/>
  <c r="AH236" i="23" s="1"/>
  <c r="AF237" i="23"/>
  <c r="AH237" i="23" s="1"/>
  <c r="AF238" i="23"/>
  <c r="AH238" i="23" s="1"/>
  <c r="AF239" i="23"/>
  <c r="AH239" i="23" s="1"/>
  <c r="AF240" i="23"/>
  <c r="AH240" i="23" s="1"/>
  <c r="AF241" i="23"/>
  <c r="AH241" i="23" s="1"/>
  <c r="AF242" i="23"/>
  <c r="AH242" i="23" s="1"/>
  <c r="AF243" i="23"/>
  <c r="AH243" i="23" s="1"/>
  <c r="AF244" i="23"/>
  <c r="AH244" i="23" s="1"/>
  <c r="AF245" i="23"/>
  <c r="AH245" i="23" s="1"/>
  <c r="AF246" i="23"/>
  <c r="AH246" i="23" s="1"/>
  <c r="AF247" i="23"/>
  <c r="AH247" i="23" s="1"/>
  <c r="AF248" i="23"/>
  <c r="AH248" i="23" s="1"/>
  <c r="AF249" i="23"/>
  <c r="AH249" i="23" s="1"/>
  <c r="AF250" i="23"/>
  <c r="AH250" i="23" s="1"/>
  <c r="AF251" i="23"/>
  <c r="AH251" i="23" s="1"/>
  <c r="AF252" i="23"/>
  <c r="AH252" i="23" s="1"/>
  <c r="AF253" i="23"/>
  <c r="AH253" i="23" s="1"/>
  <c r="AF254" i="23"/>
  <c r="AH254" i="23" s="1"/>
  <c r="AF255" i="23"/>
  <c r="AH255" i="23" s="1"/>
  <c r="AF256" i="23"/>
  <c r="AH256" i="23" s="1"/>
  <c r="AF257" i="23"/>
  <c r="AH257" i="23" s="1"/>
  <c r="AF258" i="23"/>
  <c r="AH258" i="23" s="1"/>
  <c r="AF259" i="23"/>
  <c r="AH259" i="23" s="1"/>
  <c r="AF260" i="23"/>
  <c r="AH260" i="23" s="1"/>
  <c r="AF261" i="23"/>
  <c r="AH261" i="23" s="1"/>
  <c r="AF262" i="23"/>
  <c r="AH262" i="23" s="1"/>
  <c r="AF263" i="23"/>
  <c r="AH263" i="23" s="1"/>
  <c r="AF264" i="23"/>
  <c r="AH264" i="23" s="1"/>
  <c r="AF265" i="23"/>
  <c r="AH265" i="23" s="1"/>
  <c r="AF266" i="23"/>
  <c r="AH266" i="23" s="1"/>
  <c r="AF267" i="23"/>
  <c r="AH267" i="23" s="1"/>
  <c r="AF268" i="23"/>
  <c r="AH268" i="23" s="1"/>
  <c r="AF269" i="23"/>
  <c r="AH269" i="23" s="1"/>
  <c r="AF270" i="23"/>
  <c r="AH270" i="23" s="1"/>
  <c r="AF271" i="23"/>
  <c r="AH271" i="23" s="1"/>
  <c r="AF272" i="23"/>
  <c r="AH272" i="23" s="1"/>
  <c r="AF273" i="23"/>
  <c r="AH273" i="23" s="1"/>
  <c r="AF274" i="23"/>
  <c r="AH274" i="23" s="1"/>
  <c r="AF275" i="23"/>
  <c r="AH275" i="23" s="1"/>
  <c r="AF276" i="23"/>
  <c r="AH276" i="23" s="1"/>
  <c r="AF277" i="23"/>
  <c r="AH277" i="23" s="1"/>
  <c r="AF278" i="23"/>
  <c r="AH278" i="23" s="1"/>
  <c r="AF279" i="23"/>
  <c r="AH279" i="23" s="1"/>
  <c r="AF280" i="23"/>
  <c r="AH280" i="23" s="1"/>
  <c r="AF281" i="23"/>
  <c r="AH281" i="23" s="1"/>
  <c r="AF282" i="23"/>
  <c r="AH282" i="23" s="1"/>
  <c r="AF283" i="23"/>
  <c r="AH283" i="23" s="1"/>
  <c r="AF284" i="23"/>
  <c r="AH284" i="23" s="1"/>
  <c r="AF285" i="23"/>
  <c r="AH285" i="23" s="1"/>
  <c r="AF286" i="23"/>
  <c r="AH286" i="23" s="1"/>
  <c r="AF287" i="23"/>
  <c r="AH287" i="23" s="1"/>
  <c r="AF288" i="23"/>
  <c r="AH288" i="23" s="1"/>
  <c r="AF289" i="23"/>
  <c r="AH289" i="23" s="1"/>
  <c r="AF290" i="23"/>
  <c r="AH290" i="23" s="1"/>
  <c r="AF291" i="23"/>
  <c r="AH291" i="23" s="1"/>
  <c r="AF292" i="23"/>
  <c r="AH292" i="23" s="1"/>
  <c r="AF293" i="23"/>
  <c r="AH293" i="23" s="1"/>
  <c r="AF294" i="23"/>
  <c r="AH294" i="23" s="1"/>
  <c r="AF295" i="23"/>
  <c r="AH295" i="23" s="1"/>
  <c r="AF296" i="23"/>
  <c r="AH296" i="23" s="1"/>
  <c r="AF297" i="23"/>
  <c r="AH297" i="23" s="1"/>
  <c r="AF298" i="23"/>
  <c r="AH298" i="23" s="1"/>
  <c r="AF299" i="23"/>
  <c r="AH299" i="23" s="1"/>
  <c r="AF300" i="23"/>
  <c r="AH300" i="23" s="1"/>
  <c r="AF301" i="23"/>
  <c r="AH301" i="23" s="1"/>
  <c r="AF302" i="23"/>
  <c r="AH302" i="23" s="1"/>
  <c r="AF303" i="23"/>
  <c r="AH303" i="23" s="1"/>
  <c r="AF304" i="23"/>
  <c r="AH304" i="23" s="1"/>
  <c r="AF305" i="23"/>
  <c r="AH305" i="23" s="1"/>
  <c r="AF306" i="23"/>
  <c r="AH306" i="23" s="1"/>
  <c r="AF307" i="23"/>
  <c r="AH307" i="23" s="1"/>
  <c r="AF308" i="23"/>
  <c r="AH308" i="23" s="1"/>
  <c r="AF309" i="23"/>
  <c r="AH309" i="23" s="1"/>
  <c r="AF310" i="23"/>
  <c r="AH310" i="23" s="1"/>
  <c r="AF311" i="23"/>
  <c r="AH311" i="23" s="1"/>
  <c r="AF312" i="23"/>
  <c r="AH312" i="23" s="1"/>
  <c r="AF313" i="23"/>
  <c r="AH313" i="23" s="1"/>
  <c r="AF314" i="23"/>
  <c r="AH314" i="23" s="1"/>
  <c r="AF315" i="23"/>
  <c r="AH315" i="23" s="1"/>
  <c r="AF316" i="23"/>
  <c r="AH316" i="23" s="1"/>
  <c r="AF317" i="23"/>
  <c r="AH317" i="23" s="1"/>
  <c r="AF318" i="23"/>
  <c r="AH318" i="23" s="1"/>
  <c r="AF319" i="23"/>
  <c r="AH319" i="23" s="1"/>
  <c r="AF320" i="23"/>
  <c r="AH320" i="23" s="1"/>
  <c r="AF321" i="23"/>
  <c r="AH321" i="23" s="1"/>
  <c r="AF322" i="23"/>
  <c r="AH322" i="23" s="1"/>
  <c r="AF323" i="23"/>
  <c r="AH323" i="23" s="1"/>
  <c r="AF324" i="23"/>
  <c r="AH324" i="23" s="1"/>
  <c r="AF325" i="23"/>
  <c r="AH325" i="23" s="1"/>
  <c r="AF326" i="23"/>
  <c r="AH326" i="23" s="1"/>
  <c r="AF327" i="23"/>
  <c r="AH327" i="23" s="1"/>
  <c r="AF328" i="23"/>
  <c r="AH328" i="23" s="1"/>
  <c r="AF329" i="23"/>
  <c r="AH329" i="23" s="1"/>
  <c r="AF330" i="23"/>
  <c r="AH330" i="23" s="1"/>
  <c r="AF331" i="23"/>
  <c r="AH331" i="23" s="1"/>
  <c r="AF332" i="23"/>
  <c r="AH332" i="23" s="1"/>
  <c r="AF333" i="23"/>
  <c r="AH333" i="23" s="1"/>
  <c r="AF334" i="23"/>
  <c r="AH334" i="23" s="1"/>
  <c r="AF335" i="23"/>
  <c r="AH335" i="23" s="1"/>
  <c r="AF336" i="23"/>
  <c r="AH336" i="23" s="1"/>
  <c r="AF337" i="23"/>
  <c r="AH337" i="23" s="1"/>
  <c r="AF338" i="23"/>
  <c r="AH338" i="23" s="1"/>
  <c r="AF339" i="23"/>
  <c r="AH339" i="23" s="1"/>
  <c r="AF340" i="23"/>
  <c r="AH340" i="23" s="1"/>
  <c r="AF341" i="23"/>
  <c r="AH341" i="23" s="1"/>
  <c r="AF342" i="23"/>
  <c r="AH342" i="23" s="1"/>
  <c r="AF343" i="23"/>
  <c r="AH343" i="23" s="1"/>
  <c r="AF344" i="23"/>
  <c r="AH344" i="23" s="1"/>
  <c r="AF345" i="23"/>
  <c r="AH345" i="23" s="1"/>
  <c r="AF346" i="23"/>
  <c r="AH346" i="23" s="1"/>
  <c r="AF347" i="23"/>
  <c r="AH347" i="23" s="1"/>
  <c r="AF348" i="23"/>
  <c r="AH348" i="23" s="1"/>
  <c r="AF349" i="23"/>
  <c r="AH349" i="23" s="1"/>
  <c r="AF350" i="23"/>
  <c r="AH350" i="23" s="1"/>
  <c r="AF351" i="23"/>
  <c r="AH351" i="23" s="1"/>
  <c r="AF352" i="23"/>
  <c r="AH352" i="23" s="1"/>
  <c r="AF353" i="23"/>
  <c r="AH353" i="23" s="1"/>
  <c r="AF354" i="23"/>
  <c r="AH354" i="23" s="1"/>
  <c r="AF355" i="23"/>
  <c r="AH355" i="23" s="1"/>
  <c r="AF356" i="23"/>
  <c r="AH356" i="23" s="1"/>
  <c r="AF357" i="23"/>
  <c r="AH357" i="23" s="1"/>
  <c r="AF358" i="23"/>
  <c r="AH358" i="23" s="1"/>
  <c r="AF359" i="23"/>
  <c r="AH359" i="23" s="1"/>
  <c r="AF360" i="23"/>
  <c r="AH360" i="23" s="1"/>
  <c r="AF361" i="23"/>
  <c r="AH361" i="23" s="1"/>
  <c r="AF362" i="23"/>
  <c r="AH362" i="23" s="1"/>
  <c r="AF363" i="23"/>
  <c r="AH363" i="23" s="1"/>
  <c r="AF364" i="23"/>
  <c r="AH364" i="23" s="1"/>
  <c r="AF365" i="23"/>
  <c r="AH365" i="23" s="1"/>
  <c r="AF366" i="23"/>
  <c r="AH366" i="23" s="1"/>
  <c r="AF367" i="23"/>
  <c r="AH367" i="23" s="1"/>
  <c r="AF368" i="23"/>
  <c r="AH368" i="23" s="1"/>
  <c r="AF369" i="23"/>
  <c r="AH369" i="23" s="1"/>
  <c r="AF370" i="23"/>
  <c r="AH370" i="23" s="1"/>
  <c r="AF371" i="23"/>
  <c r="AH371" i="23" s="1"/>
  <c r="AF372" i="23"/>
  <c r="AH372" i="23" s="1"/>
  <c r="AF373" i="23"/>
  <c r="AH373" i="23" s="1"/>
  <c r="AF374" i="23"/>
  <c r="AH374" i="23" s="1"/>
  <c r="AF375" i="23"/>
  <c r="AH375" i="23" s="1"/>
  <c r="AF376" i="23"/>
  <c r="AH376" i="23" s="1"/>
  <c r="AF377" i="23"/>
  <c r="AH377" i="23" s="1"/>
  <c r="AF378" i="23"/>
  <c r="AH378" i="23" s="1"/>
  <c r="AF379" i="23"/>
  <c r="AH379" i="23" s="1"/>
  <c r="AF380" i="23"/>
  <c r="AH380" i="23" s="1"/>
  <c r="AF381" i="23"/>
  <c r="AH381" i="23" s="1"/>
  <c r="AF382" i="23"/>
  <c r="AH382" i="23" s="1"/>
  <c r="AF383" i="23"/>
  <c r="AH383" i="23" s="1"/>
  <c r="AF384" i="23"/>
  <c r="AH384" i="23" s="1"/>
  <c r="AF385" i="23"/>
  <c r="AH385" i="23" s="1"/>
  <c r="AF386" i="23"/>
  <c r="AH386" i="23" s="1"/>
  <c r="AF387" i="23"/>
  <c r="AH387" i="23" s="1"/>
  <c r="AF388" i="23"/>
  <c r="AH388" i="23" s="1"/>
  <c r="AF389" i="23"/>
  <c r="AH389" i="23" s="1"/>
  <c r="AF390" i="23"/>
  <c r="AH390" i="23" s="1"/>
  <c r="AF391" i="23"/>
  <c r="AH391" i="23" s="1"/>
  <c r="AF392" i="23"/>
  <c r="AH392" i="23" s="1"/>
  <c r="AF393" i="23"/>
  <c r="AH393" i="23" s="1"/>
  <c r="AF394" i="23"/>
  <c r="AH394" i="23" s="1"/>
  <c r="AF395" i="23"/>
  <c r="AH395" i="23" s="1"/>
  <c r="AF396" i="23"/>
  <c r="AH396" i="23" s="1"/>
  <c r="AF397" i="23"/>
  <c r="AH397" i="23" s="1"/>
  <c r="AF398" i="23"/>
  <c r="AH398" i="23" s="1"/>
  <c r="AF399" i="23"/>
  <c r="AH399" i="23" s="1"/>
  <c r="AF400" i="23"/>
  <c r="AH400" i="23" s="1"/>
  <c r="AF401" i="23"/>
  <c r="AH401" i="23" s="1"/>
  <c r="AF402" i="23"/>
  <c r="AH402" i="23" s="1"/>
  <c r="AF403" i="23"/>
  <c r="AH403" i="23" s="1"/>
  <c r="AF404" i="23"/>
  <c r="AH404" i="23" s="1"/>
  <c r="AF405" i="23"/>
  <c r="AH405" i="23" s="1"/>
  <c r="AF406" i="23"/>
  <c r="AH406" i="23" s="1"/>
  <c r="AF407" i="23"/>
  <c r="AH407" i="23" s="1"/>
  <c r="AF408" i="23"/>
  <c r="AH408" i="23" s="1"/>
  <c r="AF409" i="23"/>
  <c r="AH409" i="23" s="1"/>
  <c r="AF410" i="23"/>
  <c r="AH410" i="23" s="1"/>
  <c r="AF411" i="23"/>
  <c r="AH411" i="23" s="1"/>
  <c r="AF412" i="23"/>
  <c r="AH412" i="23" s="1"/>
  <c r="AF413" i="23"/>
  <c r="AH413" i="23" s="1"/>
  <c r="AF414" i="23"/>
  <c r="AH414" i="23" s="1"/>
  <c r="AF415" i="23"/>
  <c r="AH415" i="23" s="1"/>
  <c r="AF416" i="23"/>
  <c r="AH416" i="23" s="1"/>
  <c r="AF417" i="23"/>
  <c r="AH417" i="23" s="1"/>
  <c r="AF418" i="23"/>
  <c r="AH418" i="23" s="1"/>
  <c r="AF419" i="23"/>
  <c r="AH419" i="23" s="1"/>
  <c r="AF420" i="23"/>
  <c r="AH420" i="23" s="1"/>
  <c r="AF421" i="23"/>
  <c r="AH421" i="23" s="1"/>
  <c r="AF422" i="23"/>
  <c r="AH422" i="23" s="1"/>
  <c r="AF423" i="23"/>
  <c r="AH423" i="23" s="1"/>
  <c r="AF424" i="23"/>
  <c r="AH424" i="23" s="1"/>
  <c r="AF425" i="23"/>
  <c r="AH425" i="23" s="1"/>
  <c r="AF426" i="23"/>
  <c r="AH426" i="23" s="1"/>
  <c r="AF427" i="23"/>
  <c r="AH427" i="23" s="1"/>
  <c r="AF428" i="23"/>
  <c r="AH428" i="23" s="1"/>
  <c r="AF429" i="23"/>
  <c r="AH429" i="23" s="1"/>
  <c r="AF430" i="23"/>
  <c r="AH430" i="23" s="1"/>
  <c r="AF431" i="23"/>
  <c r="AH431" i="23" s="1"/>
  <c r="AF432" i="23"/>
  <c r="AH432" i="23" s="1"/>
  <c r="AF433" i="23"/>
  <c r="AH433" i="23" s="1"/>
  <c r="AF434" i="23"/>
  <c r="AH434" i="23" s="1"/>
  <c r="AF435" i="23"/>
  <c r="AH435" i="23" s="1"/>
  <c r="AF436" i="23"/>
  <c r="AH436" i="23" s="1"/>
  <c r="AF437" i="23"/>
  <c r="AH437" i="23" s="1"/>
  <c r="AF438" i="23"/>
  <c r="AH438" i="23" s="1"/>
  <c r="AF439" i="23"/>
  <c r="AH439" i="23" s="1"/>
  <c r="AF440" i="23"/>
  <c r="AH440" i="23" s="1"/>
  <c r="AF441" i="23"/>
  <c r="AH441" i="23" s="1"/>
  <c r="AF442" i="23"/>
  <c r="AH442" i="23" s="1"/>
  <c r="AF443" i="23"/>
  <c r="AH443" i="23" s="1"/>
  <c r="AF444" i="23"/>
  <c r="AH444" i="23" s="1"/>
  <c r="AF445" i="23"/>
  <c r="AH445" i="23" s="1"/>
  <c r="AF446" i="23"/>
  <c r="AH446" i="23" s="1"/>
  <c r="AF447" i="23"/>
  <c r="AH447" i="23" s="1"/>
  <c r="AF448" i="23"/>
  <c r="AH448" i="23" s="1"/>
  <c r="AF449" i="23"/>
  <c r="AH449" i="23" s="1"/>
  <c r="AF450" i="23"/>
  <c r="AH450" i="23" s="1"/>
  <c r="AF451" i="23"/>
  <c r="AH451" i="23" s="1"/>
  <c r="AF452" i="23"/>
  <c r="AH452" i="23" s="1"/>
  <c r="AF453" i="23"/>
  <c r="AH453" i="23" s="1"/>
  <c r="AF454" i="23"/>
  <c r="AH454" i="23" s="1"/>
  <c r="AF455" i="23"/>
  <c r="AH455" i="23" s="1"/>
  <c r="AF456" i="23"/>
  <c r="AH456" i="23" s="1"/>
  <c r="AF457" i="23"/>
  <c r="AH457" i="23" s="1"/>
  <c r="AF458" i="23"/>
  <c r="AH458" i="23" s="1"/>
  <c r="AF459" i="23"/>
  <c r="AH459" i="23" s="1"/>
  <c r="AF460" i="23"/>
  <c r="AH460" i="23" s="1"/>
  <c r="AF461" i="23"/>
  <c r="AH461" i="23" s="1"/>
  <c r="AF462" i="23"/>
  <c r="AH462" i="23" s="1"/>
  <c r="AF463" i="23"/>
  <c r="AH463" i="23" s="1"/>
  <c r="AF464" i="23"/>
  <c r="AH464" i="23" s="1"/>
  <c r="AF465" i="23"/>
  <c r="AH465" i="23" s="1"/>
  <c r="AF466" i="23"/>
  <c r="AH466" i="23" s="1"/>
  <c r="AF467" i="23"/>
  <c r="AH467" i="23" s="1"/>
  <c r="AF468" i="23"/>
  <c r="AH468" i="23" s="1"/>
  <c r="AF469" i="23"/>
  <c r="AH469" i="23" s="1"/>
  <c r="AF470" i="23"/>
  <c r="AH470" i="23" s="1"/>
  <c r="AF471" i="23"/>
  <c r="AH471" i="23" s="1"/>
  <c r="AF472" i="23"/>
  <c r="AH472" i="23" s="1"/>
  <c r="AF473" i="23"/>
  <c r="AH473" i="23" s="1"/>
  <c r="AF474" i="23"/>
  <c r="AH474" i="23" s="1"/>
  <c r="AF475" i="23"/>
  <c r="AH475" i="23" s="1"/>
  <c r="AF476" i="23"/>
  <c r="AH476" i="23" s="1"/>
  <c r="AF477" i="23"/>
  <c r="AH477" i="23" s="1"/>
  <c r="AF478" i="23"/>
  <c r="AH478" i="23" s="1"/>
  <c r="AF479" i="23"/>
  <c r="AH479" i="23" s="1"/>
  <c r="AF480" i="23"/>
  <c r="AH480" i="23" s="1"/>
  <c r="AF481" i="23"/>
  <c r="AH481" i="23" s="1"/>
  <c r="AF482" i="23"/>
  <c r="AH482" i="23" s="1"/>
  <c r="AF483" i="23"/>
  <c r="AH483" i="23" s="1"/>
  <c r="AF484" i="23"/>
  <c r="AH484" i="23" s="1"/>
  <c r="AF485" i="23"/>
  <c r="AH485" i="23" s="1"/>
  <c r="AF486" i="23"/>
  <c r="AH486" i="23" s="1"/>
  <c r="AF487" i="23"/>
  <c r="AH487" i="23" s="1"/>
  <c r="AF488" i="23"/>
  <c r="AH488" i="23" s="1"/>
  <c r="AF489" i="23"/>
  <c r="AH489" i="23" s="1"/>
  <c r="AF490" i="23"/>
  <c r="AH490" i="23" s="1"/>
  <c r="AF491" i="23"/>
  <c r="AH491" i="23" s="1"/>
  <c r="AF492" i="23"/>
  <c r="AH492" i="23" s="1"/>
  <c r="AF493" i="23"/>
  <c r="AH493" i="23" s="1"/>
  <c r="AF494" i="23"/>
  <c r="AH494" i="23" s="1"/>
  <c r="AF495" i="23"/>
  <c r="AH495" i="23" s="1"/>
  <c r="AF496" i="23"/>
  <c r="AH496" i="23" s="1"/>
  <c r="AF497" i="23"/>
  <c r="AH497" i="23" s="1"/>
  <c r="AF498" i="23"/>
  <c r="AH498" i="23" s="1"/>
  <c r="AF499" i="23"/>
  <c r="AH499" i="23" s="1"/>
  <c r="AF500" i="23"/>
  <c r="AH500" i="23" s="1"/>
  <c r="AF501" i="23"/>
  <c r="AH501" i="23" s="1"/>
  <c r="AF502" i="23"/>
  <c r="AH502" i="23" s="1"/>
  <c r="AF503" i="23"/>
  <c r="AH503" i="23" s="1"/>
  <c r="AF504" i="23"/>
  <c r="AH504" i="23" s="1"/>
  <c r="AF505" i="23"/>
  <c r="AH505" i="23" s="1"/>
  <c r="AF506" i="23"/>
  <c r="AH506" i="23" s="1"/>
  <c r="AF507" i="23"/>
  <c r="AH507" i="23" s="1"/>
  <c r="AF508" i="23"/>
  <c r="AH508" i="23" s="1"/>
  <c r="AF509" i="23"/>
  <c r="AH509" i="23" s="1"/>
  <c r="AF510" i="23"/>
  <c r="AH510" i="23" s="1"/>
  <c r="AF511" i="23"/>
  <c r="AH511" i="23" s="1"/>
  <c r="AF512" i="23"/>
  <c r="AH512" i="23" s="1"/>
  <c r="AF513" i="23"/>
  <c r="AH513" i="23" s="1"/>
  <c r="AF514" i="23"/>
  <c r="AH514" i="23" s="1"/>
  <c r="AF515" i="23"/>
  <c r="AH515" i="23" s="1"/>
  <c r="AF516" i="23"/>
  <c r="AH516" i="23" s="1"/>
  <c r="AF517" i="23"/>
  <c r="AH517" i="23" s="1"/>
  <c r="AF518" i="23"/>
  <c r="AH518" i="23" s="1"/>
  <c r="AF519" i="23"/>
  <c r="AH519" i="23" s="1"/>
  <c r="AF520" i="23"/>
  <c r="AH520" i="23" s="1"/>
  <c r="AF521" i="23"/>
  <c r="AH521" i="23" s="1"/>
  <c r="AF522" i="23"/>
  <c r="AH522" i="23" s="1"/>
  <c r="AF523" i="23"/>
  <c r="AH523" i="23" s="1"/>
  <c r="AF524" i="23"/>
  <c r="AH524" i="23" s="1"/>
  <c r="AF525" i="23"/>
  <c r="AH525" i="23" s="1"/>
  <c r="AF526" i="23"/>
  <c r="AH526" i="23" s="1"/>
  <c r="AF527" i="23"/>
  <c r="AH527" i="23" s="1"/>
  <c r="AF528" i="23"/>
  <c r="AH528" i="23" s="1"/>
  <c r="AF529" i="23"/>
  <c r="AH529" i="23" s="1"/>
  <c r="AF530" i="23"/>
  <c r="AH530" i="23" s="1"/>
  <c r="AF531" i="23"/>
  <c r="AH531" i="23" s="1"/>
  <c r="AF532" i="23"/>
  <c r="AH532" i="23" s="1"/>
  <c r="AF533" i="23"/>
  <c r="AH533" i="23" s="1"/>
  <c r="AF534" i="23"/>
  <c r="AH534" i="23" s="1"/>
  <c r="AF535" i="23"/>
  <c r="AH535" i="23" s="1"/>
  <c r="AF536" i="23"/>
  <c r="AH536" i="23" s="1"/>
  <c r="AF537" i="23"/>
  <c r="AH537" i="23" s="1"/>
  <c r="AF538" i="23"/>
  <c r="AH538" i="23" s="1"/>
  <c r="AF539" i="23"/>
  <c r="AH539" i="23" s="1"/>
  <c r="AF540" i="23"/>
  <c r="AH540" i="23" s="1"/>
  <c r="AF541" i="23"/>
  <c r="AH541" i="23" s="1"/>
  <c r="AF542" i="23"/>
  <c r="AH542" i="23" s="1"/>
  <c r="AF543" i="23"/>
  <c r="AH543" i="23" s="1"/>
  <c r="AF544" i="23"/>
  <c r="AH544" i="23" s="1"/>
  <c r="AF545" i="23"/>
  <c r="AH545" i="23" s="1"/>
  <c r="AF546" i="23"/>
  <c r="AH546" i="23" s="1"/>
  <c r="AF547" i="23"/>
  <c r="AH547" i="23" s="1"/>
  <c r="AF548" i="23"/>
  <c r="AH548" i="23" s="1"/>
  <c r="AF549" i="23"/>
  <c r="AH549" i="23" s="1"/>
  <c r="AF550" i="23"/>
  <c r="AH550" i="23" s="1"/>
  <c r="AF551" i="23"/>
  <c r="AH551" i="23" s="1"/>
  <c r="AF552" i="23"/>
  <c r="AH552" i="23" s="1"/>
  <c r="AF553" i="23"/>
  <c r="AH553" i="23" s="1"/>
  <c r="AF554" i="23"/>
  <c r="AH554" i="23" s="1"/>
  <c r="AF555" i="23"/>
  <c r="AH555" i="23" s="1"/>
  <c r="AF556" i="23"/>
  <c r="AH556" i="23" s="1"/>
  <c r="AF557" i="23"/>
  <c r="AH557" i="23" s="1"/>
  <c r="AF558" i="23"/>
  <c r="AH558" i="23" s="1"/>
  <c r="AF559" i="23"/>
  <c r="AH559" i="23" s="1"/>
  <c r="AF560" i="23"/>
  <c r="AH560" i="23" s="1"/>
  <c r="AF561" i="23"/>
  <c r="AH561" i="23" s="1"/>
  <c r="AF562" i="23"/>
  <c r="AH562" i="23" s="1"/>
  <c r="AF563" i="23"/>
  <c r="AH563" i="23" s="1"/>
  <c r="AF564" i="23"/>
  <c r="AH564" i="23" s="1"/>
  <c r="AF565" i="23"/>
  <c r="AH565" i="23" s="1"/>
  <c r="AF566" i="23"/>
  <c r="AH566" i="23" s="1"/>
  <c r="AF567" i="23"/>
  <c r="AH567" i="23" s="1"/>
  <c r="AF568" i="23"/>
  <c r="AH568" i="23" s="1"/>
  <c r="AF569" i="23"/>
  <c r="AH569" i="23" s="1"/>
  <c r="AF570" i="23"/>
  <c r="AH570" i="23" s="1"/>
  <c r="AF571" i="23"/>
  <c r="AH571" i="23" s="1"/>
  <c r="AF572" i="23"/>
  <c r="AH572" i="23" s="1"/>
  <c r="AF573" i="23"/>
  <c r="AH573" i="23" s="1"/>
  <c r="AF574" i="23"/>
  <c r="AH574" i="23" s="1"/>
  <c r="AF575" i="23"/>
  <c r="AH575" i="23" s="1"/>
  <c r="AF576" i="23"/>
  <c r="AH576" i="23" s="1"/>
  <c r="AF577" i="23"/>
  <c r="AH577" i="23" s="1"/>
  <c r="AF578" i="23"/>
  <c r="AH578" i="23" s="1"/>
  <c r="AF579" i="23"/>
  <c r="AH579" i="23" s="1"/>
  <c r="AF580" i="23"/>
  <c r="AH580" i="23" s="1"/>
  <c r="AF581" i="23"/>
  <c r="AH581" i="23" s="1"/>
  <c r="AF582" i="23"/>
  <c r="AH582" i="23" s="1"/>
  <c r="AF583" i="23"/>
  <c r="AH583" i="23" s="1"/>
  <c r="AF584" i="23"/>
  <c r="AH584" i="23" s="1"/>
  <c r="AF585" i="23"/>
  <c r="AH585" i="23" s="1"/>
  <c r="AF586" i="23"/>
  <c r="AH586" i="23" s="1"/>
  <c r="AF587" i="23"/>
  <c r="AH587" i="23" s="1"/>
  <c r="AF588" i="23"/>
  <c r="AH588" i="23" s="1"/>
  <c r="AF589" i="23"/>
  <c r="AH589" i="23" s="1"/>
  <c r="AF590" i="23"/>
  <c r="AH590" i="23" s="1"/>
  <c r="AF591" i="23"/>
  <c r="AH591" i="23" s="1"/>
  <c r="AF592" i="23"/>
  <c r="AH592" i="23" s="1"/>
  <c r="AF593" i="23"/>
  <c r="AH593" i="23" s="1"/>
  <c r="AF594" i="23"/>
  <c r="AH594" i="23" s="1"/>
  <c r="AF595" i="23"/>
  <c r="AH595" i="23" s="1"/>
  <c r="AF596" i="23"/>
  <c r="AH596" i="23" s="1"/>
  <c r="AF597" i="23"/>
  <c r="AH597" i="23" s="1"/>
  <c r="AF598" i="23"/>
  <c r="AH598" i="23" s="1"/>
  <c r="AF599" i="23"/>
  <c r="AH599" i="23" s="1"/>
  <c r="AF600" i="23"/>
  <c r="AH600" i="23" s="1"/>
  <c r="AF601" i="23"/>
  <c r="AH601" i="23" s="1"/>
  <c r="AF602" i="23"/>
  <c r="AH602" i="23" s="1"/>
  <c r="AF603" i="23"/>
  <c r="AH603" i="23" s="1"/>
  <c r="AF604" i="23"/>
  <c r="AH604" i="23" s="1"/>
  <c r="AF605" i="23"/>
  <c r="AH605" i="23" s="1"/>
  <c r="AF606" i="23"/>
  <c r="AH606" i="23" s="1"/>
  <c r="AF607" i="23"/>
  <c r="AH607" i="23" s="1"/>
  <c r="AF608" i="23"/>
  <c r="AH608" i="23" s="1"/>
  <c r="AF609" i="23"/>
  <c r="AH609" i="23" s="1"/>
  <c r="AF610" i="23"/>
  <c r="AH610" i="23" s="1"/>
  <c r="AF611" i="23"/>
  <c r="AH611" i="23" s="1"/>
  <c r="AF612" i="23"/>
  <c r="AH612" i="23" s="1"/>
  <c r="AF613" i="23"/>
  <c r="AH613" i="23" s="1"/>
  <c r="AF614" i="23"/>
  <c r="AH614" i="23" s="1"/>
  <c r="AF615" i="23"/>
  <c r="AH615" i="23" s="1"/>
  <c r="AF616" i="23"/>
  <c r="AH616" i="23" s="1"/>
  <c r="AF617" i="23"/>
  <c r="AH617" i="23" s="1"/>
  <c r="AF618" i="23"/>
  <c r="AH618" i="23" s="1"/>
  <c r="AF619" i="23"/>
  <c r="AH619" i="23" s="1"/>
  <c r="AF620" i="23"/>
  <c r="AH620" i="23" s="1"/>
  <c r="AF621" i="23"/>
  <c r="AH621" i="23" s="1"/>
  <c r="AF622" i="23"/>
  <c r="AH622" i="23" s="1"/>
  <c r="AF623" i="23"/>
  <c r="AH623" i="23" s="1"/>
  <c r="AF624" i="23"/>
  <c r="AH624" i="23" s="1"/>
  <c r="AF625" i="23"/>
  <c r="AH625" i="23" s="1"/>
  <c r="AF626" i="23"/>
  <c r="AH626" i="23" s="1"/>
  <c r="AF627" i="23"/>
  <c r="AH627" i="23" s="1"/>
  <c r="AF628" i="23"/>
  <c r="AH628" i="23" s="1"/>
  <c r="AF629" i="23"/>
  <c r="AH629" i="23" s="1"/>
  <c r="AF630" i="23"/>
  <c r="AH630" i="23" s="1"/>
  <c r="AF631" i="23"/>
  <c r="AH631" i="23" s="1"/>
  <c r="AF632" i="23"/>
  <c r="AH632" i="23" s="1"/>
  <c r="AF633" i="23"/>
  <c r="AH633" i="23" s="1"/>
  <c r="AF634" i="23"/>
  <c r="AH634" i="23" s="1"/>
  <c r="AF635" i="23"/>
  <c r="AH635" i="23" s="1"/>
  <c r="AF636" i="23"/>
  <c r="AH636" i="23" s="1"/>
  <c r="AF637" i="23"/>
  <c r="AH637" i="23" s="1"/>
  <c r="AF638" i="23"/>
  <c r="AH638" i="23" s="1"/>
  <c r="AF639" i="23"/>
  <c r="AH639" i="23" s="1"/>
  <c r="AF640" i="23"/>
  <c r="AH640" i="23" s="1"/>
  <c r="AF641" i="23"/>
  <c r="AH641" i="23" s="1"/>
  <c r="AF642" i="23"/>
  <c r="AH642" i="23" s="1"/>
  <c r="AF643" i="23"/>
  <c r="AH643" i="23" s="1"/>
  <c r="AF644" i="23"/>
  <c r="AH644" i="23" s="1"/>
  <c r="AF645" i="23"/>
  <c r="AH645" i="23" s="1"/>
  <c r="AF646" i="23"/>
  <c r="AH646" i="23" s="1"/>
  <c r="AF647" i="23"/>
  <c r="AH647" i="23" s="1"/>
  <c r="AF648" i="23"/>
  <c r="AH648" i="23" s="1"/>
  <c r="AF649" i="23"/>
  <c r="AH649" i="23" s="1"/>
  <c r="AF650" i="23"/>
  <c r="AH650" i="23" s="1"/>
  <c r="AF651" i="23"/>
  <c r="AH651" i="23" s="1"/>
  <c r="AF652" i="23"/>
  <c r="AH652" i="23" s="1"/>
  <c r="AF653" i="23"/>
  <c r="AH653" i="23" s="1"/>
  <c r="AF654" i="23"/>
  <c r="AH654" i="23" s="1"/>
  <c r="AF655" i="23"/>
  <c r="AH655" i="23" s="1"/>
  <c r="AF656" i="23"/>
  <c r="AH656" i="23" s="1"/>
  <c r="AF657" i="23"/>
  <c r="AH657" i="23" s="1"/>
  <c r="AF658" i="23"/>
  <c r="AH658" i="23" s="1"/>
  <c r="AF659" i="23"/>
  <c r="AH659" i="23" s="1"/>
  <c r="AF660" i="23"/>
  <c r="AH660" i="23" s="1"/>
  <c r="AF661" i="23"/>
  <c r="AH661" i="23" s="1"/>
  <c r="AF662" i="23"/>
  <c r="AH662" i="23" s="1"/>
  <c r="AF663" i="23"/>
  <c r="AH663" i="23" s="1"/>
  <c r="AF664" i="23"/>
  <c r="AH664" i="23" s="1"/>
  <c r="AF665" i="23"/>
  <c r="AH665" i="23" s="1"/>
  <c r="AF666" i="23"/>
  <c r="AH666" i="23" s="1"/>
  <c r="AF667" i="23"/>
  <c r="AH667" i="23" s="1"/>
  <c r="AF668" i="23"/>
  <c r="AH668" i="23" s="1"/>
  <c r="AF669" i="23"/>
  <c r="AH669" i="23" s="1"/>
  <c r="AF670" i="23"/>
  <c r="AH670" i="23" s="1"/>
  <c r="AF671" i="23"/>
  <c r="AH671" i="23" s="1"/>
  <c r="AF672" i="23"/>
  <c r="AH672" i="23" s="1"/>
  <c r="AF673" i="23"/>
  <c r="AH673" i="23" s="1"/>
  <c r="AF674" i="23"/>
  <c r="AH674" i="23" s="1"/>
  <c r="AF675" i="23"/>
  <c r="AH675" i="23" s="1"/>
  <c r="AF676" i="23"/>
  <c r="AH676" i="23" s="1"/>
  <c r="AF677" i="23"/>
  <c r="AH677" i="23" s="1"/>
  <c r="AF678" i="23"/>
  <c r="AH678" i="23" s="1"/>
  <c r="AF679" i="23"/>
  <c r="AH679" i="23" s="1"/>
  <c r="AF680" i="23"/>
  <c r="AH680" i="23" s="1"/>
  <c r="AF681" i="23"/>
  <c r="AH681" i="23" s="1"/>
  <c r="AF682" i="23"/>
  <c r="AH682" i="23" s="1"/>
  <c r="AF683" i="23"/>
  <c r="AH683" i="23" s="1"/>
  <c r="AF684" i="23"/>
  <c r="AH684" i="23" s="1"/>
  <c r="AF685" i="23"/>
  <c r="AH685" i="23" s="1"/>
  <c r="AF686" i="23"/>
  <c r="AH686" i="23" s="1"/>
  <c r="AF687" i="23"/>
  <c r="AH687" i="23" s="1"/>
  <c r="AF688" i="23"/>
  <c r="AH688" i="23" s="1"/>
  <c r="AF689" i="23"/>
  <c r="AH689" i="23" s="1"/>
  <c r="AF690" i="23"/>
  <c r="AH690" i="23" s="1"/>
  <c r="AF691" i="23"/>
  <c r="AH691" i="23" s="1"/>
  <c r="AF692" i="23"/>
  <c r="AH692" i="23" s="1"/>
  <c r="AF693" i="23"/>
  <c r="AH693" i="23" s="1"/>
  <c r="AF694" i="23"/>
  <c r="AH694" i="23" s="1"/>
  <c r="AF695" i="23"/>
  <c r="AH695" i="23" s="1"/>
  <c r="AF696" i="23"/>
  <c r="AH696" i="23" s="1"/>
  <c r="AF697" i="23"/>
  <c r="AH697" i="23" s="1"/>
  <c r="AF698" i="23"/>
  <c r="AH698" i="23" s="1"/>
  <c r="AF699" i="23"/>
  <c r="AH699" i="23" s="1"/>
  <c r="AF700" i="23"/>
  <c r="AH700" i="23" s="1"/>
  <c r="AF701" i="23"/>
  <c r="AH701" i="23" s="1"/>
  <c r="AF702" i="23"/>
  <c r="AH702" i="23" s="1"/>
  <c r="AF703" i="23"/>
  <c r="AH703" i="23" s="1"/>
  <c r="AF704" i="23"/>
  <c r="AH704" i="23" s="1"/>
  <c r="AF705" i="23"/>
  <c r="AH705" i="23" s="1"/>
  <c r="AF706" i="23"/>
  <c r="AH706" i="23" s="1"/>
  <c r="AF707" i="23"/>
  <c r="AH707" i="23" s="1"/>
  <c r="AF708" i="23"/>
  <c r="AH708" i="23" s="1"/>
  <c r="AF709" i="23"/>
  <c r="AH709" i="23" s="1"/>
  <c r="AF710" i="23"/>
  <c r="AH710" i="23" s="1"/>
  <c r="AF711" i="23"/>
  <c r="AH711" i="23" s="1"/>
  <c r="AF712" i="23"/>
  <c r="AH712" i="23" s="1"/>
  <c r="AF713" i="23"/>
  <c r="AH713" i="23" s="1"/>
  <c r="AF714" i="23"/>
  <c r="AH714" i="23" s="1"/>
  <c r="AF715" i="23"/>
  <c r="AH715" i="23" s="1"/>
  <c r="AF716" i="23"/>
  <c r="AH716" i="23" s="1"/>
  <c r="AF717" i="23"/>
  <c r="AH717" i="23" s="1"/>
  <c r="AF718" i="23"/>
  <c r="AH718" i="23" s="1"/>
  <c r="AF719" i="23"/>
  <c r="AH719" i="23" s="1"/>
  <c r="AF720" i="23"/>
  <c r="AH720" i="23" s="1"/>
  <c r="AF721" i="23"/>
  <c r="AH721" i="23" s="1"/>
  <c r="AF722" i="23"/>
  <c r="AH722" i="23" s="1"/>
  <c r="AF723" i="23"/>
  <c r="AH723" i="23" s="1"/>
  <c r="AF724" i="23"/>
  <c r="AH724" i="23" s="1"/>
  <c r="AF725" i="23"/>
  <c r="AH725" i="23" s="1"/>
  <c r="AF726" i="23"/>
  <c r="AH726" i="23" s="1"/>
  <c r="AF727" i="23"/>
  <c r="AH727" i="23" s="1"/>
  <c r="AF728" i="23"/>
  <c r="AH728" i="23" s="1"/>
  <c r="AF729" i="23"/>
  <c r="AH729" i="23" s="1"/>
  <c r="AF730" i="23"/>
  <c r="AH730" i="23" s="1"/>
  <c r="AF731" i="23"/>
  <c r="AH731" i="23" s="1"/>
  <c r="AF732" i="23"/>
  <c r="AH732" i="23" s="1"/>
  <c r="AF733" i="23"/>
  <c r="AH733" i="23" s="1"/>
  <c r="AF734" i="23"/>
  <c r="AH734" i="23" s="1"/>
  <c r="AF735" i="23"/>
  <c r="AH735" i="23" s="1"/>
  <c r="AF736" i="23"/>
  <c r="AH736" i="23" s="1"/>
  <c r="AF737" i="23"/>
  <c r="AH737" i="23" s="1"/>
  <c r="AF738" i="23"/>
  <c r="AH738" i="23" s="1"/>
  <c r="AF739" i="23"/>
  <c r="AH739" i="23" s="1"/>
  <c r="AF740" i="23"/>
  <c r="AH740" i="23" s="1"/>
  <c r="AF741" i="23"/>
  <c r="AH741" i="23" s="1"/>
  <c r="AF742" i="23"/>
  <c r="AH742" i="23" s="1"/>
  <c r="AF743" i="23"/>
  <c r="AH743" i="23" s="1"/>
  <c r="AF744" i="23"/>
  <c r="AH744" i="23" s="1"/>
  <c r="AF745" i="23"/>
  <c r="AH745" i="23" s="1"/>
  <c r="AF746" i="23"/>
  <c r="AH746" i="23" s="1"/>
  <c r="AF747" i="23"/>
  <c r="AH747" i="23" s="1"/>
  <c r="AF748" i="23"/>
  <c r="AH748" i="23" s="1"/>
  <c r="AF749" i="23"/>
  <c r="AH749" i="23" s="1"/>
  <c r="AF750" i="23"/>
  <c r="AH750" i="23" s="1"/>
  <c r="AF751" i="23"/>
  <c r="AH751" i="23" s="1"/>
  <c r="AF752" i="23"/>
  <c r="AH752" i="23" s="1"/>
  <c r="AF753" i="23"/>
  <c r="AH753" i="23" s="1"/>
  <c r="AF754" i="23"/>
  <c r="AH754" i="23" s="1"/>
  <c r="AF755" i="23"/>
  <c r="AH755" i="23" s="1"/>
  <c r="AF756" i="23"/>
  <c r="AH756" i="23" s="1"/>
  <c r="AF757" i="23"/>
  <c r="AH757" i="23" s="1"/>
  <c r="AF758" i="23"/>
  <c r="AH758" i="23" s="1"/>
  <c r="AF759" i="23"/>
  <c r="AH759" i="23" s="1"/>
  <c r="AF760" i="23"/>
  <c r="AH760" i="23" s="1"/>
  <c r="AF761" i="23"/>
  <c r="AH761" i="23" s="1"/>
  <c r="AF762" i="23"/>
  <c r="AH762" i="23" s="1"/>
  <c r="AF763" i="23"/>
  <c r="AH763" i="23" s="1"/>
  <c r="AF764" i="23"/>
  <c r="AH764" i="23" s="1"/>
  <c r="AF765" i="23"/>
  <c r="AH765" i="23" s="1"/>
  <c r="AF766" i="23"/>
  <c r="AH766" i="23" s="1"/>
  <c r="AF767" i="23"/>
  <c r="AH767" i="23" s="1"/>
  <c r="AF768" i="23"/>
  <c r="AH768" i="23" s="1"/>
  <c r="AF769" i="23"/>
  <c r="AH769" i="23" s="1"/>
  <c r="AF770" i="23"/>
  <c r="AH770" i="23" s="1"/>
  <c r="AF771" i="23"/>
  <c r="AH771" i="23" s="1"/>
  <c r="AF772" i="23"/>
  <c r="AH772" i="23" s="1"/>
  <c r="AF773" i="23"/>
  <c r="AH773" i="23" s="1"/>
  <c r="AF774" i="23"/>
  <c r="AH774" i="23" s="1"/>
  <c r="AF775" i="23"/>
  <c r="AH775" i="23" s="1"/>
  <c r="AF776" i="23"/>
  <c r="AH776" i="23" s="1"/>
  <c r="AF777" i="23"/>
  <c r="AH777" i="23" s="1"/>
  <c r="AF778" i="23"/>
  <c r="AH778" i="23" s="1"/>
  <c r="AF779" i="23"/>
  <c r="AH779" i="23" s="1"/>
  <c r="AF780" i="23"/>
  <c r="AH780" i="23" s="1"/>
  <c r="AF781" i="23"/>
  <c r="AH781" i="23" s="1"/>
  <c r="AF782" i="23"/>
  <c r="AH782" i="23" s="1"/>
  <c r="AF783" i="23"/>
  <c r="AH783" i="23" s="1"/>
  <c r="AF784" i="23"/>
  <c r="AH784" i="23" s="1"/>
  <c r="AF785" i="23"/>
  <c r="AH785" i="23" s="1"/>
  <c r="AF786" i="23"/>
  <c r="AH786" i="23" s="1"/>
  <c r="AF787" i="23"/>
  <c r="AH787" i="23" s="1"/>
  <c r="AF788" i="23"/>
  <c r="AH788" i="23" s="1"/>
  <c r="AF789" i="23"/>
  <c r="AH789" i="23" s="1"/>
  <c r="AF790" i="23"/>
  <c r="AH790" i="23" s="1"/>
  <c r="AF791" i="23"/>
  <c r="AH791" i="23" s="1"/>
  <c r="AF792" i="23"/>
  <c r="AH792" i="23" s="1"/>
  <c r="AF793" i="23"/>
  <c r="AH793" i="23" s="1"/>
  <c r="AF794" i="23"/>
  <c r="AH794" i="23" s="1"/>
  <c r="AF795" i="23"/>
  <c r="AH795" i="23" s="1"/>
  <c r="AF796" i="23"/>
  <c r="AH796" i="23" s="1"/>
  <c r="AF797" i="23"/>
  <c r="AH797" i="23" s="1"/>
  <c r="AF798" i="23"/>
  <c r="AH798" i="23" s="1"/>
  <c r="AF799" i="23"/>
  <c r="AH799" i="23" s="1"/>
  <c r="AF800" i="23"/>
  <c r="AH800" i="23" s="1"/>
  <c r="AF801" i="23"/>
  <c r="AH801" i="23" s="1"/>
  <c r="AF802" i="23"/>
  <c r="AH802" i="23" s="1"/>
  <c r="AF803" i="23"/>
  <c r="AH803" i="23" s="1"/>
  <c r="AF804" i="23"/>
  <c r="AH804" i="23" s="1"/>
  <c r="AF805" i="23"/>
  <c r="AH805" i="23" s="1"/>
  <c r="AF806" i="23"/>
  <c r="AH806" i="23" s="1"/>
  <c r="AF807" i="23"/>
  <c r="AH807" i="23" s="1"/>
  <c r="AF808" i="23"/>
  <c r="AH808" i="23" s="1"/>
  <c r="AF809" i="23"/>
  <c r="AH809" i="23" s="1"/>
  <c r="AF810" i="23"/>
  <c r="AH810" i="23" s="1"/>
  <c r="AF811" i="23"/>
  <c r="AH811" i="23" s="1"/>
  <c r="AF812" i="23"/>
  <c r="AH812" i="23" s="1"/>
  <c r="AF813" i="23"/>
  <c r="AH813" i="23" s="1"/>
  <c r="AF814" i="23"/>
  <c r="AH814" i="23" s="1"/>
  <c r="AF815" i="23"/>
  <c r="AH815" i="23" s="1"/>
  <c r="AF816" i="23"/>
  <c r="AH816" i="23" s="1"/>
  <c r="AF817" i="23"/>
  <c r="AH817" i="23" s="1"/>
  <c r="AF818" i="23"/>
  <c r="AH818" i="23" s="1"/>
  <c r="AF819" i="23"/>
  <c r="AH819" i="23" s="1"/>
  <c r="AF820" i="23"/>
  <c r="AH820" i="23" s="1"/>
  <c r="AF821" i="23"/>
  <c r="AH821" i="23" s="1"/>
  <c r="AF822" i="23"/>
  <c r="AH822" i="23" s="1"/>
  <c r="AF823" i="23"/>
  <c r="AH823" i="23" s="1"/>
  <c r="AF824" i="23"/>
  <c r="AH824" i="23" s="1"/>
  <c r="AF825" i="23"/>
  <c r="AH825" i="23" s="1"/>
  <c r="AF826" i="23"/>
  <c r="AH826" i="23" s="1"/>
  <c r="AF827" i="23"/>
  <c r="AH827" i="23" s="1"/>
  <c r="AF828" i="23"/>
  <c r="AH828" i="23" s="1"/>
  <c r="AF829" i="23"/>
  <c r="AH829" i="23" s="1"/>
  <c r="AF830" i="23"/>
  <c r="AH830" i="23" s="1"/>
  <c r="AF831" i="23"/>
  <c r="AH831" i="23" s="1"/>
  <c r="AF832" i="23"/>
  <c r="AH832" i="23" s="1"/>
  <c r="AF833" i="23"/>
  <c r="AH833" i="23" s="1"/>
  <c r="AF834" i="23"/>
  <c r="AH834" i="23" s="1"/>
  <c r="AF835" i="23"/>
  <c r="AH835" i="23" s="1"/>
  <c r="AF836" i="23"/>
  <c r="AH836" i="23" s="1"/>
  <c r="AF837" i="23"/>
  <c r="AH837" i="23" s="1"/>
  <c r="AF838" i="23"/>
  <c r="AH838" i="23" s="1"/>
  <c r="AF839" i="23"/>
  <c r="AH839" i="23" s="1"/>
  <c r="AF840" i="23"/>
  <c r="AH840" i="23" s="1"/>
  <c r="AF841" i="23"/>
  <c r="AH841" i="23" s="1"/>
  <c r="AF842" i="23"/>
  <c r="AH842" i="23" s="1"/>
  <c r="AF843" i="23"/>
  <c r="AH843" i="23" s="1"/>
  <c r="AF844" i="23"/>
  <c r="AH844" i="23" s="1"/>
  <c r="AF845" i="23"/>
  <c r="AH845" i="23" s="1"/>
  <c r="AF846" i="23"/>
  <c r="AH846" i="23" s="1"/>
  <c r="AF847" i="23"/>
  <c r="AH847" i="23" s="1"/>
  <c r="AF848" i="23"/>
  <c r="AH848" i="23" s="1"/>
  <c r="AF849" i="23"/>
  <c r="AH849" i="23" s="1"/>
  <c r="AF850" i="23"/>
  <c r="AH850" i="23" s="1"/>
  <c r="AF851" i="23"/>
  <c r="AH851" i="23" s="1"/>
  <c r="AF852" i="23"/>
  <c r="AH852" i="23" s="1"/>
  <c r="AF853" i="23"/>
  <c r="AH853" i="23" s="1"/>
  <c r="AF854" i="23"/>
  <c r="AH854" i="23" s="1"/>
  <c r="AF855" i="23"/>
  <c r="AH855" i="23" s="1"/>
  <c r="AF856" i="23"/>
  <c r="AH856" i="23" s="1"/>
  <c r="AF857" i="23"/>
  <c r="AH857" i="23" s="1"/>
  <c r="AF858" i="23"/>
  <c r="AH858" i="23" s="1"/>
  <c r="AF859" i="23"/>
  <c r="AH859" i="23" s="1"/>
  <c r="AF860" i="23"/>
  <c r="AH860" i="23" s="1"/>
  <c r="AF861" i="23"/>
  <c r="AH861" i="23" s="1"/>
  <c r="AF862" i="23"/>
  <c r="AH862" i="23" s="1"/>
  <c r="AF863" i="23"/>
  <c r="AH863" i="23" s="1"/>
  <c r="AF864" i="23"/>
  <c r="AH864" i="23" s="1"/>
  <c r="AF865" i="23"/>
  <c r="AH865" i="23" s="1"/>
  <c r="AF866" i="23"/>
  <c r="AH866" i="23" s="1"/>
  <c r="AF867" i="23"/>
  <c r="AH867" i="23" s="1"/>
  <c r="AF868" i="23"/>
  <c r="AH868" i="23" s="1"/>
  <c r="AF869" i="23"/>
  <c r="AH869" i="23" s="1"/>
  <c r="AF870" i="23"/>
  <c r="AH870" i="23" s="1"/>
  <c r="AF871" i="23"/>
  <c r="AH871" i="23" s="1"/>
  <c r="AF872" i="23"/>
  <c r="AH872" i="23" s="1"/>
  <c r="AF873" i="23"/>
  <c r="AH873" i="23" s="1"/>
  <c r="AF874" i="23"/>
  <c r="AH874" i="23" s="1"/>
  <c r="AF875" i="23"/>
  <c r="AH875" i="23" s="1"/>
  <c r="AF876" i="23"/>
  <c r="AH876" i="23" s="1"/>
  <c r="AF877" i="23"/>
  <c r="AH877" i="23" s="1"/>
  <c r="AF878" i="23"/>
  <c r="AH878" i="23" s="1"/>
  <c r="AF879" i="23"/>
  <c r="AH879" i="23" s="1"/>
  <c r="AF880" i="23"/>
  <c r="AH880" i="23" s="1"/>
  <c r="AF881" i="23"/>
  <c r="AH881" i="23" s="1"/>
  <c r="AF882" i="23"/>
  <c r="AH882" i="23" s="1"/>
  <c r="AF883" i="23"/>
  <c r="AH883" i="23" s="1"/>
  <c r="AF884" i="23"/>
  <c r="AH884" i="23" s="1"/>
  <c r="AF885" i="23"/>
  <c r="AH885" i="23" s="1"/>
  <c r="AF886" i="23"/>
  <c r="AH886" i="23" s="1"/>
  <c r="AF887" i="23"/>
  <c r="AH887" i="23" s="1"/>
  <c r="AF888" i="23"/>
  <c r="AH888" i="23" s="1"/>
  <c r="AF889" i="23"/>
  <c r="AH889" i="23" s="1"/>
  <c r="AF890" i="23"/>
  <c r="AH890" i="23" s="1"/>
  <c r="AF891" i="23"/>
  <c r="AH891" i="23" s="1"/>
  <c r="AF892" i="23"/>
  <c r="AH892" i="23" s="1"/>
  <c r="AF893" i="23"/>
  <c r="AH893" i="23" s="1"/>
  <c r="AF894" i="23"/>
  <c r="AH894" i="23" s="1"/>
  <c r="AF895" i="23"/>
  <c r="AH895" i="23" s="1"/>
  <c r="AF896" i="23"/>
  <c r="AH896" i="23" s="1"/>
  <c r="AF897" i="23"/>
  <c r="AH897" i="23" s="1"/>
  <c r="AF898" i="23"/>
  <c r="AH898" i="23" s="1"/>
  <c r="AF899" i="23"/>
  <c r="AH899" i="23" s="1"/>
  <c r="AF900" i="23"/>
  <c r="AH900" i="23" s="1"/>
  <c r="AF901" i="23"/>
  <c r="AH901" i="23" s="1"/>
  <c r="AF902" i="23"/>
  <c r="AH902" i="23" s="1"/>
  <c r="AF903" i="23"/>
  <c r="AH903" i="23" s="1"/>
  <c r="AF904" i="23"/>
  <c r="AH904" i="23" s="1"/>
  <c r="AF905" i="23"/>
  <c r="AH905" i="23" s="1"/>
  <c r="AF906" i="23"/>
  <c r="AH906" i="23" s="1"/>
  <c r="AF907" i="23"/>
  <c r="AH907" i="23" s="1"/>
  <c r="AF908" i="23"/>
  <c r="AH908" i="23" s="1"/>
  <c r="AF909" i="23"/>
  <c r="AH909" i="23" s="1"/>
  <c r="AF910" i="23"/>
  <c r="AH910" i="23" s="1"/>
  <c r="AF911" i="23"/>
  <c r="AH911" i="23" s="1"/>
  <c r="AF912" i="23"/>
  <c r="AH912" i="23" s="1"/>
  <c r="AF913" i="23"/>
  <c r="AH913" i="23" s="1"/>
  <c r="AF914" i="23"/>
  <c r="AH914" i="23" s="1"/>
  <c r="AF915" i="23"/>
  <c r="AH915" i="23" s="1"/>
  <c r="AF916" i="23"/>
  <c r="AH916" i="23" s="1"/>
  <c r="AF917" i="23"/>
  <c r="AH917" i="23" s="1"/>
  <c r="AF918" i="23"/>
  <c r="AH918" i="23" s="1"/>
  <c r="AF919" i="23"/>
  <c r="AH919" i="23" s="1"/>
  <c r="AF920" i="23"/>
  <c r="AH920" i="23" s="1"/>
  <c r="AF921" i="23"/>
  <c r="AH921" i="23" s="1"/>
  <c r="AF922" i="23"/>
  <c r="AH922" i="23" s="1"/>
  <c r="AF923" i="23"/>
  <c r="AH923" i="23" s="1"/>
  <c r="AF924" i="23"/>
  <c r="AH924" i="23" s="1"/>
  <c r="AF925" i="23"/>
  <c r="AH925" i="23" s="1"/>
  <c r="AF926" i="23"/>
  <c r="AH926" i="23" s="1"/>
  <c r="AF927" i="23"/>
  <c r="AH927" i="23" s="1"/>
  <c r="AF928" i="23"/>
  <c r="AH928" i="23" s="1"/>
  <c r="AF929" i="23"/>
  <c r="AH929" i="23" s="1"/>
  <c r="AF930" i="23"/>
  <c r="AH930" i="23" s="1"/>
  <c r="AF931" i="23"/>
  <c r="AH931" i="23" s="1"/>
  <c r="AF932" i="23"/>
  <c r="AH932" i="23" s="1"/>
  <c r="AF933" i="23"/>
  <c r="AH933" i="23" s="1"/>
  <c r="AF934" i="23"/>
  <c r="AH934" i="23" s="1"/>
  <c r="AF935" i="23"/>
  <c r="AH935" i="23" s="1"/>
  <c r="AF936" i="23"/>
  <c r="AH936" i="23" s="1"/>
  <c r="AF937" i="23"/>
  <c r="AH937" i="23" s="1"/>
  <c r="AF938" i="23"/>
  <c r="AH938" i="23" s="1"/>
  <c r="AF939" i="23"/>
  <c r="AH939" i="23" s="1"/>
  <c r="AF940" i="23"/>
  <c r="AH940" i="23" s="1"/>
  <c r="AF941" i="23"/>
  <c r="AH941" i="23" s="1"/>
  <c r="AF942" i="23"/>
  <c r="AH942" i="23" s="1"/>
  <c r="AF943" i="23"/>
  <c r="AH943" i="23" s="1"/>
  <c r="AF944" i="23"/>
  <c r="AH944" i="23" s="1"/>
  <c r="AF945" i="23"/>
  <c r="AH945" i="23" s="1"/>
  <c r="AF946" i="23"/>
  <c r="AH946" i="23" s="1"/>
  <c r="AF947" i="23"/>
  <c r="AH947" i="23" s="1"/>
  <c r="AF948" i="23"/>
  <c r="AH948" i="23" s="1"/>
  <c r="AF949" i="23"/>
  <c r="AH949" i="23" s="1"/>
  <c r="AF950" i="23"/>
  <c r="AH950" i="23" s="1"/>
  <c r="AF951" i="23"/>
  <c r="AH951" i="23" s="1"/>
  <c r="AF952" i="23"/>
  <c r="AH952" i="23" s="1"/>
  <c r="AF953" i="23"/>
  <c r="AH953" i="23" s="1"/>
  <c r="AF954" i="23"/>
  <c r="AH954" i="23" s="1"/>
  <c r="AF955" i="23"/>
  <c r="AH955" i="23" s="1"/>
  <c r="AF956" i="23"/>
  <c r="AH956" i="23" s="1"/>
  <c r="AF957" i="23"/>
  <c r="AH957" i="23" s="1"/>
  <c r="AF958" i="23"/>
  <c r="AH958" i="23" s="1"/>
  <c r="AF959" i="23"/>
  <c r="AH959" i="23" s="1"/>
  <c r="AF960" i="23"/>
  <c r="AH960" i="23" s="1"/>
  <c r="AF961" i="23"/>
  <c r="AH961" i="23" s="1"/>
  <c r="AF962" i="23"/>
  <c r="AH962" i="23" s="1"/>
  <c r="AF963" i="23"/>
  <c r="AH963" i="23" s="1"/>
  <c r="AF964" i="23"/>
  <c r="AH964" i="23" s="1"/>
  <c r="AF965" i="23"/>
  <c r="AH965" i="23" s="1"/>
  <c r="AF966" i="23"/>
  <c r="AH966" i="23" s="1"/>
  <c r="AF967" i="23"/>
  <c r="AH967" i="23" s="1"/>
  <c r="AF968" i="23"/>
  <c r="AH968" i="23" s="1"/>
  <c r="AF969" i="23"/>
  <c r="AH969" i="23" s="1"/>
  <c r="AF970" i="23"/>
  <c r="AH970" i="23" s="1"/>
  <c r="AF971" i="23"/>
  <c r="AH971" i="23" s="1"/>
  <c r="AF972" i="23"/>
  <c r="AH972" i="23" s="1"/>
  <c r="AF973" i="23"/>
  <c r="AH973" i="23" s="1"/>
  <c r="AF974" i="23"/>
  <c r="AH974" i="23" s="1"/>
  <c r="AF975" i="23"/>
  <c r="AH975" i="23" s="1"/>
  <c r="AF976" i="23"/>
  <c r="AH976" i="23" s="1"/>
  <c r="AF977" i="23"/>
  <c r="AH977" i="23" s="1"/>
  <c r="AF978" i="23"/>
  <c r="AH978" i="23" s="1"/>
  <c r="AF979" i="23"/>
  <c r="AH979" i="23" s="1"/>
  <c r="AF980" i="23"/>
  <c r="AH980" i="23" s="1"/>
  <c r="AF981" i="23"/>
  <c r="AH981" i="23" s="1"/>
  <c r="AF982" i="23"/>
  <c r="AH982" i="23" s="1"/>
  <c r="AF983" i="23"/>
  <c r="AH983" i="23" s="1"/>
  <c r="AF984" i="23"/>
  <c r="AH984" i="23" s="1"/>
  <c r="AF985" i="23"/>
  <c r="AH985" i="23" s="1"/>
  <c r="AF986" i="23"/>
  <c r="AH986" i="23" s="1"/>
  <c r="AF987" i="23"/>
  <c r="AH987" i="23" s="1"/>
  <c r="AF988" i="23"/>
  <c r="AH988" i="23" s="1"/>
  <c r="AF989" i="23"/>
  <c r="AH989" i="23" s="1"/>
  <c r="AF990" i="23"/>
  <c r="AH990" i="23" s="1"/>
  <c r="AF991" i="23"/>
  <c r="AH991" i="23" s="1"/>
  <c r="AF992" i="23"/>
  <c r="AH992" i="23" s="1"/>
  <c r="AF993" i="23"/>
  <c r="AH993" i="23" s="1"/>
  <c r="AF994" i="23"/>
  <c r="AH994" i="23" s="1"/>
  <c r="AF995" i="23"/>
  <c r="AH995" i="23" s="1"/>
  <c r="AF996" i="23"/>
  <c r="AH996" i="23" s="1"/>
  <c r="AF997" i="23"/>
  <c r="AH997" i="23" s="1"/>
  <c r="AF998" i="23"/>
  <c r="AH998" i="23" s="1"/>
  <c r="AF999" i="23"/>
  <c r="AH999" i="23" s="1"/>
  <c r="AF1000" i="23"/>
  <c r="AH1000" i="23" s="1"/>
  <c r="AF1001" i="23"/>
  <c r="AH1001" i="23" s="1"/>
  <c r="AF1002" i="23"/>
  <c r="AH1002" i="23" s="1"/>
  <c r="AF1003" i="23"/>
  <c r="AH1003" i="23" s="1"/>
  <c r="AF1004" i="23"/>
  <c r="AH1004" i="23" s="1"/>
  <c r="AF1005" i="23"/>
  <c r="AH1005" i="23" s="1"/>
  <c r="AF1006" i="23"/>
  <c r="AH1006" i="23" s="1"/>
  <c r="AF1007" i="23"/>
  <c r="AH1007" i="23" s="1"/>
  <c r="AF1008" i="23"/>
  <c r="AH1008" i="23" s="1"/>
  <c r="AF1009" i="23"/>
  <c r="AH1009" i="23" s="1"/>
  <c r="AF1010" i="23"/>
  <c r="AH1010" i="23" s="1"/>
  <c r="AF1011" i="23"/>
  <c r="AH1011" i="23" s="1"/>
  <c r="AF1012" i="23"/>
  <c r="AH1012" i="23" s="1"/>
  <c r="AF1013" i="23"/>
  <c r="AH1013" i="23" s="1"/>
  <c r="AF1014" i="23"/>
  <c r="AH1014" i="23" s="1"/>
  <c r="AF1015" i="23"/>
  <c r="AH1015" i="23" s="1"/>
  <c r="AF1016" i="23"/>
  <c r="AH1016" i="23" s="1"/>
  <c r="AF1017" i="23"/>
  <c r="AH1017" i="23" s="1"/>
  <c r="AF1018" i="23"/>
  <c r="AH1018" i="23" s="1"/>
  <c r="AF1019" i="23"/>
  <c r="AH1019" i="23" s="1"/>
  <c r="AF1020" i="23"/>
  <c r="AH1020" i="23" s="1"/>
  <c r="AF1021" i="23"/>
  <c r="AH1021" i="23" s="1"/>
  <c r="AF1022" i="23"/>
  <c r="AH1022" i="23" s="1"/>
  <c r="AF1023" i="23"/>
  <c r="AH1023" i="23" s="1"/>
  <c r="AF1024" i="23"/>
  <c r="AH1024" i="23" s="1"/>
  <c r="AF1025" i="23"/>
  <c r="AH1025" i="23" s="1"/>
  <c r="AF1026" i="23"/>
  <c r="AH1026" i="23" s="1"/>
  <c r="AF1027" i="23"/>
  <c r="AH1027" i="23" s="1"/>
  <c r="AF1028" i="23"/>
  <c r="AH1028" i="23" s="1"/>
  <c r="AF1029" i="23"/>
  <c r="AH1029" i="23" s="1"/>
  <c r="AF1030" i="23"/>
  <c r="AH1030" i="23" s="1"/>
  <c r="AF1031" i="23"/>
  <c r="AH1031" i="23" s="1"/>
  <c r="AF1032" i="23"/>
  <c r="AH1032" i="23" s="1"/>
  <c r="AF1033" i="23"/>
  <c r="AH1033" i="23" s="1"/>
  <c r="AF1034" i="23"/>
  <c r="AH1034" i="23" s="1"/>
  <c r="AF1035" i="23"/>
  <c r="AH1035" i="23" s="1"/>
  <c r="AF1036" i="23"/>
  <c r="AH1036" i="23" s="1"/>
  <c r="AF1037" i="23"/>
  <c r="AH1037" i="23" s="1"/>
  <c r="AF1038" i="23"/>
  <c r="AH1038" i="23" s="1"/>
  <c r="AF1039" i="23"/>
  <c r="AH1039" i="23" s="1"/>
  <c r="AF1040" i="23"/>
  <c r="AH1040" i="23" s="1"/>
  <c r="AF1041" i="23"/>
  <c r="AH1041" i="23" s="1"/>
  <c r="AF1042" i="23"/>
  <c r="AH1042" i="23" s="1"/>
  <c r="AF1043" i="23"/>
  <c r="AH1043" i="23" s="1"/>
  <c r="AF1044" i="23"/>
  <c r="AH1044" i="23" s="1"/>
  <c r="AF1045" i="23"/>
  <c r="AH1045" i="23" s="1"/>
  <c r="AF1046" i="23"/>
  <c r="AH1046" i="23" s="1"/>
  <c r="AF1047" i="23"/>
  <c r="AH1047" i="23" s="1"/>
  <c r="AF1048" i="23"/>
  <c r="AH1048" i="23" s="1"/>
  <c r="AF1049" i="23"/>
  <c r="AH1049" i="23" s="1"/>
  <c r="AF1050" i="23"/>
  <c r="AH1050" i="23" s="1"/>
  <c r="AF1051" i="23"/>
  <c r="AH1051" i="23" s="1"/>
  <c r="AF1052" i="23"/>
  <c r="AH1052" i="23" s="1"/>
  <c r="AF1053" i="23"/>
  <c r="AH1053" i="23" s="1"/>
  <c r="AF1054" i="23"/>
  <c r="AH1054" i="23" s="1"/>
  <c r="AF1055" i="23"/>
  <c r="AH1055" i="23" s="1"/>
  <c r="AF1056" i="23"/>
  <c r="AH1056" i="23" s="1"/>
  <c r="AF1057" i="23"/>
  <c r="AH1057" i="23" s="1"/>
  <c r="AF1058" i="23"/>
  <c r="AH1058" i="23" s="1"/>
  <c r="AF1059" i="23"/>
  <c r="AH1059" i="23" s="1"/>
  <c r="AF1060" i="23"/>
  <c r="AH1060" i="23" s="1"/>
  <c r="AF1061" i="23"/>
  <c r="AH1061" i="23" s="1"/>
  <c r="AF1062" i="23"/>
  <c r="AH1062" i="23" s="1"/>
  <c r="AF1063" i="23"/>
  <c r="AH1063" i="23" s="1"/>
  <c r="AF1064" i="23"/>
  <c r="AH1064" i="23" s="1"/>
  <c r="AF1065" i="23"/>
  <c r="AH1065" i="23" s="1"/>
  <c r="AF1066" i="23"/>
  <c r="AH1066" i="23" s="1"/>
  <c r="AF1067" i="23"/>
  <c r="AH1067" i="23" s="1"/>
  <c r="AF1068" i="23"/>
  <c r="AH1068" i="23" s="1"/>
  <c r="AF1069" i="23"/>
  <c r="AH1069" i="23" s="1"/>
  <c r="AF1070" i="23"/>
  <c r="AH1070" i="23" s="1"/>
  <c r="AF1071" i="23"/>
  <c r="AH1071" i="23" s="1"/>
  <c r="AF1072" i="23"/>
  <c r="AH1072" i="23" s="1"/>
  <c r="AF1073" i="23"/>
  <c r="AH1073" i="23" s="1"/>
  <c r="AF1074" i="23"/>
  <c r="AH1074" i="23" s="1"/>
  <c r="AF1075" i="23"/>
  <c r="AH1075" i="23" s="1"/>
  <c r="AF1076" i="23"/>
  <c r="AH1076" i="23" s="1"/>
  <c r="AF1077" i="23"/>
  <c r="AH1077" i="23" s="1"/>
  <c r="AF1078" i="23"/>
  <c r="AH1078" i="23" s="1"/>
  <c r="AF1079" i="23"/>
  <c r="AH1079" i="23" s="1"/>
  <c r="AF1080" i="23"/>
  <c r="AH1080" i="23" s="1"/>
  <c r="AF1081" i="23"/>
  <c r="AH1081" i="23" s="1"/>
  <c r="AF1082" i="23"/>
  <c r="AH1082" i="23" s="1"/>
  <c r="AF1083" i="23"/>
  <c r="AH1083" i="23" s="1"/>
  <c r="AF1084" i="23"/>
  <c r="AH1084" i="23" s="1"/>
  <c r="AF1085" i="23"/>
  <c r="AH1085" i="23" s="1"/>
  <c r="AF1086" i="23"/>
  <c r="AH1086" i="23" s="1"/>
  <c r="AF1087" i="23"/>
  <c r="AH1087" i="23" s="1"/>
  <c r="AF1088" i="23"/>
  <c r="AH1088" i="23" s="1"/>
  <c r="AF1089" i="23"/>
  <c r="AH1089" i="23" s="1"/>
  <c r="AF1090" i="23"/>
  <c r="AH1090" i="23" s="1"/>
  <c r="AF1091" i="23"/>
  <c r="AH1091" i="23" s="1"/>
  <c r="AF1092" i="23"/>
  <c r="AH1092" i="23" s="1"/>
  <c r="AF1093" i="23"/>
  <c r="AH1093" i="23" s="1"/>
  <c r="AF1094" i="23"/>
  <c r="AH1094" i="23" s="1"/>
  <c r="AF1095" i="23"/>
  <c r="AH1095" i="23" s="1"/>
  <c r="AF1096" i="23"/>
  <c r="AH1096" i="23" s="1"/>
  <c r="AF1097" i="23"/>
  <c r="AH1097" i="23" s="1"/>
  <c r="AF1098" i="23"/>
  <c r="AH1098" i="23" s="1"/>
  <c r="AF1099" i="23"/>
  <c r="AH1099" i="23" s="1"/>
  <c r="AF1100" i="23"/>
  <c r="AH1100" i="23" s="1"/>
  <c r="AF1101" i="23"/>
  <c r="AH1101" i="23" s="1"/>
  <c r="AF1102" i="23"/>
  <c r="AH1102" i="23" s="1"/>
  <c r="AF1103" i="23"/>
  <c r="AH1103" i="23" s="1"/>
  <c r="AF1104" i="23"/>
  <c r="AH1104" i="23" s="1"/>
  <c r="AF1105" i="23"/>
  <c r="AH1105" i="23" s="1"/>
  <c r="AF1106" i="23"/>
  <c r="AH1106" i="23" s="1"/>
  <c r="AF1107" i="23"/>
  <c r="AH1107" i="23" s="1"/>
  <c r="AF1108" i="23"/>
  <c r="AH1108" i="23" s="1"/>
  <c r="AF1109" i="23"/>
  <c r="AH1109" i="23" s="1"/>
  <c r="AF1110" i="23"/>
  <c r="AH1110" i="23" s="1"/>
  <c r="AF1111" i="23"/>
  <c r="AH1111" i="23" s="1"/>
  <c r="AF1112" i="23"/>
  <c r="AH1112" i="23" s="1"/>
  <c r="AF1113" i="23"/>
  <c r="AH1113" i="23" s="1"/>
  <c r="AF1114" i="23"/>
  <c r="AH1114" i="23" s="1"/>
  <c r="AF1115" i="23"/>
  <c r="AH1115" i="23" s="1"/>
  <c r="AF1116" i="23"/>
  <c r="AH1116" i="23" s="1"/>
  <c r="AF1117" i="23"/>
  <c r="AH1117" i="23" s="1"/>
  <c r="AF1118" i="23"/>
  <c r="AH1118" i="23" s="1"/>
  <c r="AF1119" i="23"/>
  <c r="AH1119" i="23" s="1"/>
  <c r="AF1120" i="23"/>
  <c r="AH1120" i="23" s="1"/>
  <c r="AF1121" i="23"/>
  <c r="AH1121" i="23" s="1"/>
  <c r="AF1122" i="23"/>
  <c r="AH1122" i="23" s="1"/>
  <c r="AF1123" i="23"/>
  <c r="AH1123" i="23" s="1"/>
  <c r="AF1124" i="23"/>
  <c r="AH1124" i="23" s="1"/>
  <c r="AF1125" i="23"/>
  <c r="AH1125" i="23" s="1"/>
  <c r="AF1126" i="23"/>
  <c r="AH1126" i="23" s="1"/>
  <c r="AF1127" i="23"/>
  <c r="AH1127" i="23" s="1"/>
  <c r="AF1128" i="23"/>
  <c r="AH1128" i="23" s="1"/>
  <c r="AF1129" i="23"/>
  <c r="AH1129" i="23" s="1"/>
  <c r="AF1130" i="23"/>
  <c r="AH1130" i="23" s="1"/>
  <c r="AF1131" i="23"/>
  <c r="AH1131" i="23" s="1"/>
  <c r="AF1132" i="23"/>
  <c r="AH1132" i="23" s="1"/>
  <c r="AF1133" i="23"/>
  <c r="AH1133" i="23" s="1"/>
  <c r="AF1134" i="23"/>
  <c r="AH1134" i="23" s="1"/>
  <c r="AF1135" i="23"/>
  <c r="AH1135" i="23" s="1"/>
  <c r="AF1136" i="23"/>
  <c r="AH1136" i="23" s="1"/>
  <c r="AF1137" i="23"/>
  <c r="AH1137" i="23" s="1"/>
  <c r="AF1138" i="23"/>
  <c r="AH1138" i="23" s="1"/>
  <c r="AF1139" i="23"/>
  <c r="AH1139" i="23" s="1"/>
  <c r="AF1140" i="23"/>
  <c r="AH1140" i="23" s="1"/>
  <c r="AF1141" i="23"/>
  <c r="AH1141" i="23" s="1"/>
  <c r="AF1142" i="23"/>
  <c r="AH1142" i="23" s="1"/>
  <c r="AF1143" i="23"/>
  <c r="AH1143" i="23" s="1"/>
  <c r="AF1144" i="23"/>
  <c r="AH1144" i="23" s="1"/>
  <c r="AF1145" i="23"/>
  <c r="AH1145" i="23" s="1"/>
  <c r="AF1146" i="23"/>
  <c r="AH1146" i="23" s="1"/>
  <c r="AF1147" i="23"/>
  <c r="AH1147" i="23" s="1"/>
  <c r="AF1148" i="23"/>
  <c r="AH1148" i="23" s="1"/>
  <c r="AF1149" i="23"/>
  <c r="AH1149" i="23" s="1"/>
  <c r="AF1150" i="23"/>
  <c r="AH1150" i="23" s="1"/>
  <c r="AF1151" i="23"/>
  <c r="AH1151" i="23" s="1"/>
  <c r="AF1152" i="23"/>
  <c r="AH1152" i="23" s="1"/>
  <c r="AF1153" i="23"/>
  <c r="AH1153" i="23" s="1"/>
  <c r="AF1154" i="23"/>
  <c r="AH1154" i="23" s="1"/>
  <c r="AF1155" i="23"/>
  <c r="AH1155" i="23" s="1"/>
  <c r="AF1156" i="23"/>
  <c r="AH1156" i="23" s="1"/>
  <c r="AF1157" i="23"/>
  <c r="AH1157" i="23" s="1"/>
  <c r="AF1158" i="23"/>
  <c r="AH1158" i="23" s="1"/>
  <c r="AF1159" i="23"/>
  <c r="AH1159" i="23" s="1"/>
  <c r="AF1160" i="23"/>
  <c r="AH1160" i="23" s="1"/>
  <c r="AF1161" i="23"/>
  <c r="AH1161" i="23" s="1"/>
  <c r="AF1162" i="23"/>
  <c r="AH1162" i="23" s="1"/>
  <c r="AF1163" i="23"/>
  <c r="AH1163" i="23" s="1"/>
  <c r="AF1164" i="23"/>
  <c r="AH1164" i="23" s="1"/>
  <c r="AF1165" i="23"/>
  <c r="AH1165" i="23" s="1"/>
  <c r="AF1166" i="23"/>
  <c r="AH1166" i="23" s="1"/>
  <c r="AF1167" i="23"/>
  <c r="AH1167" i="23" s="1"/>
  <c r="AF1168" i="23"/>
  <c r="AH1168" i="23" s="1"/>
  <c r="AF1169" i="23"/>
  <c r="AH1169" i="23" s="1"/>
  <c r="AF1170" i="23"/>
  <c r="AH1170" i="23" s="1"/>
  <c r="AF1171" i="23"/>
  <c r="AH1171" i="23" s="1"/>
  <c r="AF1172" i="23"/>
  <c r="AH1172" i="23" s="1"/>
  <c r="AF1173" i="23"/>
  <c r="AH1173" i="23" s="1"/>
  <c r="AF1174" i="23"/>
  <c r="AH1174" i="23" s="1"/>
  <c r="AF1175" i="23"/>
  <c r="AH1175" i="23" s="1"/>
  <c r="AF1176" i="23"/>
  <c r="AH1176" i="23" s="1"/>
  <c r="AF1177" i="23"/>
  <c r="AH1177" i="23" s="1"/>
  <c r="AF1178" i="23"/>
  <c r="AH1178" i="23" s="1"/>
  <c r="AF1179" i="23"/>
  <c r="AH1179" i="23" s="1"/>
  <c r="AF1180" i="23"/>
  <c r="AH1180" i="23" s="1"/>
  <c r="AF1181" i="23"/>
  <c r="AH1181" i="23" s="1"/>
  <c r="AF1182" i="23"/>
  <c r="AH1182" i="23" s="1"/>
  <c r="AF1183" i="23"/>
  <c r="AH1183" i="23" s="1"/>
  <c r="AF1184" i="23"/>
  <c r="AH1184" i="23" s="1"/>
  <c r="AF1185" i="23"/>
  <c r="AH1185" i="23" s="1"/>
  <c r="AF1186" i="23"/>
  <c r="AH1186" i="23" s="1"/>
  <c r="AF1187" i="23"/>
  <c r="AH1187" i="23" s="1"/>
  <c r="AF1188" i="23"/>
  <c r="AH1188" i="23" s="1"/>
  <c r="AF1189" i="23"/>
  <c r="AH1189" i="23" s="1"/>
  <c r="AF1190" i="23"/>
  <c r="AH1190" i="23" s="1"/>
  <c r="AF1191" i="23"/>
  <c r="AH1191" i="23" s="1"/>
  <c r="AF1192" i="23"/>
  <c r="AH1192" i="23" s="1"/>
  <c r="AF1193" i="23"/>
  <c r="AH1193" i="23" s="1"/>
  <c r="AF1194" i="23"/>
  <c r="AH1194" i="23" s="1"/>
  <c r="AF1195" i="23"/>
  <c r="AH1195" i="23" s="1"/>
  <c r="AF1196" i="23"/>
  <c r="AH1196" i="23" s="1"/>
  <c r="AF1197" i="23"/>
  <c r="AH1197" i="23" s="1"/>
  <c r="AF1198" i="23"/>
  <c r="AH1198" i="23" s="1"/>
  <c r="AF1199" i="23"/>
  <c r="AH1199" i="23" s="1"/>
  <c r="AF1200" i="23"/>
  <c r="AH1200" i="23" s="1"/>
  <c r="AF1201" i="23"/>
  <c r="AH1201" i="23" s="1"/>
  <c r="AF1202" i="23"/>
  <c r="AH1202" i="23" s="1"/>
  <c r="AF1203" i="23"/>
  <c r="AH1203" i="23" s="1"/>
  <c r="AF1204" i="23"/>
  <c r="AH1204" i="23" s="1"/>
  <c r="AF1205" i="23"/>
  <c r="AH1205" i="23" s="1"/>
  <c r="AF1206" i="23"/>
  <c r="AH1206" i="23" s="1"/>
  <c r="AF1207" i="23"/>
  <c r="AH1207" i="23" s="1"/>
  <c r="AF1208" i="23"/>
  <c r="AH1208" i="23" s="1"/>
  <c r="AF1209" i="23"/>
  <c r="AH1209" i="23" s="1"/>
  <c r="AF1210" i="23"/>
  <c r="AH1210" i="23" s="1"/>
  <c r="AF1211" i="23"/>
  <c r="AH1211" i="23" s="1"/>
  <c r="AF1212" i="23"/>
  <c r="AH1212" i="23" s="1"/>
  <c r="AF1213" i="23"/>
  <c r="AH1213" i="23" s="1"/>
  <c r="AF1214" i="23"/>
  <c r="AH1214" i="23" s="1"/>
  <c r="AF1215" i="23"/>
  <c r="AH1215" i="23" s="1"/>
  <c r="AF1216" i="23"/>
  <c r="AH1216" i="23" s="1"/>
  <c r="AF1217" i="23"/>
  <c r="AH1217" i="23" s="1"/>
  <c r="AF1218" i="23"/>
  <c r="AH1218" i="23" s="1"/>
  <c r="AF1219" i="23"/>
  <c r="AH1219" i="23" s="1"/>
  <c r="AF1220" i="23"/>
  <c r="AH1220" i="23" s="1"/>
  <c r="AF1221" i="23"/>
  <c r="AH1221" i="23" s="1"/>
  <c r="AF1222" i="23"/>
  <c r="AH1222" i="23" s="1"/>
  <c r="AF1223" i="23"/>
  <c r="AH1223" i="23" s="1"/>
  <c r="AF1224" i="23"/>
  <c r="AH1224" i="23" s="1"/>
  <c r="AF1225" i="23"/>
  <c r="AH1225" i="23" s="1"/>
  <c r="AF1226" i="23"/>
  <c r="AH1226" i="23" s="1"/>
  <c r="AF1227" i="23"/>
  <c r="AH1227" i="23" s="1"/>
  <c r="AF1228" i="23"/>
  <c r="AH1228" i="23" s="1"/>
  <c r="AF1229" i="23"/>
  <c r="AH1229" i="23" s="1"/>
  <c r="AF1230" i="23"/>
  <c r="AH1230" i="23" s="1"/>
  <c r="AF1231" i="23"/>
  <c r="AH1231" i="23" s="1"/>
  <c r="AF1232" i="23"/>
  <c r="AH1232" i="23" s="1"/>
  <c r="AF1233" i="23"/>
  <c r="AH1233" i="23" s="1"/>
  <c r="AF1234" i="23"/>
  <c r="AH1234" i="23" s="1"/>
  <c r="AF1235" i="23"/>
  <c r="AH1235" i="23" s="1"/>
  <c r="AF1236" i="23"/>
  <c r="AH1236" i="23" s="1"/>
  <c r="AF1237" i="23"/>
  <c r="AH1237" i="23" s="1"/>
  <c r="AF1238" i="23"/>
  <c r="AH1238" i="23" s="1"/>
  <c r="AF1239" i="23"/>
  <c r="AH1239" i="23" s="1"/>
  <c r="AF1240" i="23"/>
  <c r="AH1240" i="23" s="1"/>
  <c r="AF1241" i="23"/>
  <c r="AH1241" i="23" s="1"/>
  <c r="AF1242" i="23"/>
  <c r="AH1242" i="23" s="1"/>
  <c r="AF1243" i="23"/>
  <c r="AH1243" i="23" s="1"/>
  <c r="AF1244" i="23"/>
  <c r="AH1244" i="23" s="1"/>
  <c r="AF1245" i="23"/>
  <c r="AH1245" i="23" s="1"/>
  <c r="AF1246" i="23"/>
  <c r="AH1246" i="23" s="1"/>
  <c r="AF1247" i="23"/>
  <c r="AH1247" i="23" s="1"/>
  <c r="AF1248" i="23"/>
  <c r="AH1248" i="23" s="1"/>
  <c r="AF1249" i="23"/>
  <c r="AH1249" i="23" s="1"/>
  <c r="AF1250" i="23"/>
  <c r="AH1250" i="23" s="1"/>
  <c r="AF1251" i="23"/>
  <c r="AH1251" i="23" s="1"/>
  <c r="AF1252" i="23"/>
  <c r="AH1252" i="23" s="1"/>
  <c r="AF1253" i="23"/>
  <c r="AH1253" i="23" s="1"/>
  <c r="AF1254" i="23"/>
  <c r="AH1254" i="23" s="1"/>
  <c r="AF1255" i="23"/>
  <c r="AH1255" i="23" s="1"/>
  <c r="AF1256" i="23"/>
  <c r="AH1256" i="23" s="1"/>
  <c r="AF1257" i="23"/>
  <c r="AH1257" i="23" s="1"/>
  <c r="AF1258" i="23"/>
  <c r="AH1258" i="23" s="1"/>
  <c r="AF1259" i="23"/>
  <c r="AH1259" i="23" s="1"/>
  <c r="AF1260" i="23"/>
  <c r="AH1260" i="23" s="1"/>
  <c r="AF1261" i="23"/>
  <c r="AH1261" i="23" s="1"/>
  <c r="AF1262" i="23"/>
  <c r="AH1262" i="23" s="1"/>
  <c r="AF1263" i="23"/>
  <c r="AH1263" i="23" s="1"/>
  <c r="AF1264" i="23"/>
  <c r="AH1264" i="23" s="1"/>
  <c r="AF1265" i="23"/>
  <c r="AH1265" i="23" s="1"/>
  <c r="AF1266" i="23"/>
  <c r="AH1266" i="23" s="1"/>
  <c r="AF1267" i="23"/>
  <c r="AH1267" i="23" s="1"/>
  <c r="AF1268" i="23"/>
  <c r="AH1268" i="23" s="1"/>
  <c r="AF1269" i="23"/>
  <c r="AH1269" i="23" s="1"/>
  <c r="AF1270" i="23"/>
  <c r="AH1270" i="23" s="1"/>
  <c r="AF1271" i="23"/>
  <c r="AH1271" i="23" s="1"/>
  <c r="AF1272" i="23"/>
  <c r="AH1272" i="23" s="1"/>
  <c r="AF1273" i="23"/>
  <c r="AH1273" i="23" s="1"/>
  <c r="AF1274" i="23"/>
  <c r="AH1274" i="23" s="1"/>
  <c r="AF1275" i="23"/>
  <c r="AH1275" i="23" s="1"/>
  <c r="AF1276" i="23"/>
  <c r="AH1276" i="23" s="1"/>
  <c r="AF1277" i="23"/>
  <c r="AH1277" i="23" s="1"/>
  <c r="AF1278" i="23"/>
  <c r="AH1278" i="23" s="1"/>
  <c r="AF1279" i="23"/>
  <c r="AH1279" i="23" s="1"/>
  <c r="AF1280" i="23"/>
  <c r="AH1280" i="23" s="1"/>
  <c r="AF1281" i="23"/>
  <c r="AH1281" i="23" s="1"/>
  <c r="AF1282" i="23"/>
  <c r="AH1282" i="23" s="1"/>
  <c r="AF1283" i="23"/>
  <c r="AH1283" i="23" s="1"/>
  <c r="AF1284" i="23"/>
  <c r="AH1284" i="23" s="1"/>
  <c r="AF1285" i="23"/>
  <c r="AH1285" i="23" s="1"/>
  <c r="AF1286" i="23"/>
  <c r="AH1286" i="23" s="1"/>
  <c r="AF1287" i="23"/>
  <c r="AH1287" i="23" s="1"/>
  <c r="AF1288" i="23"/>
  <c r="AH1288" i="23" s="1"/>
  <c r="AF1289" i="23"/>
  <c r="AH1289" i="23" s="1"/>
  <c r="AF1290" i="23"/>
  <c r="AH1290" i="23" s="1"/>
  <c r="AF1291" i="23"/>
  <c r="AH1291" i="23" s="1"/>
  <c r="AF1292" i="23"/>
  <c r="AH1292" i="23" s="1"/>
  <c r="AF1293" i="23"/>
  <c r="AH1293" i="23" s="1"/>
  <c r="AF1294" i="23"/>
  <c r="AH1294" i="23" s="1"/>
  <c r="AF1295" i="23"/>
  <c r="AH1295" i="23" s="1"/>
  <c r="AF1296" i="23"/>
  <c r="AH1296" i="23" s="1"/>
  <c r="AF1297" i="23"/>
  <c r="AH1297" i="23" s="1"/>
  <c r="AF1298" i="23"/>
  <c r="AH1298" i="23" s="1"/>
  <c r="AF1299" i="23"/>
  <c r="AH1299" i="23" s="1"/>
  <c r="AF1300" i="23"/>
  <c r="AH1300" i="23" s="1"/>
  <c r="AF1301" i="23"/>
  <c r="AH1301" i="23" s="1"/>
  <c r="AF1302" i="23"/>
  <c r="AH1302" i="23" s="1"/>
  <c r="AF1303" i="23"/>
  <c r="AH1303" i="23" s="1"/>
  <c r="AF1304" i="23"/>
  <c r="AH1304" i="23" s="1"/>
  <c r="AF1305" i="23"/>
  <c r="AH1305" i="23" s="1"/>
  <c r="AF1306" i="23"/>
  <c r="AH1306" i="23" s="1"/>
  <c r="AF1307" i="23"/>
  <c r="AH1307" i="23" s="1"/>
  <c r="AF1308" i="23"/>
  <c r="AH1308" i="23" s="1"/>
  <c r="AF1309" i="23"/>
  <c r="AH1309" i="23" s="1"/>
  <c r="AF1310" i="23"/>
  <c r="AH1310" i="23" s="1"/>
  <c r="AF1311" i="23"/>
  <c r="AH1311" i="23" s="1"/>
  <c r="AF1312" i="23"/>
  <c r="AH1312" i="23" s="1"/>
  <c r="AF1313" i="23"/>
  <c r="AH1313" i="23" s="1"/>
  <c r="AF1314" i="23"/>
  <c r="AH1314" i="23" s="1"/>
  <c r="AF1315" i="23"/>
  <c r="AH1315" i="23" s="1"/>
  <c r="AF1316" i="23"/>
  <c r="AH1316" i="23" s="1"/>
  <c r="AF1317" i="23"/>
  <c r="AH1317" i="23" s="1"/>
  <c r="AF1318" i="23"/>
  <c r="AH1318" i="23" s="1"/>
  <c r="AF2" i="23"/>
  <c r="AH2" i="23" s="1"/>
  <c r="AG3" i="23"/>
  <c r="AG4" i="23"/>
  <c r="AG5" i="23"/>
  <c r="AG6" i="23"/>
  <c r="AG7" i="23"/>
  <c r="AG8" i="23"/>
  <c r="AG9" i="23"/>
  <c r="AG10" i="23"/>
  <c r="AG11" i="23"/>
  <c r="AG12" i="23"/>
  <c r="AG13" i="23"/>
  <c r="AG14" i="23"/>
  <c r="AG15" i="23"/>
  <c r="AG16" i="23"/>
  <c r="AG17" i="23"/>
  <c r="AG18" i="23"/>
  <c r="AG19" i="23"/>
  <c r="AG20" i="23"/>
  <c r="AG21" i="23"/>
  <c r="AG22" i="23"/>
  <c r="AG23" i="23"/>
  <c r="AG24" i="23"/>
  <c r="AG25" i="23"/>
  <c r="AG26" i="23"/>
  <c r="AG27" i="23"/>
  <c r="AG28" i="23"/>
  <c r="AG29" i="23"/>
  <c r="AG30" i="23"/>
  <c r="AG31" i="23"/>
  <c r="AG32" i="23"/>
  <c r="AG33" i="23"/>
  <c r="AG34" i="23"/>
  <c r="AG35" i="23"/>
  <c r="AG36" i="23"/>
  <c r="AG37" i="23"/>
  <c r="AG38" i="23"/>
  <c r="AG39" i="23"/>
  <c r="AG40" i="23"/>
  <c r="AG41" i="23"/>
  <c r="AG42" i="23"/>
  <c r="AG43" i="23"/>
  <c r="AG44" i="23"/>
  <c r="AG45" i="23"/>
  <c r="AG46" i="23"/>
  <c r="AG47" i="23"/>
  <c r="AG48" i="23"/>
  <c r="AG49" i="23"/>
  <c r="AG50" i="23"/>
  <c r="AG51" i="23"/>
  <c r="AG52" i="23"/>
  <c r="AG53" i="23"/>
  <c r="AG54" i="23"/>
  <c r="AG55" i="23"/>
  <c r="AG56" i="23"/>
  <c r="AG57" i="23"/>
  <c r="AG58" i="23"/>
  <c r="AG59" i="23"/>
  <c r="AG60" i="23"/>
  <c r="AG61" i="23"/>
  <c r="AG62" i="23"/>
  <c r="AG63" i="23"/>
  <c r="AG64" i="23"/>
  <c r="AG65" i="23"/>
  <c r="AG66" i="23"/>
  <c r="AG67" i="23"/>
  <c r="AG68" i="23"/>
  <c r="AG69" i="23"/>
  <c r="AG70" i="23"/>
  <c r="AG71" i="23"/>
  <c r="AG72" i="23"/>
  <c r="AG73" i="23"/>
  <c r="AG74" i="23"/>
  <c r="AG75" i="23"/>
  <c r="AG76" i="23"/>
  <c r="AG77" i="23"/>
  <c r="AG78" i="23"/>
  <c r="AG79" i="23"/>
  <c r="AG80" i="23"/>
  <c r="AG81" i="23"/>
  <c r="AG82" i="23"/>
  <c r="AG83" i="23"/>
  <c r="AG84" i="23"/>
  <c r="AG85" i="23"/>
  <c r="AG86" i="23"/>
  <c r="AG87" i="23"/>
  <c r="AG88" i="23"/>
  <c r="AG89" i="23"/>
  <c r="AG90" i="23"/>
  <c r="AG91" i="23"/>
  <c r="AG92" i="23"/>
  <c r="AG93" i="23"/>
  <c r="AG94" i="23"/>
  <c r="AG95" i="23"/>
  <c r="AG96" i="23"/>
  <c r="AG97" i="23"/>
  <c r="AG98" i="23"/>
  <c r="AG99" i="23"/>
  <c r="AG100" i="23"/>
  <c r="AG101" i="23"/>
  <c r="AG102" i="23"/>
  <c r="AG103" i="23"/>
  <c r="AG104" i="23"/>
  <c r="AG105" i="23"/>
  <c r="AG106" i="23"/>
  <c r="AG107" i="23"/>
  <c r="AG108" i="23"/>
  <c r="AG109" i="23"/>
  <c r="AG110" i="23"/>
  <c r="AG111" i="23"/>
  <c r="AG112" i="23"/>
  <c r="AG113" i="23"/>
  <c r="AG114" i="23"/>
  <c r="AG115" i="23"/>
  <c r="AG116" i="23"/>
  <c r="AG117" i="23"/>
  <c r="AG118" i="23"/>
  <c r="AG119" i="23"/>
  <c r="AG120" i="23"/>
  <c r="AG121" i="23"/>
  <c r="AG122" i="23"/>
  <c r="AG123" i="23"/>
  <c r="AG124" i="23"/>
  <c r="AG125" i="23"/>
  <c r="AG126" i="23"/>
  <c r="AG127" i="23"/>
  <c r="AG128" i="23"/>
  <c r="AG129" i="23"/>
  <c r="AG130" i="23"/>
  <c r="AG131" i="23"/>
  <c r="AG132" i="23"/>
  <c r="AG133" i="23"/>
  <c r="AG134" i="23"/>
  <c r="AG135" i="23"/>
  <c r="AG136" i="23"/>
  <c r="AG137" i="23"/>
  <c r="AG138" i="23"/>
  <c r="AG139" i="23"/>
  <c r="AG140" i="23"/>
  <c r="AG141" i="23"/>
  <c r="AG142" i="23"/>
  <c r="AG143" i="23"/>
  <c r="AG144" i="23"/>
  <c r="AG145" i="23"/>
  <c r="AG146" i="23"/>
  <c r="AG147" i="23"/>
  <c r="AG148" i="23"/>
  <c r="AG149" i="23"/>
  <c r="AG150" i="23"/>
  <c r="AG151" i="23"/>
  <c r="AG152" i="23"/>
  <c r="AG153" i="23"/>
  <c r="AG154" i="23"/>
  <c r="AG155" i="23"/>
  <c r="AG156" i="23"/>
  <c r="AG157" i="23"/>
  <c r="AG158" i="23"/>
  <c r="AG159" i="23"/>
  <c r="AG160" i="23"/>
  <c r="AG161" i="23"/>
  <c r="AG162" i="23"/>
  <c r="AG163" i="23"/>
  <c r="AG164" i="23"/>
  <c r="AG165" i="23"/>
  <c r="AG166" i="23"/>
  <c r="AG167" i="23"/>
  <c r="AG168" i="23"/>
  <c r="AG169" i="23"/>
  <c r="AG170" i="23"/>
  <c r="AG171" i="23"/>
  <c r="AG172" i="23"/>
  <c r="AG173" i="23"/>
  <c r="AG174" i="23"/>
  <c r="AG175" i="23"/>
  <c r="AG176" i="23"/>
  <c r="AG177" i="23"/>
  <c r="AG178" i="23"/>
  <c r="AG179" i="23"/>
  <c r="AG180" i="23"/>
  <c r="AG181" i="23"/>
  <c r="AG182" i="23"/>
  <c r="AG183" i="23"/>
  <c r="AG184" i="23"/>
  <c r="AG185" i="23"/>
  <c r="AG186" i="23"/>
  <c r="AG187" i="23"/>
  <c r="AG188" i="23"/>
  <c r="AG189" i="23"/>
  <c r="AG190" i="23"/>
  <c r="AG191" i="23"/>
  <c r="AG192" i="23"/>
  <c r="AG193" i="23"/>
  <c r="AG194" i="23"/>
  <c r="AG195" i="23"/>
  <c r="AG196" i="23"/>
  <c r="AG197" i="23"/>
  <c r="AG198" i="23"/>
  <c r="AG199" i="23"/>
  <c r="AG200" i="23"/>
  <c r="AG201" i="23"/>
  <c r="AG202" i="23"/>
  <c r="AG203" i="23"/>
  <c r="AG204" i="23"/>
  <c r="AG205" i="23"/>
  <c r="AG206" i="23"/>
  <c r="AG207" i="23"/>
  <c r="AG208" i="23"/>
  <c r="AG209" i="23"/>
  <c r="AG210" i="23"/>
  <c r="AG211" i="23"/>
  <c r="AG212" i="23"/>
  <c r="AG213" i="23"/>
  <c r="AG214" i="23"/>
  <c r="AG215" i="23"/>
  <c r="AG216" i="23"/>
  <c r="AG217" i="23"/>
  <c r="AG218" i="23"/>
  <c r="AG219" i="23"/>
  <c r="AG220" i="23"/>
  <c r="AG221" i="23"/>
  <c r="AG222" i="23"/>
  <c r="AG223" i="23"/>
  <c r="AG224" i="23"/>
  <c r="AG225" i="23"/>
  <c r="AG226" i="23"/>
  <c r="AG227" i="23"/>
  <c r="AG228" i="23"/>
  <c r="AG229" i="23"/>
  <c r="AG230" i="23"/>
  <c r="AG231" i="23"/>
  <c r="AG232" i="23"/>
  <c r="AG233" i="23"/>
  <c r="AG234" i="23"/>
  <c r="AG235" i="23"/>
  <c r="AG236" i="23"/>
  <c r="AG237" i="23"/>
  <c r="AG238" i="23"/>
  <c r="AG239" i="23"/>
  <c r="AG240" i="23"/>
  <c r="AG241" i="23"/>
  <c r="AG242" i="23"/>
  <c r="AG243" i="23"/>
  <c r="AG244" i="23"/>
  <c r="AG245" i="23"/>
  <c r="AG246" i="23"/>
  <c r="AG247" i="23"/>
  <c r="AG248" i="23"/>
  <c r="AG249" i="23"/>
  <c r="AG250" i="23"/>
  <c r="AG251" i="23"/>
  <c r="AG252" i="23"/>
  <c r="AG253" i="23"/>
  <c r="AG254" i="23"/>
  <c r="AG255" i="23"/>
  <c r="AG256" i="23"/>
  <c r="AG257" i="23"/>
  <c r="AG258" i="23"/>
  <c r="AG259" i="23"/>
  <c r="AG260" i="23"/>
  <c r="AG261" i="23"/>
  <c r="AG262" i="23"/>
  <c r="AG263" i="23"/>
  <c r="AG264" i="23"/>
  <c r="AG265" i="23"/>
  <c r="AG266" i="23"/>
  <c r="AG267" i="23"/>
  <c r="AG268" i="23"/>
  <c r="AG269" i="23"/>
  <c r="AG270" i="23"/>
  <c r="AG271" i="23"/>
  <c r="AG272" i="23"/>
  <c r="AG273" i="23"/>
  <c r="AG274" i="23"/>
  <c r="AG275" i="23"/>
  <c r="AG276" i="23"/>
  <c r="AG277" i="23"/>
  <c r="AG278" i="23"/>
  <c r="AG279" i="23"/>
  <c r="AG280" i="23"/>
  <c r="AG281" i="23"/>
  <c r="AG282" i="23"/>
  <c r="AG283" i="23"/>
  <c r="AG284" i="23"/>
  <c r="AG285" i="23"/>
  <c r="AG286" i="23"/>
  <c r="AG287" i="23"/>
  <c r="AG288" i="23"/>
  <c r="AG289" i="23"/>
  <c r="AG290" i="23"/>
  <c r="AG291" i="23"/>
  <c r="AG292" i="23"/>
  <c r="AG293" i="23"/>
  <c r="AG294" i="23"/>
  <c r="AG295" i="23"/>
  <c r="AG296" i="23"/>
  <c r="AG297" i="23"/>
  <c r="AG298" i="23"/>
  <c r="AG299" i="23"/>
  <c r="AG300" i="23"/>
  <c r="AG301" i="23"/>
  <c r="AG302" i="23"/>
  <c r="AG303" i="23"/>
  <c r="AG304" i="23"/>
  <c r="AG305" i="23"/>
  <c r="AG306" i="23"/>
  <c r="AG307" i="23"/>
  <c r="AG308" i="23"/>
  <c r="AG309" i="23"/>
  <c r="AG310" i="23"/>
  <c r="AG311" i="23"/>
  <c r="AG312" i="23"/>
  <c r="AG313" i="23"/>
  <c r="AG314" i="23"/>
  <c r="AG315" i="23"/>
  <c r="AG316" i="23"/>
  <c r="AG317" i="23"/>
  <c r="AG318" i="23"/>
  <c r="AG319" i="23"/>
  <c r="AG320" i="23"/>
  <c r="AG321" i="23"/>
  <c r="AG322" i="23"/>
  <c r="AG323" i="23"/>
  <c r="AG324" i="23"/>
  <c r="AG325" i="23"/>
  <c r="AG326" i="23"/>
  <c r="AG327" i="23"/>
  <c r="AG328" i="23"/>
  <c r="AG329" i="23"/>
  <c r="AG330" i="23"/>
  <c r="AG331" i="23"/>
  <c r="AG332" i="23"/>
  <c r="AG333" i="23"/>
  <c r="AG334" i="23"/>
  <c r="AG335" i="23"/>
  <c r="AG336" i="23"/>
  <c r="AG337" i="23"/>
  <c r="AG338" i="23"/>
  <c r="AG339" i="23"/>
  <c r="AG340" i="23"/>
  <c r="AG341" i="23"/>
  <c r="AG342" i="23"/>
  <c r="AG343" i="23"/>
  <c r="AG344" i="23"/>
  <c r="AG345" i="23"/>
  <c r="AG346" i="23"/>
  <c r="AG347" i="23"/>
  <c r="AG348" i="23"/>
  <c r="AG349" i="23"/>
  <c r="AG350" i="23"/>
  <c r="AG351" i="23"/>
  <c r="AG352" i="23"/>
  <c r="AG353" i="23"/>
  <c r="AG354" i="23"/>
  <c r="AG355" i="23"/>
  <c r="AG356" i="23"/>
  <c r="AG357" i="23"/>
  <c r="AG358" i="23"/>
  <c r="AG359" i="23"/>
  <c r="AG360" i="23"/>
  <c r="AG361" i="23"/>
  <c r="AG362" i="23"/>
  <c r="AG363" i="23"/>
  <c r="AG364" i="23"/>
  <c r="AG365" i="23"/>
  <c r="AG366" i="23"/>
  <c r="AG367" i="23"/>
  <c r="AG368" i="23"/>
  <c r="AG369" i="23"/>
  <c r="AG370" i="23"/>
  <c r="AG371" i="23"/>
  <c r="AG372" i="23"/>
  <c r="AG373" i="23"/>
  <c r="AG374" i="23"/>
  <c r="AG375" i="23"/>
  <c r="AG376" i="23"/>
  <c r="AG377" i="23"/>
  <c r="AG378" i="23"/>
  <c r="AG379" i="23"/>
  <c r="AG380" i="23"/>
  <c r="AG381" i="23"/>
  <c r="AG382" i="23"/>
  <c r="AG383" i="23"/>
  <c r="AG384" i="23"/>
  <c r="AG385" i="23"/>
  <c r="AG386" i="23"/>
  <c r="AG387" i="23"/>
  <c r="AG388" i="23"/>
  <c r="AG389" i="23"/>
  <c r="AG390" i="23"/>
  <c r="AG391" i="23"/>
  <c r="AG392" i="23"/>
  <c r="AG393" i="23"/>
  <c r="AG394" i="23"/>
  <c r="AG395" i="23"/>
  <c r="AG396" i="23"/>
  <c r="AG397" i="23"/>
  <c r="AG398" i="23"/>
  <c r="AG399" i="23"/>
  <c r="AG400" i="23"/>
  <c r="AG401" i="23"/>
  <c r="AG402" i="23"/>
  <c r="AG403" i="23"/>
  <c r="AG404" i="23"/>
  <c r="AG405" i="23"/>
  <c r="AG406" i="23"/>
  <c r="AG407" i="23"/>
  <c r="AG408" i="23"/>
  <c r="AG409" i="23"/>
  <c r="AG410" i="23"/>
  <c r="AG411" i="23"/>
  <c r="AG412" i="23"/>
  <c r="AG413" i="23"/>
  <c r="AG414" i="23"/>
  <c r="AG415" i="23"/>
  <c r="AG416" i="23"/>
  <c r="AG417" i="23"/>
  <c r="AG418" i="23"/>
  <c r="AG419" i="23"/>
  <c r="AG420" i="23"/>
  <c r="AG421" i="23"/>
  <c r="AG422" i="23"/>
  <c r="AG423" i="23"/>
  <c r="AG424" i="23"/>
  <c r="AG425" i="23"/>
  <c r="AG426" i="23"/>
  <c r="AG427" i="23"/>
  <c r="AG428" i="23"/>
  <c r="AG429" i="23"/>
  <c r="AG430" i="23"/>
  <c r="AG431" i="23"/>
  <c r="AG432" i="23"/>
  <c r="AG433" i="23"/>
  <c r="AG434" i="23"/>
  <c r="AG435" i="23"/>
  <c r="AG436" i="23"/>
  <c r="AG437" i="23"/>
  <c r="AG438" i="23"/>
  <c r="AG439" i="23"/>
  <c r="AG440" i="23"/>
  <c r="AG441" i="23"/>
  <c r="AG442" i="23"/>
  <c r="AG443" i="23"/>
  <c r="AG444" i="23"/>
  <c r="AG445" i="23"/>
  <c r="AG446" i="23"/>
  <c r="AG447" i="23"/>
  <c r="AG448" i="23"/>
  <c r="AG449" i="23"/>
  <c r="AG450" i="23"/>
  <c r="AG451" i="23"/>
  <c r="AG452" i="23"/>
  <c r="AG453" i="23"/>
  <c r="AG454" i="23"/>
  <c r="AG455" i="23"/>
  <c r="AG456" i="23"/>
  <c r="AG457" i="23"/>
  <c r="AG458" i="23"/>
  <c r="AG459" i="23"/>
  <c r="AG460" i="23"/>
  <c r="AG461" i="23"/>
  <c r="AG462" i="23"/>
  <c r="AG463" i="23"/>
  <c r="AG464" i="23"/>
  <c r="AG465" i="23"/>
  <c r="AG466" i="23"/>
  <c r="AG467" i="23"/>
  <c r="AG468" i="23"/>
  <c r="AG469" i="23"/>
  <c r="AG470" i="23"/>
  <c r="AG471" i="23"/>
  <c r="AG472" i="23"/>
  <c r="AG473" i="23"/>
  <c r="AG474" i="23"/>
  <c r="AG475" i="23"/>
  <c r="AG476" i="23"/>
  <c r="AG477" i="23"/>
  <c r="AG478" i="23"/>
  <c r="AG479" i="23"/>
  <c r="AG480" i="23"/>
  <c r="AG481" i="23"/>
  <c r="AG482" i="23"/>
  <c r="AG483" i="23"/>
  <c r="AG484" i="23"/>
  <c r="AG485" i="23"/>
  <c r="AG486" i="23"/>
  <c r="AG487" i="23"/>
  <c r="AG488" i="23"/>
  <c r="AG489" i="23"/>
  <c r="AG490" i="23"/>
  <c r="AG491" i="23"/>
  <c r="AG492" i="23"/>
  <c r="AG493" i="23"/>
  <c r="AG494" i="23"/>
  <c r="AG495" i="23"/>
  <c r="AG496" i="23"/>
  <c r="AG497" i="23"/>
  <c r="AG498" i="23"/>
  <c r="AG499" i="23"/>
  <c r="AG500" i="23"/>
  <c r="AG501" i="23"/>
  <c r="AG502" i="23"/>
  <c r="AG503" i="23"/>
  <c r="AG504" i="23"/>
  <c r="AG505" i="23"/>
  <c r="AG506" i="23"/>
  <c r="AG507" i="23"/>
  <c r="AG508" i="23"/>
  <c r="AG509" i="23"/>
  <c r="AG510" i="23"/>
  <c r="AG511" i="23"/>
  <c r="AG512" i="23"/>
  <c r="AG513" i="23"/>
  <c r="AG514" i="23"/>
  <c r="AG515" i="23"/>
  <c r="AG516" i="23"/>
  <c r="AG517" i="23"/>
  <c r="AG518" i="23"/>
  <c r="AG519" i="23"/>
  <c r="AG520" i="23"/>
  <c r="AG521" i="23"/>
  <c r="AG522" i="23"/>
  <c r="AG523" i="23"/>
  <c r="AG524" i="23"/>
  <c r="AG525" i="23"/>
  <c r="AG526" i="23"/>
  <c r="AG527" i="23"/>
  <c r="AG528" i="23"/>
  <c r="AG529" i="23"/>
  <c r="AG530" i="23"/>
  <c r="AG531" i="23"/>
  <c r="AG532" i="23"/>
  <c r="AG533" i="23"/>
  <c r="AG534" i="23"/>
  <c r="AG535" i="23"/>
  <c r="AG536" i="23"/>
  <c r="AG537" i="23"/>
  <c r="AG538" i="23"/>
  <c r="AG539" i="23"/>
  <c r="AG540" i="23"/>
  <c r="AG541" i="23"/>
  <c r="AG542" i="23"/>
  <c r="AG543" i="23"/>
  <c r="AG544" i="23"/>
  <c r="AG545" i="23"/>
  <c r="AG546" i="23"/>
  <c r="AG547" i="23"/>
  <c r="AG548" i="23"/>
  <c r="AG549" i="23"/>
  <c r="AG550" i="23"/>
  <c r="AG551" i="23"/>
  <c r="AG552" i="23"/>
  <c r="AG553" i="23"/>
  <c r="AG554" i="23"/>
  <c r="AG555" i="23"/>
  <c r="AG556" i="23"/>
  <c r="AG557" i="23"/>
  <c r="AG558" i="23"/>
  <c r="AG559" i="23"/>
  <c r="AG560" i="23"/>
  <c r="AG561" i="23"/>
  <c r="AG562" i="23"/>
  <c r="AG563" i="23"/>
  <c r="AG564" i="23"/>
  <c r="AG565" i="23"/>
  <c r="AG566" i="23"/>
  <c r="AG567" i="23"/>
  <c r="AG568" i="23"/>
  <c r="AG569" i="23"/>
  <c r="AG570" i="23"/>
  <c r="AG571" i="23"/>
  <c r="AG572" i="23"/>
  <c r="AG573" i="23"/>
  <c r="AG574" i="23"/>
  <c r="AG575" i="23"/>
  <c r="AG576" i="23"/>
  <c r="AG577" i="23"/>
  <c r="AG578" i="23"/>
  <c r="AG579" i="23"/>
  <c r="AG580" i="23"/>
  <c r="AG581" i="23"/>
  <c r="AG582" i="23"/>
  <c r="AG583" i="23"/>
  <c r="AG584" i="23"/>
  <c r="AG585" i="23"/>
  <c r="AG586" i="23"/>
  <c r="AG587" i="23"/>
  <c r="AG588" i="23"/>
  <c r="AG589" i="23"/>
  <c r="AG590" i="23"/>
  <c r="AG591" i="23"/>
  <c r="AG592" i="23"/>
  <c r="AG593" i="23"/>
  <c r="AG594" i="23"/>
  <c r="AG595" i="23"/>
  <c r="AG596" i="23"/>
  <c r="AG597" i="23"/>
  <c r="AG598" i="23"/>
  <c r="AG599" i="23"/>
  <c r="AG600" i="23"/>
  <c r="AG601" i="23"/>
  <c r="AG602" i="23"/>
  <c r="AG603" i="23"/>
  <c r="AG604" i="23"/>
  <c r="AG605" i="23"/>
  <c r="AG606" i="23"/>
  <c r="AG607" i="23"/>
  <c r="AG608" i="23"/>
  <c r="AG609" i="23"/>
  <c r="AG610" i="23"/>
  <c r="AG611" i="23"/>
  <c r="AG612" i="23"/>
  <c r="AG613" i="23"/>
  <c r="AG614" i="23"/>
  <c r="AG615" i="23"/>
  <c r="AG616" i="23"/>
  <c r="AG617" i="23"/>
  <c r="AG618" i="23"/>
  <c r="AG619" i="23"/>
  <c r="AG620" i="23"/>
  <c r="AG621" i="23"/>
  <c r="AG622" i="23"/>
  <c r="AG623" i="23"/>
  <c r="AG624" i="23"/>
  <c r="AG625" i="23"/>
  <c r="AG626" i="23"/>
  <c r="AG627" i="23"/>
  <c r="AG628" i="23"/>
  <c r="AG629" i="23"/>
  <c r="AG630" i="23"/>
  <c r="AG631" i="23"/>
  <c r="AG632" i="23"/>
  <c r="AG633" i="23"/>
  <c r="AG634" i="23"/>
  <c r="AG635" i="23"/>
  <c r="AG636" i="23"/>
  <c r="AG637" i="23"/>
  <c r="AG638" i="23"/>
  <c r="AG639" i="23"/>
  <c r="AG640" i="23"/>
  <c r="AG641" i="23"/>
  <c r="AG642" i="23"/>
  <c r="AG643" i="23"/>
  <c r="AG644" i="23"/>
  <c r="AG645" i="23"/>
  <c r="AG646" i="23"/>
  <c r="AG647" i="23"/>
  <c r="AG648" i="23"/>
  <c r="AG649" i="23"/>
  <c r="AG650" i="23"/>
  <c r="AG651" i="23"/>
  <c r="AG652" i="23"/>
  <c r="AG653" i="23"/>
  <c r="AG654" i="23"/>
  <c r="AG655" i="23"/>
  <c r="AG656" i="23"/>
  <c r="AG657" i="23"/>
  <c r="AG658" i="23"/>
  <c r="AG659" i="23"/>
  <c r="AG660" i="23"/>
  <c r="AG661" i="23"/>
  <c r="AG662" i="23"/>
  <c r="AG663" i="23"/>
  <c r="AG664" i="23"/>
  <c r="AG665" i="23"/>
  <c r="AG666" i="23"/>
  <c r="AG667" i="23"/>
  <c r="AG668" i="23"/>
  <c r="AG669" i="23"/>
  <c r="AG670" i="23"/>
  <c r="AG671" i="23"/>
  <c r="AG672" i="23"/>
  <c r="AG673" i="23"/>
  <c r="AG674" i="23"/>
  <c r="AG675" i="23"/>
  <c r="AG676" i="23"/>
  <c r="AG677" i="23"/>
  <c r="AG678" i="23"/>
  <c r="AG679" i="23"/>
  <c r="AG680" i="23"/>
  <c r="AG681" i="23"/>
  <c r="AG682" i="23"/>
  <c r="AG683" i="23"/>
  <c r="AG684" i="23"/>
  <c r="AG685" i="23"/>
  <c r="AG686" i="23"/>
  <c r="AG687" i="23"/>
  <c r="AG688" i="23"/>
  <c r="AG689" i="23"/>
  <c r="AG690" i="23"/>
  <c r="AG691" i="23"/>
  <c r="AG692" i="23"/>
  <c r="AG693" i="23"/>
  <c r="AG694" i="23"/>
  <c r="AG695" i="23"/>
  <c r="AG696" i="23"/>
  <c r="AG697" i="23"/>
  <c r="AG698" i="23"/>
  <c r="AG699" i="23"/>
  <c r="AG700" i="23"/>
  <c r="AG701" i="23"/>
  <c r="AG702" i="23"/>
  <c r="AG703" i="23"/>
  <c r="AG704" i="23"/>
  <c r="AG705" i="23"/>
  <c r="AG706" i="23"/>
  <c r="AG707" i="23"/>
  <c r="AG708" i="23"/>
  <c r="AG709" i="23"/>
  <c r="AG710" i="23"/>
  <c r="AG711" i="23"/>
  <c r="AG712" i="23"/>
  <c r="AG713" i="23"/>
  <c r="AG714" i="23"/>
  <c r="AG715" i="23"/>
  <c r="AG716" i="23"/>
  <c r="AG717" i="23"/>
  <c r="AG718" i="23"/>
  <c r="AG719" i="23"/>
  <c r="AG720" i="23"/>
  <c r="AG721" i="23"/>
  <c r="AG722" i="23"/>
  <c r="AG723" i="23"/>
  <c r="AG724" i="23"/>
  <c r="AG725" i="23"/>
  <c r="AG726" i="23"/>
  <c r="AG727" i="23"/>
  <c r="AG728" i="23"/>
  <c r="AG729" i="23"/>
  <c r="AG730" i="23"/>
  <c r="AG731" i="23"/>
  <c r="AG732" i="23"/>
  <c r="AG733" i="23"/>
  <c r="AG734" i="23"/>
  <c r="AG735" i="23"/>
  <c r="AG736" i="23"/>
  <c r="AG737" i="23"/>
  <c r="AG738" i="23"/>
  <c r="AG739" i="23"/>
  <c r="AG740" i="23"/>
  <c r="AG741" i="23"/>
  <c r="AG742" i="23"/>
  <c r="AG743" i="23"/>
  <c r="AG744" i="23"/>
  <c r="AG745" i="23"/>
  <c r="AG746" i="23"/>
  <c r="AG747" i="23"/>
  <c r="AG748" i="23"/>
  <c r="AG749" i="23"/>
  <c r="AG750" i="23"/>
  <c r="AG751" i="23"/>
  <c r="AG752" i="23"/>
  <c r="AG753" i="23"/>
  <c r="AG754" i="23"/>
  <c r="AG755" i="23"/>
  <c r="AG756" i="23"/>
  <c r="AG757" i="23"/>
  <c r="AG758" i="23"/>
  <c r="AG759" i="23"/>
  <c r="AG760" i="23"/>
  <c r="AG761" i="23"/>
  <c r="AG762" i="23"/>
  <c r="AG763" i="23"/>
  <c r="AG764" i="23"/>
  <c r="AG765" i="23"/>
  <c r="AG766" i="23"/>
  <c r="AG767" i="23"/>
  <c r="AG768" i="23"/>
  <c r="AG769" i="23"/>
  <c r="AG770" i="23"/>
  <c r="AG771" i="23"/>
  <c r="AG772" i="23"/>
  <c r="AG773" i="23"/>
  <c r="AG774" i="23"/>
  <c r="AG775" i="23"/>
  <c r="AG776" i="23"/>
  <c r="AG777" i="23"/>
  <c r="AG778" i="23"/>
  <c r="AG779" i="23"/>
  <c r="AG780" i="23"/>
  <c r="AG781" i="23"/>
  <c r="AG782" i="23"/>
  <c r="AG783" i="23"/>
  <c r="AG784" i="23"/>
  <c r="AG785" i="23"/>
  <c r="AG786" i="23"/>
  <c r="AG787" i="23"/>
  <c r="AG788" i="23"/>
  <c r="AG789" i="23"/>
  <c r="AG790" i="23"/>
  <c r="AG791" i="23"/>
  <c r="AG792" i="23"/>
  <c r="AG793" i="23"/>
  <c r="AG794" i="23"/>
  <c r="AG795" i="23"/>
  <c r="AG796" i="23"/>
  <c r="AG797" i="23"/>
  <c r="AG798" i="23"/>
  <c r="AG799" i="23"/>
  <c r="AG800" i="23"/>
  <c r="AG801" i="23"/>
  <c r="AG802" i="23"/>
  <c r="AG803" i="23"/>
  <c r="AG804" i="23"/>
  <c r="AG805" i="23"/>
  <c r="AG806" i="23"/>
  <c r="AG807" i="23"/>
  <c r="AG808" i="23"/>
  <c r="AG809" i="23"/>
  <c r="AG810" i="23"/>
  <c r="AG811" i="23"/>
  <c r="AG812" i="23"/>
  <c r="AG813" i="23"/>
  <c r="AG814" i="23"/>
  <c r="AG815" i="23"/>
  <c r="AG816" i="23"/>
  <c r="AG817" i="23"/>
  <c r="AG818" i="23"/>
  <c r="AG819" i="23"/>
  <c r="AG820" i="23"/>
  <c r="AG821" i="23"/>
  <c r="AG822" i="23"/>
  <c r="AG823" i="23"/>
  <c r="AG824" i="23"/>
  <c r="AG825" i="23"/>
  <c r="AG826" i="23"/>
  <c r="AG827" i="23"/>
  <c r="AG828" i="23"/>
  <c r="AG829" i="23"/>
  <c r="AG830" i="23"/>
  <c r="AG831" i="23"/>
  <c r="AG832" i="23"/>
  <c r="AG833" i="23"/>
  <c r="AG834" i="23"/>
  <c r="AG835" i="23"/>
  <c r="AG836" i="23"/>
  <c r="AG837" i="23"/>
  <c r="AG838" i="23"/>
  <c r="AG839" i="23"/>
  <c r="AG840" i="23"/>
  <c r="AG841" i="23"/>
  <c r="AG842" i="23"/>
  <c r="AG843" i="23"/>
  <c r="AG844" i="23"/>
  <c r="AG845" i="23"/>
  <c r="AG846" i="23"/>
  <c r="AG847" i="23"/>
  <c r="AG848" i="23"/>
  <c r="AG849" i="23"/>
  <c r="AG850" i="23"/>
  <c r="AG851" i="23"/>
  <c r="AG852" i="23"/>
  <c r="AG853" i="23"/>
  <c r="AG854" i="23"/>
  <c r="AG855" i="23"/>
  <c r="AG856" i="23"/>
  <c r="AG857" i="23"/>
  <c r="AG858" i="23"/>
  <c r="AG859" i="23"/>
  <c r="AG860" i="23"/>
  <c r="AG861" i="23"/>
  <c r="AG862" i="23"/>
  <c r="AG863" i="23"/>
  <c r="AG864" i="23"/>
  <c r="AG865" i="23"/>
  <c r="AG866" i="23"/>
  <c r="AG867" i="23"/>
  <c r="AG868" i="23"/>
  <c r="AG869" i="23"/>
  <c r="AG870" i="23"/>
  <c r="AG871" i="23"/>
  <c r="AG872" i="23"/>
  <c r="AG873" i="23"/>
  <c r="AG874" i="23"/>
  <c r="AG875" i="23"/>
  <c r="AG876" i="23"/>
  <c r="AG877" i="23"/>
  <c r="AG878" i="23"/>
  <c r="AG879" i="23"/>
  <c r="AG880" i="23"/>
  <c r="AG881" i="23"/>
  <c r="AG882" i="23"/>
  <c r="AG883" i="23"/>
  <c r="AG884" i="23"/>
  <c r="AG885" i="23"/>
  <c r="AG886" i="23"/>
  <c r="AG887" i="23"/>
  <c r="AG888" i="23"/>
  <c r="AG889" i="23"/>
  <c r="AG890" i="23"/>
  <c r="AG891" i="23"/>
  <c r="AG892" i="23"/>
  <c r="AG893" i="23"/>
  <c r="AG894" i="23"/>
  <c r="AG895" i="23"/>
  <c r="AG896" i="23"/>
  <c r="AG897" i="23"/>
  <c r="AG898" i="23"/>
  <c r="AG899" i="23"/>
  <c r="AG900" i="23"/>
  <c r="AG901" i="23"/>
  <c r="AG902" i="23"/>
  <c r="AG903" i="23"/>
  <c r="AG904" i="23"/>
  <c r="AG905" i="23"/>
  <c r="AG906" i="23"/>
  <c r="AG907" i="23"/>
  <c r="AG908" i="23"/>
  <c r="AG909" i="23"/>
  <c r="AG910" i="23"/>
  <c r="AG911" i="23"/>
  <c r="AG912" i="23"/>
  <c r="AG913" i="23"/>
  <c r="AG914" i="23"/>
  <c r="AG915" i="23"/>
  <c r="AG916" i="23"/>
  <c r="AG917" i="23"/>
  <c r="AG918" i="23"/>
  <c r="AG919" i="23"/>
  <c r="AG920" i="23"/>
  <c r="AG921" i="23"/>
  <c r="AG922" i="23"/>
  <c r="AG923" i="23"/>
  <c r="AG924" i="23"/>
  <c r="AG925" i="23"/>
  <c r="AG926" i="23"/>
  <c r="AG927" i="23"/>
  <c r="AG928" i="23"/>
  <c r="AG929" i="23"/>
  <c r="AG930" i="23"/>
  <c r="AG931" i="23"/>
  <c r="AG932" i="23"/>
  <c r="AG933" i="23"/>
  <c r="AG934" i="23"/>
  <c r="AG935" i="23"/>
  <c r="AG936" i="23"/>
  <c r="AG937" i="23"/>
  <c r="AG938" i="23"/>
  <c r="AG939" i="23"/>
  <c r="AG940" i="23"/>
  <c r="AG941" i="23"/>
  <c r="AG942" i="23"/>
  <c r="AG943" i="23"/>
  <c r="AG944" i="23"/>
  <c r="AG945" i="23"/>
  <c r="AG946" i="23"/>
  <c r="AG947" i="23"/>
  <c r="AG948" i="23"/>
  <c r="AG949" i="23"/>
  <c r="AG950" i="23"/>
  <c r="AG951" i="23"/>
  <c r="AG952" i="23"/>
  <c r="AG953" i="23"/>
  <c r="AG954" i="23"/>
  <c r="AG955" i="23"/>
  <c r="AG956" i="23"/>
  <c r="AG957" i="23"/>
  <c r="AG958" i="23"/>
  <c r="AG959" i="23"/>
  <c r="AG960" i="23"/>
  <c r="AG961" i="23"/>
  <c r="AG962" i="23"/>
  <c r="AG963" i="23"/>
  <c r="AG964" i="23"/>
  <c r="AG965" i="23"/>
  <c r="AG966" i="23"/>
  <c r="AG967" i="23"/>
  <c r="AG968" i="23"/>
  <c r="AG969" i="23"/>
  <c r="AG970" i="23"/>
  <c r="AG971" i="23"/>
  <c r="AG972" i="23"/>
  <c r="AG973" i="23"/>
  <c r="AG974" i="23"/>
  <c r="AG975" i="23"/>
  <c r="AG976" i="23"/>
  <c r="AG977" i="23"/>
  <c r="AG978" i="23"/>
  <c r="AG979" i="23"/>
  <c r="AG980" i="23"/>
  <c r="AG981" i="23"/>
  <c r="AG982" i="23"/>
  <c r="AG983" i="23"/>
  <c r="AG984" i="23"/>
  <c r="AG985" i="23"/>
  <c r="AG986" i="23"/>
  <c r="AG987" i="23"/>
  <c r="AG988" i="23"/>
  <c r="AG989" i="23"/>
  <c r="AG990" i="23"/>
  <c r="AG991" i="23"/>
  <c r="AG992" i="23"/>
  <c r="AG993" i="23"/>
  <c r="AG994" i="23"/>
  <c r="AG995" i="23"/>
  <c r="AG996" i="23"/>
  <c r="AG997" i="23"/>
  <c r="AG998" i="23"/>
  <c r="AG999" i="23"/>
  <c r="AG1000" i="23"/>
  <c r="AG1001" i="23"/>
  <c r="AG1002" i="23"/>
  <c r="AG1003" i="23"/>
  <c r="AG1004" i="23"/>
  <c r="AG1005" i="23"/>
  <c r="AG1006" i="23"/>
  <c r="AG1007" i="23"/>
  <c r="AG1008" i="23"/>
  <c r="AG1009" i="23"/>
  <c r="AG1010" i="23"/>
  <c r="AG1011" i="23"/>
  <c r="AG1012" i="23"/>
  <c r="AG1013" i="23"/>
  <c r="AG1014" i="23"/>
  <c r="AG1015" i="23"/>
  <c r="AG1016" i="23"/>
  <c r="AG1017" i="23"/>
  <c r="AG1018" i="23"/>
  <c r="AG1019" i="23"/>
  <c r="AG1020" i="23"/>
  <c r="AG1021" i="23"/>
  <c r="AG1022" i="23"/>
  <c r="AG1023" i="23"/>
  <c r="AG1024" i="23"/>
  <c r="AG1025" i="23"/>
  <c r="AG1026" i="23"/>
  <c r="AG1027" i="23"/>
  <c r="AG1028" i="23"/>
  <c r="AG1029" i="23"/>
  <c r="AG1030" i="23"/>
  <c r="AG1031" i="23"/>
  <c r="AG1032" i="23"/>
  <c r="AG1033" i="23"/>
  <c r="AG1034" i="23"/>
  <c r="AG1035" i="23"/>
  <c r="AG1036" i="23"/>
  <c r="AG1037" i="23"/>
  <c r="AG1038" i="23"/>
  <c r="AG1039" i="23"/>
  <c r="AG1040" i="23"/>
  <c r="AG1041" i="23"/>
  <c r="AG1042" i="23"/>
  <c r="AG1043" i="23"/>
  <c r="AG1044" i="23"/>
  <c r="AG1045" i="23"/>
  <c r="AG1046" i="23"/>
  <c r="AG1047" i="23"/>
  <c r="AG1048" i="23"/>
  <c r="AG1049" i="23"/>
  <c r="AG1050" i="23"/>
  <c r="AG1051" i="23"/>
  <c r="AG1052" i="23"/>
  <c r="AG1053" i="23"/>
  <c r="AG1054" i="23"/>
  <c r="AG1055" i="23"/>
  <c r="AG1056" i="23"/>
  <c r="AG1057" i="23"/>
  <c r="AG1058" i="23"/>
  <c r="AG1059" i="23"/>
  <c r="AG1060" i="23"/>
  <c r="AG1061" i="23"/>
  <c r="AG1062" i="23"/>
  <c r="AG1063" i="23"/>
  <c r="AG1064" i="23"/>
  <c r="AG1065" i="23"/>
  <c r="AG1066" i="23"/>
  <c r="AG1067" i="23"/>
  <c r="AG1068" i="23"/>
  <c r="AG1069" i="23"/>
  <c r="AG1070" i="23"/>
  <c r="AG1071" i="23"/>
  <c r="AG1072" i="23"/>
  <c r="AG1073" i="23"/>
  <c r="AG1074" i="23"/>
  <c r="AG1075" i="23"/>
  <c r="AG1076" i="23"/>
  <c r="AG1077" i="23"/>
  <c r="AG1078" i="23"/>
  <c r="AG1079" i="23"/>
  <c r="AG1080" i="23"/>
  <c r="AG1081" i="23"/>
  <c r="AG1082" i="23"/>
  <c r="AG1083" i="23"/>
  <c r="AG1084" i="23"/>
  <c r="AG1085" i="23"/>
  <c r="AG1086" i="23"/>
  <c r="AG1087" i="23"/>
  <c r="AG1088" i="23"/>
  <c r="AG1089" i="23"/>
  <c r="AG1090" i="23"/>
  <c r="AG1091" i="23"/>
  <c r="AG1092" i="23"/>
  <c r="AG1093" i="23"/>
  <c r="AG1094" i="23"/>
  <c r="AG1095" i="23"/>
  <c r="AG1096" i="23"/>
  <c r="AG1097" i="23"/>
  <c r="AG1098" i="23"/>
  <c r="AG1099" i="23"/>
  <c r="AG1100" i="23"/>
  <c r="AG1101" i="23"/>
  <c r="AG1102" i="23"/>
  <c r="AG1103" i="23"/>
  <c r="AG1104" i="23"/>
  <c r="AG1105" i="23"/>
  <c r="AG1106" i="23"/>
  <c r="AG1107" i="23"/>
  <c r="AG1108" i="23"/>
  <c r="AG1109" i="23"/>
  <c r="AG1110" i="23"/>
  <c r="AG1111" i="23"/>
  <c r="AG1112" i="23"/>
  <c r="AG1113" i="23"/>
  <c r="AG1114" i="23"/>
  <c r="AG1115" i="23"/>
  <c r="AG1116" i="23"/>
  <c r="AG1117" i="23"/>
  <c r="AG1118" i="23"/>
  <c r="AG1119" i="23"/>
  <c r="AG1120" i="23"/>
  <c r="AG1121" i="23"/>
  <c r="AG1122" i="23"/>
  <c r="AG1123" i="23"/>
  <c r="AG1124" i="23"/>
  <c r="AG1125" i="23"/>
  <c r="AG1126" i="23"/>
  <c r="AG1127" i="23"/>
  <c r="AG1128" i="23"/>
  <c r="AG1129" i="23"/>
  <c r="AG1130" i="23"/>
  <c r="AG1131" i="23"/>
  <c r="AG1132" i="23"/>
  <c r="AG1133" i="23"/>
  <c r="AG1134" i="23"/>
  <c r="AG1135" i="23"/>
  <c r="AG1136" i="23"/>
  <c r="AG1137" i="23"/>
  <c r="AG1138" i="23"/>
  <c r="AG1139" i="23"/>
  <c r="AG1140" i="23"/>
  <c r="AG1141" i="23"/>
  <c r="AG1142" i="23"/>
  <c r="AG1143" i="23"/>
  <c r="AG1144" i="23"/>
  <c r="AG1145" i="23"/>
  <c r="AG1146" i="23"/>
  <c r="AG1147" i="23"/>
  <c r="AG1148" i="23"/>
  <c r="AG1149" i="23"/>
  <c r="AG1150" i="23"/>
  <c r="AG1151" i="23"/>
  <c r="AG1152" i="23"/>
  <c r="AG1153" i="23"/>
  <c r="AG1154" i="23"/>
  <c r="AG1155" i="23"/>
  <c r="AG1156" i="23"/>
  <c r="AG1157" i="23"/>
  <c r="AG1158" i="23"/>
  <c r="AG1159" i="23"/>
  <c r="AG1160" i="23"/>
  <c r="AG1161" i="23"/>
  <c r="AG1162" i="23"/>
  <c r="AG1163" i="23"/>
  <c r="AG1164" i="23"/>
  <c r="AG1165" i="23"/>
  <c r="AG1166" i="23"/>
  <c r="AG1167" i="23"/>
  <c r="AG1168" i="23"/>
  <c r="AG1169" i="23"/>
  <c r="AG1170" i="23"/>
  <c r="AG1171" i="23"/>
  <c r="AG1172" i="23"/>
  <c r="AG1173" i="23"/>
  <c r="AG1174" i="23"/>
  <c r="AG1175" i="23"/>
  <c r="AG1176" i="23"/>
  <c r="AG1177" i="23"/>
  <c r="AG1178" i="23"/>
  <c r="AG1179" i="23"/>
  <c r="AG1180" i="23"/>
  <c r="AG1181" i="23"/>
  <c r="AG1182" i="23"/>
  <c r="AG1183" i="23"/>
  <c r="AG1184" i="23"/>
  <c r="AG1185" i="23"/>
  <c r="AG1186" i="23"/>
  <c r="AG1187" i="23"/>
  <c r="AG1188" i="23"/>
  <c r="AG1189" i="23"/>
  <c r="AG1190" i="23"/>
  <c r="AG1191" i="23"/>
  <c r="AG1192" i="23"/>
  <c r="AG1193" i="23"/>
  <c r="AG1194" i="23"/>
  <c r="AG1195" i="23"/>
  <c r="AG1196" i="23"/>
  <c r="AG1197" i="23"/>
  <c r="AG1198" i="23"/>
  <c r="AG1199" i="23"/>
  <c r="AG1200" i="23"/>
  <c r="AG1201" i="23"/>
  <c r="AG1202" i="23"/>
  <c r="AG1203" i="23"/>
  <c r="AG1204" i="23"/>
  <c r="AG1205" i="23"/>
  <c r="AG1206" i="23"/>
  <c r="AG1207" i="23"/>
  <c r="AG1208" i="23"/>
  <c r="AG1209" i="23"/>
  <c r="AG1210" i="23"/>
  <c r="AG1211" i="23"/>
  <c r="AG1212" i="23"/>
  <c r="AG1213" i="23"/>
  <c r="AG1214" i="23"/>
  <c r="AG1215" i="23"/>
  <c r="AG1216" i="23"/>
  <c r="AG1217" i="23"/>
  <c r="AG1218" i="23"/>
  <c r="AG1219" i="23"/>
  <c r="AG1220" i="23"/>
  <c r="AG1221" i="23"/>
  <c r="AG1222" i="23"/>
  <c r="AG1223" i="23"/>
  <c r="AG1224" i="23"/>
  <c r="AG1225" i="23"/>
  <c r="AG1226" i="23"/>
  <c r="AG1227" i="23"/>
  <c r="AG1228" i="23"/>
  <c r="AG1229" i="23"/>
  <c r="AG1230" i="23"/>
  <c r="AG1231" i="23"/>
  <c r="AG1232" i="23"/>
  <c r="AG1233" i="23"/>
  <c r="AG1234" i="23"/>
  <c r="AG1235" i="23"/>
  <c r="AG1236" i="23"/>
  <c r="AG1237" i="23"/>
  <c r="AG1238" i="23"/>
  <c r="AG1239" i="23"/>
  <c r="AG1240" i="23"/>
  <c r="AG1241" i="23"/>
  <c r="AG1242" i="23"/>
  <c r="AG1243" i="23"/>
  <c r="AG1244" i="23"/>
  <c r="AG1245" i="23"/>
  <c r="AG1246" i="23"/>
  <c r="AG1247" i="23"/>
  <c r="AG1248" i="23"/>
  <c r="AG1249" i="23"/>
  <c r="AG1250" i="23"/>
  <c r="AG1251" i="23"/>
  <c r="AG1252" i="23"/>
  <c r="AG1253" i="23"/>
  <c r="AG1254" i="23"/>
  <c r="AG1255" i="23"/>
  <c r="AG1256" i="23"/>
  <c r="AG1257" i="23"/>
  <c r="AG1258" i="23"/>
  <c r="AG1259" i="23"/>
  <c r="AG1260" i="23"/>
  <c r="AG1261" i="23"/>
  <c r="AG1262" i="23"/>
  <c r="AG1263" i="23"/>
  <c r="AG1264" i="23"/>
  <c r="AG1265" i="23"/>
  <c r="AG1266" i="23"/>
  <c r="AG1267" i="23"/>
  <c r="AG1268" i="23"/>
  <c r="AG1269" i="23"/>
  <c r="AG1270" i="23"/>
  <c r="AG1271" i="23"/>
  <c r="AG1272" i="23"/>
  <c r="AG1273" i="23"/>
  <c r="AG1274" i="23"/>
  <c r="AG1275" i="23"/>
  <c r="AG1276" i="23"/>
  <c r="AG1277" i="23"/>
  <c r="AG1278" i="23"/>
  <c r="AG1279" i="23"/>
  <c r="AG1280" i="23"/>
  <c r="AG1281" i="23"/>
  <c r="AG1282" i="23"/>
  <c r="AG1283" i="23"/>
  <c r="AG1284" i="23"/>
  <c r="AG1285" i="23"/>
  <c r="AG1286" i="23"/>
  <c r="AG1287" i="23"/>
  <c r="AG1288" i="23"/>
  <c r="AG1289" i="23"/>
  <c r="AG1290" i="23"/>
  <c r="AG1291" i="23"/>
  <c r="AG1292" i="23"/>
  <c r="AG1293" i="23"/>
  <c r="AG1294" i="23"/>
  <c r="AG1295" i="23"/>
  <c r="AG1296" i="23"/>
  <c r="AG1297" i="23"/>
  <c r="AG1298" i="23"/>
  <c r="AG1299" i="23"/>
  <c r="AG1300" i="23"/>
  <c r="AG1301" i="23"/>
  <c r="AG1302" i="23"/>
  <c r="AG1303" i="23"/>
  <c r="AG1304" i="23"/>
  <c r="AG1305" i="23"/>
  <c r="AG1306" i="23"/>
  <c r="AG1307" i="23"/>
  <c r="AG1308" i="23"/>
  <c r="AG1309" i="23"/>
  <c r="AG1310" i="23"/>
  <c r="AG1311" i="23"/>
  <c r="AG1312" i="23"/>
  <c r="AG1313" i="23"/>
  <c r="AG1314" i="23"/>
  <c r="AG1315" i="23"/>
  <c r="AG1316" i="23"/>
  <c r="AG1317" i="23"/>
  <c r="AG1318" i="23"/>
  <c r="AG1319" i="23"/>
  <c r="AG1320" i="23"/>
  <c r="AG2" i="23"/>
  <c r="B92" i="18" l="1"/>
  <c r="E90" i="18" s="1"/>
  <c r="T13" i="17" s="1"/>
  <c r="B93" i="18"/>
  <c r="C24" i="18"/>
  <c r="D37" i="17" s="1"/>
  <c r="Q37" i="17" s="1"/>
  <c r="C40" i="18"/>
  <c r="D18" i="17" s="1"/>
  <c r="B70" i="18"/>
  <c r="B74" i="18"/>
  <c r="B73" i="18"/>
  <c r="B72" i="18"/>
  <c r="E70" i="18" s="1"/>
  <c r="B71" i="18"/>
  <c r="C34" i="18"/>
  <c r="D6" i="17" s="1"/>
  <c r="C39" i="18"/>
  <c r="C41" i="18"/>
  <c r="C42" i="18"/>
  <c r="B221" i="18"/>
  <c r="B199" i="18"/>
  <c r="B187" i="18"/>
  <c r="E185" i="18" s="1"/>
  <c r="B175" i="18"/>
  <c r="B168" i="18"/>
  <c r="B156" i="18"/>
  <c r="B146" i="18"/>
  <c r="B134" i="18"/>
  <c r="B122" i="18"/>
  <c r="E120" i="18" s="1"/>
  <c r="T45" i="17" s="1"/>
  <c r="B112" i="18"/>
  <c r="E110" i="18" s="1"/>
  <c r="T23" i="17" s="1"/>
  <c r="B101" i="18"/>
  <c r="B94" i="18"/>
  <c r="B82" i="18"/>
  <c r="E80" i="18" s="1"/>
  <c r="T19" i="17" s="1"/>
  <c r="B65" i="18"/>
  <c r="B220" i="18"/>
  <c r="B198" i="18"/>
  <c r="B186" i="18"/>
  <c r="B167" i="18"/>
  <c r="E165" i="18" s="1"/>
  <c r="B155" i="18"/>
  <c r="B145" i="18"/>
  <c r="B133" i="18"/>
  <c r="B121" i="18"/>
  <c r="B111" i="18"/>
  <c r="B100" i="18"/>
  <c r="B81" i="18"/>
  <c r="B59" i="18"/>
  <c r="B219" i="18"/>
  <c r="B209" i="18"/>
  <c r="B197" i="18"/>
  <c r="E195" i="18" s="1"/>
  <c r="B185" i="18"/>
  <c r="B166" i="18"/>
  <c r="B144" i="18"/>
  <c r="B132" i="18"/>
  <c r="E130" i="18" s="1"/>
  <c r="T21" i="17" s="1"/>
  <c r="B120" i="18"/>
  <c r="B110" i="18"/>
  <c r="B99" i="18"/>
  <c r="B80" i="18"/>
  <c r="B58" i="18"/>
  <c r="B218" i="18"/>
  <c r="B208" i="18"/>
  <c r="B196" i="18"/>
  <c r="B184" i="18"/>
  <c r="B165" i="18"/>
  <c r="B143" i="18"/>
  <c r="B131" i="18"/>
  <c r="B98" i="18"/>
  <c r="B91" i="18"/>
  <c r="B79" i="18"/>
  <c r="B57" i="18"/>
  <c r="E55" i="18" s="1"/>
  <c r="T8" i="17" s="1"/>
  <c r="B229" i="18"/>
  <c r="B217" i="18"/>
  <c r="E215" i="18" s="1"/>
  <c r="T6" i="17" s="1"/>
  <c r="B207" i="18"/>
  <c r="E205" i="18" s="1"/>
  <c r="B195" i="18"/>
  <c r="B183" i="18"/>
  <c r="B164" i="18"/>
  <c r="B154" i="18"/>
  <c r="B142" i="18"/>
  <c r="E140" i="18" s="1"/>
  <c r="B130" i="18"/>
  <c r="B119" i="18"/>
  <c r="B109" i="18"/>
  <c r="B97" i="18"/>
  <c r="E95" i="18" s="1"/>
  <c r="B90" i="18"/>
  <c r="B78" i="18"/>
  <c r="B56" i="18"/>
  <c r="B228" i="18"/>
  <c r="B216" i="18"/>
  <c r="B206" i="18"/>
  <c r="B194" i="18"/>
  <c r="B182" i="18"/>
  <c r="E180" i="18" s="1"/>
  <c r="T36" i="17" s="1"/>
  <c r="B163" i="18"/>
  <c r="B153" i="18"/>
  <c r="B141" i="18"/>
  <c r="B129" i="18"/>
  <c r="B118" i="18"/>
  <c r="B108" i="18"/>
  <c r="B96" i="18"/>
  <c r="B89" i="18"/>
  <c r="B77" i="18"/>
  <c r="E75" i="18" s="1"/>
  <c r="T4" i="17" s="1"/>
  <c r="B55" i="18"/>
  <c r="B227" i="18"/>
  <c r="E225" i="18" s="1"/>
  <c r="B215" i="18"/>
  <c r="B205" i="18"/>
  <c r="B193" i="18"/>
  <c r="B181" i="18"/>
  <c r="B174" i="18"/>
  <c r="B162" i="18"/>
  <c r="E160" i="18" s="1"/>
  <c r="B152" i="18"/>
  <c r="E150" i="18" s="1"/>
  <c r="T32" i="17" s="1"/>
  <c r="B140" i="18"/>
  <c r="B128" i="18"/>
  <c r="B117" i="18"/>
  <c r="E115" i="18" s="1"/>
  <c r="T25" i="17" s="1"/>
  <c r="B107" i="18"/>
  <c r="E105" i="18" s="1"/>
  <c r="T27" i="17" s="1"/>
  <c r="B95" i="18"/>
  <c r="B88" i="18"/>
  <c r="B76" i="18"/>
  <c r="B54" i="18"/>
  <c r="B226" i="18"/>
  <c r="B214" i="18"/>
  <c r="B204" i="18"/>
  <c r="B192" i="18"/>
  <c r="E190" i="18" s="1"/>
  <c r="B180" i="18"/>
  <c r="B173" i="18"/>
  <c r="B161" i="18"/>
  <c r="B151" i="18"/>
  <c r="B139" i="18"/>
  <c r="B127" i="18"/>
  <c r="E125" i="18" s="1"/>
  <c r="T22" i="17" s="1"/>
  <c r="B116" i="18"/>
  <c r="B106" i="18"/>
  <c r="B64" i="18"/>
  <c r="B87" i="18"/>
  <c r="E85" i="18" s="1"/>
  <c r="B75" i="18"/>
  <c r="B53" i="18"/>
  <c r="B225" i="18"/>
  <c r="B213" i="18"/>
  <c r="B203" i="18"/>
  <c r="B191" i="18"/>
  <c r="B179" i="18"/>
  <c r="B172" i="18"/>
  <c r="E170" i="18" s="1"/>
  <c r="T28" i="17" s="1"/>
  <c r="B160" i="18"/>
  <c r="B150" i="18"/>
  <c r="B138" i="18"/>
  <c r="B126" i="18"/>
  <c r="B115" i="18"/>
  <c r="B105" i="18"/>
  <c r="B63" i="18"/>
  <c r="B86" i="18"/>
  <c r="B69" i="18"/>
  <c r="B52" i="18"/>
  <c r="E50" i="18" s="1"/>
  <c r="T16" i="17" s="1"/>
  <c r="B224" i="18"/>
  <c r="B212" i="18"/>
  <c r="E210" i="18" s="1"/>
  <c r="B202" i="18"/>
  <c r="E200" i="18" s="1"/>
  <c r="B190" i="18"/>
  <c r="B178" i="18"/>
  <c r="B171" i="18"/>
  <c r="B159" i="18"/>
  <c r="B149" i="18"/>
  <c r="B137" i="18"/>
  <c r="E135" i="18" s="1"/>
  <c r="B125" i="18"/>
  <c r="B104" i="18"/>
  <c r="B62" i="18"/>
  <c r="E60" i="18" s="1"/>
  <c r="T9" i="17" s="1"/>
  <c r="B85" i="18"/>
  <c r="B68" i="18"/>
  <c r="B51" i="18"/>
  <c r="B223" i="18"/>
  <c r="B211" i="18"/>
  <c r="B201" i="18"/>
  <c r="B189" i="18"/>
  <c r="B177" i="18"/>
  <c r="E175" i="18" s="1"/>
  <c r="B170" i="18"/>
  <c r="B158" i="18"/>
  <c r="B148" i="18"/>
  <c r="B136" i="18"/>
  <c r="B124" i="18"/>
  <c r="B114" i="18"/>
  <c r="B103" i="18"/>
  <c r="B61" i="18"/>
  <c r="B84" i="18"/>
  <c r="B67" i="18"/>
  <c r="B50" i="18"/>
  <c r="B222" i="18"/>
  <c r="E220" i="18" s="1"/>
  <c r="B210" i="18"/>
  <c r="B200" i="18"/>
  <c r="B188" i="18"/>
  <c r="B176" i="18"/>
  <c r="B169" i="18"/>
  <c r="B157" i="18"/>
  <c r="E155" i="18" s="1"/>
  <c r="T7" i="17" s="1"/>
  <c r="B147" i="18"/>
  <c r="E145" i="18" s="1"/>
  <c r="T24" i="17" s="1"/>
  <c r="B135" i="18"/>
  <c r="B123" i="18"/>
  <c r="B113" i="18"/>
  <c r="B102" i="18"/>
  <c r="E100" i="18" s="1"/>
  <c r="T38" i="17" s="1"/>
  <c r="B60" i="18"/>
  <c r="B83" i="18"/>
  <c r="B66" i="18"/>
  <c r="C37" i="18"/>
  <c r="D13" i="17" s="1"/>
  <c r="C29" i="18"/>
  <c r="D9" i="17" s="1"/>
  <c r="C30" i="18"/>
  <c r="C31" i="18"/>
  <c r="C32" i="18"/>
  <c r="C36" i="18"/>
  <c r="D4" i="17" s="1"/>
  <c r="T327" i="19"/>
  <c r="U793" i="19"/>
  <c r="T861" i="19"/>
  <c r="T1878" i="19"/>
  <c r="T1956" i="19"/>
  <c r="U809" i="19"/>
  <c r="T1115" i="19"/>
  <c r="T251" i="19"/>
  <c r="T1516" i="19"/>
  <c r="U1170" i="19"/>
  <c r="T826" i="19"/>
  <c r="T1822" i="19"/>
  <c r="U514" i="19"/>
  <c r="T656" i="19"/>
  <c r="T617" i="19"/>
  <c r="U805" i="19"/>
  <c r="U1284" i="19"/>
  <c r="U834" i="19"/>
  <c r="T404" i="19"/>
  <c r="U311" i="19"/>
  <c r="T2022" i="19"/>
  <c r="U548" i="19"/>
  <c r="T719" i="19"/>
  <c r="T582" i="19"/>
  <c r="U904" i="19"/>
  <c r="T742" i="19"/>
  <c r="T715" i="19"/>
  <c r="T722" i="19"/>
  <c r="U607" i="19"/>
  <c r="T888" i="19"/>
  <c r="U783" i="19"/>
  <c r="U1753" i="19"/>
  <c r="U1779" i="19"/>
  <c r="T2032" i="19"/>
  <c r="T1896" i="19"/>
  <c r="U755" i="19"/>
  <c r="U524" i="19"/>
  <c r="U1178" i="19"/>
  <c r="U614" i="19"/>
  <c r="T592" i="19"/>
  <c r="T438" i="19"/>
  <c r="T1938" i="19"/>
  <c r="T818" i="19"/>
  <c r="T1984" i="19"/>
  <c r="T1918" i="19"/>
  <c r="U905" i="19"/>
  <c r="U1300" i="19"/>
  <c r="U488" i="19"/>
  <c r="T1500" i="19"/>
  <c r="U1265" i="19"/>
  <c r="U898" i="19"/>
  <c r="T877" i="19"/>
  <c r="T851" i="19"/>
  <c r="T787" i="19"/>
  <c r="U761" i="19"/>
  <c r="T1968" i="19"/>
  <c r="T1628" i="19"/>
  <c r="T199" i="19"/>
  <c r="T2070" i="19"/>
  <c r="T2056" i="19"/>
  <c r="U1974" i="19"/>
  <c r="T1940" i="19"/>
  <c r="U1926" i="19"/>
  <c r="T1846" i="19"/>
  <c r="T1589" i="19"/>
  <c r="T1550" i="19"/>
  <c r="U1455" i="19"/>
  <c r="U980" i="19"/>
  <c r="U940" i="19"/>
  <c r="T865" i="19"/>
  <c r="U735" i="19"/>
  <c r="U703" i="19"/>
  <c r="U696" i="19"/>
  <c r="T569" i="19"/>
  <c r="T502" i="19"/>
  <c r="U467" i="19"/>
  <c r="T416" i="19"/>
  <c r="T625" i="19"/>
  <c r="U1270" i="19"/>
  <c r="U1010" i="19"/>
  <c r="U803" i="19"/>
  <c r="U731" i="19"/>
  <c r="T639" i="19"/>
  <c r="U594" i="19"/>
  <c r="T520" i="19"/>
  <c r="T2040" i="19"/>
  <c r="T1932" i="19"/>
  <c r="T1864" i="19"/>
  <c r="T1506" i="19"/>
  <c r="T1135" i="19"/>
  <c r="T914" i="19"/>
  <c r="U1251" i="19"/>
  <c r="U745" i="19"/>
  <c r="U685" i="19"/>
  <c r="U531" i="19"/>
  <c r="U421" i="19"/>
  <c r="T267" i="19"/>
  <c r="U2043" i="19"/>
  <c r="T2010" i="19"/>
  <c r="T1886" i="19"/>
  <c r="T1559" i="19"/>
  <c r="U1476" i="19"/>
  <c r="U1368" i="19"/>
  <c r="T1259" i="19"/>
  <c r="T1013" i="19"/>
  <c r="U839" i="19"/>
  <c r="U828" i="19"/>
  <c r="U781" i="19"/>
  <c r="T579" i="19"/>
  <c r="U542" i="19"/>
  <c r="U115" i="19"/>
  <c r="T2061" i="19"/>
  <c r="T2058" i="19"/>
  <c r="U1979" i="19"/>
  <c r="T1950" i="19"/>
  <c r="U1928" i="19"/>
  <c r="U1322" i="19"/>
  <c r="U1182" i="19"/>
  <c r="U126" i="19"/>
  <c r="U938" i="19"/>
  <c r="U1952" i="19"/>
  <c r="U1761" i="19"/>
  <c r="U2060" i="19"/>
  <c r="U2038" i="19"/>
  <c r="U1978" i="19"/>
  <c r="T1930" i="19"/>
  <c r="T1735" i="19"/>
  <c r="T1586" i="19"/>
  <c r="U1452" i="19"/>
  <c r="U1235" i="19"/>
  <c r="U996" i="19"/>
  <c r="U970" i="19"/>
  <c r="T908" i="19"/>
  <c r="U855" i="19"/>
  <c r="U757" i="19"/>
  <c r="T732" i="19"/>
  <c r="U721" i="19"/>
  <c r="T679" i="19"/>
  <c r="U663" i="19"/>
  <c r="U595" i="19"/>
  <c r="T566" i="19"/>
  <c r="T407" i="19"/>
  <c r="U401" i="19"/>
  <c r="U163" i="19"/>
  <c r="T2008" i="19"/>
  <c r="T1828" i="19"/>
  <c r="T837" i="19"/>
  <c r="T739" i="19"/>
  <c r="T479" i="19"/>
  <c r="U429" i="19"/>
  <c r="T291" i="19"/>
  <c r="U410" i="19"/>
  <c r="T410" i="19"/>
  <c r="T966" i="19"/>
  <c r="U966" i="19"/>
  <c r="T148" i="19"/>
  <c r="U148" i="19"/>
  <c r="U1514" i="19"/>
  <c r="T1514" i="19"/>
  <c r="U245" i="19"/>
  <c r="T245" i="19"/>
  <c r="T627" i="19"/>
  <c r="U627" i="19"/>
  <c r="T36" i="19"/>
  <c r="U36" i="19"/>
  <c r="T1873" i="19"/>
  <c r="U1873" i="19"/>
  <c r="T599" i="19"/>
  <c r="U599" i="19"/>
  <c r="T760" i="19"/>
  <c r="U760" i="19"/>
  <c r="T1925" i="19"/>
  <c r="U1925" i="19"/>
  <c r="U1538" i="19"/>
  <c r="T1538" i="19"/>
  <c r="T734" i="19"/>
  <c r="U734" i="19"/>
  <c r="U695" i="19"/>
  <c r="T695" i="19"/>
  <c r="T597" i="19"/>
  <c r="U597" i="19"/>
  <c r="U305" i="19"/>
  <c r="T305" i="19"/>
  <c r="T523" i="19"/>
  <c r="U523" i="19"/>
  <c r="U351" i="19"/>
  <c r="T351" i="19"/>
  <c r="U43" i="19"/>
  <c r="T43" i="19"/>
  <c r="U754" i="19"/>
  <c r="T754" i="19"/>
  <c r="T1366" i="19"/>
  <c r="U1366" i="19"/>
  <c r="T217" i="19"/>
  <c r="U217" i="19"/>
  <c r="T1318" i="19"/>
  <c r="U1318" i="19"/>
  <c r="U899" i="19"/>
  <c r="T899" i="19"/>
  <c r="T1276" i="19"/>
  <c r="U1276" i="19"/>
  <c r="T856" i="19"/>
  <c r="U856" i="19"/>
  <c r="T680" i="19"/>
  <c r="U680" i="19"/>
  <c r="T122" i="19"/>
  <c r="U122" i="19"/>
  <c r="T1713" i="19"/>
  <c r="U1713" i="19"/>
  <c r="T383" i="19"/>
  <c r="U383" i="19"/>
  <c r="T880" i="19"/>
  <c r="U880" i="19"/>
  <c r="T1773" i="19"/>
  <c r="U1773" i="19"/>
  <c r="T1353" i="19"/>
  <c r="U1353" i="19"/>
  <c r="T1301" i="19"/>
  <c r="U1301" i="19"/>
  <c r="T1279" i="19"/>
  <c r="U1279" i="19"/>
  <c r="T118" i="19"/>
  <c r="U118" i="19"/>
  <c r="T394" i="19"/>
  <c r="U283" i="19"/>
  <c r="T242" i="19"/>
  <c r="U183" i="19"/>
  <c r="T2064" i="19"/>
  <c r="T2046" i="19"/>
  <c r="U1946" i="19"/>
  <c r="T1858" i="19"/>
  <c r="U1191" i="19"/>
  <c r="U1188" i="19"/>
  <c r="U1185" i="19"/>
  <c r="U796" i="19"/>
  <c r="T748" i="19"/>
  <c r="T266" i="19"/>
  <c r="T227" i="19"/>
  <c r="U193" i="19"/>
  <c r="T7" i="19"/>
  <c r="T2082" i="19"/>
  <c r="U2067" i="19"/>
  <c r="U2036" i="19"/>
  <c r="U1785" i="19"/>
  <c r="U1465" i="19"/>
  <c r="U1392" i="19"/>
  <c r="U1299" i="19"/>
  <c r="U1296" i="19"/>
  <c r="U1274" i="19"/>
  <c r="T262" i="19"/>
  <c r="U1881" i="19"/>
  <c r="U815" i="19"/>
  <c r="T763" i="19"/>
  <c r="U702" i="19"/>
  <c r="T687" i="19"/>
  <c r="T684" i="19"/>
  <c r="T670" i="19"/>
  <c r="T652" i="19"/>
  <c r="T516" i="19"/>
  <c r="U300" i="19"/>
  <c r="T1157" i="19"/>
  <c r="U972" i="19"/>
  <c r="T844" i="19"/>
  <c r="T789" i="19"/>
  <c r="T692" i="19"/>
  <c r="T690" i="19"/>
  <c r="T492" i="19"/>
  <c r="U827" i="19"/>
  <c r="U769" i="19"/>
  <c r="U616" i="19"/>
  <c r="T279" i="19"/>
  <c r="U244" i="19"/>
  <c r="T906" i="19"/>
  <c r="U853" i="19"/>
  <c r="U830" i="19"/>
  <c r="U817" i="19"/>
  <c r="U750" i="19"/>
  <c r="T698" i="19"/>
  <c r="U606" i="19"/>
  <c r="U550" i="19"/>
  <c r="U512" i="19"/>
  <c r="T505" i="19"/>
  <c r="U469" i="19"/>
  <c r="U317" i="19"/>
  <c r="U2002" i="19"/>
  <c r="U1914" i="19"/>
  <c r="T1870" i="19"/>
  <c r="T1439" i="19"/>
  <c r="U1273" i="19"/>
  <c r="U1004" i="19"/>
  <c r="T883" i="19"/>
  <c r="U717" i="19"/>
  <c r="U710" i="19"/>
  <c r="T701" i="19"/>
  <c r="T675" i="19"/>
  <c r="T651" i="19"/>
  <c r="U596" i="19"/>
  <c r="U583" i="19"/>
  <c r="U570" i="19"/>
  <c r="T560" i="19"/>
  <c r="U389" i="19"/>
  <c r="T261" i="19"/>
  <c r="U151" i="19"/>
  <c r="U102" i="19"/>
  <c r="U1962" i="19"/>
  <c r="U1998" i="19"/>
  <c r="T1944" i="19"/>
  <c r="U1934" i="19"/>
  <c r="U1902" i="19"/>
  <c r="T1880" i="19"/>
  <c r="T1852" i="19"/>
  <c r="T1622" i="19"/>
  <c r="U1320" i="19"/>
  <c r="U1166" i="19"/>
  <c r="T1145" i="19"/>
  <c r="U833" i="19"/>
  <c r="U807" i="19"/>
  <c r="U804" i="19"/>
  <c r="U1197" i="19"/>
  <c r="U618" i="19"/>
  <c r="U580" i="19"/>
  <c r="T573" i="19"/>
  <c r="U518" i="19"/>
  <c r="U498" i="19"/>
  <c r="T432" i="19"/>
  <c r="T299" i="19"/>
  <c r="T84" i="19"/>
  <c r="T2080" i="19"/>
  <c r="T2037" i="19"/>
  <c r="T2034" i="19"/>
  <c r="T2019" i="19"/>
  <c r="T2016" i="19"/>
  <c r="U1937" i="19"/>
  <c r="T1759" i="19"/>
  <c r="U1737" i="19"/>
  <c r="U1705" i="19"/>
  <c r="T1610" i="19"/>
  <c r="U1342" i="19"/>
  <c r="U1680" i="19"/>
  <c r="U1269" i="19"/>
  <c r="U1169" i="19"/>
  <c r="T1141" i="19"/>
  <c r="U918" i="19"/>
  <c r="T876" i="19"/>
  <c r="U846" i="19"/>
  <c r="U736" i="19"/>
  <c r="U586" i="19"/>
  <c r="T556" i="19"/>
  <c r="U494" i="19"/>
  <c r="T371" i="19"/>
  <c r="T161" i="19"/>
  <c r="T2051" i="19"/>
  <c r="U2051" i="19"/>
  <c r="T1783" i="19"/>
  <c r="U1783" i="19"/>
  <c r="T1489" i="19"/>
  <c r="U1489" i="19"/>
  <c r="T1272" i="19"/>
  <c r="U1272" i="19"/>
  <c r="T1224" i="19"/>
  <c r="U1224" i="19"/>
  <c r="T928" i="19"/>
  <c r="U928" i="19"/>
  <c r="T2027" i="19"/>
  <c r="U2027" i="19"/>
  <c r="T1629" i="19"/>
  <c r="U1629" i="19"/>
  <c r="T1665" i="19"/>
  <c r="U1665" i="19"/>
  <c r="U1598" i="19"/>
  <c r="T1598" i="19"/>
  <c r="T1961" i="19"/>
  <c r="U1961" i="19"/>
  <c r="T1901" i="19"/>
  <c r="U1901" i="19"/>
  <c r="T942" i="19"/>
  <c r="U942" i="19"/>
  <c r="U1127" i="19"/>
  <c r="T1127" i="19"/>
  <c r="T2075" i="19"/>
  <c r="U2075" i="19"/>
  <c r="T1997" i="19"/>
  <c r="U1997" i="19"/>
  <c r="T1729" i="19"/>
  <c r="U1729" i="19"/>
  <c r="T1358" i="19"/>
  <c r="U1358" i="19"/>
  <c r="T1787" i="19"/>
  <c r="U1787" i="19"/>
  <c r="U1989" i="19"/>
  <c r="T1989" i="19"/>
  <c r="T1985" i="19"/>
  <c r="U1985" i="19"/>
  <c r="T1789" i="19"/>
  <c r="U1789" i="19"/>
  <c r="U1536" i="19"/>
  <c r="T1536" i="19"/>
  <c r="T2021" i="19"/>
  <c r="U2021" i="19"/>
  <c r="T1364" i="19"/>
  <c r="U1364" i="19"/>
  <c r="T1280" i="19"/>
  <c r="U1280" i="19"/>
  <c r="T1277" i="19"/>
  <c r="U1277" i="19"/>
  <c r="T1973" i="19"/>
  <c r="U1973" i="19"/>
  <c r="T1913" i="19"/>
  <c r="U1913" i="19"/>
  <c r="T2003" i="19"/>
  <c r="U2003" i="19"/>
  <c r="T1949" i="19"/>
  <c r="U1949" i="19"/>
  <c r="T1781" i="19"/>
  <c r="U1781" i="19"/>
  <c r="T1689" i="19"/>
  <c r="U1689" i="19"/>
  <c r="U1568" i="19"/>
  <c r="T1568" i="19"/>
  <c r="T1334" i="19"/>
  <c r="U1334" i="19"/>
  <c r="T1315" i="19"/>
  <c r="U1315" i="19"/>
  <c r="T2045" i="19"/>
  <c r="U2045" i="19"/>
  <c r="U1139" i="19"/>
  <c r="T1139" i="19"/>
  <c r="U1103" i="19"/>
  <c r="T1103" i="19"/>
  <c r="T1428" i="19"/>
  <c r="U1428" i="19"/>
  <c r="T2009" i="19"/>
  <c r="U2009" i="19"/>
  <c r="T1777" i="19"/>
  <c r="U1777" i="19"/>
  <c r="U1545" i="19"/>
  <c r="T1545" i="19"/>
  <c r="U1528" i="19"/>
  <c r="T1528" i="19"/>
  <c r="T1417" i="19"/>
  <c r="U1417" i="19"/>
  <c r="T1267" i="19"/>
  <c r="U1267" i="19"/>
  <c r="T2069" i="19"/>
  <c r="U2069" i="19"/>
  <c r="U1560" i="19"/>
  <c r="T1560" i="19"/>
  <c r="T1995" i="19"/>
  <c r="U1995" i="19"/>
  <c r="T1749" i="19"/>
  <c r="U1749" i="19"/>
  <c r="T1633" i="19"/>
  <c r="U1633" i="19"/>
  <c r="T1295" i="19"/>
  <c r="U1295" i="19"/>
  <c r="T1177" i="19"/>
  <c r="U1177" i="19"/>
  <c r="U1532" i="19"/>
  <c r="T1532" i="19"/>
  <c r="U1463" i="19"/>
  <c r="T1463" i="19"/>
  <c r="T1282" i="19"/>
  <c r="U1282" i="19"/>
  <c r="T944" i="19"/>
  <c r="U944" i="19"/>
  <c r="U889" i="19"/>
  <c r="T889" i="19"/>
  <c r="U802" i="19"/>
  <c r="T802" i="19"/>
  <c r="T741" i="19"/>
  <c r="U741" i="19"/>
  <c r="T708" i="19"/>
  <c r="U708" i="19"/>
  <c r="U653" i="19"/>
  <c r="T653" i="19"/>
  <c r="U288" i="19"/>
  <c r="T288" i="19"/>
  <c r="T2013" i="19"/>
  <c r="U1677" i="19"/>
  <c r="T1653" i="19"/>
  <c r="U1653" i="19"/>
  <c r="U1619" i="19"/>
  <c r="T1619" i="19"/>
  <c r="T1534" i="19"/>
  <c r="T1522" i="19"/>
  <c r="U1504" i="19"/>
  <c r="T1504" i="19"/>
  <c r="T1332" i="19"/>
  <c r="U1332" i="19"/>
  <c r="U1310" i="19"/>
  <c r="U1290" i="19"/>
  <c r="U1262" i="19"/>
  <c r="T1175" i="19"/>
  <c r="U1175" i="19"/>
  <c r="U946" i="19"/>
  <c r="T934" i="19"/>
  <c r="U934" i="19"/>
  <c r="U930" i="19"/>
  <c r="T868" i="19"/>
  <c r="T585" i="19"/>
  <c r="U585" i="19"/>
  <c r="T549" i="19"/>
  <c r="U549" i="19"/>
  <c r="T962" i="19"/>
  <c r="U962" i="19"/>
  <c r="T785" i="19"/>
  <c r="U785" i="19"/>
  <c r="U1487" i="19"/>
  <c r="T1487" i="19"/>
  <c r="T1381" i="19"/>
  <c r="U1381" i="19"/>
  <c r="T1287" i="19"/>
  <c r="U1287" i="19"/>
  <c r="T1207" i="19"/>
  <c r="U1207" i="19"/>
  <c r="T1181" i="19"/>
  <c r="U1181" i="19"/>
  <c r="T978" i="19"/>
  <c r="U978" i="19"/>
  <c r="T924" i="19"/>
  <c r="U924" i="19"/>
  <c r="U778" i="19"/>
  <c r="T778" i="19"/>
  <c r="T714" i="19"/>
  <c r="U714" i="19"/>
  <c r="U707" i="19"/>
  <c r="T707" i="19"/>
  <c r="T610" i="19"/>
  <c r="U610" i="19"/>
  <c r="U603" i="19"/>
  <c r="T603" i="19"/>
  <c r="T551" i="19"/>
  <c r="U551" i="19"/>
  <c r="T527" i="19"/>
  <c r="U527" i="19"/>
  <c r="T90" i="19"/>
  <c r="U90" i="19"/>
  <c r="U55" i="19"/>
  <c r="T55" i="19"/>
  <c r="T1357" i="19"/>
  <c r="U1357" i="19"/>
  <c r="T737" i="19"/>
  <c r="U737" i="19"/>
  <c r="T1992" i="19"/>
  <c r="T1986" i="19"/>
  <c r="U1964" i="19"/>
  <c r="T1908" i="19"/>
  <c r="T1834" i="19"/>
  <c r="T1700" i="19"/>
  <c r="T1575" i="19"/>
  <c r="T1530" i="19"/>
  <c r="U1518" i="19"/>
  <c r="T1518" i="19"/>
  <c r="U1306" i="19"/>
  <c r="U1281" i="19"/>
  <c r="U1264" i="19"/>
  <c r="T1231" i="19"/>
  <c r="U1231" i="19"/>
  <c r="U1200" i="19"/>
  <c r="U1171" i="19"/>
  <c r="T974" i="19"/>
  <c r="U974" i="19"/>
  <c r="U958" i="19"/>
  <c r="T936" i="19"/>
  <c r="U936" i="19"/>
  <c r="U926" i="19"/>
  <c r="T858" i="19"/>
  <c r="U858" i="19"/>
  <c r="T829" i="19"/>
  <c r="U829" i="19"/>
  <c r="U791" i="19"/>
  <c r="T791" i="19"/>
  <c r="U665" i="19"/>
  <c r="U555" i="19"/>
  <c r="T555" i="19"/>
  <c r="T493" i="19"/>
  <c r="U493" i="19"/>
  <c r="U318" i="19"/>
  <c r="T318" i="19"/>
  <c r="U1583" i="19"/>
  <c r="T1583" i="19"/>
  <c r="T1304" i="19"/>
  <c r="U1304" i="19"/>
  <c r="U2084" i="19"/>
  <c r="T2078" i="19"/>
  <c r="T2054" i="19"/>
  <c r="T2030" i="19"/>
  <c r="U1958" i="19"/>
  <c r="T1942" i="19"/>
  <c r="T1888" i="19"/>
  <c r="T1652" i="19"/>
  <c r="T1563" i="19"/>
  <c r="T1524" i="19"/>
  <c r="U1492" i="19"/>
  <c r="U1416" i="19"/>
  <c r="T1405" i="19"/>
  <c r="U1405" i="19"/>
  <c r="T1356" i="19"/>
  <c r="U1356" i="19"/>
  <c r="T1340" i="19"/>
  <c r="U1340" i="19"/>
  <c r="T1309" i="19"/>
  <c r="U1309" i="19"/>
  <c r="U1247" i="19"/>
  <c r="U1203" i="19"/>
  <c r="U1174" i="19"/>
  <c r="U964" i="19"/>
  <c r="T920" i="19"/>
  <c r="U920" i="19"/>
  <c r="U813" i="19"/>
  <c r="T813" i="19"/>
  <c r="U746" i="19"/>
  <c r="T746" i="19"/>
  <c r="T726" i="19"/>
  <c r="U726" i="19"/>
  <c r="U619" i="19"/>
  <c r="T619" i="19"/>
  <c r="T558" i="19"/>
  <c r="U558" i="19"/>
  <c r="U482" i="19"/>
  <c r="T482" i="19"/>
  <c r="U384" i="19"/>
  <c r="T384" i="19"/>
  <c r="U294" i="19"/>
  <c r="T294" i="19"/>
  <c r="T1328" i="19"/>
  <c r="U1328" i="19"/>
  <c r="T852" i="19"/>
  <c r="U852" i="19"/>
  <c r="U19" i="19"/>
  <c r="T19" i="19"/>
  <c r="U2012" i="19"/>
  <c r="T1920" i="19"/>
  <c r="U1904" i="19"/>
  <c r="T1840" i="19"/>
  <c r="U1641" i="19"/>
  <c r="T1581" i="19"/>
  <c r="T1557" i="19"/>
  <c r="T1721" i="19"/>
  <c r="U1512" i="19"/>
  <c r="T1512" i="19"/>
  <c r="U1502" i="19"/>
  <c r="T1502" i="19"/>
  <c r="U1339" i="19"/>
  <c r="T1330" i="19"/>
  <c r="U1330" i="19"/>
  <c r="U1321" i="19"/>
  <c r="U1289" i="19"/>
  <c r="U1275" i="19"/>
  <c r="U1111" i="19"/>
  <c r="T1111" i="19"/>
  <c r="T932" i="19"/>
  <c r="U932" i="19"/>
  <c r="U916" i="19"/>
  <c r="U884" i="19"/>
  <c r="T884" i="19"/>
  <c r="T875" i="19"/>
  <c r="U875" i="19"/>
  <c r="U842" i="19"/>
  <c r="T842" i="19"/>
  <c r="T832" i="19"/>
  <c r="U832" i="19"/>
  <c r="T806" i="19"/>
  <c r="U806" i="19"/>
  <c r="T1441" i="19"/>
  <c r="U1441" i="19"/>
  <c r="T1375" i="19"/>
  <c r="U1375" i="19"/>
  <c r="T659" i="19"/>
  <c r="U659" i="19"/>
  <c r="T2006" i="19"/>
  <c r="U1970" i="19"/>
  <c r="T1954" i="19"/>
  <c r="U1898" i="19"/>
  <c r="T1872" i="19"/>
  <c r="T1508" i="19"/>
  <c r="U1380" i="19"/>
  <c r="T1292" i="19"/>
  <c r="U1292" i="19"/>
  <c r="U1286" i="19"/>
  <c r="U1254" i="19"/>
  <c r="T976" i="19"/>
  <c r="U976" i="19"/>
  <c r="T922" i="19"/>
  <c r="U922" i="19"/>
  <c r="T822" i="19"/>
  <c r="U822" i="19"/>
  <c r="U790" i="19"/>
  <c r="T790" i="19"/>
  <c r="U786" i="19"/>
  <c r="T774" i="19"/>
  <c r="U774" i="19"/>
  <c r="T758" i="19"/>
  <c r="U758" i="19"/>
  <c r="U712" i="19"/>
  <c r="T688" i="19"/>
  <c r="U688" i="19"/>
  <c r="T674" i="19"/>
  <c r="U647" i="19"/>
  <c r="T647" i="19"/>
  <c r="T1316" i="19"/>
  <c r="U1316" i="19"/>
  <c r="U631" i="19"/>
  <c r="T631" i="19"/>
  <c r="T511" i="19"/>
  <c r="U511" i="19"/>
  <c r="U2074" i="19"/>
  <c r="U2062" i="19"/>
  <c r="U2050" i="19"/>
  <c r="U2026" i="19"/>
  <c r="U1988" i="19"/>
  <c r="U1916" i="19"/>
  <c r="T1303" i="19"/>
  <c r="U1303" i="19"/>
  <c r="U1294" i="19"/>
  <c r="U1291" i="19"/>
  <c r="U1266" i="19"/>
  <c r="T1261" i="19"/>
  <c r="U1261" i="19"/>
  <c r="U1167" i="19"/>
  <c r="T1016" i="19"/>
  <c r="U1016" i="19"/>
  <c r="T988" i="19"/>
  <c r="U988" i="19"/>
  <c r="T948" i="19"/>
  <c r="U948" i="19"/>
  <c r="T910" i="19"/>
  <c r="U910" i="19"/>
  <c r="U886" i="19"/>
  <c r="T881" i="19"/>
  <c r="U881" i="19"/>
  <c r="U808" i="19"/>
  <c r="T808" i="19"/>
  <c r="T509" i="19"/>
  <c r="U509" i="19"/>
  <c r="U411" i="19"/>
  <c r="T411" i="19"/>
  <c r="T604" i="19"/>
  <c r="U604" i="19"/>
  <c r="U2020" i="19"/>
  <c r="U2014" i="19"/>
  <c r="T1982" i="19"/>
  <c r="T1966" i="19"/>
  <c r="U1910" i="19"/>
  <c r="T1894" i="19"/>
  <c r="U1865" i="19"/>
  <c r="T1748" i="19"/>
  <c r="U1725" i="19"/>
  <c r="U1681" i="19"/>
  <c r="U1657" i="19"/>
  <c r="T1574" i="19"/>
  <c r="T1571" i="19"/>
  <c r="T1565" i="19"/>
  <c r="T1562" i="19"/>
  <c r="T1477" i="19"/>
  <c r="U1466" i="19"/>
  <c r="U1453" i="19"/>
  <c r="T1453" i="19"/>
  <c r="U1442" i="19"/>
  <c r="U1404" i="19"/>
  <c r="U1393" i="19"/>
  <c r="T1352" i="19"/>
  <c r="U1352" i="19"/>
  <c r="U1305" i="19"/>
  <c r="T1297" i="19"/>
  <c r="U1297" i="19"/>
  <c r="T1263" i="19"/>
  <c r="U1263" i="19"/>
  <c r="T1212" i="19"/>
  <c r="U1212" i="19"/>
  <c r="U1173" i="19"/>
  <c r="T1096" i="19"/>
  <c r="T960" i="19"/>
  <c r="U960" i="19"/>
  <c r="U897" i="19"/>
  <c r="T897" i="19"/>
  <c r="U874" i="19"/>
  <c r="T874" i="19"/>
  <c r="T870" i="19"/>
  <c r="U870" i="19"/>
  <c r="U866" i="19"/>
  <c r="T866" i="19"/>
  <c r="T724" i="19"/>
  <c r="U724" i="19"/>
  <c r="T718" i="19"/>
  <c r="U491" i="19"/>
  <c r="U1553" i="19"/>
  <c r="T1553" i="19"/>
  <c r="T1369" i="19"/>
  <c r="U1369" i="19"/>
  <c r="T1333" i="19"/>
  <c r="U1333" i="19"/>
  <c r="T1219" i="19"/>
  <c r="U1219" i="19"/>
  <c r="T1195" i="19"/>
  <c r="U1195" i="19"/>
  <c r="U559" i="19"/>
  <c r="U446" i="19"/>
  <c r="T446" i="19"/>
  <c r="U1547" i="19"/>
  <c r="T1547" i="19"/>
  <c r="T1354" i="19"/>
  <c r="U1354" i="19"/>
  <c r="T1183" i="19"/>
  <c r="U1183" i="19"/>
  <c r="T954" i="19"/>
  <c r="U954" i="19"/>
  <c r="T950" i="19"/>
  <c r="U950" i="19"/>
  <c r="T798" i="19"/>
  <c r="U798" i="19"/>
  <c r="U1996" i="19"/>
  <c r="U1990" i="19"/>
  <c r="U1922" i="19"/>
  <c r="T1906" i="19"/>
  <c r="T1711" i="19"/>
  <c r="U1701" i="19"/>
  <c r="T1544" i="19"/>
  <c r="U1520" i="19"/>
  <c r="T1520" i="19"/>
  <c r="U1510" i="19"/>
  <c r="T1510" i="19"/>
  <c r="U1344" i="19"/>
  <c r="T1302" i="19"/>
  <c r="U1302" i="19"/>
  <c r="U1285" i="19"/>
  <c r="U1271" i="19"/>
  <c r="T1260" i="19"/>
  <c r="U1260" i="19"/>
  <c r="T1242" i="19"/>
  <c r="U1242" i="19"/>
  <c r="T1163" i="19"/>
  <c r="T1146" i="19"/>
  <c r="U912" i="19"/>
  <c r="T903" i="19"/>
  <c r="U903" i="19"/>
  <c r="U863" i="19"/>
  <c r="T863" i="19"/>
  <c r="U811" i="19"/>
  <c r="T811" i="19"/>
  <c r="U779" i="19"/>
  <c r="U766" i="19"/>
  <c r="T766" i="19"/>
  <c r="U738" i="19"/>
  <c r="T738" i="19"/>
  <c r="U575" i="19"/>
  <c r="U508" i="19"/>
  <c r="T508" i="19"/>
  <c r="T1577" i="19"/>
  <c r="T1569" i="19"/>
  <c r="T1556" i="19"/>
  <c r="T1548" i="19"/>
  <c r="U1370" i="19"/>
  <c r="U624" i="19"/>
  <c r="U1346" i="19"/>
  <c r="U1308" i="19"/>
  <c r="U1298" i="19"/>
  <c r="U1293" i="19"/>
  <c r="U1288" i="19"/>
  <c r="U1283" i="19"/>
  <c r="U1278" i="19"/>
  <c r="T725" i="19"/>
  <c r="U725" i="19"/>
  <c r="U623" i="19"/>
  <c r="T623" i="19"/>
  <c r="T537" i="19"/>
  <c r="U537" i="19"/>
  <c r="U462" i="19"/>
  <c r="T462" i="19"/>
  <c r="U360" i="19"/>
  <c r="T360" i="19"/>
  <c r="T331" i="19"/>
  <c r="U331" i="19"/>
  <c r="U312" i="19"/>
  <c r="T312" i="19"/>
  <c r="U221" i="19"/>
  <c r="T221" i="19"/>
  <c r="T1268" i="19"/>
  <c r="U1268" i="19"/>
  <c r="T952" i="19"/>
  <c r="U952" i="19"/>
  <c r="T831" i="19"/>
  <c r="U831" i="19"/>
  <c r="T713" i="19"/>
  <c r="U713" i="19"/>
  <c r="U501" i="19"/>
  <c r="T501" i="19"/>
  <c r="U414" i="19"/>
  <c r="T414" i="19"/>
  <c r="U381" i="19"/>
  <c r="T381" i="19"/>
  <c r="T323" i="19"/>
  <c r="U323" i="19"/>
  <c r="T194" i="19"/>
  <c r="U194" i="19"/>
  <c r="U73" i="19"/>
  <c r="T73" i="19"/>
  <c r="U67" i="19"/>
  <c r="T67" i="19"/>
  <c r="U31" i="19"/>
  <c r="T31" i="19"/>
  <c r="U968" i="19"/>
  <c r="U859" i="19"/>
  <c r="T859" i="19"/>
  <c r="U841" i="19"/>
  <c r="T835" i="19"/>
  <c r="U691" i="19"/>
  <c r="U676" i="19"/>
  <c r="U635" i="19"/>
  <c r="U581" i="19"/>
  <c r="T536" i="19"/>
  <c r="U464" i="19"/>
  <c r="T464" i="19"/>
  <c r="T256" i="19"/>
  <c r="U256" i="19"/>
  <c r="T238" i="19"/>
  <c r="U238" i="19"/>
  <c r="T218" i="19"/>
  <c r="U218" i="19"/>
  <c r="T83" i="19"/>
  <c r="U83" i="19"/>
  <c r="U1014" i="19"/>
  <c r="T900" i="19"/>
  <c r="T794" i="19"/>
  <c r="U780" i="19"/>
  <c r="U762" i="19"/>
  <c r="T733" i="19"/>
  <c r="T730" i="19"/>
  <c r="T694" i="19"/>
  <c r="U689" i="19"/>
  <c r="U662" i="19"/>
  <c r="T662" i="19"/>
  <c r="T609" i="19"/>
  <c r="U609" i="19"/>
  <c r="U590" i="19"/>
  <c r="T571" i="19"/>
  <c r="U571" i="19"/>
  <c r="T562" i="19"/>
  <c r="U562" i="19"/>
  <c r="U539" i="19"/>
  <c r="T530" i="19"/>
  <c r="U530" i="19"/>
  <c r="T526" i="19"/>
  <c r="U526" i="19"/>
  <c r="U519" i="19"/>
  <c r="T503" i="19"/>
  <c r="U503" i="19"/>
  <c r="T497" i="19"/>
  <c r="T473" i="19"/>
  <c r="U463" i="19"/>
  <c r="T336" i="19"/>
  <c r="U79" i="19"/>
  <c r="T79" i="19"/>
  <c r="T850" i="19"/>
  <c r="T765" i="19"/>
  <c r="T686" i="19"/>
  <c r="T658" i="19"/>
  <c r="U584" i="19"/>
  <c r="T584" i="19"/>
  <c r="U568" i="19"/>
  <c r="T510" i="19"/>
  <c r="U510" i="19"/>
  <c r="U470" i="19"/>
  <c r="T470" i="19"/>
  <c r="T431" i="19"/>
  <c r="T399" i="19"/>
  <c r="U399" i="19"/>
  <c r="U395" i="19"/>
  <c r="T329" i="19"/>
  <c r="U329" i="19"/>
  <c r="U174" i="19"/>
  <c r="T146" i="19"/>
  <c r="U146" i="19"/>
  <c r="U89" i="19"/>
  <c r="T89" i="19"/>
  <c r="U893" i="19"/>
  <c r="U882" i="19"/>
  <c r="T820" i="19"/>
  <c r="U756" i="19"/>
  <c r="U605" i="19"/>
  <c r="T325" i="19"/>
  <c r="U325" i="19"/>
  <c r="T281" i="19"/>
  <c r="U792" i="19"/>
  <c r="T792" i="19"/>
  <c r="T213" i="19"/>
  <c r="U213" i="19"/>
  <c r="T159" i="19"/>
  <c r="U159" i="19"/>
  <c r="T782" i="19"/>
  <c r="U782" i="19"/>
  <c r="T770" i="19"/>
  <c r="U593" i="19"/>
  <c r="T593" i="19"/>
  <c r="T535" i="19"/>
  <c r="U535" i="19"/>
  <c r="T515" i="19"/>
  <c r="U499" i="19"/>
  <c r="T487" i="19"/>
  <c r="U487" i="19"/>
  <c r="U375" i="19"/>
  <c r="T375" i="19"/>
  <c r="T347" i="19"/>
  <c r="U347" i="19"/>
  <c r="T60" i="19"/>
  <c r="U60" i="19"/>
  <c r="T711" i="19"/>
  <c r="U711" i="19"/>
  <c r="U699" i="19"/>
  <c r="T699" i="19"/>
  <c r="U664" i="19"/>
  <c r="T664" i="19"/>
  <c r="U532" i="19"/>
  <c r="T532" i="19"/>
  <c r="U292" i="19"/>
  <c r="T292" i="19"/>
  <c r="T184" i="19"/>
  <c r="U184" i="19"/>
  <c r="T170" i="19"/>
  <c r="U170" i="19"/>
  <c r="T137" i="19"/>
  <c r="U137" i="19"/>
  <c r="T188" i="19"/>
  <c r="U188" i="19"/>
  <c r="T24" i="19"/>
  <c r="U24" i="19"/>
  <c r="U810" i="19"/>
  <c r="T784" i="19"/>
  <c r="U643" i="19"/>
  <c r="T557" i="19"/>
  <c r="U557" i="19"/>
  <c r="T538" i="19"/>
  <c r="U538" i="19"/>
  <c r="T377" i="19"/>
  <c r="U377" i="19"/>
  <c r="U112" i="19"/>
  <c r="T112" i="19"/>
  <c r="T78" i="19"/>
  <c r="U78" i="19"/>
  <c r="U572" i="19"/>
  <c r="U561" i="19"/>
  <c r="U525" i="19"/>
  <c r="U504" i="19"/>
  <c r="T485" i="19"/>
  <c r="T439" i="19"/>
  <c r="T388" i="19"/>
  <c r="T273" i="19"/>
  <c r="U91" i="19"/>
  <c r="U759" i="19"/>
  <c r="T709" i="19"/>
  <c r="T668" i="19"/>
  <c r="T544" i="19"/>
  <c r="U490" i="19"/>
  <c r="T481" i="19"/>
  <c r="T451" i="19"/>
  <c r="U445" i="19"/>
  <c r="T382" i="19"/>
  <c r="U353" i="19"/>
  <c r="T298" i="19"/>
  <c r="T280" i="19"/>
  <c r="U232" i="19"/>
  <c r="U176" i="19"/>
  <c r="U173" i="19"/>
  <c r="T390" i="19"/>
  <c r="T366" i="19"/>
  <c r="U341" i="19"/>
  <c r="U307" i="19"/>
  <c r="T275" i="19"/>
  <c r="T269" i="19"/>
  <c r="T260" i="19"/>
  <c r="U208" i="19"/>
  <c r="U198" i="19"/>
  <c r="T103" i="19"/>
  <c r="U48" i="19"/>
  <c r="U12" i="19"/>
  <c r="T387" i="19"/>
  <c r="T272" i="19"/>
  <c r="U349" i="19"/>
  <c r="T333" i="19"/>
  <c r="U274" i="19"/>
  <c r="U268" i="19"/>
  <c r="T191" i="19"/>
  <c r="T342" i="19"/>
  <c r="U293" i="19"/>
  <c r="U287" i="19"/>
  <c r="T236" i="19"/>
  <c r="T139" i="19"/>
  <c r="T2083" i="19"/>
  <c r="U2083" i="19"/>
  <c r="T2059" i="19"/>
  <c r="U2059" i="19"/>
  <c r="T2035" i="19"/>
  <c r="U2035" i="19"/>
  <c r="T1935" i="19"/>
  <c r="U1935" i="19"/>
  <c r="T1919" i="19"/>
  <c r="U1919" i="19"/>
  <c r="T2011" i="19"/>
  <c r="U2011" i="19"/>
  <c r="T2005" i="19"/>
  <c r="U2005" i="19"/>
  <c r="T1969" i="19"/>
  <c r="U1969" i="19"/>
  <c r="T1953" i="19"/>
  <c r="U1953" i="19"/>
  <c r="T1897" i="19"/>
  <c r="U1897" i="19"/>
  <c r="T1947" i="19"/>
  <c r="U1947" i="19"/>
  <c r="T1931" i="19"/>
  <c r="U1931" i="19"/>
  <c r="T2073" i="19"/>
  <c r="U2073" i="19"/>
  <c r="T2049" i="19"/>
  <c r="U2049" i="19"/>
  <c r="T2025" i="19"/>
  <c r="U2025" i="19"/>
  <c r="T1987" i="19"/>
  <c r="U1987" i="19"/>
  <c r="T1981" i="19"/>
  <c r="U1981" i="19"/>
  <c r="T1965" i="19"/>
  <c r="U1965" i="19"/>
  <c r="T1909" i="19"/>
  <c r="U1909" i="19"/>
  <c r="T1893" i="19"/>
  <c r="U1893" i="19"/>
  <c r="T2079" i="19"/>
  <c r="U2079" i="19"/>
  <c r="T2055" i="19"/>
  <c r="U2055" i="19"/>
  <c r="T2031" i="19"/>
  <c r="U2031" i="19"/>
  <c r="T1959" i="19"/>
  <c r="U1959" i="19"/>
  <c r="T1943" i="19"/>
  <c r="U1943" i="19"/>
  <c r="T1889" i="19"/>
  <c r="U1889" i="19"/>
  <c r="T2001" i="19"/>
  <c r="U2001" i="19"/>
  <c r="T1921" i="19"/>
  <c r="U1921" i="19"/>
  <c r="T1905" i="19"/>
  <c r="U1905" i="19"/>
  <c r="T2007" i="19"/>
  <c r="U2007" i="19"/>
  <c r="T1971" i="19"/>
  <c r="U1971" i="19"/>
  <c r="T1955" i="19"/>
  <c r="U1955" i="19"/>
  <c r="T1899" i="19"/>
  <c r="U1899" i="19"/>
  <c r="T2063" i="19"/>
  <c r="U2063" i="19"/>
  <c r="T2039" i="19"/>
  <c r="U2039" i="19"/>
  <c r="T1977" i="19"/>
  <c r="U1977" i="19"/>
  <c r="T1933" i="19"/>
  <c r="U1933" i="19"/>
  <c r="T1917" i="19"/>
  <c r="U1917" i="19"/>
  <c r="T2015" i="19"/>
  <c r="U2015" i="19"/>
  <c r="T1983" i="19"/>
  <c r="U1983" i="19"/>
  <c r="T1967" i="19"/>
  <c r="U1967" i="19"/>
  <c r="T1911" i="19"/>
  <c r="U1911" i="19"/>
  <c r="T1895" i="19"/>
  <c r="U1895" i="19"/>
  <c r="T1945" i="19"/>
  <c r="U1945" i="19"/>
  <c r="T1929" i="19"/>
  <c r="U1929" i="19"/>
  <c r="T1991" i="19"/>
  <c r="U1991" i="19"/>
  <c r="T1923" i="19"/>
  <c r="U1923" i="19"/>
  <c r="T1907" i="19"/>
  <c r="U1907" i="19"/>
  <c r="T2077" i="19"/>
  <c r="U2077" i="19"/>
  <c r="T2053" i="19"/>
  <c r="U2053" i="19"/>
  <c r="T2029" i="19"/>
  <c r="U2029" i="19"/>
  <c r="T1957" i="19"/>
  <c r="U1957" i="19"/>
  <c r="T1941" i="19"/>
  <c r="U1941" i="19"/>
  <c r="T1765" i="19"/>
  <c r="U1765" i="19"/>
  <c r="U1658" i="19"/>
  <c r="T1658" i="19"/>
  <c r="T1218" i="19"/>
  <c r="U1218" i="19"/>
  <c r="U2071" i="19"/>
  <c r="U2047" i="19"/>
  <c r="U2023" i="19"/>
  <c r="U1999" i="19"/>
  <c r="U1975" i="19"/>
  <c r="U1891" i="19"/>
  <c r="U1883" i="19"/>
  <c r="U1875" i="19"/>
  <c r="U1867" i="19"/>
  <c r="T1810" i="19"/>
  <c r="U1810" i="19"/>
  <c r="T1755" i="19"/>
  <c r="U1755" i="19"/>
  <c r="T1723" i="19"/>
  <c r="U1723" i="19"/>
  <c r="U1716" i="19"/>
  <c r="T1716" i="19"/>
  <c r="U1684" i="19"/>
  <c r="T1684" i="19"/>
  <c r="T1671" i="19"/>
  <c r="U1671" i="19"/>
  <c r="T1645" i="19"/>
  <c r="U1645" i="19"/>
  <c r="U1612" i="19"/>
  <c r="T1612" i="19"/>
  <c r="U1603" i="19"/>
  <c r="T1603" i="19"/>
  <c r="U1587" i="19"/>
  <c r="T1587" i="19"/>
  <c r="T1472" i="19"/>
  <c r="U1472" i="19"/>
  <c r="T1468" i="19"/>
  <c r="U1468" i="19"/>
  <c r="T1459" i="19"/>
  <c r="U1459" i="19"/>
  <c r="T1446" i="19"/>
  <c r="U1446" i="19"/>
  <c r="T1433" i="19"/>
  <c r="U1433" i="19"/>
  <c r="U1720" i="19"/>
  <c r="T1720" i="19"/>
  <c r="T1243" i="19"/>
  <c r="U1243" i="19"/>
  <c r="U1963" i="19"/>
  <c r="U1951" i="19"/>
  <c r="U1939" i="19"/>
  <c r="U1927" i="19"/>
  <c r="U1915" i="19"/>
  <c r="U1903" i="19"/>
  <c r="T1796" i="19"/>
  <c r="U1796" i="19"/>
  <c r="U1768" i="19"/>
  <c r="T1768" i="19"/>
  <c r="U1722" i="19"/>
  <c r="T1722" i="19"/>
  <c r="T1709" i="19"/>
  <c r="U1709" i="19"/>
  <c r="U1706" i="19"/>
  <c r="T1706" i="19"/>
  <c r="T1703" i="19"/>
  <c r="U1703" i="19"/>
  <c r="T1635" i="19"/>
  <c r="U1635" i="19"/>
  <c r="U1616" i="19"/>
  <c r="T1616" i="19"/>
  <c r="U1564" i="19"/>
  <c r="T1564" i="19"/>
  <c r="T1481" i="19"/>
  <c r="U1481" i="19"/>
  <c r="T1655" i="19"/>
  <c r="U1655" i="19"/>
  <c r="T1407" i="19"/>
  <c r="U1407" i="19"/>
  <c r="T1253" i="19"/>
  <c r="U1253" i="19"/>
  <c r="T1861" i="19"/>
  <c r="U1861" i="19"/>
  <c r="T1855" i="19"/>
  <c r="U1855" i="19"/>
  <c r="T1849" i="19"/>
  <c r="U1849" i="19"/>
  <c r="T1843" i="19"/>
  <c r="U1843" i="19"/>
  <c r="T1837" i="19"/>
  <c r="U1837" i="19"/>
  <c r="T1831" i="19"/>
  <c r="U1831" i="19"/>
  <c r="T1825" i="19"/>
  <c r="U1825" i="19"/>
  <c r="T1819" i="19"/>
  <c r="U1819" i="19"/>
  <c r="T1806" i="19"/>
  <c r="U1806" i="19"/>
  <c r="T1786" i="19"/>
  <c r="U1786" i="19"/>
  <c r="T1780" i="19"/>
  <c r="U1780" i="19"/>
  <c r="T1771" i="19"/>
  <c r="U1771" i="19"/>
  <c r="U1764" i="19"/>
  <c r="T1764" i="19"/>
  <c r="U1732" i="19"/>
  <c r="T1732" i="19"/>
  <c r="T1719" i="19"/>
  <c r="U1719" i="19"/>
  <c r="T1693" i="19"/>
  <c r="U1693" i="19"/>
  <c r="U1664" i="19"/>
  <c r="T1664" i="19"/>
  <c r="U1648" i="19"/>
  <c r="T1648" i="19"/>
  <c r="U1599" i="19"/>
  <c r="T1599" i="19"/>
  <c r="U1593" i="19"/>
  <c r="T1593" i="19"/>
  <c r="T1521" i="19"/>
  <c r="U1521" i="19"/>
  <c r="T1513" i="19"/>
  <c r="U1513" i="19"/>
  <c r="T1505" i="19"/>
  <c r="U1505" i="19"/>
  <c r="T1800" i="19"/>
  <c r="U1800" i="19"/>
  <c r="T1414" i="19"/>
  <c r="U1414" i="19"/>
  <c r="U1885" i="19"/>
  <c r="U1877" i="19"/>
  <c r="U1869" i="19"/>
  <c r="T1816" i="19"/>
  <c r="U1816" i="19"/>
  <c r="T1792" i="19"/>
  <c r="U1792" i="19"/>
  <c r="U1770" i="19"/>
  <c r="T1770" i="19"/>
  <c r="T1757" i="19"/>
  <c r="U1757" i="19"/>
  <c r="U1754" i="19"/>
  <c r="T1754" i="19"/>
  <c r="T1751" i="19"/>
  <c r="U1751" i="19"/>
  <c r="T1683" i="19"/>
  <c r="U1683" i="19"/>
  <c r="T1663" i="19"/>
  <c r="T1651" i="19"/>
  <c r="U1651" i="19"/>
  <c r="U1644" i="19"/>
  <c r="T1644" i="19"/>
  <c r="T1537" i="19"/>
  <c r="U1537" i="19"/>
  <c r="T1529" i="19"/>
  <c r="U1529" i="19"/>
  <c r="U2066" i="19"/>
  <c r="U2042" i="19"/>
  <c r="U2018" i="19"/>
  <c r="U1994" i="19"/>
  <c r="U1972" i="19"/>
  <c r="U1960" i="19"/>
  <c r="U1948" i="19"/>
  <c r="U1936" i="19"/>
  <c r="U1924" i="19"/>
  <c r="U1912" i="19"/>
  <c r="U1900" i="19"/>
  <c r="T1815" i="19"/>
  <c r="U1815" i="19"/>
  <c r="T1802" i="19"/>
  <c r="U1802" i="19"/>
  <c r="T1767" i="19"/>
  <c r="U1767" i="19"/>
  <c r="T1741" i="19"/>
  <c r="U1741" i="19"/>
  <c r="U1712" i="19"/>
  <c r="T1712" i="19"/>
  <c r="U1696" i="19"/>
  <c r="T1696" i="19"/>
  <c r="T1676" i="19"/>
  <c r="U1650" i="19"/>
  <c r="T1650" i="19"/>
  <c r="T1637" i="19"/>
  <c r="U1637" i="19"/>
  <c r="U1634" i="19"/>
  <c r="T1634" i="19"/>
  <c r="T1631" i="19"/>
  <c r="U1631" i="19"/>
  <c r="U1615" i="19"/>
  <c r="T1615" i="19"/>
  <c r="T1595" i="19"/>
  <c r="T1374" i="19"/>
  <c r="U1374" i="19"/>
  <c r="U2081" i="19"/>
  <c r="U2068" i="19"/>
  <c r="U2057" i="19"/>
  <c r="U2044" i="19"/>
  <c r="U2033" i="19"/>
  <c r="T1890" i="19"/>
  <c r="T1882" i="19"/>
  <c r="T1874" i="19"/>
  <c r="T1866" i="19"/>
  <c r="T1812" i="19"/>
  <c r="U1812" i="19"/>
  <c r="T1731" i="19"/>
  <c r="U1731" i="19"/>
  <c r="T1699" i="19"/>
  <c r="U1699" i="19"/>
  <c r="U1692" i="19"/>
  <c r="T1692" i="19"/>
  <c r="U1660" i="19"/>
  <c r="T1660" i="19"/>
  <c r="T1647" i="19"/>
  <c r="U1647" i="19"/>
  <c r="U1592" i="19"/>
  <c r="T1592" i="19"/>
  <c r="U1580" i="19"/>
  <c r="T1580" i="19"/>
  <c r="T1378" i="19"/>
  <c r="U1378" i="19"/>
  <c r="U1887" i="19"/>
  <c r="U1879" i="19"/>
  <c r="U1871" i="19"/>
  <c r="T1863" i="19"/>
  <c r="U1863" i="19"/>
  <c r="T1860" i="19"/>
  <c r="T1857" i="19"/>
  <c r="U1857" i="19"/>
  <c r="T1854" i="19"/>
  <c r="T1851" i="19"/>
  <c r="U1851" i="19"/>
  <c r="T1848" i="19"/>
  <c r="T1845" i="19"/>
  <c r="U1845" i="19"/>
  <c r="T1842" i="19"/>
  <c r="T1839" i="19"/>
  <c r="U1839" i="19"/>
  <c r="T1836" i="19"/>
  <c r="T1833" i="19"/>
  <c r="U1833" i="19"/>
  <c r="T1830" i="19"/>
  <c r="T1827" i="19"/>
  <c r="U1827" i="19"/>
  <c r="T1824" i="19"/>
  <c r="T1821" i="19"/>
  <c r="U1821" i="19"/>
  <c r="T1798" i="19"/>
  <c r="U1798" i="19"/>
  <c r="T1788" i="19"/>
  <c r="U1788" i="19"/>
  <c r="T1782" i="19"/>
  <c r="U1782" i="19"/>
  <c r="U1760" i="19"/>
  <c r="T1760" i="19"/>
  <c r="U1744" i="19"/>
  <c r="T1744" i="19"/>
  <c r="T1724" i="19"/>
  <c r="U1698" i="19"/>
  <c r="T1698" i="19"/>
  <c r="T1685" i="19"/>
  <c r="U1685" i="19"/>
  <c r="U1682" i="19"/>
  <c r="T1682" i="19"/>
  <c r="T1679" i="19"/>
  <c r="U1679" i="19"/>
  <c r="U1611" i="19"/>
  <c r="T1611" i="19"/>
  <c r="U1605" i="19"/>
  <c r="T1605" i="19"/>
  <c r="U1588" i="19"/>
  <c r="T1588" i="19"/>
  <c r="U1736" i="19"/>
  <c r="T1736" i="19"/>
  <c r="U2072" i="19"/>
  <c r="U2048" i="19"/>
  <c r="U2024" i="19"/>
  <c r="U2000" i="19"/>
  <c r="U1976" i="19"/>
  <c r="T1808" i="19"/>
  <c r="U1808" i="19"/>
  <c r="T1747" i="19"/>
  <c r="U1747" i="19"/>
  <c r="U1740" i="19"/>
  <c r="T1740" i="19"/>
  <c r="U1708" i="19"/>
  <c r="T1708" i="19"/>
  <c r="T1695" i="19"/>
  <c r="U1695" i="19"/>
  <c r="T1669" i="19"/>
  <c r="U1669" i="19"/>
  <c r="U1640" i="19"/>
  <c r="T1640" i="19"/>
  <c r="U767" i="19"/>
  <c r="T767" i="19"/>
  <c r="U1601" i="19"/>
  <c r="T1601" i="19"/>
  <c r="U1576" i="19"/>
  <c r="T1576" i="19"/>
  <c r="T1208" i="19"/>
  <c r="U1208" i="19"/>
  <c r="T1892" i="19"/>
  <c r="T1884" i="19"/>
  <c r="T1876" i="19"/>
  <c r="T1868" i="19"/>
  <c r="T1818" i="19"/>
  <c r="U1818" i="19"/>
  <c r="T1794" i="19"/>
  <c r="U1794" i="19"/>
  <c r="T1772" i="19"/>
  <c r="U1746" i="19"/>
  <c r="T1746" i="19"/>
  <c r="T1733" i="19"/>
  <c r="U1733" i="19"/>
  <c r="U1730" i="19"/>
  <c r="T1730" i="19"/>
  <c r="T1727" i="19"/>
  <c r="U1727" i="19"/>
  <c r="T1659" i="19"/>
  <c r="U1659" i="19"/>
  <c r="T1639" i="19"/>
  <c r="T1627" i="19"/>
  <c r="U1627" i="19"/>
  <c r="T1607" i="19"/>
  <c r="U1600" i="19"/>
  <c r="T1600" i="19"/>
  <c r="U1591" i="19"/>
  <c r="T1591" i="19"/>
  <c r="U1552" i="19"/>
  <c r="T1552" i="19"/>
  <c r="U1674" i="19"/>
  <c r="T1674" i="19"/>
  <c r="U1613" i="19"/>
  <c r="T1613" i="19"/>
  <c r="U2076" i="19"/>
  <c r="U2065" i="19"/>
  <c r="U2052" i="19"/>
  <c r="U2041" i="19"/>
  <c r="U2028" i="19"/>
  <c r="U2017" i="19"/>
  <c r="U2004" i="19"/>
  <c r="U1993" i="19"/>
  <c r="U1980" i="19"/>
  <c r="T1817" i="19"/>
  <c r="U1817" i="19"/>
  <c r="T1804" i="19"/>
  <c r="U1804" i="19"/>
  <c r="U1756" i="19"/>
  <c r="T1756" i="19"/>
  <c r="T1743" i="19"/>
  <c r="U1743" i="19"/>
  <c r="T1717" i="19"/>
  <c r="U1717" i="19"/>
  <c r="U1688" i="19"/>
  <c r="T1688" i="19"/>
  <c r="U1672" i="19"/>
  <c r="T1672" i="19"/>
  <c r="U1626" i="19"/>
  <c r="T1626" i="19"/>
  <c r="U1604" i="19"/>
  <c r="T1604" i="19"/>
  <c r="T1661" i="19"/>
  <c r="U1661" i="19"/>
  <c r="T1862" i="19"/>
  <c r="T1859" i="19"/>
  <c r="U1859" i="19"/>
  <c r="T1856" i="19"/>
  <c r="T1853" i="19"/>
  <c r="U1853" i="19"/>
  <c r="T1850" i="19"/>
  <c r="T1847" i="19"/>
  <c r="U1847" i="19"/>
  <c r="T1844" i="19"/>
  <c r="T1841" i="19"/>
  <c r="U1841" i="19"/>
  <c r="T1838" i="19"/>
  <c r="T1835" i="19"/>
  <c r="U1835" i="19"/>
  <c r="T1832" i="19"/>
  <c r="T1829" i="19"/>
  <c r="U1829" i="19"/>
  <c r="T1826" i="19"/>
  <c r="T1823" i="19"/>
  <c r="U1823" i="19"/>
  <c r="T1820" i="19"/>
  <c r="T1814" i="19"/>
  <c r="U1814" i="19"/>
  <c r="T1790" i="19"/>
  <c r="U1790" i="19"/>
  <c r="T1784" i="19"/>
  <c r="U1784" i="19"/>
  <c r="T1778" i="19"/>
  <c r="U1778" i="19"/>
  <c r="T1775" i="19"/>
  <c r="U1775" i="19"/>
  <c r="T1707" i="19"/>
  <c r="U1707" i="19"/>
  <c r="T1687" i="19"/>
  <c r="T1675" i="19"/>
  <c r="U1675" i="19"/>
  <c r="U1668" i="19"/>
  <c r="T1668" i="19"/>
  <c r="U1636" i="19"/>
  <c r="T1636" i="19"/>
  <c r="T1623" i="19"/>
  <c r="U1623" i="19"/>
  <c r="U1617" i="19"/>
  <c r="T1617" i="19"/>
  <c r="T1774" i="19"/>
  <c r="U1763" i="19"/>
  <c r="T1750" i="19"/>
  <c r="U1739" i="19"/>
  <c r="T1726" i="19"/>
  <c r="U1715" i="19"/>
  <c r="T1702" i="19"/>
  <c r="U1691" i="19"/>
  <c r="T1678" i="19"/>
  <c r="U1667" i="19"/>
  <c r="T1654" i="19"/>
  <c r="U1643" i="19"/>
  <c r="T1630" i="19"/>
  <c r="T1614" i="19"/>
  <c r="T1602" i="19"/>
  <c r="T1590" i="19"/>
  <c r="T1578" i="19"/>
  <c r="T1566" i="19"/>
  <c r="T1554" i="19"/>
  <c r="T1542" i="19"/>
  <c r="T1526" i="19"/>
  <c r="T1420" i="19"/>
  <c r="U1420" i="19"/>
  <c r="T1384" i="19"/>
  <c r="U1384" i="19"/>
  <c r="T1776" i="19"/>
  <c r="T1752" i="19"/>
  <c r="T1728" i="19"/>
  <c r="T1704" i="19"/>
  <c r="T363" i="19"/>
  <c r="T1656" i="19"/>
  <c r="T1632" i="19"/>
  <c r="T1621" i="19"/>
  <c r="T1609" i="19"/>
  <c r="T1597" i="19"/>
  <c r="T1585" i="19"/>
  <c r="T1573" i="19"/>
  <c r="T1561" i="19"/>
  <c r="T1549" i="19"/>
  <c r="T1493" i="19"/>
  <c r="U1493" i="19"/>
  <c r="T1474" i="19"/>
  <c r="U1474" i="19"/>
  <c r="T1464" i="19"/>
  <c r="U1464" i="19"/>
  <c r="T1400" i="19"/>
  <c r="U1400" i="19"/>
  <c r="T1539" i="19"/>
  <c r="U1539" i="19"/>
  <c r="T1531" i="19"/>
  <c r="U1531" i="19"/>
  <c r="T1523" i="19"/>
  <c r="U1523" i="19"/>
  <c r="T1515" i="19"/>
  <c r="U1515" i="19"/>
  <c r="T1507" i="19"/>
  <c r="U1507" i="19"/>
  <c r="T1499" i="19"/>
  <c r="U1499" i="19"/>
  <c r="T1484" i="19"/>
  <c r="U1484" i="19"/>
  <c r="T1480" i="19"/>
  <c r="U1480" i="19"/>
  <c r="T1471" i="19"/>
  <c r="U1471" i="19"/>
  <c r="T1467" i="19"/>
  <c r="U1467" i="19"/>
  <c r="T1461" i="19"/>
  <c r="U1461" i="19"/>
  <c r="T1458" i="19"/>
  <c r="U1458" i="19"/>
  <c r="T1445" i="19"/>
  <c r="U1445" i="19"/>
  <c r="T1436" i="19"/>
  <c r="U1436" i="19"/>
  <c r="T1432" i="19"/>
  <c r="U1432" i="19"/>
  <c r="T1422" i="19"/>
  <c r="U1422" i="19"/>
  <c r="T1413" i="19"/>
  <c r="U1413" i="19"/>
  <c r="T1409" i="19"/>
  <c r="U1409" i="19"/>
  <c r="T1406" i="19"/>
  <c r="U1406" i="19"/>
  <c r="T1386" i="19"/>
  <c r="U1386" i="19"/>
  <c r="T1377" i="19"/>
  <c r="U1377" i="19"/>
  <c r="U1769" i="19"/>
  <c r="U1745" i="19"/>
  <c r="U772" i="19"/>
  <c r="U1697" i="19"/>
  <c r="U1673" i="19"/>
  <c r="U1649" i="19"/>
  <c r="U1625" i="19"/>
  <c r="U1479" i="19"/>
  <c r="T1451" i="19"/>
  <c r="U1451" i="19"/>
  <c r="U1431" i="19"/>
  <c r="T1426" i="19"/>
  <c r="U1426" i="19"/>
  <c r="T1419" i="19"/>
  <c r="U1419" i="19"/>
  <c r="T1390" i="19"/>
  <c r="U1390" i="19"/>
  <c r="T1383" i="19"/>
  <c r="U1383" i="19"/>
  <c r="T1314" i="19"/>
  <c r="U1314" i="19"/>
  <c r="T1758" i="19"/>
  <c r="T1734" i="19"/>
  <c r="T1710" i="19"/>
  <c r="T1686" i="19"/>
  <c r="T1662" i="19"/>
  <c r="T1638" i="19"/>
  <c r="T1618" i="19"/>
  <c r="T1606" i="19"/>
  <c r="T1594" i="19"/>
  <c r="T1582" i="19"/>
  <c r="T1570" i="19"/>
  <c r="T1558" i="19"/>
  <c r="T1546" i="19"/>
  <c r="T678" i="19"/>
  <c r="U678" i="19"/>
  <c r="T1396" i="19"/>
  <c r="U1396" i="19"/>
  <c r="T1362" i="19"/>
  <c r="U1362" i="19"/>
  <c r="T1338" i="19"/>
  <c r="U1338" i="19"/>
  <c r="T1541" i="19"/>
  <c r="U1541" i="19"/>
  <c r="T1533" i="19"/>
  <c r="U1533" i="19"/>
  <c r="T1525" i="19"/>
  <c r="U1525" i="19"/>
  <c r="T1517" i="19"/>
  <c r="U1517" i="19"/>
  <c r="T1509" i="19"/>
  <c r="U1509" i="19"/>
  <c r="T1501" i="19"/>
  <c r="U1501" i="19"/>
  <c r="T1483" i="19"/>
  <c r="U1483" i="19"/>
  <c r="T1470" i="19"/>
  <c r="U1470" i="19"/>
  <c r="T1457" i="19"/>
  <c r="U1457" i="19"/>
  <c r="T1448" i="19"/>
  <c r="U1448" i="19"/>
  <c r="T1444" i="19"/>
  <c r="U1444" i="19"/>
  <c r="T1435" i="19"/>
  <c r="U1435" i="19"/>
  <c r="T1412" i="19"/>
  <c r="U1412" i="19"/>
  <c r="T1376" i="19"/>
  <c r="U1376" i="19"/>
  <c r="T1762" i="19"/>
  <c r="T1738" i="19"/>
  <c r="T1714" i="19"/>
  <c r="T1690" i="19"/>
  <c r="T1666" i="19"/>
  <c r="T1642" i="19"/>
  <c r="T1620" i="19"/>
  <c r="T1608" i="19"/>
  <c r="T1596" i="19"/>
  <c r="T1584" i="19"/>
  <c r="T1572" i="19"/>
  <c r="T1498" i="19"/>
  <c r="U1498" i="19"/>
  <c r="T1425" i="19"/>
  <c r="U1425" i="19"/>
  <c r="T1421" i="19"/>
  <c r="U1421" i="19"/>
  <c r="T1418" i="19"/>
  <c r="U1418" i="19"/>
  <c r="T1398" i="19"/>
  <c r="U1398" i="19"/>
  <c r="T1389" i="19"/>
  <c r="U1389" i="19"/>
  <c r="T1385" i="19"/>
  <c r="U1385" i="19"/>
  <c r="T1382" i="19"/>
  <c r="U1382" i="19"/>
  <c r="U1813" i="19"/>
  <c r="U1811" i="19"/>
  <c r="U1809" i="19"/>
  <c r="U1807" i="19"/>
  <c r="U1805" i="19"/>
  <c r="U1803" i="19"/>
  <c r="U1801" i="19"/>
  <c r="U1799" i="19"/>
  <c r="U1797" i="19"/>
  <c r="U1795" i="19"/>
  <c r="U1793" i="19"/>
  <c r="U1791" i="19"/>
  <c r="T1579" i="19"/>
  <c r="T1567" i="19"/>
  <c r="T743" i="19"/>
  <c r="T1543" i="19"/>
  <c r="T1495" i="19"/>
  <c r="U1495" i="19"/>
  <c r="T1488" i="19"/>
  <c r="U1488" i="19"/>
  <c r="T1450" i="19"/>
  <c r="U1450" i="19"/>
  <c r="T1440" i="19"/>
  <c r="U1440" i="19"/>
  <c r="T1402" i="19"/>
  <c r="U1402" i="19"/>
  <c r="T1395" i="19"/>
  <c r="U1395" i="19"/>
  <c r="T1766" i="19"/>
  <c r="T1742" i="19"/>
  <c r="T1718" i="19"/>
  <c r="T1694" i="19"/>
  <c r="T1670" i="19"/>
  <c r="T1646" i="19"/>
  <c r="T1535" i="19"/>
  <c r="U1535" i="19"/>
  <c r="T1527" i="19"/>
  <c r="U1527" i="19"/>
  <c r="T1519" i="19"/>
  <c r="U1519" i="19"/>
  <c r="T1511" i="19"/>
  <c r="U1511" i="19"/>
  <c r="T1503" i="19"/>
  <c r="U1503" i="19"/>
  <c r="T1491" i="19"/>
  <c r="U1491" i="19"/>
  <c r="T1485" i="19"/>
  <c r="U1485" i="19"/>
  <c r="T1482" i="19"/>
  <c r="U1482" i="19"/>
  <c r="T1469" i="19"/>
  <c r="U1469" i="19"/>
  <c r="T1460" i="19"/>
  <c r="U1460" i="19"/>
  <c r="T1456" i="19"/>
  <c r="U1456" i="19"/>
  <c r="T1447" i="19"/>
  <c r="U1447" i="19"/>
  <c r="T1443" i="19"/>
  <c r="U1443" i="19"/>
  <c r="T1437" i="19"/>
  <c r="U1437" i="19"/>
  <c r="T1434" i="19"/>
  <c r="U1434" i="19"/>
  <c r="T1408" i="19"/>
  <c r="U1408" i="19"/>
  <c r="T1540" i="19"/>
  <c r="U1490" i="19"/>
  <c r="T1475" i="19"/>
  <c r="U1475" i="19"/>
  <c r="T1424" i="19"/>
  <c r="U1424" i="19"/>
  <c r="T1388" i="19"/>
  <c r="U1388" i="19"/>
  <c r="T1372" i="19"/>
  <c r="U1372" i="19"/>
  <c r="T1326" i="19"/>
  <c r="U1326" i="19"/>
  <c r="T1494" i="19"/>
  <c r="U1494" i="19"/>
  <c r="T1410" i="19"/>
  <c r="U1410" i="19"/>
  <c r="T1401" i="19"/>
  <c r="U1401" i="19"/>
  <c r="T1397" i="19"/>
  <c r="U1397" i="19"/>
  <c r="T1394" i="19"/>
  <c r="U1394" i="19"/>
  <c r="T1350" i="19"/>
  <c r="U1350" i="19"/>
  <c r="T1249" i="19"/>
  <c r="U1249" i="19"/>
  <c r="T1233" i="19"/>
  <c r="U1233" i="19"/>
  <c r="T1214" i="19"/>
  <c r="U1214" i="19"/>
  <c r="T1192" i="19"/>
  <c r="U1192" i="19"/>
  <c r="T1186" i="19"/>
  <c r="U1186" i="19"/>
  <c r="U1371" i="19"/>
  <c r="U1359" i="19"/>
  <c r="U1347" i="19"/>
  <c r="U1335" i="19"/>
  <c r="U1323" i="19"/>
  <c r="U1311" i="19"/>
  <c r="T1227" i="19"/>
  <c r="U1227" i="19"/>
  <c r="T1258" i="19"/>
  <c r="U1258" i="19"/>
  <c r="T1239" i="19"/>
  <c r="U1239" i="19"/>
  <c r="T1204" i="19"/>
  <c r="U1204" i="19"/>
  <c r="T1198" i="19"/>
  <c r="U1198" i="19"/>
  <c r="U1373" i="19"/>
  <c r="U1361" i="19"/>
  <c r="U1349" i="19"/>
  <c r="U1337" i="19"/>
  <c r="U1325" i="19"/>
  <c r="U1313" i="19"/>
  <c r="T1255" i="19"/>
  <c r="U1255" i="19"/>
  <c r="T1230" i="19"/>
  <c r="U1230" i="19"/>
  <c r="T1220" i="19"/>
  <c r="U1220" i="19"/>
  <c r="T1245" i="19"/>
  <c r="U1245" i="19"/>
  <c r="T1226" i="19"/>
  <c r="U1226" i="19"/>
  <c r="T1210" i="19"/>
  <c r="U1210" i="19"/>
  <c r="U1478" i="19"/>
  <c r="U1454" i="19"/>
  <c r="U1430" i="19"/>
  <c r="U1423" i="19"/>
  <c r="U1411" i="19"/>
  <c r="U1399" i="19"/>
  <c r="U1387" i="19"/>
  <c r="U1363" i="19"/>
  <c r="U1351" i="19"/>
  <c r="U1327" i="19"/>
  <c r="T1238" i="19"/>
  <c r="U1238" i="19"/>
  <c r="T1194" i="19"/>
  <c r="U1194" i="19"/>
  <c r="T1496" i="19"/>
  <c r="U1496" i="19"/>
  <c r="T1216" i="19"/>
  <c r="U1216" i="19"/>
  <c r="U1341" i="19"/>
  <c r="U1329" i="19"/>
  <c r="U1317" i="19"/>
  <c r="T1241" i="19"/>
  <c r="U1241" i="19"/>
  <c r="T1206" i="19"/>
  <c r="U1206" i="19"/>
  <c r="U1497" i="19"/>
  <c r="U1473" i="19"/>
  <c r="U1449" i="19"/>
  <c r="U1360" i="19"/>
  <c r="U1348" i="19"/>
  <c r="U1336" i="19"/>
  <c r="U1324" i="19"/>
  <c r="U1312" i="19"/>
  <c r="T1257" i="19"/>
  <c r="U1257" i="19"/>
  <c r="T1237" i="19"/>
  <c r="U1237" i="19"/>
  <c r="T1222" i="19"/>
  <c r="U1222" i="19"/>
  <c r="T1190" i="19"/>
  <c r="U1190" i="19"/>
  <c r="T1184" i="19"/>
  <c r="U1184" i="19"/>
  <c r="U1486" i="19"/>
  <c r="U1462" i="19"/>
  <c r="U1438" i="19"/>
  <c r="U1427" i="19"/>
  <c r="U1415" i="19"/>
  <c r="U1403" i="19"/>
  <c r="U1391" i="19"/>
  <c r="U1379" i="19"/>
  <c r="U1367" i="19"/>
  <c r="U1355" i="19"/>
  <c r="U1343" i="19"/>
  <c r="U1331" i="19"/>
  <c r="U1319" i="19"/>
  <c r="U554" i="19"/>
  <c r="T1250" i="19"/>
  <c r="U1250" i="19"/>
  <c r="T1215" i="19"/>
  <c r="U1215" i="19"/>
  <c r="T1196" i="19"/>
  <c r="U1196" i="19"/>
  <c r="T1228" i="19"/>
  <c r="U1228" i="19"/>
  <c r="T1202" i="19"/>
  <c r="U1202" i="19"/>
  <c r="U1133" i="19"/>
  <c r="T1133" i="19"/>
  <c r="U1107" i="19"/>
  <c r="T1107" i="19"/>
  <c r="T1082" i="19"/>
  <c r="U1082" i="19"/>
  <c r="T1069" i="19"/>
  <c r="U1069" i="19"/>
  <c r="T1065" i="19"/>
  <c r="U1065" i="19"/>
  <c r="T1061" i="19"/>
  <c r="U1061" i="19"/>
  <c r="T1057" i="19"/>
  <c r="U1057" i="19"/>
  <c r="T1053" i="19"/>
  <c r="U1053" i="19"/>
  <c r="T1049" i="19"/>
  <c r="U1049" i="19"/>
  <c r="T1045" i="19"/>
  <c r="U1045" i="19"/>
  <c r="T1043" i="19"/>
  <c r="U1043" i="19"/>
  <c r="T1039" i="19"/>
  <c r="U1039" i="19"/>
  <c r="T1035" i="19"/>
  <c r="U1035" i="19"/>
  <c r="T1031" i="19"/>
  <c r="U1031" i="19"/>
  <c r="T1027" i="19"/>
  <c r="U1027" i="19"/>
  <c r="T993" i="19"/>
  <c r="U993" i="19"/>
  <c r="T973" i="19"/>
  <c r="U973" i="19"/>
  <c r="T720" i="19"/>
  <c r="U720" i="19"/>
  <c r="U1248" i="19"/>
  <c r="U1236" i="19"/>
  <c r="U1225" i="19"/>
  <c r="U1213" i="19"/>
  <c r="U1201" i="19"/>
  <c r="U1189" i="19"/>
  <c r="U1179" i="19"/>
  <c r="U1142" i="19"/>
  <c r="T1142" i="19"/>
  <c r="U1132" i="19"/>
  <c r="T1132" i="19"/>
  <c r="T986" i="19"/>
  <c r="U986" i="19"/>
  <c r="U1154" i="19"/>
  <c r="T1154" i="19"/>
  <c r="U1113" i="19"/>
  <c r="T1113" i="19"/>
  <c r="U1101" i="19"/>
  <c r="T1101" i="19"/>
  <c r="U1098" i="19"/>
  <c r="T1098" i="19"/>
  <c r="T1078" i="19"/>
  <c r="U1078" i="19"/>
  <c r="T999" i="19"/>
  <c r="U999" i="19"/>
  <c r="U1176" i="19"/>
  <c r="U1168" i="19"/>
  <c r="T1153" i="19"/>
  <c r="T1147" i="19"/>
  <c r="U1128" i="19"/>
  <c r="T1128" i="19"/>
  <c r="U1122" i="19"/>
  <c r="T1122" i="19"/>
  <c r="U1106" i="19"/>
  <c r="T1106" i="19"/>
  <c r="U1097" i="19"/>
  <c r="T1097" i="19"/>
  <c r="T1084" i="19"/>
  <c r="U1084" i="19"/>
  <c r="U1072" i="19"/>
  <c r="T1072" i="19"/>
  <c r="T1165" i="19"/>
  <c r="T1159" i="19"/>
  <c r="U1150" i="19"/>
  <c r="T1150" i="19"/>
  <c r="U1144" i="19"/>
  <c r="T1144" i="19"/>
  <c r="U1119" i="19"/>
  <c r="T1119" i="19"/>
  <c r="U1088" i="19"/>
  <c r="T1088" i="19"/>
  <c r="U1009" i="19"/>
  <c r="T1009" i="19"/>
  <c r="T985" i="19"/>
  <c r="U985" i="19"/>
  <c r="U1252" i="19"/>
  <c r="U1240" i="19"/>
  <c r="U1229" i="19"/>
  <c r="U1217" i="19"/>
  <c r="U1205" i="19"/>
  <c r="U1193" i="19"/>
  <c r="U1162" i="19"/>
  <c r="T1162" i="19"/>
  <c r="U1156" i="19"/>
  <c r="T1156" i="19"/>
  <c r="U1109" i="19"/>
  <c r="T1109" i="19"/>
  <c r="U1077" i="19"/>
  <c r="T1077" i="19"/>
  <c r="U1140" i="19"/>
  <c r="T1140" i="19"/>
  <c r="U1134" i="19"/>
  <c r="T1134" i="19"/>
  <c r="U1125" i="19"/>
  <c r="T1125" i="19"/>
  <c r="U1108" i="19"/>
  <c r="T1108" i="19"/>
  <c r="U1105" i="19"/>
  <c r="T1105" i="19"/>
  <c r="U1094" i="19"/>
  <c r="T1094" i="19"/>
  <c r="T1076" i="19"/>
  <c r="U1076" i="19"/>
  <c r="T1071" i="19"/>
  <c r="U1071" i="19"/>
  <c r="T1067" i="19"/>
  <c r="U1067" i="19"/>
  <c r="T1063" i="19"/>
  <c r="U1063" i="19"/>
  <c r="T1059" i="19"/>
  <c r="U1059" i="19"/>
  <c r="T1055" i="19"/>
  <c r="U1055" i="19"/>
  <c r="T1051" i="19"/>
  <c r="U1051" i="19"/>
  <c r="T1047" i="19"/>
  <c r="U1047" i="19"/>
  <c r="T1041" i="19"/>
  <c r="U1041" i="19"/>
  <c r="T1037" i="19"/>
  <c r="U1037" i="19"/>
  <c r="T1033" i="19"/>
  <c r="U1033" i="19"/>
  <c r="T1029" i="19"/>
  <c r="U1029" i="19"/>
  <c r="T1025" i="19"/>
  <c r="U1025" i="19"/>
  <c r="T1018" i="19"/>
  <c r="U1018" i="19"/>
  <c r="U1152" i="19"/>
  <c r="T1152" i="19"/>
  <c r="U1131" i="19"/>
  <c r="T1131" i="19"/>
  <c r="U1118" i="19"/>
  <c r="T1118" i="19"/>
  <c r="U1104" i="19"/>
  <c r="T1104" i="19"/>
  <c r="U1087" i="19"/>
  <c r="T1087" i="19"/>
  <c r="U1164" i="19"/>
  <c r="T1164" i="19"/>
  <c r="T1158" i="19"/>
  <c r="U1100" i="19"/>
  <c r="T1100" i="19"/>
  <c r="T1001" i="19"/>
  <c r="U1001" i="19"/>
  <c r="U1256" i="19"/>
  <c r="U1244" i="19"/>
  <c r="U1232" i="19"/>
  <c r="U1221" i="19"/>
  <c r="U1209" i="19"/>
  <c r="U1429" i="19"/>
  <c r="U1180" i="19"/>
  <c r="U1172" i="19"/>
  <c r="U1137" i="19"/>
  <c r="T1137" i="19"/>
  <c r="U1121" i="19"/>
  <c r="T1121" i="19"/>
  <c r="U1090" i="19"/>
  <c r="T1090" i="19"/>
  <c r="U1083" i="19"/>
  <c r="T1083" i="19"/>
  <c r="U1149" i="19"/>
  <c r="T1149" i="19"/>
  <c r="U1143" i="19"/>
  <c r="T1143" i="19"/>
  <c r="U1130" i="19"/>
  <c r="T1130" i="19"/>
  <c r="U1120" i="19"/>
  <c r="T1120" i="19"/>
  <c r="U1117" i="19"/>
  <c r="T1117" i="19"/>
  <c r="U1089" i="19"/>
  <c r="T1089" i="19"/>
  <c r="U1086" i="19"/>
  <c r="T1086" i="19"/>
  <c r="U1246" i="19"/>
  <c r="U1234" i="19"/>
  <c r="U1223" i="19"/>
  <c r="U1211" i="19"/>
  <c r="U1199" i="19"/>
  <c r="U1187" i="19"/>
  <c r="U1161" i="19"/>
  <c r="T1161" i="19"/>
  <c r="U1155" i="19"/>
  <c r="T1155" i="19"/>
  <c r="T1151" i="19"/>
  <c r="T1129" i="19"/>
  <c r="T1123" i="19"/>
  <c r="U1116" i="19"/>
  <c r="T1116" i="19"/>
  <c r="U1099" i="19"/>
  <c r="T1099" i="19"/>
  <c r="T1092" i="19"/>
  <c r="U1085" i="19"/>
  <c r="T1085" i="19"/>
  <c r="U1079" i="19"/>
  <c r="T1079" i="19"/>
  <c r="T1110" i="19"/>
  <c r="T1091" i="19"/>
  <c r="T1081" i="19"/>
  <c r="T1074" i="19"/>
  <c r="T995" i="19"/>
  <c r="U995" i="19"/>
  <c r="T982" i="19"/>
  <c r="U982" i="19"/>
  <c r="T979" i="19"/>
  <c r="U979" i="19"/>
  <c r="T887" i="19"/>
  <c r="U887" i="19"/>
  <c r="T1012" i="19"/>
  <c r="U1012" i="19"/>
  <c r="T1002" i="19"/>
  <c r="U1002" i="19"/>
  <c r="T992" i="19"/>
  <c r="U992" i="19"/>
  <c r="T981" i="19"/>
  <c r="U981" i="19"/>
  <c r="T1160" i="19"/>
  <c r="T1148" i="19"/>
  <c r="T1136" i="19"/>
  <c r="T1124" i="19"/>
  <c r="T1112" i="19"/>
  <c r="T1093" i="19"/>
  <c r="T1068" i="19"/>
  <c r="T1062" i="19"/>
  <c r="T1056" i="19"/>
  <c r="T1050" i="19"/>
  <c r="T1044" i="19"/>
  <c r="T1038" i="19"/>
  <c r="T1032" i="19"/>
  <c r="T1026" i="19"/>
  <c r="T1023" i="19"/>
  <c r="U1023" i="19"/>
  <c r="T1020" i="19"/>
  <c r="T998" i="19"/>
  <c r="U998" i="19"/>
  <c r="T895" i="19"/>
  <c r="U895" i="19"/>
  <c r="T1075" i="19"/>
  <c r="T1008" i="19"/>
  <c r="U1008" i="19"/>
  <c r="T997" i="19"/>
  <c r="U997" i="19"/>
  <c r="T967" i="19"/>
  <c r="U967" i="19"/>
  <c r="T961" i="19"/>
  <c r="U961" i="19"/>
  <c r="T953" i="19"/>
  <c r="U953" i="19"/>
  <c r="T945" i="19"/>
  <c r="U945" i="19"/>
  <c r="T937" i="19"/>
  <c r="U937" i="19"/>
  <c r="T929" i="19"/>
  <c r="U929" i="19"/>
  <c r="T921" i="19"/>
  <c r="U921" i="19"/>
  <c r="T1365" i="19"/>
  <c r="T1126" i="19"/>
  <c r="T1114" i="19"/>
  <c r="T1102" i="19"/>
  <c r="T1095" i="19"/>
  <c r="U1017" i="19"/>
  <c r="T1017" i="19"/>
  <c r="U1011" i="19"/>
  <c r="T1011" i="19"/>
  <c r="T991" i="19"/>
  <c r="U991" i="19"/>
  <c r="T969" i="19"/>
  <c r="U969" i="19"/>
  <c r="T1080" i="19"/>
  <c r="U1080" i="19"/>
  <c r="T1073" i="19"/>
  <c r="U1073" i="19"/>
  <c r="T987" i="19"/>
  <c r="U987" i="19"/>
  <c r="T975" i="19"/>
  <c r="U975" i="19"/>
  <c r="T1070" i="19"/>
  <c r="T1064" i="19"/>
  <c r="T1058" i="19"/>
  <c r="T1052" i="19"/>
  <c r="T1046" i="19"/>
  <c r="T1040" i="19"/>
  <c r="T1034" i="19"/>
  <c r="T1028" i="19"/>
  <c r="T1022" i="19"/>
  <c r="T1019" i="19"/>
  <c r="U1019" i="19"/>
  <c r="T252" i="19"/>
  <c r="U252" i="19"/>
  <c r="T994" i="19"/>
  <c r="U994" i="19"/>
  <c r="T984" i="19"/>
  <c r="U984" i="19"/>
  <c r="T977" i="19"/>
  <c r="U977" i="19"/>
  <c r="T1003" i="19"/>
  <c r="U1003" i="19"/>
  <c r="T990" i="19"/>
  <c r="U990" i="19"/>
  <c r="T1000" i="19"/>
  <c r="U1000" i="19"/>
  <c r="T989" i="19"/>
  <c r="U989" i="19"/>
  <c r="T1006" i="19"/>
  <c r="U1006" i="19"/>
  <c r="T983" i="19"/>
  <c r="U983" i="19"/>
  <c r="T1066" i="19"/>
  <c r="T1060" i="19"/>
  <c r="T1054" i="19"/>
  <c r="T1048" i="19"/>
  <c r="T1042" i="19"/>
  <c r="T1036" i="19"/>
  <c r="T1030" i="19"/>
  <c r="T1024" i="19"/>
  <c r="T1021" i="19"/>
  <c r="U1021" i="19"/>
  <c r="U1307" i="19"/>
  <c r="T1307" i="19"/>
  <c r="T1005" i="19"/>
  <c r="U1005" i="19"/>
  <c r="T971" i="19"/>
  <c r="U971" i="19"/>
  <c r="T567" i="19"/>
  <c r="U567" i="19"/>
  <c r="T427" i="19"/>
  <c r="U427" i="19"/>
  <c r="T911" i="19"/>
  <c r="U911" i="19"/>
  <c r="T697" i="19"/>
  <c r="U697" i="19"/>
  <c r="T913" i="19"/>
  <c r="U913" i="19"/>
  <c r="T657" i="19"/>
  <c r="U657" i="19"/>
  <c r="T963" i="19"/>
  <c r="U963" i="19"/>
  <c r="T955" i="19"/>
  <c r="U955" i="19"/>
  <c r="T947" i="19"/>
  <c r="U947" i="19"/>
  <c r="T939" i="19"/>
  <c r="U939" i="19"/>
  <c r="T931" i="19"/>
  <c r="U931" i="19"/>
  <c r="T923" i="19"/>
  <c r="U923" i="19"/>
  <c r="T915" i="19"/>
  <c r="U915" i="19"/>
  <c r="U879" i="19"/>
  <c r="T799" i="19"/>
  <c r="U799" i="19"/>
  <c r="T775" i="19"/>
  <c r="U775" i="19"/>
  <c r="U902" i="19"/>
  <c r="T847" i="19"/>
  <c r="U847" i="19"/>
  <c r="T823" i="19"/>
  <c r="U823" i="19"/>
  <c r="T751" i="19"/>
  <c r="U751" i="19"/>
  <c r="T871" i="19"/>
  <c r="U871" i="19"/>
  <c r="T727" i="19"/>
  <c r="U727" i="19"/>
  <c r="T965" i="19"/>
  <c r="U965" i="19"/>
  <c r="T957" i="19"/>
  <c r="U957" i="19"/>
  <c r="T949" i="19"/>
  <c r="U949" i="19"/>
  <c r="T941" i="19"/>
  <c r="U941" i="19"/>
  <c r="T933" i="19"/>
  <c r="U933" i="19"/>
  <c r="T925" i="19"/>
  <c r="U925" i="19"/>
  <c r="T917" i="19"/>
  <c r="U917" i="19"/>
  <c r="T894" i="19"/>
  <c r="U894" i="19"/>
  <c r="T704" i="19"/>
  <c r="U704" i="19"/>
  <c r="T1624" i="19"/>
  <c r="U1624" i="19"/>
  <c r="T768" i="19"/>
  <c r="U768" i="19"/>
  <c r="T840" i="19"/>
  <c r="U840" i="19"/>
  <c r="T816" i="19"/>
  <c r="U816" i="19"/>
  <c r="T744" i="19"/>
  <c r="U744" i="19"/>
  <c r="T959" i="19"/>
  <c r="U959" i="19"/>
  <c r="T951" i="19"/>
  <c r="U951" i="19"/>
  <c r="T943" i="19"/>
  <c r="U943" i="19"/>
  <c r="T935" i="19"/>
  <c r="U935" i="19"/>
  <c r="T927" i="19"/>
  <c r="U927" i="19"/>
  <c r="T919" i="19"/>
  <c r="U919" i="19"/>
  <c r="T864" i="19"/>
  <c r="U864" i="19"/>
  <c r="T669" i="19"/>
  <c r="U669" i="19"/>
  <c r="T642" i="19"/>
  <c r="U642" i="19"/>
  <c r="T634" i="19"/>
  <c r="U634" i="19"/>
  <c r="T626" i="19"/>
  <c r="U626" i="19"/>
  <c r="T591" i="19"/>
  <c r="U591" i="19"/>
  <c r="T956" i="19"/>
  <c r="U956" i="19"/>
  <c r="U456" i="19"/>
  <c r="T456" i="19"/>
  <c r="U430" i="19"/>
  <c r="T430" i="19"/>
  <c r="U872" i="19"/>
  <c r="U848" i="19"/>
  <c r="U824" i="19"/>
  <c r="U800" i="19"/>
  <c r="U776" i="19"/>
  <c r="U752" i="19"/>
  <c r="U728" i="19"/>
  <c r="U705" i="19"/>
  <c r="U682" i="19"/>
  <c r="T677" i="19"/>
  <c r="U672" i="19"/>
  <c r="T666" i="19"/>
  <c r="U661" i="19"/>
  <c r="T654" i="19"/>
  <c r="U649" i="19"/>
  <c r="U641" i="19"/>
  <c r="U633" i="19"/>
  <c r="U1015" i="19"/>
  <c r="T615" i="19"/>
  <c r="U615" i="19"/>
  <c r="T578" i="19"/>
  <c r="U578" i="19"/>
  <c r="U496" i="19"/>
  <c r="T496" i="19"/>
  <c r="U415" i="19"/>
  <c r="T415" i="19"/>
  <c r="T602" i="19"/>
  <c r="U602" i="19"/>
  <c r="U495" i="19"/>
  <c r="T495" i="19"/>
  <c r="U436" i="19"/>
  <c r="T436" i="19"/>
  <c r="U308" i="19"/>
  <c r="T308" i="19"/>
  <c r="T644" i="19"/>
  <c r="U644" i="19"/>
  <c r="T636" i="19"/>
  <c r="U636" i="19"/>
  <c r="T628" i="19"/>
  <c r="U628" i="19"/>
  <c r="T620" i="19"/>
  <c r="U620" i="19"/>
  <c r="T601" i="19"/>
  <c r="U601" i="19"/>
  <c r="U478" i="19"/>
  <c r="T478" i="19"/>
  <c r="U459" i="19"/>
  <c r="T459" i="19"/>
  <c r="T379" i="19"/>
  <c r="U379" i="19"/>
  <c r="U356" i="19"/>
  <c r="T356" i="19"/>
  <c r="U901" i="19"/>
  <c r="U878" i="19"/>
  <c r="U854" i="19"/>
  <c r="T574" i="19"/>
  <c r="U574" i="19"/>
  <c r="T471" i="19"/>
  <c r="U471" i="19"/>
  <c r="T441" i="19"/>
  <c r="U441" i="19"/>
  <c r="U393" i="19"/>
  <c r="T393" i="19"/>
  <c r="U890" i="19"/>
  <c r="U867" i="19"/>
  <c r="U843" i="19"/>
  <c r="U819" i="19"/>
  <c r="U795" i="19"/>
  <c r="U771" i="19"/>
  <c r="U747" i="19"/>
  <c r="U723" i="19"/>
  <c r="U700" i="19"/>
  <c r="T598" i="19"/>
  <c r="U598" i="19"/>
  <c r="T513" i="19"/>
  <c r="U513" i="19"/>
  <c r="U892" i="19"/>
  <c r="U869" i="19"/>
  <c r="U845" i="19"/>
  <c r="U821" i="19"/>
  <c r="U797" i="19"/>
  <c r="U773" i="19"/>
  <c r="U749" i="19"/>
  <c r="T646" i="19"/>
  <c r="U646" i="19"/>
  <c r="T638" i="19"/>
  <c r="U638" i="19"/>
  <c r="T630" i="19"/>
  <c r="U630" i="19"/>
  <c r="T622" i="19"/>
  <c r="U622" i="19"/>
  <c r="T608" i="19"/>
  <c r="T477" i="19"/>
  <c r="U477" i="19"/>
  <c r="T420" i="19"/>
  <c r="U420" i="19"/>
  <c r="U907" i="19"/>
  <c r="U860" i="19"/>
  <c r="U836" i="19"/>
  <c r="U812" i="19"/>
  <c r="U788" i="19"/>
  <c r="U764" i="19"/>
  <c r="U740" i="19"/>
  <c r="U716" i="19"/>
  <c r="U693" i="19"/>
  <c r="T681" i="19"/>
  <c r="U1138" i="19"/>
  <c r="T671" i="19"/>
  <c r="U667" i="19"/>
  <c r="T660" i="19"/>
  <c r="U655" i="19"/>
  <c r="U645" i="19"/>
  <c r="U637" i="19"/>
  <c r="U629" i="19"/>
  <c r="U621" i="19"/>
  <c r="U476" i="19"/>
  <c r="T476" i="19"/>
  <c r="U909" i="19"/>
  <c r="U896" i="19"/>
  <c r="U885" i="19"/>
  <c r="U873" i="19"/>
  <c r="U862" i="19"/>
  <c r="U849" i="19"/>
  <c r="U838" i="19"/>
  <c r="U825" i="19"/>
  <c r="U814" i="19"/>
  <c r="U801" i="19"/>
  <c r="U777" i="19"/>
  <c r="U753" i="19"/>
  <c r="U729" i="19"/>
  <c r="U706" i="19"/>
  <c r="U683" i="19"/>
  <c r="U444" i="19"/>
  <c r="T444" i="19"/>
  <c r="T673" i="19"/>
  <c r="T650" i="19"/>
  <c r="T648" i="19"/>
  <c r="U648" i="19"/>
  <c r="T640" i="19"/>
  <c r="U640" i="19"/>
  <c r="T632" i="19"/>
  <c r="U632" i="19"/>
  <c r="T1007" i="19"/>
  <c r="U1007" i="19"/>
  <c r="U483" i="19"/>
  <c r="T483" i="19"/>
  <c r="T461" i="19"/>
  <c r="U461" i="19"/>
  <c r="U486" i="19"/>
  <c r="T486" i="19"/>
  <c r="U452" i="19"/>
  <c r="T452" i="19"/>
  <c r="U449" i="19"/>
  <c r="T449" i="19"/>
  <c r="T891" i="19"/>
  <c r="U891" i="19"/>
  <c r="U259" i="19"/>
  <c r="T259" i="19"/>
  <c r="U286" i="19"/>
  <c r="T286" i="19"/>
  <c r="T264" i="19"/>
  <c r="U264" i="19"/>
  <c r="T119" i="19"/>
  <c r="U119" i="19"/>
  <c r="U223" i="19"/>
  <c r="T223" i="19"/>
  <c r="T156" i="19"/>
  <c r="U156" i="19"/>
  <c r="T435" i="19"/>
  <c r="U435" i="19"/>
  <c r="U426" i="19"/>
  <c r="T426" i="19"/>
  <c r="T423" i="19"/>
  <c r="U423" i="19"/>
  <c r="U419" i="19"/>
  <c r="T419" i="19"/>
  <c r="U402" i="19"/>
  <c r="T402" i="19"/>
  <c r="U338" i="19"/>
  <c r="T338" i="19"/>
  <c r="T335" i="19"/>
  <c r="U335" i="19"/>
  <c r="U326" i="19"/>
  <c r="T326" i="19"/>
  <c r="T276" i="19"/>
  <c r="U276" i="19"/>
  <c r="T270" i="19"/>
  <c r="U270" i="19"/>
  <c r="U230" i="19"/>
  <c r="T230" i="19"/>
  <c r="T216" i="19"/>
  <c r="U216" i="19"/>
  <c r="U344" i="19"/>
  <c r="T344" i="19"/>
  <c r="T337" i="19"/>
  <c r="U337" i="19"/>
  <c r="U320" i="19"/>
  <c r="T320" i="19"/>
  <c r="T313" i="19"/>
  <c r="U313" i="19"/>
  <c r="T301" i="19"/>
  <c r="U301" i="19"/>
  <c r="T289" i="19"/>
  <c r="U289" i="19"/>
  <c r="U612" i="19"/>
  <c r="U588" i="19"/>
  <c r="U577" i="19"/>
  <c r="U564" i="19"/>
  <c r="U553" i="19"/>
  <c r="U546" i="19"/>
  <c r="U534" i="19"/>
  <c r="U522" i="19"/>
  <c r="T458" i="19"/>
  <c r="T455" i="19"/>
  <c r="U443" i="19"/>
  <c r="T413" i="19"/>
  <c r="U413" i="19"/>
  <c r="U362" i="19"/>
  <c r="T362" i="19"/>
  <c r="T343" i="19"/>
  <c r="U343" i="19"/>
  <c r="U316" i="19"/>
  <c r="T316" i="19"/>
  <c r="U310" i="19"/>
  <c r="T310" i="19"/>
  <c r="T278" i="19"/>
  <c r="U189" i="19"/>
  <c r="U541" i="19"/>
  <c r="U529" i="19"/>
  <c r="U517" i="19"/>
  <c r="T475" i="19"/>
  <c r="T472" i="19"/>
  <c r="T440" i="19"/>
  <c r="U406" i="19"/>
  <c r="U369" i="19"/>
  <c r="T369" i="19"/>
  <c r="U340" i="19"/>
  <c r="T340" i="19"/>
  <c r="U334" i="19"/>
  <c r="T334" i="19"/>
  <c r="T322" i="19"/>
  <c r="U297" i="19"/>
  <c r="T297" i="19"/>
  <c r="U247" i="19"/>
  <c r="T247" i="19"/>
  <c r="U229" i="19"/>
  <c r="T229" i="19"/>
  <c r="U507" i="19"/>
  <c r="T500" i="19"/>
  <c r="U500" i="19"/>
  <c r="U484" i="19"/>
  <c r="T484" i="19"/>
  <c r="U466" i="19"/>
  <c r="T466" i="19"/>
  <c r="U1555" i="19"/>
  <c r="U425" i="19"/>
  <c r="T425" i="19"/>
  <c r="U422" i="19"/>
  <c r="T422" i="19"/>
  <c r="U398" i="19"/>
  <c r="T398" i="19"/>
  <c r="U328" i="19"/>
  <c r="T328" i="19"/>
  <c r="T319" i="19"/>
  <c r="U319" i="19"/>
  <c r="U303" i="19"/>
  <c r="T303" i="19"/>
  <c r="U857" i="19"/>
  <c r="T857" i="19"/>
  <c r="U254" i="19"/>
  <c r="T254" i="19"/>
  <c r="U241" i="19"/>
  <c r="T241" i="19"/>
  <c r="T228" i="19"/>
  <c r="U228" i="19"/>
  <c r="U219" i="19"/>
  <c r="T219" i="19"/>
  <c r="U543" i="19"/>
  <c r="U448" i="19"/>
  <c r="T448" i="19"/>
  <c r="T397" i="19"/>
  <c r="U397" i="19"/>
  <c r="U392" i="19"/>
  <c r="T392" i="19"/>
  <c r="U253" i="19"/>
  <c r="T253" i="19"/>
  <c r="T240" i="19"/>
  <c r="U240" i="19"/>
  <c r="T222" i="19"/>
  <c r="U222" i="19"/>
  <c r="T489" i="19"/>
  <c r="U489" i="19"/>
  <c r="T457" i="19"/>
  <c r="U434" i="19"/>
  <c r="T434" i="19"/>
  <c r="T409" i="19"/>
  <c r="T408" i="19"/>
  <c r="U408" i="19"/>
  <c r="U386" i="19"/>
  <c r="T386" i="19"/>
  <c r="U368" i="19"/>
  <c r="T368" i="19"/>
  <c r="T365" i="19"/>
  <c r="U365" i="19"/>
  <c r="U306" i="19"/>
  <c r="T306" i="19"/>
  <c r="U277" i="19"/>
  <c r="T277" i="19"/>
  <c r="T234" i="19"/>
  <c r="U234" i="19"/>
  <c r="U611" i="19"/>
  <c r="U587" i="19"/>
  <c r="U563" i="19"/>
  <c r="U545" i="19"/>
  <c r="U533" i="19"/>
  <c r="U521" i="19"/>
  <c r="U474" i="19"/>
  <c r="T474" i="19"/>
  <c r="T433" i="19"/>
  <c r="U417" i="19"/>
  <c r="T417" i="19"/>
  <c r="U405" i="19"/>
  <c r="T405" i="19"/>
  <c r="U380" i="19"/>
  <c r="T380" i="19"/>
  <c r="T367" i="19"/>
  <c r="U367" i="19"/>
  <c r="U358" i="19"/>
  <c r="T358" i="19"/>
  <c r="U346" i="19"/>
  <c r="T346" i="19"/>
  <c r="U321" i="19"/>
  <c r="T321" i="19"/>
  <c r="U613" i="19"/>
  <c r="U600" i="19"/>
  <c r="U589" i="19"/>
  <c r="U576" i="19"/>
  <c r="U565" i="19"/>
  <c r="U552" i="19"/>
  <c r="U540" i="19"/>
  <c r="U528" i="19"/>
  <c r="T465" i="19"/>
  <c r="U454" i="19"/>
  <c r="T454" i="19"/>
  <c r="U424" i="19"/>
  <c r="T424" i="19"/>
  <c r="U412" i="19"/>
  <c r="T412" i="19"/>
  <c r="T361" i="19"/>
  <c r="U361" i="19"/>
  <c r="U332" i="19"/>
  <c r="T332" i="19"/>
  <c r="U324" i="19"/>
  <c r="T324" i="19"/>
  <c r="U309" i="19"/>
  <c r="T309" i="19"/>
  <c r="U265" i="19"/>
  <c r="T265" i="19"/>
  <c r="U547" i="19"/>
  <c r="T506" i="19"/>
  <c r="U460" i="19"/>
  <c r="T460" i="19"/>
  <c r="U453" i="19"/>
  <c r="U450" i="19"/>
  <c r="T450" i="19"/>
  <c r="U447" i="19"/>
  <c r="U442" i="19"/>
  <c r="T442" i="19"/>
  <c r="T403" i="19"/>
  <c r="U403" i="19"/>
  <c r="T373" i="19"/>
  <c r="U373" i="19"/>
  <c r="U339" i="19"/>
  <c r="T339" i="19"/>
  <c r="U296" i="19"/>
  <c r="T296" i="19"/>
  <c r="U271" i="19"/>
  <c r="T271" i="19"/>
  <c r="T246" i="19"/>
  <c r="U246" i="19"/>
  <c r="U243" i="19"/>
  <c r="T243" i="19"/>
  <c r="T181" i="19"/>
  <c r="U181" i="19"/>
  <c r="T178" i="19"/>
  <c r="U178" i="19"/>
  <c r="U480" i="19"/>
  <c r="T480" i="19"/>
  <c r="U468" i="19"/>
  <c r="T468" i="19"/>
  <c r="U345" i="19"/>
  <c r="T345" i="19"/>
  <c r="U302" i="19"/>
  <c r="T302" i="19"/>
  <c r="U290" i="19"/>
  <c r="T290" i="19"/>
  <c r="T258" i="19"/>
  <c r="U258" i="19"/>
  <c r="T370" i="19"/>
  <c r="U359" i="19"/>
  <c r="U354" i="19"/>
  <c r="T354" i="19"/>
  <c r="U250" i="19"/>
  <c r="T231" i="19"/>
  <c r="U220" i="19"/>
  <c r="T214" i="19"/>
  <c r="U214" i="19"/>
  <c r="T202" i="19"/>
  <c r="U202" i="19"/>
  <c r="T192" i="19"/>
  <c r="U192" i="19"/>
  <c r="T120" i="19"/>
  <c r="U120" i="19"/>
  <c r="U195" i="19"/>
  <c r="T195" i="19"/>
  <c r="T186" i="19"/>
  <c r="U186" i="19"/>
  <c r="T168" i="19"/>
  <c r="U168" i="19"/>
  <c r="T158" i="19"/>
  <c r="U158" i="19"/>
  <c r="T391" i="19"/>
  <c r="U391" i="19"/>
  <c r="U378" i="19"/>
  <c r="T378" i="19"/>
  <c r="T364" i="19"/>
  <c r="T255" i="19"/>
  <c r="U239" i="19"/>
  <c r="T239" i="19"/>
  <c r="T225" i="19"/>
  <c r="T210" i="19"/>
  <c r="U210" i="19"/>
  <c r="U204" i="19"/>
  <c r="T180" i="19"/>
  <c r="U180" i="19"/>
  <c r="U155" i="19"/>
  <c r="T155" i="19"/>
  <c r="T129" i="19"/>
  <c r="U129" i="19"/>
  <c r="U348" i="19"/>
  <c r="T348" i="19"/>
  <c r="T315" i="19"/>
  <c r="T304" i="19"/>
  <c r="T285" i="19"/>
  <c r="T201" i="19"/>
  <c r="U201" i="19"/>
  <c r="T182" i="19"/>
  <c r="U182" i="19"/>
  <c r="T135" i="19"/>
  <c r="U135" i="19"/>
  <c r="T437" i="19"/>
  <c r="U437" i="19"/>
  <c r="T385" i="19"/>
  <c r="U385" i="19"/>
  <c r="U350" i="19"/>
  <c r="T350" i="19"/>
  <c r="U263" i="19"/>
  <c r="T263" i="19"/>
  <c r="T249" i="19"/>
  <c r="T138" i="19"/>
  <c r="U138" i="19"/>
  <c r="T125" i="19"/>
  <c r="U125" i="19"/>
  <c r="U372" i="19"/>
  <c r="T372" i="19"/>
  <c r="U355" i="19"/>
  <c r="U233" i="19"/>
  <c r="T233" i="19"/>
  <c r="T207" i="19"/>
  <c r="U207" i="19"/>
  <c r="U179" i="19"/>
  <c r="T179" i="19"/>
  <c r="U172" i="19"/>
  <c r="T157" i="19"/>
  <c r="U157" i="19"/>
  <c r="T150" i="19"/>
  <c r="U150" i="19"/>
  <c r="T124" i="19"/>
  <c r="U124" i="19"/>
  <c r="U374" i="19"/>
  <c r="T374" i="19"/>
  <c r="U282" i="19"/>
  <c r="T282" i="19"/>
  <c r="U235" i="19"/>
  <c r="T235" i="19"/>
  <c r="T209" i="19"/>
  <c r="U209" i="19"/>
  <c r="T206" i="19"/>
  <c r="U206" i="19"/>
  <c r="U203" i="19"/>
  <c r="T203" i="19"/>
  <c r="T197" i="19"/>
  <c r="U197" i="19"/>
  <c r="T160" i="19"/>
  <c r="U160" i="19"/>
  <c r="T153" i="19"/>
  <c r="U153" i="19"/>
  <c r="T121" i="19"/>
  <c r="U121" i="19"/>
  <c r="T400" i="19"/>
  <c r="T1551" i="19"/>
  <c r="T352" i="19"/>
  <c r="U314" i="19"/>
  <c r="T314" i="19"/>
  <c r="T295" i="19"/>
  <c r="U295" i="19"/>
  <c r="U284" i="19"/>
  <c r="T284" i="19"/>
  <c r="U257" i="19"/>
  <c r="T257" i="19"/>
  <c r="T224" i="19"/>
  <c r="T196" i="19"/>
  <c r="U196" i="19"/>
  <c r="T175" i="19"/>
  <c r="U175" i="19"/>
  <c r="T166" i="19"/>
  <c r="U166" i="19"/>
  <c r="T131" i="19"/>
  <c r="U131" i="19"/>
  <c r="T428" i="19"/>
  <c r="T376" i="19"/>
  <c r="T357" i="19"/>
  <c r="T248" i="19"/>
  <c r="T237" i="19"/>
  <c r="U211" i="19"/>
  <c r="T177" i="19"/>
  <c r="U177" i="19"/>
  <c r="T162" i="19"/>
  <c r="U162" i="19"/>
  <c r="T149" i="19"/>
  <c r="U149" i="19"/>
  <c r="T144" i="19"/>
  <c r="U144" i="19"/>
  <c r="T140" i="19"/>
  <c r="U140" i="19"/>
  <c r="U330" i="19"/>
  <c r="T330" i="19"/>
  <c r="U226" i="19"/>
  <c r="T190" i="19"/>
  <c r="U190" i="19"/>
  <c r="T187" i="19"/>
  <c r="U187" i="19"/>
  <c r="U171" i="19"/>
  <c r="T171" i="19"/>
  <c r="T92" i="19"/>
  <c r="U92" i="19"/>
  <c r="T70" i="19"/>
  <c r="U70" i="19"/>
  <c r="T50" i="19"/>
  <c r="U50" i="19"/>
  <c r="T34" i="19"/>
  <c r="U34" i="19"/>
  <c r="T14" i="19"/>
  <c r="U14" i="19"/>
  <c r="T167" i="19"/>
  <c r="U167" i="19"/>
  <c r="T154" i="19"/>
  <c r="U154" i="19"/>
  <c r="T130" i="19"/>
  <c r="U130" i="19"/>
  <c r="U113" i="19"/>
  <c r="T169" i="19"/>
  <c r="U169" i="19"/>
  <c r="T82" i="19"/>
  <c r="U82" i="19"/>
  <c r="U75" i="19"/>
  <c r="T75" i="19"/>
  <c r="T109" i="19"/>
  <c r="U109" i="19"/>
  <c r="T98" i="19"/>
  <c r="U98" i="19"/>
  <c r="T143" i="19"/>
  <c r="U143" i="19"/>
  <c r="T100" i="19"/>
  <c r="U100" i="19"/>
  <c r="T94" i="19"/>
  <c r="U94" i="19"/>
  <c r="T396" i="19"/>
  <c r="T215" i="19"/>
  <c r="U205" i="19"/>
  <c r="U200" i="19"/>
  <c r="U185" i="19"/>
  <c r="U165" i="19"/>
  <c r="T145" i="19"/>
  <c r="U145" i="19"/>
  <c r="T132" i="19"/>
  <c r="U132" i="19"/>
  <c r="U128" i="19"/>
  <c r="T418" i="19"/>
  <c r="U418" i="19"/>
  <c r="T108" i="19"/>
  <c r="U108" i="19"/>
  <c r="U105" i="19"/>
  <c r="T93" i="19"/>
  <c r="T86" i="19"/>
  <c r="U86" i="19"/>
  <c r="U212" i="19"/>
  <c r="U152" i="19"/>
  <c r="T142" i="19"/>
  <c r="U142" i="19"/>
  <c r="T134" i="19"/>
  <c r="U134" i="19"/>
  <c r="T123" i="19"/>
  <c r="U117" i="19"/>
  <c r="T147" i="19"/>
  <c r="U141" i="19"/>
  <c r="U136" i="19"/>
  <c r="U114" i="19"/>
  <c r="T88" i="19"/>
  <c r="U88" i="19"/>
  <c r="T110" i="19"/>
  <c r="U110" i="19"/>
  <c r="T107" i="19"/>
  <c r="U107" i="19"/>
  <c r="U164" i="19"/>
  <c r="U127" i="19"/>
  <c r="U106" i="19"/>
  <c r="T96" i="19"/>
  <c r="U96" i="19"/>
  <c r="T133" i="19"/>
  <c r="U116" i="19"/>
  <c r="T104" i="19"/>
  <c r="U104" i="19"/>
  <c r="U95" i="19"/>
  <c r="T72" i="19"/>
  <c r="U72" i="19"/>
  <c r="U63" i="19"/>
  <c r="T63" i="19"/>
  <c r="U27" i="19"/>
  <c r="T27" i="19"/>
  <c r="T40" i="19"/>
  <c r="U40" i="19"/>
  <c r="T4" i="19"/>
  <c r="U4" i="19"/>
  <c r="U97" i="19"/>
  <c r="U85" i="19"/>
  <c r="U81" i="19"/>
  <c r="T81" i="19"/>
  <c r="T66" i="19"/>
  <c r="U66" i="19"/>
  <c r="T56" i="19"/>
  <c r="U56" i="19"/>
  <c r="T30" i="19"/>
  <c r="U30" i="19"/>
  <c r="T20" i="19"/>
  <c r="U20" i="19"/>
  <c r="U99" i="19"/>
  <c r="U87" i="19"/>
  <c r="U74" i="19"/>
  <c r="T62" i="19"/>
  <c r="U62" i="19"/>
  <c r="T46" i="19"/>
  <c r="U46" i="19"/>
  <c r="T26" i="19"/>
  <c r="U26" i="19"/>
  <c r="T10" i="19"/>
  <c r="U10" i="19"/>
  <c r="U111" i="19"/>
  <c r="U101" i="19"/>
  <c r="U39" i="19"/>
  <c r="T39" i="19"/>
  <c r="U3" i="19"/>
  <c r="T3" i="19"/>
  <c r="T80" i="19"/>
  <c r="U80" i="19"/>
  <c r="T52" i="19"/>
  <c r="U52" i="19"/>
  <c r="T16" i="19"/>
  <c r="U16" i="19"/>
  <c r="T68" i="19"/>
  <c r="U68" i="19"/>
  <c r="T42" i="19"/>
  <c r="U42" i="19"/>
  <c r="T32" i="19"/>
  <c r="U32" i="19"/>
  <c r="T6" i="19"/>
  <c r="U6" i="19"/>
  <c r="T58" i="19"/>
  <c r="U58" i="19"/>
  <c r="T38" i="19"/>
  <c r="U38" i="19"/>
  <c r="T22" i="19"/>
  <c r="U22" i="19"/>
  <c r="T2" i="19"/>
  <c r="U2" i="19"/>
  <c r="U51" i="19"/>
  <c r="T51" i="19"/>
  <c r="U15" i="19"/>
  <c r="T15" i="19"/>
  <c r="T64" i="19"/>
  <c r="U64" i="19"/>
  <c r="T28" i="19"/>
  <c r="U28" i="19"/>
  <c r="T76" i="19"/>
  <c r="U76" i="19"/>
  <c r="T54" i="19"/>
  <c r="U54" i="19"/>
  <c r="T44" i="19"/>
  <c r="U44" i="19"/>
  <c r="T18" i="19"/>
  <c r="U18" i="19"/>
  <c r="T8" i="19"/>
  <c r="U8" i="19"/>
  <c r="T77" i="19"/>
  <c r="T65" i="19"/>
  <c r="T53" i="19"/>
  <c r="T41" i="19"/>
  <c r="T29" i="19"/>
  <c r="T17" i="19"/>
  <c r="T5" i="19"/>
  <c r="T69" i="19"/>
  <c r="T57" i="19"/>
  <c r="T45" i="19"/>
  <c r="T33" i="19"/>
  <c r="T21" i="19"/>
  <c r="T9" i="19"/>
  <c r="T71" i="19"/>
  <c r="T59" i="19"/>
  <c r="T47" i="19"/>
  <c r="T35" i="19"/>
  <c r="T23" i="19"/>
  <c r="T11" i="19"/>
  <c r="T61" i="19"/>
  <c r="T49" i="19"/>
  <c r="T37" i="19"/>
  <c r="T25" i="19"/>
  <c r="T13" i="19"/>
  <c r="AD18" i="17" l="1"/>
  <c r="G18" i="17"/>
  <c r="AP18" i="17" s="1"/>
  <c r="Q18" i="17"/>
  <c r="E18" i="17"/>
  <c r="O18" i="17" s="1"/>
  <c r="S18" i="17" s="1"/>
  <c r="AD37" i="17"/>
  <c r="G37" i="17"/>
  <c r="Q9" i="17"/>
  <c r="G9" i="17"/>
  <c r="Q13" i="17"/>
  <c r="G13" i="17"/>
  <c r="E65" i="18"/>
  <c r="T10" i="17" s="1"/>
  <c r="T44" i="17"/>
  <c r="F50" i="18"/>
  <c r="U16" i="17" s="1"/>
  <c r="T20" i="17"/>
  <c r="T17" i="17"/>
  <c r="F120" i="18"/>
  <c r="U45" i="17" s="1"/>
  <c r="T39" i="17"/>
  <c r="F110" i="18"/>
  <c r="U23" i="17" s="1"/>
  <c r="F190" i="18"/>
  <c r="F150" i="18"/>
  <c r="U32" i="17" s="1"/>
  <c r="F135" i="18"/>
  <c r="F95" i="18"/>
  <c r="F80" i="18"/>
  <c r="U19" i="17" s="1"/>
  <c r="F70" i="18"/>
  <c r="F65" i="18" s="1"/>
  <c r="U10" i="17" s="1"/>
  <c r="F85" i="18"/>
  <c r="F195" i="18"/>
  <c r="F75" i="18"/>
  <c r="U4" i="17" s="1"/>
  <c r="F125" i="18"/>
  <c r="U22" i="17" s="1"/>
  <c r="F160" i="18"/>
  <c r="F205" i="18"/>
  <c r="F130" i="18"/>
  <c r="U21" i="17" s="1"/>
  <c r="F215" i="18"/>
  <c r="U6" i="17" s="1"/>
  <c r="F100" i="18"/>
  <c r="U38" i="17" s="1"/>
  <c r="F55" i="18"/>
  <c r="U8" i="17" s="1"/>
  <c r="F200" i="18"/>
  <c r="F165" i="18"/>
  <c r="F220" i="18"/>
  <c r="F210" i="18"/>
  <c r="F170" i="18"/>
  <c r="U28" i="17" s="1"/>
  <c r="F225" i="18"/>
  <c r="F180" i="18"/>
  <c r="U36" i="17" s="1"/>
  <c r="F140" i="18"/>
  <c r="F145" i="18"/>
  <c r="U24" i="17" s="1"/>
  <c r="F60" i="18"/>
  <c r="U9" i="17" s="1"/>
  <c r="F105" i="18"/>
  <c r="U27" i="17" s="1"/>
  <c r="F185" i="18"/>
  <c r="F155" i="18"/>
  <c r="U7" i="17" s="1"/>
  <c r="F115" i="18"/>
  <c r="U25" i="17" s="1"/>
  <c r="F90" i="18"/>
  <c r="U13" i="17" s="1"/>
  <c r="F175" i="18"/>
  <c r="U20" i="17" l="1"/>
  <c r="U17" i="17"/>
  <c r="U39" i="17"/>
  <c r="U44" i="17"/>
  <c r="S2866" i="19"/>
  <c r="U2866" i="19" s="1"/>
  <c r="S2806" i="19"/>
  <c r="U2806" i="19" s="1"/>
  <c r="S2746" i="19"/>
  <c r="U2746" i="19" s="1"/>
  <c r="S2698" i="19"/>
  <c r="U2698" i="19" s="1"/>
  <c r="S2614" i="19"/>
  <c r="U2614" i="19" s="1"/>
  <c r="S2554" i="19"/>
  <c r="U2554" i="19" s="1"/>
  <c r="S2494" i="19"/>
  <c r="U2494" i="19" s="1"/>
  <c r="S2446" i="19"/>
  <c r="U2446" i="19" s="1"/>
  <c r="S2398" i="19"/>
  <c r="U2398" i="19" s="1"/>
  <c r="S2362" i="19"/>
  <c r="U2362" i="19" s="1"/>
  <c r="S2302" i="19"/>
  <c r="U2302" i="19" s="1"/>
  <c r="S2254" i="19"/>
  <c r="U2254" i="19" s="1"/>
  <c r="S2218" i="19"/>
  <c r="U2218" i="19" s="1"/>
  <c r="S2170" i="19"/>
  <c r="U2170" i="19" s="1"/>
  <c r="S2122" i="19"/>
  <c r="U2122" i="19" s="1"/>
  <c r="S2878" i="19"/>
  <c r="U2878" i="19" s="1"/>
  <c r="S2818" i="19"/>
  <c r="S2770" i="19"/>
  <c r="U2770" i="19" s="1"/>
  <c r="S2710" i="19"/>
  <c r="U2710" i="19" s="1"/>
  <c r="S2626" i="19"/>
  <c r="U2626" i="19" s="1"/>
  <c r="S2578" i="19"/>
  <c r="U2578" i="19" s="1"/>
  <c r="S2530" i="19"/>
  <c r="U2530" i="19" s="1"/>
  <c r="S2482" i="19"/>
  <c r="U2482" i="19" s="1"/>
  <c r="S2434" i="19"/>
  <c r="U2434" i="19" s="1"/>
  <c r="S2386" i="19"/>
  <c r="U2386" i="19" s="1"/>
  <c r="S2350" i="19"/>
  <c r="U2350" i="19" s="1"/>
  <c r="S2314" i="19"/>
  <c r="U2314" i="19" s="1"/>
  <c r="S2266" i="19"/>
  <c r="U2266" i="19" s="1"/>
  <c r="S2230" i="19"/>
  <c r="U2230" i="19" s="1"/>
  <c r="S2158" i="19"/>
  <c r="U2158" i="19" s="1"/>
  <c r="S2110" i="19"/>
  <c r="U2110" i="19" s="1"/>
  <c r="S2086" i="19"/>
  <c r="U2086" i="19" s="1"/>
  <c r="S2830" i="19"/>
  <c r="U2830" i="19" s="1"/>
  <c r="S2650" i="19"/>
  <c r="U2650" i="19" s="1"/>
  <c r="S2182" i="19"/>
  <c r="U2182" i="19" s="1"/>
  <c r="S2854" i="19"/>
  <c r="U2854" i="19" s="1"/>
  <c r="S2638" i="19"/>
  <c r="S2662" i="19"/>
  <c r="U2662" i="19" s="1"/>
  <c r="S2890" i="19"/>
  <c r="U2890" i="19" s="1"/>
  <c r="S2794" i="19"/>
  <c r="U2794" i="19" s="1"/>
  <c r="S2734" i="19"/>
  <c r="U2734" i="19" s="1"/>
  <c r="S2686" i="19"/>
  <c r="U2686" i="19" s="1"/>
  <c r="S2590" i="19"/>
  <c r="U2590" i="19" s="1"/>
  <c r="S2566" i="19"/>
  <c r="U2566" i="19" s="1"/>
  <c r="S2518" i="19"/>
  <c r="U2518" i="19" s="1"/>
  <c r="S2458" i="19"/>
  <c r="U2458" i="19" s="1"/>
  <c r="S2410" i="19"/>
  <c r="U2410" i="19" s="1"/>
  <c r="S2338" i="19"/>
  <c r="U2338" i="19" s="1"/>
  <c r="S2290" i="19"/>
  <c r="U2290" i="19" s="1"/>
  <c r="S2194" i="19"/>
  <c r="U2194" i="19" s="1"/>
  <c r="S2843" i="19"/>
  <c r="U2843" i="19" s="1"/>
  <c r="S2842" i="19"/>
  <c r="U2842" i="19" s="1"/>
  <c r="S2782" i="19"/>
  <c r="U2782" i="19" s="1"/>
  <c r="S2722" i="19"/>
  <c r="U2722" i="19" s="1"/>
  <c r="S2674" i="19"/>
  <c r="U2674" i="19" s="1"/>
  <c r="S2602" i="19"/>
  <c r="U2602" i="19" s="1"/>
  <c r="S2542" i="19"/>
  <c r="U2542" i="19" s="1"/>
  <c r="S2506" i="19"/>
  <c r="U2506" i="19" s="1"/>
  <c r="S2470" i="19"/>
  <c r="U2470" i="19" s="1"/>
  <c r="S2422" i="19"/>
  <c r="U2422" i="19" s="1"/>
  <c r="S2374" i="19"/>
  <c r="U2374" i="19" s="1"/>
  <c r="S2326" i="19"/>
  <c r="U2326" i="19" s="1"/>
  <c r="S2278" i="19"/>
  <c r="U2278" i="19" s="1"/>
  <c r="S2242" i="19"/>
  <c r="U2242" i="19" s="1"/>
  <c r="S2206" i="19"/>
  <c r="U2206" i="19" s="1"/>
  <c r="S2146" i="19"/>
  <c r="U2146" i="19" s="1"/>
  <c r="S2098" i="19"/>
  <c r="U2098" i="19" s="1"/>
  <c r="S2889" i="19"/>
  <c r="U2889" i="19" s="1"/>
  <c r="S2877" i="19"/>
  <c r="U2877" i="19" s="1"/>
  <c r="S2865" i="19"/>
  <c r="U2865" i="19" s="1"/>
  <c r="S2853" i="19"/>
  <c r="U2853" i="19" s="1"/>
  <c r="S2841" i="19"/>
  <c r="U2841" i="19" s="1"/>
  <c r="S2829" i="19"/>
  <c r="U2829" i="19" s="1"/>
  <c r="S2805" i="19"/>
  <c r="U2805" i="19" s="1"/>
  <c r="S2793" i="19"/>
  <c r="U2793" i="19" s="1"/>
  <c r="S2781" i="19"/>
  <c r="U2781" i="19" s="1"/>
  <c r="S2769" i="19"/>
  <c r="U2769" i="19" s="1"/>
  <c r="S2757" i="19"/>
  <c r="U2757" i="19" s="1"/>
  <c r="S2745" i="19"/>
  <c r="U2745" i="19" s="1"/>
  <c r="S2733" i="19"/>
  <c r="U2733" i="19" s="1"/>
  <c r="S2721" i="19"/>
  <c r="U2721" i="19" s="1"/>
  <c r="S2709" i="19"/>
  <c r="U2709" i="19" s="1"/>
  <c r="S2697" i="19"/>
  <c r="U2697" i="19" s="1"/>
  <c r="S2685" i="19"/>
  <c r="U2685" i="19" s="1"/>
  <c r="S2673" i="19"/>
  <c r="U2673" i="19" s="1"/>
  <c r="S2661" i="19"/>
  <c r="U2661" i="19" s="1"/>
  <c r="S2649" i="19"/>
  <c r="U2649" i="19" s="1"/>
  <c r="S2637" i="19"/>
  <c r="U2637" i="19" s="1"/>
  <c r="S2625" i="19"/>
  <c r="U2625" i="19" s="1"/>
  <c r="S2613" i="19"/>
  <c r="U2613" i="19" s="1"/>
  <c r="S2601" i="19"/>
  <c r="U2601" i="19" s="1"/>
  <c r="S2589" i="19"/>
  <c r="U2589" i="19" s="1"/>
  <c r="S2577" i="19"/>
  <c r="U2577" i="19" s="1"/>
  <c r="S2565" i="19"/>
  <c r="U2565" i="19" s="1"/>
  <c r="S2553" i="19"/>
  <c r="U2553" i="19" s="1"/>
  <c r="S2541" i="19"/>
  <c r="U2541" i="19" s="1"/>
  <c r="S2529" i="19"/>
  <c r="U2529" i="19" s="1"/>
  <c r="S2517" i="19"/>
  <c r="U2517" i="19" s="1"/>
  <c r="S2505" i="19"/>
  <c r="U2505" i="19" s="1"/>
  <c r="S2493" i="19"/>
  <c r="U2493" i="19" s="1"/>
  <c r="S2469" i="19"/>
  <c r="U2469" i="19" s="1"/>
  <c r="S2457" i="19"/>
  <c r="U2457" i="19" s="1"/>
  <c r="S2445" i="19"/>
  <c r="U2445" i="19" s="1"/>
  <c r="S2433" i="19"/>
  <c r="U2433" i="19" s="1"/>
  <c r="S2421" i="19"/>
  <c r="U2421" i="19" s="1"/>
  <c r="S2409" i="19"/>
  <c r="U2409" i="19" s="1"/>
  <c r="S2397" i="19"/>
  <c r="U2397" i="19" s="1"/>
  <c r="S2385" i="19"/>
  <c r="U2385" i="19" s="1"/>
  <c r="S2373" i="19"/>
  <c r="U2373" i="19" s="1"/>
  <c r="S2361" i="19"/>
  <c r="U2361" i="19" s="1"/>
  <c r="S2349" i="19"/>
  <c r="U2349" i="19" s="1"/>
  <c r="S2337" i="19"/>
  <c r="U2337" i="19" s="1"/>
  <c r="S2325" i="19"/>
  <c r="U2325" i="19" s="1"/>
  <c r="S2313" i="19"/>
  <c r="U2313" i="19" s="1"/>
  <c r="S2301" i="19"/>
  <c r="U2301" i="19" s="1"/>
  <c r="S2289" i="19"/>
  <c r="U2289" i="19" s="1"/>
  <c r="S2277" i="19"/>
  <c r="U2277" i="19" s="1"/>
  <c r="S2265" i="19"/>
  <c r="U2265" i="19" s="1"/>
  <c r="S2253" i="19"/>
  <c r="U2253" i="19" s="1"/>
  <c r="S2241" i="19"/>
  <c r="U2241" i="19" s="1"/>
  <c r="S2229" i="19"/>
  <c r="U2229" i="19" s="1"/>
  <c r="S2217" i="19"/>
  <c r="U2217" i="19" s="1"/>
  <c r="S2205" i="19"/>
  <c r="U2205" i="19" s="1"/>
  <c r="S2193" i="19"/>
  <c r="U2193" i="19" s="1"/>
  <c r="S2181" i="19"/>
  <c r="U2181" i="19" s="1"/>
  <c r="S2169" i="19"/>
  <c r="U2169" i="19" s="1"/>
  <c r="S2157" i="19"/>
  <c r="U2157" i="19" s="1"/>
  <c r="S2145" i="19"/>
  <c r="U2145" i="19" s="1"/>
  <c r="S2133" i="19"/>
  <c r="U2133" i="19" s="1"/>
  <c r="S2121" i="19"/>
  <c r="U2121" i="19" s="1"/>
  <c r="S2109" i="19"/>
  <c r="U2109" i="19" s="1"/>
  <c r="S2097" i="19"/>
  <c r="U2097" i="19" s="1"/>
  <c r="S2085" i="19"/>
  <c r="U2085" i="19" s="1"/>
  <c r="S2888" i="19"/>
  <c r="U2888" i="19" s="1"/>
  <c r="S2876" i="19"/>
  <c r="U2876" i="19" s="1"/>
  <c r="S2864" i="19"/>
  <c r="U2864" i="19" s="1"/>
  <c r="S2852" i="19"/>
  <c r="U2852" i="19" s="1"/>
  <c r="S2840" i="19"/>
  <c r="U2840" i="19" s="1"/>
  <c r="S2828" i="19"/>
  <c r="U2828" i="19" s="1"/>
  <c r="S2816" i="19"/>
  <c r="U2816" i="19" s="1"/>
  <c r="S2804" i="19"/>
  <c r="U2804" i="19" s="1"/>
  <c r="S2792" i="19"/>
  <c r="U2792" i="19" s="1"/>
  <c r="S2780" i="19"/>
  <c r="U2780" i="19" s="1"/>
  <c r="S2768" i="19"/>
  <c r="U2768" i="19" s="1"/>
  <c r="S2756" i="19"/>
  <c r="U2756" i="19" s="1"/>
  <c r="S2744" i="19"/>
  <c r="U2744" i="19" s="1"/>
  <c r="S2732" i="19"/>
  <c r="U2732" i="19" s="1"/>
  <c r="S2720" i="19"/>
  <c r="U2720" i="19" s="1"/>
  <c r="S2708" i="19"/>
  <c r="U2708" i="19" s="1"/>
  <c r="S2696" i="19"/>
  <c r="U2696" i="19" s="1"/>
  <c r="S2684" i="19"/>
  <c r="U2684" i="19" s="1"/>
  <c r="S2672" i="19"/>
  <c r="U2672" i="19" s="1"/>
  <c r="S2660" i="19"/>
  <c r="U2660" i="19" s="1"/>
  <c r="S2648" i="19"/>
  <c r="U2648" i="19" s="1"/>
  <c r="S2636" i="19"/>
  <c r="U2636" i="19" s="1"/>
  <c r="S2624" i="19"/>
  <c r="U2624" i="19" s="1"/>
  <c r="S2612" i="19"/>
  <c r="U2612" i="19" s="1"/>
  <c r="S2600" i="19"/>
  <c r="U2600" i="19" s="1"/>
  <c r="S2588" i="19"/>
  <c r="U2588" i="19" s="1"/>
  <c r="S2576" i="19"/>
  <c r="U2576" i="19" s="1"/>
  <c r="S2564" i="19"/>
  <c r="U2564" i="19" s="1"/>
  <c r="S2552" i="19"/>
  <c r="U2552" i="19" s="1"/>
  <c r="S2540" i="19"/>
  <c r="U2540" i="19" s="1"/>
  <c r="S2528" i="19"/>
  <c r="U2528" i="19" s="1"/>
  <c r="S2516" i="19"/>
  <c r="U2516" i="19" s="1"/>
  <c r="S2504" i="19"/>
  <c r="U2504" i="19" s="1"/>
  <c r="S2492" i="19"/>
  <c r="U2492" i="19" s="1"/>
  <c r="S2480" i="19"/>
  <c r="U2480" i="19" s="1"/>
  <c r="S2468" i="19"/>
  <c r="U2468" i="19" s="1"/>
  <c r="S2456" i="19"/>
  <c r="U2456" i="19" s="1"/>
  <c r="S2444" i="19"/>
  <c r="U2444" i="19" s="1"/>
  <c r="S2432" i="19"/>
  <c r="U2432" i="19" s="1"/>
  <c r="S2420" i="19"/>
  <c r="U2420" i="19" s="1"/>
  <c r="S2408" i="19"/>
  <c r="U2408" i="19" s="1"/>
  <c r="S2396" i="19"/>
  <c r="U2396" i="19" s="1"/>
  <c r="S2384" i="19"/>
  <c r="U2384" i="19" s="1"/>
  <c r="S2372" i="19"/>
  <c r="U2372" i="19" s="1"/>
  <c r="S2360" i="19"/>
  <c r="U2360" i="19" s="1"/>
  <c r="S2348" i="19"/>
  <c r="U2348" i="19" s="1"/>
  <c r="S2336" i="19"/>
  <c r="U2336" i="19" s="1"/>
  <c r="S2324" i="19"/>
  <c r="U2324" i="19" s="1"/>
  <c r="S2312" i="19"/>
  <c r="U2312" i="19" s="1"/>
  <c r="S2300" i="19"/>
  <c r="U2300" i="19" s="1"/>
  <c r="S2288" i="19"/>
  <c r="U2288" i="19" s="1"/>
  <c r="S2276" i="19"/>
  <c r="U2276" i="19" s="1"/>
  <c r="S2264" i="19"/>
  <c r="U2264" i="19" s="1"/>
  <c r="S2252" i="19"/>
  <c r="U2252" i="19" s="1"/>
  <c r="S2240" i="19"/>
  <c r="U2240" i="19" s="1"/>
  <c r="S2228" i="19"/>
  <c r="U2228" i="19" s="1"/>
  <c r="S2216" i="19"/>
  <c r="U2216" i="19" s="1"/>
  <c r="S2204" i="19"/>
  <c r="U2204" i="19" s="1"/>
  <c r="S2192" i="19"/>
  <c r="U2192" i="19" s="1"/>
  <c r="S2180" i="19"/>
  <c r="U2180" i="19" s="1"/>
  <c r="S2168" i="19"/>
  <c r="U2168" i="19" s="1"/>
  <c r="S2156" i="19"/>
  <c r="U2156" i="19" s="1"/>
  <c r="S2144" i="19"/>
  <c r="U2144" i="19" s="1"/>
  <c r="S2132" i="19"/>
  <c r="U2132" i="19" s="1"/>
  <c r="S2120" i="19"/>
  <c r="U2120" i="19" s="1"/>
  <c r="S2108" i="19"/>
  <c r="U2108" i="19" s="1"/>
  <c r="S2096" i="19"/>
  <c r="U2096" i="19" s="1"/>
  <c r="S2887" i="19"/>
  <c r="U2887" i="19" s="1"/>
  <c r="S2875" i="19"/>
  <c r="U2875" i="19" s="1"/>
  <c r="S2863" i="19"/>
  <c r="U2863" i="19" s="1"/>
  <c r="S2851" i="19"/>
  <c r="U2851" i="19" s="1"/>
  <c r="S2839" i="19"/>
  <c r="U2839" i="19" s="1"/>
  <c r="S2827" i="19"/>
  <c r="U2827" i="19" s="1"/>
  <c r="S2815" i="19"/>
  <c r="U2815" i="19" s="1"/>
  <c r="S2803" i="19"/>
  <c r="U2803" i="19" s="1"/>
  <c r="S2791" i="19"/>
  <c r="U2791" i="19" s="1"/>
  <c r="S2779" i="19"/>
  <c r="U2779" i="19" s="1"/>
  <c r="S2767" i="19"/>
  <c r="U2767" i="19" s="1"/>
  <c r="S2755" i="19"/>
  <c r="U2755" i="19" s="1"/>
  <c r="S2743" i="19"/>
  <c r="U2743" i="19" s="1"/>
  <c r="S2731" i="19"/>
  <c r="U2731" i="19" s="1"/>
  <c r="S2719" i="19"/>
  <c r="U2719" i="19" s="1"/>
  <c r="S2707" i="19"/>
  <c r="U2707" i="19" s="1"/>
  <c r="S2695" i="19"/>
  <c r="U2695" i="19" s="1"/>
  <c r="S2683" i="19"/>
  <c r="U2683" i="19" s="1"/>
  <c r="S2671" i="19"/>
  <c r="U2671" i="19" s="1"/>
  <c r="S2659" i="19"/>
  <c r="U2659" i="19" s="1"/>
  <c r="S2647" i="19"/>
  <c r="U2647" i="19" s="1"/>
  <c r="S2635" i="19"/>
  <c r="U2635" i="19" s="1"/>
  <c r="S2623" i="19"/>
  <c r="U2623" i="19" s="1"/>
  <c r="S2611" i="19"/>
  <c r="U2611" i="19" s="1"/>
  <c r="S2599" i="19"/>
  <c r="U2599" i="19" s="1"/>
  <c r="S2587" i="19"/>
  <c r="U2587" i="19" s="1"/>
  <c r="S2575" i="19"/>
  <c r="U2575" i="19" s="1"/>
  <c r="S2563" i="19"/>
  <c r="U2563" i="19" s="1"/>
  <c r="S2551" i="19"/>
  <c r="U2551" i="19" s="1"/>
  <c r="S2539" i="19"/>
  <c r="U2539" i="19" s="1"/>
  <c r="S2527" i="19"/>
  <c r="U2527" i="19" s="1"/>
  <c r="S2515" i="19"/>
  <c r="U2515" i="19" s="1"/>
  <c r="S2503" i="19"/>
  <c r="U2503" i="19" s="1"/>
  <c r="S2491" i="19"/>
  <c r="U2491" i="19" s="1"/>
  <c r="S2479" i="19"/>
  <c r="U2479" i="19" s="1"/>
  <c r="S2467" i="19"/>
  <c r="U2467" i="19" s="1"/>
  <c r="S2455" i="19"/>
  <c r="U2455" i="19" s="1"/>
  <c r="S2443" i="19"/>
  <c r="U2443" i="19" s="1"/>
  <c r="S2431" i="19"/>
  <c r="U2431" i="19" s="1"/>
  <c r="S2419" i="19"/>
  <c r="U2419" i="19" s="1"/>
  <c r="S2407" i="19"/>
  <c r="U2407" i="19" s="1"/>
  <c r="S2395" i="19"/>
  <c r="U2395" i="19" s="1"/>
  <c r="S2383" i="19"/>
  <c r="U2383" i="19" s="1"/>
  <c r="S2371" i="19"/>
  <c r="U2371" i="19" s="1"/>
  <c r="S2359" i="19"/>
  <c r="U2359" i="19" s="1"/>
  <c r="S2347" i="19"/>
  <c r="U2347" i="19" s="1"/>
  <c r="S2335" i="19"/>
  <c r="U2335" i="19" s="1"/>
  <c r="S2323" i="19"/>
  <c r="U2323" i="19" s="1"/>
  <c r="S2311" i="19"/>
  <c r="U2311" i="19" s="1"/>
  <c r="S2299" i="19"/>
  <c r="U2299" i="19" s="1"/>
  <c r="S2287" i="19"/>
  <c r="U2287" i="19" s="1"/>
  <c r="S2275" i="19"/>
  <c r="U2275" i="19" s="1"/>
  <c r="S2263" i="19"/>
  <c r="U2263" i="19" s="1"/>
  <c r="S2251" i="19"/>
  <c r="U2251" i="19" s="1"/>
  <c r="S2239" i="19"/>
  <c r="U2239" i="19" s="1"/>
  <c r="S2227" i="19"/>
  <c r="U2227" i="19" s="1"/>
  <c r="S2215" i="19"/>
  <c r="U2215" i="19" s="1"/>
  <c r="S2203" i="19"/>
  <c r="U2203" i="19" s="1"/>
  <c r="S2191" i="19"/>
  <c r="U2191" i="19" s="1"/>
  <c r="S2179" i="19"/>
  <c r="U2179" i="19" s="1"/>
  <c r="S2167" i="19"/>
  <c r="U2167" i="19" s="1"/>
  <c r="S2155" i="19"/>
  <c r="U2155" i="19" s="1"/>
  <c r="S2143" i="19"/>
  <c r="U2143" i="19" s="1"/>
  <c r="S2131" i="19"/>
  <c r="U2131" i="19" s="1"/>
  <c r="S2119" i="19"/>
  <c r="U2119" i="19" s="1"/>
  <c r="S2107" i="19"/>
  <c r="U2107" i="19" s="1"/>
  <c r="S2095" i="19"/>
  <c r="U2095" i="19" s="1"/>
  <c r="S2886" i="19"/>
  <c r="U2886" i="19" s="1"/>
  <c r="S2874" i="19"/>
  <c r="U2874" i="19" s="1"/>
  <c r="S2862" i="19"/>
  <c r="U2862" i="19" s="1"/>
  <c r="S2850" i="19"/>
  <c r="U2850" i="19" s="1"/>
  <c r="S2838" i="19"/>
  <c r="U2838" i="19" s="1"/>
  <c r="S2826" i="19"/>
  <c r="U2826" i="19" s="1"/>
  <c r="S2814" i="19"/>
  <c r="U2814" i="19" s="1"/>
  <c r="S2802" i="19"/>
  <c r="U2802" i="19" s="1"/>
  <c r="S2790" i="19"/>
  <c r="U2790" i="19" s="1"/>
  <c r="S2778" i="19"/>
  <c r="U2778" i="19" s="1"/>
  <c r="S2766" i="19"/>
  <c r="U2766" i="19" s="1"/>
  <c r="S2754" i="19"/>
  <c r="U2754" i="19" s="1"/>
  <c r="S2742" i="19"/>
  <c r="U2742" i="19" s="1"/>
  <c r="S2730" i="19"/>
  <c r="U2730" i="19" s="1"/>
  <c r="S2718" i="19"/>
  <c r="U2718" i="19" s="1"/>
  <c r="S2706" i="19"/>
  <c r="U2706" i="19" s="1"/>
  <c r="S2694" i="19"/>
  <c r="U2694" i="19" s="1"/>
  <c r="S2682" i="19"/>
  <c r="U2682" i="19" s="1"/>
  <c r="S2670" i="19"/>
  <c r="U2670" i="19" s="1"/>
  <c r="S2658" i="19"/>
  <c r="U2658" i="19" s="1"/>
  <c r="S2646" i="19"/>
  <c r="U2646" i="19" s="1"/>
  <c r="S2634" i="19"/>
  <c r="U2634" i="19" s="1"/>
  <c r="S2622" i="19"/>
  <c r="U2622" i="19" s="1"/>
  <c r="S2610" i="19"/>
  <c r="U2610" i="19" s="1"/>
  <c r="S2598" i="19"/>
  <c r="U2598" i="19" s="1"/>
  <c r="S2586" i="19"/>
  <c r="U2586" i="19" s="1"/>
  <c r="S2574" i="19"/>
  <c r="U2574" i="19" s="1"/>
  <c r="S2562" i="19"/>
  <c r="U2562" i="19" s="1"/>
  <c r="S2550" i="19"/>
  <c r="U2550" i="19" s="1"/>
  <c r="S2538" i="19"/>
  <c r="U2538" i="19" s="1"/>
  <c r="S2526" i="19"/>
  <c r="U2526" i="19" s="1"/>
  <c r="S2514" i="19"/>
  <c r="U2514" i="19" s="1"/>
  <c r="S2502" i="19"/>
  <c r="U2502" i="19" s="1"/>
  <c r="S2490" i="19"/>
  <c r="U2490" i="19" s="1"/>
  <c r="S2478" i="19"/>
  <c r="U2478" i="19" s="1"/>
  <c r="S2466" i="19"/>
  <c r="U2466" i="19" s="1"/>
  <c r="S2454" i="19"/>
  <c r="U2454" i="19" s="1"/>
  <c r="S2442" i="19"/>
  <c r="U2442" i="19" s="1"/>
  <c r="S2430" i="19"/>
  <c r="U2430" i="19" s="1"/>
  <c r="S2418" i="19"/>
  <c r="U2418" i="19" s="1"/>
  <c r="S2406" i="19"/>
  <c r="U2406" i="19" s="1"/>
  <c r="S2394" i="19"/>
  <c r="U2394" i="19" s="1"/>
  <c r="S2382" i="19"/>
  <c r="U2382" i="19" s="1"/>
  <c r="S2370" i="19"/>
  <c r="U2370" i="19" s="1"/>
  <c r="S2358" i="19"/>
  <c r="U2358" i="19" s="1"/>
  <c r="S2346" i="19"/>
  <c r="U2346" i="19" s="1"/>
  <c r="S2334" i="19"/>
  <c r="U2334" i="19" s="1"/>
  <c r="S2322" i="19"/>
  <c r="U2322" i="19" s="1"/>
  <c r="S2310" i="19"/>
  <c r="U2310" i="19" s="1"/>
  <c r="S2298" i="19"/>
  <c r="U2298" i="19" s="1"/>
  <c r="S2286" i="19"/>
  <c r="U2286" i="19" s="1"/>
  <c r="S2274" i="19"/>
  <c r="U2274" i="19" s="1"/>
  <c r="S2262" i="19"/>
  <c r="U2262" i="19" s="1"/>
  <c r="S2250" i="19"/>
  <c r="U2250" i="19" s="1"/>
  <c r="S2238" i="19"/>
  <c r="U2238" i="19" s="1"/>
  <c r="S2226" i="19"/>
  <c r="U2226" i="19" s="1"/>
  <c r="S2214" i="19"/>
  <c r="U2214" i="19" s="1"/>
  <c r="S2202" i="19"/>
  <c r="U2202" i="19" s="1"/>
  <c r="S2190" i="19"/>
  <c r="U2190" i="19" s="1"/>
  <c r="S2178" i="19"/>
  <c r="U2178" i="19" s="1"/>
  <c r="S2166" i="19"/>
  <c r="U2166" i="19" s="1"/>
  <c r="S2154" i="19"/>
  <c r="U2154" i="19" s="1"/>
  <c r="S2142" i="19"/>
  <c r="U2142" i="19" s="1"/>
  <c r="S2130" i="19"/>
  <c r="U2130" i="19" s="1"/>
  <c r="S2118" i="19"/>
  <c r="U2118" i="19" s="1"/>
  <c r="S2106" i="19"/>
  <c r="U2106" i="19" s="1"/>
  <c r="S2094" i="19"/>
  <c r="U2094" i="19" s="1"/>
  <c r="S2897" i="19"/>
  <c r="U2897" i="19" s="1"/>
  <c r="S2885" i="19"/>
  <c r="U2885" i="19" s="1"/>
  <c r="S2873" i="19"/>
  <c r="U2873" i="19" s="1"/>
  <c r="S2861" i="19"/>
  <c r="U2861" i="19" s="1"/>
  <c r="S2849" i="19"/>
  <c r="U2849" i="19" s="1"/>
  <c r="S2837" i="19"/>
  <c r="U2837" i="19" s="1"/>
  <c r="S2825" i="19"/>
  <c r="U2825" i="19" s="1"/>
  <c r="S2813" i="19"/>
  <c r="U2813" i="19" s="1"/>
  <c r="S2801" i="19"/>
  <c r="U2801" i="19" s="1"/>
  <c r="S2789" i="19"/>
  <c r="U2789" i="19" s="1"/>
  <c r="S2777" i="19"/>
  <c r="U2777" i="19" s="1"/>
  <c r="S2765" i="19"/>
  <c r="U2765" i="19" s="1"/>
  <c r="S2753" i="19"/>
  <c r="U2753" i="19" s="1"/>
  <c r="S2741" i="19"/>
  <c r="U2741" i="19" s="1"/>
  <c r="S2729" i="19"/>
  <c r="U2729" i="19" s="1"/>
  <c r="S2717" i="19"/>
  <c r="U2717" i="19" s="1"/>
  <c r="S2705" i="19"/>
  <c r="U2705" i="19" s="1"/>
  <c r="S2693" i="19"/>
  <c r="U2693" i="19" s="1"/>
  <c r="S2681" i="19"/>
  <c r="U2681" i="19" s="1"/>
  <c r="S2669" i="19"/>
  <c r="U2669" i="19" s="1"/>
  <c r="S2657" i="19"/>
  <c r="U2657" i="19" s="1"/>
  <c r="S2645" i="19"/>
  <c r="U2645" i="19" s="1"/>
  <c r="S2633" i="19"/>
  <c r="U2633" i="19" s="1"/>
  <c r="S2621" i="19"/>
  <c r="U2621" i="19" s="1"/>
  <c r="S2609" i="19"/>
  <c r="U2609" i="19" s="1"/>
  <c r="S2597" i="19"/>
  <c r="U2597" i="19" s="1"/>
  <c r="S2585" i="19"/>
  <c r="U2585" i="19" s="1"/>
  <c r="S2573" i="19"/>
  <c r="U2573" i="19" s="1"/>
  <c r="S2561" i="19"/>
  <c r="U2561" i="19" s="1"/>
  <c r="S2549" i="19"/>
  <c r="U2549" i="19" s="1"/>
  <c r="S2537" i="19"/>
  <c r="U2537" i="19" s="1"/>
  <c r="S2525" i="19"/>
  <c r="U2525" i="19" s="1"/>
  <c r="S2513" i="19"/>
  <c r="U2513" i="19" s="1"/>
  <c r="S2501" i="19"/>
  <c r="U2501" i="19" s="1"/>
  <c r="S2489" i="19"/>
  <c r="U2489" i="19" s="1"/>
  <c r="S2477" i="19"/>
  <c r="U2477" i="19" s="1"/>
  <c r="S2465" i="19"/>
  <c r="U2465" i="19" s="1"/>
  <c r="S2453" i="19"/>
  <c r="U2453" i="19" s="1"/>
  <c r="S2441" i="19"/>
  <c r="U2441" i="19" s="1"/>
  <c r="S2429" i="19"/>
  <c r="U2429" i="19" s="1"/>
  <c r="S2417" i="19"/>
  <c r="U2417" i="19" s="1"/>
  <c r="S2405" i="19"/>
  <c r="U2405" i="19" s="1"/>
  <c r="S2393" i="19"/>
  <c r="U2393" i="19" s="1"/>
  <c r="S2381" i="19"/>
  <c r="U2381" i="19" s="1"/>
  <c r="S2369" i="19"/>
  <c r="U2369" i="19" s="1"/>
  <c r="S2357" i="19"/>
  <c r="U2357" i="19" s="1"/>
  <c r="S2345" i="19"/>
  <c r="U2345" i="19" s="1"/>
  <c r="S2333" i="19"/>
  <c r="U2333" i="19" s="1"/>
  <c r="S2321" i="19"/>
  <c r="U2321" i="19" s="1"/>
  <c r="S2309" i="19"/>
  <c r="U2309" i="19" s="1"/>
  <c r="S2297" i="19"/>
  <c r="U2297" i="19" s="1"/>
  <c r="S2285" i="19"/>
  <c r="U2285" i="19" s="1"/>
  <c r="S2273" i="19"/>
  <c r="U2273" i="19" s="1"/>
  <c r="S2261" i="19"/>
  <c r="U2261" i="19" s="1"/>
  <c r="S2249" i="19"/>
  <c r="U2249" i="19" s="1"/>
  <c r="S2237" i="19"/>
  <c r="U2237" i="19" s="1"/>
  <c r="S2225" i="19"/>
  <c r="U2225" i="19" s="1"/>
  <c r="S2213" i="19"/>
  <c r="U2213" i="19" s="1"/>
  <c r="S2201" i="19"/>
  <c r="U2201" i="19" s="1"/>
  <c r="S2189" i="19"/>
  <c r="U2189" i="19" s="1"/>
  <c r="S2177" i="19"/>
  <c r="U2177" i="19" s="1"/>
  <c r="S2165" i="19"/>
  <c r="U2165" i="19" s="1"/>
  <c r="S2153" i="19"/>
  <c r="U2153" i="19" s="1"/>
  <c r="S2141" i="19"/>
  <c r="U2141" i="19" s="1"/>
  <c r="S2129" i="19"/>
  <c r="U2129" i="19" s="1"/>
  <c r="S2117" i="19"/>
  <c r="U2117" i="19" s="1"/>
  <c r="S2105" i="19"/>
  <c r="U2105" i="19" s="1"/>
  <c r="S2093" i="19"/>
  <c r="U2093" i="19" s="1"/>
  <c r="S2896" i="19"/>
  <c r="U2896" i="19" s="1"/>
  <c r="S2884" i="19"/>
  <c r="U2884" i="19" s="1"/>
  <c r="S2872" i="19"/>
  <c r="U2872" i="19" s="1"/>
  <c r="S2860" i="19"/>
  <c r="U2860" i="19" s="1"/>
  <c r="S2848" i="19"/>
  <c r="U2848" i="19" s="1"/>
  <c r="S2836" i="19"/>
  <c r="U2836" i="19" s="1"/>
  <c r="S2824" i="19"/>
  <c r="U2824" i="19" s="1"/>
  <c r="S2812" i="19"/>
  <c r="U2812" i="19" s="1"/>
  <c r="S2800" i="19"/>
  <c r="U2800" i="19" s="1"/>
  <c r="S2788" i="19"/>
  <c r="U2788" i="19" s="1"/>
  <c r="S2776" i="19"/>
  <c r="U2776" i="19" s="1"/>
  <c r="S2764" i="19"/>
  <c r="U2764" i="19" s="1"/>
  <c r="S2752" i="19"/>
  <c r="U2752" i="19" s="1"/>
  <c r="S2740" i="19"/>
  <c r="U2740" i="19" s="1"/>
  <c r="S2728" i="19"/>
  <c r="U2728" i="19" s="1"/>
  <c r="S2716" i="19"/>
  <c r="U2716" i="19" s="1"/>
  <c r="S2704" i="19"/>
  <c r="U2704" i="19" s="1"/>
  <c r="S2692" i="19"/>
  <c r="U2692" i="19" s="1"/>
  <c r="S2680" i="19"/>
  <c r="U2680" i="19" s="1"/>
  <c r="S2668" i="19"/>
  <c r="U2668" i="19" s="1"/>
  <c r="S2656" i="19"/>
  <c r="U2656" i="19" s="1"/>
  <c r="S2644" i="19"/>
  <c r="U2644" i="19" s="1"/>
  <c r="S2632" i="19"/>
  <c r="U2632" i="19" s="1"/>
  <c r="S2620" i="19"/>
  <c r="U2620" i="19" s="1"/>
  <c r="S2608" i="19"/>
  <c r="U2608" i="19" s="1"/>
  <c r="S2596" i="19"/>
  <c r="U2596" i="19" s="1"/>
  <c r="S2584" i="19"/>
  <c r="U2584" i="19" s="1"/>
  <c r="S2572" i="19"/>
  <c r="U2572" i="19" s="1"/>
  <c r="S2560" i="19"/>
  <c r="U2560" i="19" s="1"/>
  <c r="S2548" i="19"/>
  <c r="U2548" i="19" s="1"/>
  <c r="S2536" i="19"/>
  <c r="U2536" i="19" s="1"/>
  <c r="S2524" i="19"/>
  <c r="U2524" i="19" s="1"/>
  <c r="S2512" i="19"/>
  <c r="U2512" i="19" s="1"/>
  <c r="S2500" i="19"/>
  <c r="U2500" i="19" s="1"/>
  <c r="S2488" i="19"/>
  <c r="U2488" i="19" s="1"/>
  <c r="S2476" i="19"/>
  <c r="U2476" i="19" s="1"/>
  <c r="S2464" i="19"/>
  <c r="U2464" i="19" s="1"/>
  <c r="S2452" i="19"/>
  <c r="U2452" i="19" s="1"/>
  <c r="S2440" i="19"/>
  <c r="U2440" i="19" s="1"/>
  <c r="S2428" i="19"/>
  <c r="U2428" i="19" s="1"/>
  <c r="S2416" i="19"/>
  <c r="U2416" i="19" s="1"/>
  <c r="S2404" i="19"/>
  <c r="U2404" i="19" s="1"/>
  <c r="S2392" i="19"/>
  <c r="U2392" i="19" s="1"/>
  <c r="S2380" i="19"/>
  <c r="U2380" i="19" s="1"/>
  <c r="S2368" i="19"/>
  <c r="U2368" i="19" s="1"/>
  <c r="S2356" i="19"/>
  <c r="U2356" i="19" s="1"/>
  <c r="S2344" i="19"/>
  <c r="U2344" i="19" s="1"/>
  <c r="S2332" i="19"/>
  <c r="U2332" i="19" s="1"/>
  <c r="S2320" i="19"/>
  <c r="U2320" i="19" s="1"/>
  <c r="S2308" i="19"/>
  <c r="U2308" i="19" s="1"/>
  <c r="S2296" i="19"/>
  <c r="U2296" i="19" s="1"/>
  <c r="S2284" i="19"/>
  <c r="U2284" i="19" s="1"/>
  <c r="S2272" i="19"/>
  <c r="U2272" i="19" s="1"/>
  <c r="S2260" i="19"/>
  <c r="U2260" i="19" s="1"/>
  <c r="S2248" i="19"/>
  <c r="U2248" i="19" s="1"/>
  <c r="S2236" i="19"/>
  <c r="U2236" i="19" s="1"/>
  <c r="S2224" i="19"/>
  <c r="U2224" i="19" s="1"/>
  <c r="S2212" i="19"/>
  <c r="U2212" i="19" s="1"/>
  <c r="S2200" i="19"/>
  <c r="U2200" i="19" s="1"/>
  <c r="S2188" i="19"/>
  <c r="U2188" i="19" s="1"/>
  <c r="S2176" i="19"/>
  <c r="U2176" i="19" s="1"/>
  <c r="S2164" i="19"/>
  <c r="U2164" i="19" s="1"/>
  <c r="S2152" i="19"/>
  <c r="U2152" i="19" s="1"/>
  <c r="S2140" i="19"/>
  <c r="U2140" i="19" s="1"/>
  <c r="S2128" i="19"/>
  <c r="U2128" i="19" s="1"/>
  <c r="S2116" i="19"/>
  <c r="U2116" i="19" s="1"/>
  <c r="S2104" i="19"/>
  <c r="U2104" i="19" s="1"/>
  <c r="S2092" i="19"/>
  <c r="U2092" i="19" s="1"/>
  <c r="S2895" i="19"/>
  <c r="U2895" i="19" s="1"/>
  <c r="S2883" i="19"/>
  <c r="U2883" i="19" s="1"/>
  <c r="S2871" i="19"/>
  <c r="U2871" i="19" s="1"/>
  <c r="S2859" i="19"/>
  <c r="U2859" i="19" s="1"/>
  <c r="S2847" i="19"/>
  <c r="U2847" i="19" s="1"/>
  <c r="S2835" i="19"/>
  <c r="U2835" i="19" s="1"/>
  <c r="S2823" i="19"/>
  <c r="U2823" i="19" s="1"/>
  <c r="S2811" i="19"/>
  <c r="U2811" i="19" s="1"/>
  <c r="S2799" i="19"/>
  <c r="U2799" i="19" s="1"/>
  <c r="S2787" i="19"/>
  <c r="U2787" i="19" s="1"/>
  <c r="S2775" i="19"/>
  <c r="U2775" i="19" s="1"/>
  <c r="S2763" i="19"/>
  <c r="U2763" i="19" s="1"/>
  <c r="S2751" i="19"/>
  <c r="U2751" i="19" s="1"/>
  <c r="S2739" i="19"/>
  <c r="U2739" i="19" s="1"/>
  <c r="S2727" i="19"/>
  <c r="U2727" i="19" s="1"/>
  <c r="S2715" i="19"/>
  <c r="U2715" i="19" s="1"/>
  <c r="S2703" i="19"/>
  <c r="U2703" i="19" s="1"/>
  <c r="S2691" i="19"/>
  <c r="U2691" i="19" s="1"/>
  <c r="S2679" i="19"/>
  <c r="U2679" i="19" s="1"/>
  <c r="S2667" i="19"/>
  <c r="U2667" i="19" s="1"/>
  <c r="S2655" i="19"/>
  <c r="U2655" i="19" s="1"/>
  <c r="S2643" i="19"/>
  <c r="U2643" i="19" s="1"/>
  <c r="S2631" i="19"/>
  <c r="U2631" i="19" s="1"/>
  <c r="S2619" i="19"/>
  <c r="U2619" i="19" s="1"/>
  <c r="S2607" i="19"/>
  <c r="U2607" i="19" s="1"/>
  <c r="S2595" i="19"/>
  <c r="U2595" i="19" s="1"/>
  <c r="S2583" i="19"/>
  <c r="U2583" i="19" s="1"/>
  <c r="S2571" i="19"/>
  <c r="U2571" i="19" s="1"/>
  <c r="S2559" i="19"/>
  <c r="U2559" i="19" s="1"/>
  <c r="S2547" i="19"/>
  <c r="U2547" i="19" s="1"/>
  <c r="S2535" i="19"/>
  <c r="U2535" i="19" s="1"/>
  <c r="S2523" i="19"/>
  <c r="U2523" i="19" s="1"/>
  <c r="S2511" i="19"/>
  <c r="U2511" i="19" s="1"/>
  <c r="S2499" i="19"/>
  <c r="U2499" i="19" s="1"/>
  <c r="S2487" i="19"/>
  <c r="U2487" i="19" s="1"/>
  <c r="S2475" i="19"/>
  <c r="U2475" i="19" s="1"/>
  <c r="S2463" i="19"/>
  <c r="U2463" i="19" s="1"/>
  <c r="S2451" i="19"/>
  <c r="U2451" i="19" s="1"/>
  <c r="S2439" i="19"/>
  <c r="U2439" i="19" s="1"/>
  <c r="S2427" i="19"/>
  <c r="U2427" i="19" s="1"/>
  <c r="S2415" i="19"/>
  <c r="U2415" i="19" s="1"/>
  <c r="S2403" i="19"/>
  <c r="U2403" i="19" s="1"/>
  <c r="S2391" i="19"/>
  <c r="U2391" i="19" s="1"/>
  <c r="S2379" i="19"/>
  <c r="U2379" i="19" s="1"/>
  <c r="S2367" i="19"/>
  <c r="U2367" i="19" s="1"/>
  <c r="S2355" i="19"/>
  <c r="U2355" i="19" s="1"/>
  <c r="S2343" i="19"/>
  <c r="U2343" i="19" s="1"/>
  <c r="S2331" i="19"/>
  <c r="U2331" i="19" s="1"/>
  <c r="S2319" i="19"/>
  <c r="U2319" i="19" s="1"/>
  <c r="S2307" i="19"/>
  <c r="U2307" i="19" s="1"/>
  <c r="S2295" i="19"/>
  <c r="U2295" i="19" s="1"/>
  <c r="S2283" i="19"/>
  <c r="U2283" i="19" s="1"/>
  <c r="S2271" i="19"/>
  <c r="U2271" i="19" s="1"/>
  <c r="S2259" i="19"/>
  <c r="U2259" i="19" s="1"/>
  <c r="S2247" i="19"/>
  <c r="U2247" i="19" s="1"/>
  <c r="S2235" i="19"/>
  <c r="U2235" i="19" s="1"/>
  <c r="S2223" i="19"/>
  <c r="U2223" i="19" s="1"/>
  <c r="S2211" i="19"/>
  <c r="U2211" i="19" s="1"/>
  <c r="S2199" i="19"/>
  <c r="U2199" i="19" s="1"/>
  <c r="S2187" i="19"/>
  <c r="U2187" i="19" s="1"/>
  <c r="S2175" i="19"/>
  <c r="U2175" i="19" s="1"/>
  <c r="S2163" i="19"/>
  <c r="U2163" i="19" s="1"/>
  <c r="S2151" i="19"/>
  <c r="U2151" i="19" s="1"/>
  <c r="S2139" i="19"/>
  <c r="U2139" i="19" s="1"/>
  <c r="S2127" i="19"/>
  <c r="U2127" i="19" s="1"/>
  <c r="S2115" i="19"/>
  <c r="U2115" i="19" s="1"/>
  <c r="S2103" i="19"/>
  <c r="U2103" i="19" s="1"/>
  <c r="S2091" i="19"/>
  <c r="U2091" i="19" s="1"/>
  <c r="S2894" i="19"/>
  <c r="U2894" i="19" s="1"/>
  <c r="S2882" i="19"/>
  <c r="U2882" i="19" s="1"/>
  <c r="S2870" i="19"/>
  <c r="U2870" i="19" s="1"/>
  <c r="S2858" i="19"/>
  <c r="U2858" i="19" s="1"/>
  <c r="S2846" i="19"/>
  <c r="U2846" i="19" s="1"/>
  <c r="S2834" i="19"/>
  <c r="U2834" i="19" s="1"/>
  <c r="S2822" i="19"/>
  <c r="U2822" i="19" s="1"/>
  <c r="S2810" i="19"/>
  <c r="U2810" i="19" s="1"/>
  <c r="S2798" i="19"/>
  <c r="U2798" i="19" s="1"/>
  <c r="S2786" i="19"/>
  <c r="U2786" i="19" s="1"/>
  <c r="S2774" i="19"/>
  <c r="U2774" i="19" s="1"/>
  <c r="S2762" i="19"/>
  <c r="U2762" i="19" s="1"/>
  <c r="S2750" i="19"/>
  <c r="U2750" i="19" s="1"/>
  <c r="S2738" i="19"/>
  <c r="U2738" i="19" s="1"/>
  <c r="S2726" i="19"/>
  <c r="U2726" i="19" s="1"/>
  <c r="S2714" i="19"/>
  <c r="U2714" i="19" s="1"/>
  <c r="S2702" i="19"/>
  <c r="U2702" i="19" s="1"/>
  <c r="S2690" i="19"/>
  <c r="U2690" i="19" s="1"/>
  <c r="S2678" i="19"/>
  <c r="U2678" i="19" s="1"/>
  <c r="S2666" i="19"/>
  <c r="U2666" i="19" s="1"/>
  <c r="S2654" i="19"/>
  <c r="U2654" i="19" s="1"/>
  <c r="S2642" i="19"/>
  <c r="U2642" i="19" s="1"/>
  <c r="S2630" i="19"/>
  <c r="U2630" i="19" s="1"/>
  <c r="S2618" i="19"/>
  <c r="U2618" i="19" s="1"/>
  <c r="S2606" i="19"/>
  <c r="U2606" i="19" s="1"/>
  <c r="S2594" i="19"/>
  <c r="U2594" i="19" s="1"/>
  <c r="S2582" i="19"/>
  <c r="U2582" i="19" s="1"/>
  <c r="S2570" i="19"/>
  <c r="U2570" i="19" s="1"/>
  <c r="S2558" i="19"/>
  <c r="U2558" i="19" s="1"/>
  <c r="S2546" i="19"/>
  <c r="U2546" i="19" s="1"/>
  <c r="S2534" i="19"/>
  <c r="U2534" i="19" s="1"/>
  <c r="S2522" i="19"/>
  <c r="U2522" i="19" s="1"/>
  <c r="S2510" i="19"/>
  <c r="U2510" i="19" s="1"/>
  <c r="S2498" i="19"/>
  <c r="U2498" i="19" s="1"/>
  <c r="S2486" i="19"/>
  <c r="U2486" i="19" s="1"/>
  <c r="S2474" i="19"/>
  <c r="U2474" i="19" s="1"/>
  <c r="S2462" i="19"/>
  <c r="U2462" i="19" s="1"/>
  <c r="S2450" i="19"/>
  <c r="U2450" i="19" s="1"/>
  <c r="S2438" i="19"/>
  <c r="U2438" i="19" s="1"/>
  <c r="S2426" i="19"/>
  <c r="U2426" i="19" s="1"/>
  <c r="S2414" i="19"/>
  <c r="U2414" i="19" s="1"/>
  <c r="S2402" i="19"/>
  <c r="U2402" i="19" s="1"/>
  <c r="S2390" i="19"/>
  <c r="U2390" i="19" s="1"/>
  <c r="S2378" i="19"/>
  <c r="U2378" i="19" s="1"/>
  <c r="S2366" i="19"/>
  <c r="U2366" i="19" s="1"/>
  <c r="S2354" i="19"/>
  <c r="U2354" i="19" s="1"/>
  <c r="S2342" i="19"/>
  <c r="U2342" i="19" s="1"/>
  <c r="S2330" i="19"/>
  <c r="U2330" i="19" s="1"/>
  <c r="S2318" i="19"/>
  <c r="U2318" i="19" s="1"/>
  <c r="S2306" i="19"/>
  <c r="U2306" i="19" s="1"/>
  <c r="S2294" i="19"/>
  <c r="U2294" i="19" s="1"/>
  <c r="S2282" i="19"/>
  <c r="U2282" i="19" s="1"/>
  <c r="S2270" i="19"/>
  <c r="U2270" i="19" s="1"/>
  <c r="S2258" i="19"/>
  <c r="U2258" i="19" s="1"/>
  <c r="S2246" i="19"/>
  <c r="U2246" i="19" s="1"/>
  <c r="S2234" i="19"/>
  <c r="U2234" i="19" s="1"/>
  <c r="S2222" i="19"/>
  <c r="U2222" i="19" s="1"/>
  <c r="S2210" i="19"/>
  <c r="U2210" i="19" s="1"/>
  <c r="S2198" i="19"/>
  <c r="U2198" i="19" s="1"/>
  <c r="S2186" i="19"/>
  <c r="U2186" i="19" s="1"/>
  <c r="S2174" i="19"/>
  <c r="U2174" i="19" s="1"/>
  <c r="S2162" i="19"/>
  <c r="U2162" i="19" s="1"/>
  <c r="S2150" i="19"/>
  <c r="U2150" i="19" s="1"/>
  <c r="S2138" i="19"/>
  <c r="U2138" i="19" s="1"/>
  <c r="S2126" i="19"/>
  <c r="U2126" i="19" s="1"/>
  <c r="S2114" i="19"/>
  <c r="U2114" i="19" s="1"/>
  <c r="S2102" i="19"/>
  <c r="U2102" i="19" s="1"/>
  <c r="S2090" i="19"/>
  <c r="U2090" i="19" s="1"/>
  <c r="S2893" i="19"/>
  <c r="U2893" i="19" s="1"/>
  <c r="S2881" i="19"/>
  <c r="U2881" i="19" s="1"/>
  <c r="S2869" i="19"/>
  <c r="U2869" i="19" s="1"/>
  <c r="S2857" i="19"/>
  <c r="U2857" i="19" s="1"/>
  <c r="S2845" i="19"/>
  <c r="U2845" i="19" s="1"/>
  <c r="S2833" i="19"/>
  <c r="U2833" i="19" s="1"/>
  <c r="S2821" i="19"/>
  <c r="U2821" i="19" s="1"/>
  <c r="S2809" i="19"/>
  <c r="U2809" i="19" s="1"/>
  <c r="S2797" i="19"/>
  <c r="U2797" i="19" s="1"/>
  <c r="S2785" i="19"/>
  <c r="U2785" i="19" s="1"/>
  <c r="S2773" i="19"/>
  <c r="U2773" i="19" s="1"/>
  <c r="S2761" i="19"/>
  <c r="U2761" i="19" s="1"/>
  <c r="S2749" i="19"/>
  <c r="U2749" i="19" s="1"/>
  <c r="S2737" i="19"/>
  <c r="U2737" i="19" s="1"/>
  <c r="S2725" i="19"/>
  <c r="U2725" i="19" s="1"/>
  <c r="S2713" i="19"/>
  <c r="U2713" i="19" s="1"/>
  <c r="S2701" i="19"/>
  <c r="U2701" i="19" s="1"/>
  <c r="S2689" i="19"/>
  <c r="U2689" i="19" s="1"/>
  <c r="S2677" i="19"/>
  <c r="U2677" i="19" s="1"/>
  <c r="S2665" i="19"/>
  <c r="U2665" i="19" s="1"/>
  <c r="S2653" i="19"/>
  <c r="U2653" i="19" s="1"/>
  <c r="S2641" i="19"/>
  <c r="U2641" i="19" s="1"/>
  <c r="S2629" i="19"/>
  <c r="U2629" i="19" s="1"/>
  <c r="S2617" i="19"/>
  <c r="U2617" i="19" s="1"/>
  <c r="S2605" i="19"/>
  <c r="U2605" i="19" s="1"/>
  <c r="S2593" i="19"/>
  <c r="U2593" i="19" s="1"/>
  <c r="S2581" i="19"/>
  <c r="U2581" i="19" s="1"/>
  <c r="S2569" i="19"/>
  <c r="U2569" i="19" s="1"/>
  <c r="S2557" i="19"/>
  <c r="U2557" i="19" s="1"/>
  <c r="S2545" i="19"/>
  <c r="U2545" i="19" s="1"/>
  <c r="S2533" i="19"/>
  <c r="U2533" i="19" s="1"/>
  <c r="S2521" i="19"/>
  <c r="U2521" i="19" s="1"/>
  <c r="S2509" i="19"/>
  <c r="U2509" i="19" s="1"/>
  <c r="S2497" i="19"/>
  <c r="U2497" i="19" s="1"/>
  <c r="S2485" i="19"/>
  <c r="U2485" i="19" s="1"/>
  <c r="S2473" i="19"/>
  <c r="U2473" i="19" s="1"/>
  <c r="S2461" i="19"/>
  <c r="U2461" i="19" s="1"/>
  <c r="S2449" i="19"/>
  <c r="U2449" i="19" s="1"/>
  <c r="S2437" i="19"/>
  <c r="U2437" i="19" s="1"/>
  <c r="S2425" i="19"/>
  <c r="U2425" i="19" s="1"/>
  <c r="S2413" i="19"/>
  <c r="U2413" i="19" s="1"/>
  <c r="S2401" i="19"/>
  <c r="U2401" i="19" s="1"/>
  <c r="S2389" i="19"/>
  <c r="U2389" i="19" s="1"/>
  <c r="S2377" i="19"/>
  <c r="U2377" i="19" s="1"/>
  <c r="S2365" i="19"/>
  <c r="U2365" i="19" s="1"/>
  <c r="S2353" i="19"/>
  <c r="U2353" i="19" s="1"/>
  <c r="S2341" i="19"/>
  <c r="U2341" i="19" s="1"/>
  <c r="S2329" i="19"/>
  <c r="U2329" i="19" s="1"/>
  <c r="S2317" i="19"/>
  <c r="U2317" i="19" s="1"/>
  <c r="S2305" i="19"/>
  <c r="U2305" i="19" s="1"/>
  <c r="S2293" i="19"/>
  <c r="U2293" i="19" s="1"/>
  <c r="S2281" i="19"/>
  <c r="U2281" i="19" s="1"/>
  <c r="S2269" i="19"/>
  <c r="U2269" i="19" s="1"/>
  <c r="S2257" i="19"/>
  <c r="U2257" i="19" s="1"/>
  <c r="S2245" i="19"/>
  <c r="U2245" i="19" s="1"/>
  <c r="S2233" i="19"/>
  <c r="U2233" i="19" s="1"/>
  <c r="S2221" i="19"/>
  <c r="U2221" i="19" s="1"/>
  <c r="S2209" i="19"/>
  <c r="U2209" i="19" s="1"/>
  <c r="S2197" i="19"/>
  <c r="U2197" i="19" s="1"/>
  <c r="S2185" i="19"/>
  <c r="U2185" i="19" s="1"/>
  <c r="S2173" i="19"/>
  <c r="U2173" i="19" s="1"/>
  <c r="S2161" i="19"/>
  <c r="U2161" i="19" s="1"/>
  <c r="S2149" i="19"/>
  <c r="U2149" i="19" s="1"/>
  <c r="S2137" i="19"/>
  <c r="U2137" i="19" s="1"/>
  <c r="S2125" i="19"/>
  <c r="U2125" i="19" s="1"/>
  <c r="S2113" i="19"/>
  <c r="U2113" i="19" s="1"/>
  <c r="S2101" i="19"/>
  <c r="U2101" i="19" s="1"/>
  <c r="S2089" i="19"/>
  <c r="U2089" i="19" s="1"/>
  <c r="S2892" i="19"/>
  <c r="U2892" i="19" s="1"/>
  <c r="S2880" i="19"/>
  <c r="U2880" i="19" s="1"/>
  <c r="S2868" i="19"/>
  <c r="U2868" i="19" s="1"/>
  <c r="S2856" i="19"/>
  <c r="U2856" i="19" s="1"/>
  <c r="S2844" i="19"/>
  <c r="U2844" i="19" s="1"/>
  <c r="S2832" i="19"/>
  <c r="U2832" i="19" s="1"/>
  <c r="S2820" i="19"/>
  <c r="U2820" i="19" s="1"/>
  <c r="S2808" i="19"/>
  <c r="U2808" i="19" s="1"/>
  <c r="S2796" i="19"/>
  <c r="U2796" i="19" s="1"/>
  <c r="S2772" i="19"/>
  <c r="U2772" i="19" s="1"/>
  <c r="S2760" i="19"/>
  <c r="U2760" i="19" s="1"/>
  <c r="S2748" i="19"/>
  <c r="U2748" i="19" s="1"/>
  <c r="S2736" i="19"/>
  <c r="U2736" i="19" s="1"/>
  <c r="S2724" i="19"/>
  <c r="U2724" i="19" s="1"/>
  <c r="S2712" i="19"/>
  <c r="U2712" i="19" s="1"/>
  <c r="S2700" i="19"/>
  <c r="U2700" i="19" s="1"/>
  <c r="S2688" i="19"/>
  <c r="U2688" i="19" s="1"/>
  <c r="S2676" i="19"/>
  <c r="U2676" i="19" s="1"/>
  <c r="S2664" i="19"/>
  <c r="U2664" i="19" s="1"/>
  <c r="S2652" i="19"/>
  <c r="U2652" i="19" s="1"/>
  <c r="S2640" i="19"/>
  <c r="U2640" i="19" s="1"/>
  <c r="S2628" i="19"/>
  <c r="U2628" i="19" s="1"/>
  <c r="S2616" i="19"/>
  <c r="U2616" i="19" s="1"/>
  <c r="S2604" i="19"/>
  <c r="U2604" i="19" s="1"/>
  <c r="S2592" i="19"/>
  <c r="U2592" i="19" s="1"/>
  <c r="S2580" i="19"/>
  <c r="U2580" i="19" s="1"/>
  <c r="S2568" i="19"/>
  <c r="U2568" i="19" s="1"/>
  <c r="S2556" i="19"/>
  <c r="U2556" i="19" s="1"/>
  <c r="S2544" i="19"/>
  <c r="U2544" i="19" s="1"/>
  <c r="S2532" i="19"/>
  <c r="U2532" i="19" s="1"/>
  <c r="S2520" i="19"/>
  <c r="U2520" i="19" s="1"/>
  <c r="S2508" i="19"/>
  <c r="U2508" i="19" s="1"/>
  <c r="S2496" i="19"/>
  <c r="U2496" i="19" s="1"/>
  <c r="S2484" i="19"/>
  <c r="U2484" i="19" s="1"/>
  <c r="S2472" i="19"/>
  <c r="U2472" i="19" s="1"/>
  <c r="S2460" i="19"/>
  <c r="U2460" i="19" s="1"/>
  <c r="S2448" i="19"/>
  <c r="U2448" i="19" s="1"/>
  <c r="S2436" i="19"/>
  <c r="U2436" i="19" s="1"/>
  <c r="S2424" i="19"/>
  <c r="U2424" i="19" s="1"/>
  <c r="S2412" i="19"/>
  <c r="U2412" i="19" s="1"/>
  <c r="S2400" i="19"/>
  <c r="U2400" i="19" s="1"/>
  <c r="S2388" i="19"/>
  <c r="U2388" i="19" s="1"/>
  <c r="S2376" i="19"/>
  <c r="U2376" i="19" s="1"/>
  <c r="S2364" i="19"/>
  <c r="U2364" i="19" s="1"/>
  <c r="S2352" i="19"/>
  <c r="U2352" i="19" s="1"/>
  <c r="S2340" i="19"/>
  <c r="U2340" i="19" s="1"/>
  <c r="S2328" i="19"/>
  <c r="U2328" i="19" s="1"/>
  <c r="S2316" i="19"/>
  <c r="U2316" i="19" s="1"/>
  <c r="S2292" i="19"/>
  <c r="U2292" i="19" s="1"/>
  <c r="S2280" i="19"/>
  <c r="U2280" i="19" s="1"/>
  <c r="S2268" i="19"/>
  <c r="U2268" i="19" s="1"/>
  <c r="S2256" i="19"/>
  <c r="U2256" i="19" s="1"/>
  <c r="S2244" i="19"/>
  <c r="U2244" i="19" s="1"/>
  <c r="S2232" i="19"/>
  <c r="U2232" i="19" s="1"/>
  <c r="S2220" i="19"/>
  <c r="U2220" i="19" s="1"/>
  <c r="S2208" i="19"/>
  <c r="U2208" i="19" s="1"/>
  <c r="S2196" i="19"/>
  <c r="U2196" i="19" s="1"/>
  <c r="S2184" i="19"/>
  <c r="U2184" i="19" s="1"/>
  <c r="S2172" i="19"/>
  <c r="U2172" i="19" s="1"/>
  <c r="S2160" i="19"/>
  <c r="U2160" i="19" s="1"/>
  <c r="S2148" i="19"/>
  <c r="U2148" i="19" s="1"/>
  <c r="S2136" i="19"/>
  <c r="U2136" i="19" s="1"/>
  <c r="S2124" i="19"/>
  <c r="U2124" i="19" s="1"/>
  <c r="S2112" i="19"/>
  <c r="U2112" i="19" s="1"/>
  <c r="S2100" i="19"/>
  <c r="U2100" i="19" s="1"/>
  <c r="S2088" i="19"/>
  <c r="U2088" i="19" s="1"/>
  <c r="S2891" i="19"/>
  <c r="U2891" i="19" s="1"/>
  <c r="S2879" i="19"/>
  <c r="U2879" i="19" s="1"/>
  <c r="S2867" i="19"/>
  <c r="U2867" i="19" s="1"/>
  <c r="S2855" i="19"/>
  <c r="U2855" i="19" s="1"/>
  <c r="S2831" i="19"/>
  <c r="U2831" i="19" s="1"/>
  <c r="S2819" i="19"/>
  <c r="U2819" i="19" s="1"/>
  <c r="S2807" i="19"/>
  <c r="U2807" i="19" s="1"/>
  <c r="S2795" i="19"/>
  <c r="U2795" i="19" s="1"/>
  <c r="S2783" i="19"/>
  <c r="U2783" i="19" s="1"/>
  <c r="S2771" i="19"/>
  <c r="U2771" i="19" s="1"/>
  <c r="S2759" i="19"/>
  <c r="U2759" i="19" s="1"/>
  <c r="S2747" i="19"/>
  <c r="U2747" i="19" s="1"/>
  <c r="S2735" i="19"/>
  <c r="U2735" i="19" s="1"/>
  <c r="S2723" i="19"/>
  <c r="U2723" i="19" s="1"/>
  <c r="S2711" i="19"/>
  <c r="U2711" i="19" s="1"/>
  <c r="S2699" i="19"/>
  <c r="U2699" i="19" s="1"/>
  <c r="S2687" i="19"/>
  <c r="U2687" i="19" s="1"/>
  <c r="S2675" i="19"/>
  <c r="U2675" i="19" s="1"/>
  <c r="S2663" i="19"/>
  <c r="U2663" i="19" s="1"/>
  <c r="S2639" i="19"/>
  <c r="U2639" i="19" s="1"/>
  <c r="S2627" i="19"/>
  <c r="U2627" i="19" s="1"/>
  <c r="S2615" i="19"/>
  <c r="U2615" i="19" s="1"/>
  <c r="S2603" i="19"/>
  <c r="U2603" i="19" s="1"/>
  <c r="S2591" i="19"/>
  <c r="U2591" i="19" s="1"/>
  <c r="S2579" i="19"/>
  <c r="U2579" i="19" s="1"/>
  <c r="S2567" i="19"/>
  <c r="U2567" i="19" s="1"/>
  <c r="S2555" i="19"/>
  <c r="U2555" i="19" s="1"/>
  <c r="S2543" i="19"/>
  <c r="U2543" i="19" s="1"/>
  <c r="S2531" i="19"/>
  <c r="U2531" i="19" s="1"/>
  <c r="S2519" i="19"/>
  <c r="U2519" i="19" s="1"/>
  <c r="S2507" i="19"/>
  <c r="U2507" i="19" s="1"/>
  <c r="S2495" i="19"/>
  <c r="U2495" i="19" s="1"/>
  <c r="S2483" i="19"/>
  <c r="U2483" i="19" s="1"/>
  <c r="S2471" i="19"/>
  <c r="U2471" i="19" s="1"/>
  <c r="S2459" i="19"/>
  <c r="U2459" i="19" s="1"/>
  <c r="S2447" i="19"/>
  <c r="U2447" i="19" s="1"/>
  <c r="S2435" i="19"/>
  <c r="U2435" i="19" s="1"/>
  <c r="S2423" i="19"/>
  <c r="U2423" i="19" s="1"/>
  <c r="S2411" i="19"/>
  <c r="U2411" i="19" s="1"/>
  <c r="S2399" i="19"/>
  <c r="U2399" i="19" s="1"/>
  <c r="S2387" i="19"/>
  <c r="U2387" i="19" s="1"/>
  <c r="S2375" i="19"/>
  <c r="U2375" i="19" s="1"/>
  <c r="S2363" i="19"/>
  <c r="U2363" i="19" s="1"/>
  <c r="S2351" i="19"/>
  <c r="U2351" i="19" s="1"/>
  <c r="S2339" i="19"/>
  <c r="U2339" i="19" s="1"/>
  <c r="S2327" i="19"/>
  <c r="U2327" i="19" s="1"/>
  <c r="S2315" i="19"/>
  <c r="U2315" i="19" s="1"/>
  <c r="S2303" i="19"/>
  <c r="U2303" i="19" s="1"/>
  <c r="S2291" i="19"/>
  <c r="U2291" i="19" s="1"/>
  <c r="S2279" i="19"/>
  <c r="U2279" i="19" s="1"/>
  <c r="S2267" i="19"/>
  <c r="U2267" i="19" s="1"/>
  <c r="S2255" i="19"/>
  <c r="U2255" i="19" s="1"/>
  <c r="S2243" i="19"/>
  <c r="U2243" i="19" s="1"/>
  <c r="S2231" i="19"/>
  <c r="U2231" i="19" s="1"/>
  <c r="S2219" i="19"/>
  <c r="U2219" i="19" s="1"/>
  <c r="S2207" i="19"/>
  <c r="U2207" i="19" s="1"/>
  <c r="S2195" i="19"/>
  <c r="U2195" i="19" s="1"/>
  <c r="S2183" i="19"/>
  <c r="U2183" i="19" s="1"/>
  <c r="S2171" i="19"/>
  <c r="U2171" i="19" s="1"/>
  <c r="S2159" i="19"/>
  <c r="U2159" i="19" s="1"/>
  <c r="S2147" i="19"/>
  <c r="U2147" i="19" s="1"/>
  <c r="S2135" i="19"/>
  <c r="U2135" i="19" s="1"/>
  <c r="S2123" i="19"/>
  <c r="U2123" i="19" s="1"/>
  <c r="S2111" i="19"/>
  <c r="U2111" i="19" s="1"/>
  <c r="S2099" i="19"/>
  <c r="U2099" i="19" s="1"/>
  <c r="S2087" i="19"/>
  <c r="U2087" i="19" s="1"/>
  <c r="S2817" i="19"/>
  <c r="U2817" i="19" s="1"/>
  <c r="S2784" i="19"/>
  <c r="U2784" i="19" s="1"/>
  <c r="S2758" i="19"/>
  <c r="U2758" i="19" s="1"/>
  <c r="S2651" i="19"/>
  <c r="U2651" i="19" s="1"/>
  <c r="S2481" i="19"/>
  <c r="U2481" i="19" s="1"/>
  <c r="S2304" i="19"/>
  <c r="U2304" i="19" s="1"/>
  <c r="S2134" i="19"/>
  <c r="U2134" i="19" s="1"/>
  <c r="U2638" i="19"/>
  <c r="U2818" i="19"/>
  <c r="AA5" i="17" l="1"/>
  <c r="AF5" i="17"/>
  <c r="AG5" i="17"/>
  <c r="AA6" i="17"/>
  <c r="AF6" i="17"/>
  <c r="AG6" i="17"/>
  <c r="AA7" i="17"/>
  <c r="AF7" i="17"/>
  <c r="Z7" i="17" s="1"/>
  <c r="AG7" i="17"/>
  <c r="J5" i="17" l="1"/>
  <c r="F5" i="17" s="1"/>
  <c r="J6" i="17"/>
  <c r="F6" i="17" s="1"/>
  <c r="Z6" i="17" l="1"/>
  <c r="Z5" i="17"/>
  <c r="B8" i="17" l="1"/>
  <c r="B10" i="17"/>
  <c r="B9" i="17"/>
  <c r="AA4" i="17" l="1"/>
  <c r="T2085" i="19" l="1"/>
  <c r="R2085" i="19"/>
  <c r="T2086" i="19"/>
  <c r="R2086" i="19"/>
  <c r="T2087" i="19"/>
  <c r="R2087" i="19"/>
  <c r="T2088" i="19"/>
  <c r="R2088" i="19"/>
  <c r="T2089" i="19"/>
  <c r="R2089" i="19"/>
  <c r="T2090" i="19"/>
  <c r="R2090" i="19"/>
  <c r="T2091" i="19"/>
  <c r="R2091" i="19"/>
  <c r="T2092" i="19"/>
  <c r="R2092" i="19"/>
  <c r="T2093" i="19"/>
  <c r="R2093" i="19"/>
  <c r="T2094" i="19"/>
  <c r="R2094" i="19"/>
  <c r="T2095" i="19"/>
  <c r="R2095" i="19"/>
  <c r="T2096" i="19"/>
  <c r="R2096" i="19"/>
  <c r="T2097" i="19"/>
  <c r="R2097" i="19"/>
  <c r="T2098" i="19"/>
  <c r="R2098" i="19"/>
  <c r="T2099" i="19"/>
  <c r="R2099" i="19"/>
  <c r="T2100" i="19"/>
  <c r="R2100" i="19"/>
  <c r="T2101" i="19"/>
  <c r="R2101" i="19"/>
  <c r="T2102" i="19"/>
  <c r="R2102" i="19"/>
  <c r="T2103" i="19"/>
  <c r="R2103" i="19"/>
  <c r="T2104" i="19"/>
  <c r="R2104" i="19"/>
  <c r="T2105" i="19"/>
  <c r="R2105" i="19"/>
  <c r="T2106" i="19"/>
  <c r="R2106" i="19"/>
  <c r="T2107" i="19"/>
  <c r="R2107" i="19"/>
  <c r="T2108" i="19"/>
  <c r="R2108" i="19"/>
  <c r="T2109" i="19"/>
  <c r="R2109" i="19"/>
  <c r="T2110" i="19"/>
  <c r="R2110" i="19"/>
  <c r="T2111" i="19"/>
  <c r="R2111" i="19"/>
  <c r="T2112" i="19"/>
  <c r="R2112" i="19"/>
  <c r="T2113" i="19"/>
  <c r="R2113" i="19"/>
  <c r="T2114" i="19"/>
  <c r="R2114" i="19"/>
  <c r="T2115" i="19"/>
  <c r="R2115" i="19"/>
  <c r="T2116" i="19"/>
  <c r="R2116" i="19"/>
  <c r="T2117" i="19"/>
  <c r="R2117" i="19"/>
  <c r="T2118" i="19"/>
  <c r="R2118" i="19"/>
  <c r="T2119" i="19"/>
  <c r="R2119" i="19"/>
  <c r="T2120" i="19"/>
  <c r="R2120" i="19"/>
  <c r="T2121" i="19"/>
  <c r="R2121" i="19"/>
  <c r="T2122" i="19"/>
  <c r="R2122" i="19"/>
  <c r="T2123" i="19"/>
  <c r="R2123" i="19"/>
  <c r="T2124" i="19"/>
  <c r="R2124" i="19"/>
  <c r="T2125" i="19"/>
  <c r="R2125" i="19"/>
  <c r="T2126" i="19"/>
  <c r="R2126" i="19"/>
  <c r="T2127" i="19"/>
  <c r="R2127" i="19"/>
  <c r="T2128" i="19"/>
  <c r="R2128" i="19"/>
  <c r="T2129" i="19"/>
  <c r="R2129" i="19"/>
  <c r="T2130" i="19"/>
  <c r="R2130" i="19"/>
  <c r="T2131" i="19"/>
  <c r="R2131" i="19"/>
  <c r="T2132" i="19"/>
  <c r="R2132" i="19"/>
  <c r="T2133" i="19"/>
  <c r="R2133" i="19"/>
  <c r="T2134" i="19"/>
  <c r="R2134" i="19"/>
  <c r="T2135" i="19"/>
  <c r="R2135" i="19"/>
  <c r="T2136" i="19"/>
  <c r="R2136" i="19"/>
  <c r="T2137" i="19"/>
  <c r="R2137" i="19"/>
  <c r="T2138" i="19"/>
  <c r="R2138" i="19"/>
  <c r="T2139" i="19"/>
  <c r="R2139" i="19"/>
  <c r="T2140" i="19"/>
  <c r="R2140" i="19"/>
  <c r="T2141" i="19"/>
  <c r="R2141" i="19"/>
  <c r="T2142" i="19"/>
  <c r="R2142" i="19"/>
  <c r="T2143" i="19"/>
  <c r="R2143" i="19"/>
  <c r="T2144" i="19"/>
  <c r="R2144" i="19"/>
  <c r="T2145" i="19"/>
  <c r="R2145" i="19"/>
  <c r="T2146" i="19"/>
  <c r="R2146" i="19"/>
  <c r="T2147" i="19"/>
  <c r="R2147" i="19"/>
  <c r="T2148" i="19"/>
  <c r="R2148" i="19"/>
  <c r="T2149" i="19"/>
  <c r="R2149" i="19"/>
  <c r="T2150" i="19"/>
  <c r="R2150" i="19"/>
  <c r="T2151" i="19"/>
  <c r="R2151" i="19"/>
  <c r="T2152" i="19"/>
  <c r="R2152" i="19"/>
  <c r="T2153" i="19"/>
  <c r="R2153" i="19"/>
  <c r="T2154" i="19"/>
  <c r="R2154" i="19"/>
  <c r="T2155" i="19"/>
  <c r="R2155" i="19"/>
  <c r="T2156" i="19"/>
  <c r="R2156" i="19"/>
  <c r="T2157" i="19"/>
  <c r="R2157" i="19"/>
  <c r="T2158" i="19"/>
  <c r="R2158" i="19"/>
  <c r="T2159" i="19"/>
  <c r="R2159" i="19"/>
  <c r="T2160" i="19"/>
  <c r="R2160" i="19"/>
  <c r="T2161" i="19"/>
  <c r="R2161" i="19"/>
  <c r="T2162" i="19"/>
  <c r="R2162" i="19"/>
  <c r="T2163" i="19"/>
  <c r="R2163" i="19"/>
  <c r="T2164" i="19"/>
  <c r="R2164" i="19"/>
  <c r="T2165" i="19"/>
  <c r="R2165" i="19"/>
  <c r="T2166" i="19"/>
  <c r="R2166" i="19"/>
  <c r="T2167" i="19"/>
  <c r="R2167" i="19"/>
  <c r="T2168" i="19"/>
  <c r="R2168" i="19"/>
  <c r="T2169" i="19"/>
  <c r="R2169" i="19"/>
  <c r="T2170" i="19"/>
  <c r="R2170" i="19"/>
  <c r="T2171" i="19"/>
  <c r="R2171" i="19"/>
  <c r="T2172" i="19"/>
  <c r="R2172" i="19"/>
  <c r="T2173" i="19"/>
  <c r="R2173" i="19"/>
  <c r="T2174" i="19"/>
  <c r="R2174" i="19"/>
  <c r="T2175" i="19"/>
  <c r="R2175" i="19"/>
  <c r="T2176" i="19"/>
  <c r="R2176" i="19"/>
  <c r="T2177" i="19"/>
  <c r="R2177" i="19"/>
  <c r="T2178" i="19"/>
  <c r="R2178" i="19"/>
  <c r="T2179" i="19"/>
  <c r="R2179" i="19"/>
  <c r="T2180" i="19"/>
  <c r="R2180" i="19"/>
  <c r="T2181" i="19"/>
  <c r="R2181" i="19"/>
  <c r="T2182" i="19"/>
  <c r="R2182" i="19"/>
  <c r="T2183" i="19"/>
  <c r="R2183" i="19"/>
  <c r="T2184" i="19"/>
  <c r="R2184" i="19"/>
  <c r="T2185" i="19"/>
  <c r="R2185" i="19"/>
  <c r="T2186" i="19"/>
  <c r="R2186" i="19"/>
  <c r="T2187" i="19"/>
  <c r="R2187" i="19"/>
  <c r="T2188" i="19"/>
  <c r="R2188" i="19"/>
  <c r="T2189" i="19"/>
  <c r="R2189" i="19"/>
  <c r="T2190" i="19"/>
  <c r="R2190" i="19"/>
  <c r="T2191" i="19"/>
  <c r="R2191" i="19"/>
  <c r="T2192" i="19"/>
  <c r="R2192" i="19"/>
  <c r="T2193" i="19"/>
  <c r="R2193" i="19"/>
  <c r="T2194" i="19"/>
  <c r="R2194" i="19"/>
  <c r="T2195" i="19"/>
  <c r="R2195" i="19"/>
  <c r="T2196" i="19"/>
  <c r="R2196" i="19"/>
  <c r="T2197" i="19"/>
  <c r="R2197" i="19"/>
  <c r="T2198" i="19"/>
  <c r="R2198" i="19"/>
  <c r="T2199" i="19"/>
  <c r="R2199" i="19"/>
  <c r="T2200" i="19"/>
  <c r="R2200" i="19"/>
  <c r="T2201" i="19"/>
  <c r="R2201" i="19"/>
  <c r="T2202" i="19"/>
  <c r="R2202" i="19"/>
  <c r="T2203" i="19"/>
  <c r="R2203" i="19"/>
  <c r="T2204" i="19"/>
  <c r="R2204" i="19"/>
  <c r="T2205" i="19"/>
  <c r="R2205" i="19"/>
  <c r="T2206" i="19"/>
  <c r="R2206" i="19"/>
  <c r="T2207" i="19"/>
  <c r="R2207" i="19"/>
  <c r="T2208" i="19"/>
  <c r="R2208" i="19"/>
  <c r="T2209" i="19"/>
  <c r="R2209" i="19"/>
  <c r="T2210" i="19"/>
  <c r="R2210" i="19"/>
  <c r="T2211" i="19"/>
  <c r="R2211" i="19"/>
  <c r="T2212" i="19"/>
  <c r="R2212" i="19"/>
  <c r="T2213" i="19"/>
  <c r="R2213" i="19"/>
  <c r="T2214" i="19"/>
  <c r="R2214" i="19"/>
  <c r="T2215" i="19"/>
  <c r="R2215" i="19"/>
  <c r="T2216" i="19"/>
  <c r="R2216" i="19"/>
  <c r="T2217" i="19"/>
  <c r="R2217" i="19"/>
  <c r="T2218" i="19"/>
  <c r="R2218" i="19"/>
  <c r="T2219" i="19"/>
  <c r="R2219" i="19"/>
  <c r="T2220" i="19"/>
  <c r="R2220" i="19"/>
  <c r="T2221" i="19"/>
  <c r="R2221" i="19"/>
  <c r="T2222" i="19"/>
  <c r="R2222" i="19"/>
  <c r="T2223" i="19"/>
  <c r="R2223" i="19"/>
  <c r="T2224" i="19"/>
  <c r="R2224" i="19"/>
  <c r="T2225" i="19"/>
  <c r="R2225" i="19"/>
  <c r="T2226" i="19"/>
  <c r="R2226" i="19"/>
  <c r="T2227" i="19"/>
  <c r="R2227" i="19"/>
  <c r="T2228" i="19"/>
  <c r="R2228" i="19"/>
  <c r="T2229" i="19"/>
  <c r="R2229" i="19"/>
  <c r="T2230" i="19"/>
  <c r="R2230" i="19"/>
  <c r="T2231" i="19"/>
  <c r="R2231" i="19"/>
  <c r="T2232" i="19"/>
  <c r="R2232" i="19"/>
  <c r="T2233" i="19"/>
  <c r="R2233" i="19"/>
  <c r="T2234" i="19"/>
  <c r="R2234" i="19"/>
  <c r="T2235" i="19"/>
  <c r="R2235" i="19"/>
  <c r="T2236" i="19"/>
  <c r="R2236" i="19"/>
  <c r="T2237" i="19"/>
  <c r="R2237" i="19"/>
  <c r="T2238" i="19"/>
  <c r="R2238" i="19"/>
  <c r="T2239" i="19"/>
  <c r="R2239" i="19"/>
  <c r="T2240" i="19"/>
  <c r="R2240" i="19"/>
  <c r="T2241" i="19"/>
  <c r="R2241" i="19"/>
  <c r="T2242" i="19"/>
  <c r="R2242" i="19"/>
  <c r="T2243" i="19"/>
  <c r="R2243" i="19"/>
  <c r="T2244" i="19"/>
  <c r="R2244" i="19"/>
  <c r="T2245" i="19"/>
  <c r="R2245" i="19"/>
  <c r="T2246" i="19"/>
  <c r="R2246" i="19"/>
  <c r="T2247" i="19"/>
  <c r="R2247" i="19"/>
  <c r="T2248" i="19"/>
  <c r="R2248" i="19"/>
  <c r="T2249" i="19"/>
  <c r="R2249" i="19"/>
  <c r="T2250" i="19"/>
  <c r="R2250" i="19"/>
  <c r="T2251" i="19"/>
  <c r="R2251" i="19"/>
  <c r="T2252" i="19"/>
  <c r="R2252" i="19"/>
  <c r="T2253" i="19"/>
  <c r="R2253" i="19"/>
  <c r="T2254" i="19"/>
  <c r="R2254" i="19"/>
  <c r="T2255" i="19"/>
  <c r="R2255" i="19"/>
  <c r="T2256" i="19"/>
  <c r="R2256" i="19"/>
  <c r="T2257" i="19"/>
  <c r="R2257" i="19"/>
  <c r="T2258" i="19"/>
  <c r="R2258" i="19"/>
  <c r="T2259" i="19"/>
  <c r="R2259" i="19"/>
  <c r="T2260" i="19"/>
  <c r="R2260" i="19"/>
  <c r="T2261" i="19"/>
  <c r="R2261" i="19"/>
  <c r="T2262" i="19"/>
  <c r="R2262" i="19"/>
  <c r="T2263" i="19"/>
  <c r="R2263" i="19"/>
  <c r="T2264" i="19"/>
  <c r="R2264" i="19"/>
  <c r="T2265" i="19"/>
  <c r="R2265" i="19"/>
  <c r="T2266" i="19"/>
  <c r="R2266" i="19"/>
  <c r="T2267" i="19"/>
  <c r="R2267" i="19"/>
  <c r="T2268" i="19"/>
  <c r="R2268" i="19"/>
  <c r="T2269" i="19"/>
  <c r="R2269" i="19"/>
  <c r="T2270" i="19"/>
  <c r="R2270" i="19"/>
  <c r="T2271" i="19"/>
  <c r="R2271" i="19"/>
  <c r="T2272" i="19"/>
  <c r="R2272" i="19"/>
  <c r="T2273" i="19"/>
  <c r="R2273" i="19"/>
  <c r="T2274" i="19"/>
  <c r="R2274" i="19"/>
  <c r="T2275" i="19"/>
  <c r="R2275" i="19"/>
  <c r="T2276" i="19"/>
  <c r="R2276" i="19"/>
  <c r="T2277" i="19"/>
  <c r="R2277" i="19"/>
  <c r="T2278" i="19"/>
  <c r="R2278" i="19"/>
  <c r="T2279" i="19"/>
  <c r="R2279" i="19"/>
  <c r="T2280" i="19"/>
  <c r="R2280" i="19"/>
  <c r="T2281" i="19"/>
  <c r="R2281" i="19"/>
  <c r="T2282" i="19"/>
  <c r="R2282" i="19"/>
  <c r="T2283" i="19"/>
  <c r="R2283" i="19"/>
  <c r="T2284" i="19"/>
  <c r="R2284" i="19"/>
  <c r="T2285" i="19"/>
  <c r="R2285" i="19"/>
  <c r="T2286" i="19"/>
  <c r="R2286" i="19"/>
  <c r="T2287" i="19"/>
  <c r="R2287" i="19"/>
  <c r="T2288" i="19"/>
  <c r="R2288" i="19"/>
  <c r="T2289" i="19"/>
  <c r="R2289" i="19"/>
  <c r="T2290" i="19"/>
  <c r="R2290" i="19"/>
  <c r="T2291" i="19"/>
  <c r="R2291" i="19"/>
  <c r="T2292" i="19"/>
  <c r="R2292" i="19"/>
  <c r="T2293" i="19"/>
  <c r="R2293" i="19"/>
  <c r="T2294" i="19"/>
  <c r="R2294" i="19"/>
  <c r="T2295" i="19"/>
  <c r="R2295" i="19"/>
  <c r="T2296" i="19"/>
  <c r="R2296" i="19"/>
  <c r="T2297" i="19"/>
  <c r="R2297" i="19"/>
  <c r="T2298" i="19"/>
  <c r="R2298" i="19"/>
  <c r="T2299" i="19"/>
  <c r="R2299" i="19"/>
  <c r="T2300" i="19"/>
  <c r="R2300" i="19"/>
  <c r="T2301" i="19"/>
  <c r="R2301" i="19"/>
  <c r="T2302" i="19"/>
  <c r="R2302" i="19"/>
  <c r="T2303" i="19"/>
  <c r="R2303" i="19"/>
  <c r="T2304" i="19"/>
  <c r="R2304" i="19"/>
  <c r="T2305" i="19"/>
  <c r="R2305" i="19"/>
  <c r="T2306" i="19"/>
  <c r="R2306" i="19"/>
  <c r="T2307" i="19"/>
  <c r="R2307" i="19"/>
  <c r="T2308" i="19"/>
  <c r="R2308" i="19"/>
  <c r="T2309" i="19"/>
  <c r="R2309" i="19"/>
  <c r="T2310" i="19"/>
  <c r="R2310" i="19"/>
  <c r="T2311" i="19"/>
  <c r="R2311" i="19"/>
  <c r="T2312" i="19"/>
  <c r="R2312" i="19"/>
  <c r="T2313" i="19"/>
  <c r="R2313" i="19"/>
  <c r="T2314" i="19"/>
  <c r="R2314" i="19"/>
  <c r="T2315" i="19"/>
  <c r="R2315" i="19"/>
  <c r="T2316" i="19"/>
  <c r="R2316" i="19"/>
  <c r="T2317" i="19"/>
  <c r="R2317" i="19"/>
  <c r="T2318" i="19"/>
  <c r="R2318" i="19"/>
  <c r="T2319" i="19"/>
  <c r="R2319" i="19"/>
  <c r="T2320" i="19"/>
  <c r="R2320" i="19"/>
  <c r="T2321" i="19"/>
  <c r="R2321" i="19"/>
  <c r="T2322" i="19"/>
  <c r="R2322" i="19"/>
  <c r="T2323" i="19"/>
  <c r="R2323" i="19"/>
  <c r="T2324" i="19"/>
  <c r="R2324" i="19"/>
  <c r="T2325" i="19"/>
  <c r="R2325" i="19"/>
  <c r="T2326" i="19"/>
  <c r="R2326" i="19"/>
  <c r="T2327" i="19"/>
  <c r="R2327" i="19"/>
  <c r="T2328" i="19"/>
  <c r="R2328" i="19"/>
  <c r="T2329" i="19"/>
  <c r="R2329" i="19"/>
  <c r="T2330" i="19"/>
  <c r="R2330" i="19"/>
  <c r="T2331" i="19"/>
  <c r="R2331" i="19"/>
  <c r="T2332" i="19"/>
  <c r="R2332" i="19"/>
  <c r="T2333" i="19"/>
  <c r="R2333" i="19"/>
  <c r="T2334" i="19"/>
  <c r="R2334" i="19"/>
  <c r="T2335" i="19"/>
  <c r="R2335" i="19"/>
  <c r="T2336" i="19"/>
  <c r="R2336" i="19"/>
  <c r="T2337" i="19"/>
  <c r="R2337" i="19"/>
  <c r="T2338" i="19"/>
  <c r="R2338" i="19"/>
  <c r="T2339" i="19"/>
  <c r="R2339" i="19"/>
  <c r="T2340" i="19"/>
  <c r="R2340" i="19"/>
  <c r="T2341" i="19"/>
  <c r="R2341" i="19"/>
  <c r="T2342" i="19"/>
  <c r="R2342" i="19"/>
  <c r="T2343" i="19"/>
  <c r="R2343" i="19"/>
  <c r="T2344" i="19"/>
  <c r="R2344" i="19"/>
  <c r="T2345" i="19"/>
  <c r="R2345" i="19"/>
  <c r="T2346" i="19"/>
  <c r="R2346" i="19"/>
  <c r="T2347" i="19"/>
  <c r="R2347" i="19"/>
  <c r="T2348" i="19"/>
  <c r="R2348" i="19"/>
  <c r="T2349" i="19"/>
  <c r="R2349" i="19"/>
  <c r="T2350" i="19"/>
  <c r="R2350" i="19"/>
  <c r="T2351" i="19"/>
  <c r="R2351" i="19"/>
  <c r="T2352" i="19"/>
  <c r="R2352" i="19"/>
  <c r="T2353" i="19"/>
  <c r="R2353" i="19"/>
  <c r="T2354" i="19"/>
  <c r="R2354" i="19"/>
  <c r="T2355" i="19"/>
  <c r="R2355" i="19"/>
  <c r="T2356" i="19"/>
  <c r="R2356" i="19"/>
  <c r="T2357" i="19"/>
  <c r="R2357" i="19"/>
  <c r="T2358" i="19"/>
  <c r="R2358" i="19"/>
  <c r="T2359" i="19"/>
  <c r="R2359" i="19"/>
  <c r="T2360" i="19"/>
  <c r="R2360" i="19"/>
  <c r="T2361" i="19"/>
  <c r="R2361" i="19"/>
  <c r="T2362" i="19"/>
  <c r="R2362" i="19"/>
  <c r="T2363" i="19"/>
  <c r="R2363" i="19"/>
  <c r="T2364" i="19"/>
  <c r="R2364" i="19"/>
  <c r="T2365" i="19"/>
  <c r="R2365" i="19"/>
  <c r="T2366" i="19"/>
  <c r="R2366" i="19"/>
  <c r="T2367" i="19"/>
  <c r="R2367" i="19"/>
  <c r="T2368" i="19"/>
  <c r="R2368" i="19"/>
  <c r="T2369" i="19"/>
  <c r="R2369" i="19"/>
  <c r="T2370" i="19"/>
  <c r="R2370" i="19"/>
  <c r="T2371" i="19"/>
  <c r="R2371" i="19"/>
  <c r="T2372" i="19"/>
  <c r="R2372" i="19"/>
  <c r="T2373" i="19"/>
  <c r="R2373" i="19"/>
  <c r="T2374" i="19"/>
  <c r="R2374" i="19"/>
  <c r="T2375" i="19"/>
  <c r="R2375" i="19"/>
  <c r="T2376" i="19"/>
  <c r="R2376" i="19"/>
  <c r="T2377" i="19"/>
  <c r="R2377" i="19"/>
  <c r="T2378" i="19"/>
  <c r="R2378" i="19"/>
  <c r="T2379" i="19"/>
  <c r="R2379" i="19"/>
  <c r="T2380" i="19"/>
  <c r="R2380" i="19"/>
  <c r="T2381" i="19"/>
  <c r="R2381" i="19"/>
  <c r="T2382" i="19"/>
  <c r="R2382" i="19"/>
  <c r="T2383" i="19"/>
  <c r="R2383" i="19"/>
  <c r="T2384" i="19"/>
  <c r="R2384" i="19"/>
  <c r="T2385" i="19"/>
  <c r="R2385" i="19"/>
  <c r="T2386" i="19"/>
  <c r="R2386" i="19"/>
  <c r="T2387" i="19"/>
  <c r="R2387" i="19"/>
  <c r="T2388" i="19"/>
  <c r="R2388" i="19"/>
  <c r="T2389" i="19"/>
  <c r="R2389" i="19"/>
  <c r="T2390" i="19"/>
  <c r="R2390" i="19"/>
  <c r="T2391" i="19"/>
  <c r="R2391" i="19"/>
  <c r="T2392" i="19"/>
  <c r="R2392" i="19"/>
  <c r="T2393" i="19"/>
  <c r="R2393" i="19"/>
  <c r="T2394" i="19"/>
  <c r="R2394" i="19"/>
  <c r="T2395" i="19"/>
  <c r="R2395" i="19"/>
  <c r="T2396" i="19"/>
  <c r="R2396" i="19"/>
  <c r="T2397" i="19"/>
  <c r="R2397" i="19"/>
  <c r="T2398" i="19"/>
  <c r="R2398" i="19"/>
  <c r="T2399" i="19"/>
  <c r="R2399" i="19"/>
  <c r="T2400" i="19"/>
  <c r="R2400" i="19"/>
  <c r="T2401" i="19"/>
  <c r="R2401" i="19"/>
  <c r="T2402" i="19"/>
  <c r="R2402" i="19"/>
  <c r="T2403" i="19"/>
  <c r="R2403" i="19"/>
  <c r="T2404" i="19"/>
  <c r="R2404" i="19"/>
  <c r="T2405" i="19"/>
  <c r="R2405" i="19"/>
  <c r="T2406" i="19"/>
  <c r="R2406" i="19"/>
  <c r="T2407" i="19"/>
  <c r="R2407" i="19"/>
  <c r="T2408" i="19"/>
  <c r="R2408" i="19"/>
  <c r="T2409" i="19"/>
  <c r="R2409" i="19"/>
  <c r="T2410" i="19"/>
  <c r="R2410" i="19"/>
  <c r="T2411" i="19"/>
  <c r="R2411" i="19"/>
  <c r="T2412" i="19"/>
  <c r="R2412" i="19"/>
  <c r="T2413" i="19"/>
  <c r="R2413" i="19"/>
  <c r="T2414" i="19"/>
  <c r="R2414" i="19"/>
  <c r="T2415" i="19"/>
  <c r="R2415" i="19"/>
  <c r="T2416" i="19"/>
  <c r="R2416" i="19"/>
  <c r="T2417" i="19"/>
  <c r="R2417" i="19"/>
  <c r="T2418" i="19"/>
  <c r="R2418" i="19"/>
  <c r="T2419" i="19"/>
  <c r="R2419" i="19"/>
  <c r="T2420" i="19"/>
  <c r="R2420" i="19"/>
  <c r="T2421" i="19"/>
  <c r="R2421" i="19"/>
  <c r="T2422" i="19"/>
  <c r="R2422" i="19"/>
  <c r="T2423" i="19"/>
  <c r="R2423" i="19"/>
  <c r="T2424" i="19"/>
  <c r="R2424" i="19"/>
  <c r="T2425" i="19"/>
  <c r="R2425" i="19"/>
  <c r="T2426" i="19"/>
  <c r="R2426" i="19"/>
  <c r="T2427" i="19"/>
  <c r="R2427" i="19"/>
  <c r="T2428" i="19"/>
  <c r="R2428" i="19"/>
  <c r="T2429" i="19"/>
  <c r="R2429" i="19"/>
  <c r="T2430" i="19"/>
  <c r="R2430" i="19"/>
  <c r="T2431" i="19"/>
  <c r="R2431" i="19"/>
  <c r="T2432" i="19"/>
  <c r="R2432" i="19"/>
  <c r="T2433" i="19"/>
  <c r="R2433" i="19"/>
  <c r="T2434" i="19"/>
  <c r="R2434" i="19"/>
  <c r="T2435" i="19"/>
  <c r="R2435" i="19"/>
  <c r="T2436" i="19"/>
  <c r="R2436" i="19"/>
  <c r="T2437" i="19"/>
  <c r="R2437" i="19"/>
  <c r="T2438" i="19"/>
  <c r="R2438" i="19"/>
  <c r="T2439" i="19"/>
  <c r="R2439" i="19"/>
  <c r="T2440" i="19"/>
  <c r="R2440" i="19"/>
  <c r="T2441" i="19"/>
  <c r="R2441" i="19"/>
  <c r="T2442" i="19"/>
  <c r="R2442" i="19"/>
  <c r="T2443" i="19"/>
  <c r="R2443" i="19"/>
  <c r="T2444" i="19"/>
  <c r="R2444" i="19"/>
  <c r="T2445" i="19"/>
  <c r="R2445" i="19"/>
  <c r="T2446" i="19"/>
  <c r="R2446" i="19"/>
  <c r="T2447" i="19"/>
  <c r="R2447" i="19"/>
  <c r="T2448" i="19"/>
  <c r="R2448" i="19"/>
  <c r="T2449" i="19"/>
  <c r="R2449" i="19"/>
  <c r="T2450" i="19"/>
  <c r="R2450" i="19"/>
  <c r="T2451" i="19"/>
  <c r="R2451" i="19"/>
  <c r="T2452" i="19"/>
  <c r="R2452" i="19"/>
  <c r="T2453" i="19"/>
  <c r="R2453" i="19"/>
  <c r="T2454" i="19"/>
  <c r="R2454" i="19"/>
  <c r="T2455" i="19"/>
  <c r="R2455" i="19"/>
  <c r="T2456" i="19"/>
  <c r="R2456" i="19"/>
  <c r="T2457" i="19"/>
  <c r="R2457" i="19"/>
  <c r="T2458" i="19"/>
  <c r="R2458" i="19"/>
  <c r="T2459" i="19"/>
  <c r="R2459" i="19"/>
  <c r="T2460" i="19"/>
  <c r="R2460" i="19"/>
  <c r="T2461" i="19"/>
  <c r="R2461" i="19"/>
  <c r="T2462" i="19"/>
  <c r="R2462" i="19"/>
  <c r="T2463" i="19"/>
  <c r="R2463" i="19"/>
  <c r="T2464" i="19"/>
  <c r="R2464" i="19"/>
  <c r="T2465" i="19"/>
  <c r="R2465" i="19"/>
  <c r="T2466" i="19"/>
  <c r="R2466" i="19"/>
  <c r="T2467" i="19"/>
  <c r="R2467" i="19"/>
  <c r="T2468" i="19"/>
  <c r="R2468" i="19"/>
  <c r="T2469" i="19"/>
  <c r="R2469" i="19"/>
  <c r="T2470" i="19"/>
  <c r="R2470" i="19"/>
  <c r="T2471" i="19"/>
  <c r="R2471" i="19"/>
  <c r="T2472" i="19"/>
  <c r="R2472" i="19"/>
  <c r="T2473" i="19"/>
  <c r="R2473" i="19"/>
  <c r="T2474" i="19"/>
  <c r="R2474" i="19"/>
  <c r="T2475" i="19"/>
  <c r="R2475" i="19"/>
  <c r="T2476" i="19"/>
  <c r="R2476" i="19"/>
  <c r="T2477" i="19"/>
  <c r="R2477" i="19"/>
  <c r="T2478" i="19"/>
  <c r="R2478" i="19"/>
  <c r="T2479" i="19"/>
  <c r="R2479" i="19"/>
  <c r="T2480" i="19"/>
  <c r="R2480" i="19"/>
  <c r="T2481" i="19"/>
  <c r="R2481" i="19"/>
  <c r="T2482" i="19"/>
  <c r="R2482" i="19"/>
  <c r="T2483" i="19"/>
  <c r="R2483" i="19"/>
  <c r="T2484" i="19"/>
  <c r="R2484" i="19"/>
  <c r="T2485" i="19"/>
  <c r="R2485" i="19"/>
  <c r="T2486" i="19"/>
  <c r="R2486" i="19"/>
  <c r="T2487" i="19"/>
  <c r="R2487" i="19"/>
  <c r="T2488" i="19"/>
  <c r="R2488" i="19"/>
  <c r="T2489" i="19"/>
  <c r="R2489" i="19"/>
  <c r="T2490" i="19"/>
  <c r="R2490" i="19"/>
  <c r="T2491" i="19"/>
  <c r="R2491" i="19"/>
  <c r="T2492" i="19"/>
  <c r="R2492" i="19"/>
  <c r="T2493" i="19"/>
  <c r="R2493" i="19"/>
  <c r="T2494" i="19"/>
  <c r="R2494" i="19"/>
  <c r="T2495" i="19"/>
  <c r="R2495" i="19"/>
  <c r="T2496" i="19"/>
  <c r="R2496" i="19"/>
  <c r="T2497" i="19"/>
  <c r="R2497" i="19"/>
  <c r="T2498" i="19"/>
  <c r="R2498" i="19"/>
  <c r="T2499" i="19"/>
  <c r="R2499" i="19"/>
  <c r="T2500" i="19"/>
  <c r="R2500" i="19"/>
  <c r="T2501" i="19"/>
  <c r="R2501" i="19"/>
  <c r="T2502" i="19"/>
  <c r="R2502" i="19"/>
  <c r="T2503" i="19"/>
  <c r="R2503" i="19"/>
  <c r="T2504" i="19"/>
  <c r="R2504" i="19"/>
  <c r="T2505" i="19"/>
  <c r="R2505" i="19"/>
  <c r="T2506" i="19"/>
  <c r="R2506" i="19"/>
  <c r="T2507" i="19"/>
  <c r="R2507" i="19"/>
  <c r="T2508" i="19"/>
  <c r="R2508" i="19"/>
  <c r="T2509" i="19"/>
  <c r="R2509" i="19"/>
  <c r="T2510" i="19"/>
  <c r="R2510" i="19"/>
  <c r="T2511" i="19"/>
  <c r="R2511" i="19"/>
  <c r="T2512" i="19"/>
  <c r="R2512" i="19"/>
  <c r="T2513" i="19"/>
  <c r="R2513" i="19"/>
  <c r="T2514" i="19"/>
  <c r="R2514" i="19"/>
  <c r="T2515" i="19"/>
  <c r="R2515" i="19"/>
  <c r="T2516" i="19"/>
  <c r="R2516" i="19"/>
  <c r="T2517" i="19"/>
  <c r="R2517" i="19"/>
  <c r="T2518" i="19"/>
  <c r="R2518" i="19"/>
  <c r="T2519" i="19"/>
  <c r="R2519" i="19"/>
  <c r="T2520" i="19"/>
  <c r="R2520" i="19"/>
  <c r="T2521" i="19"/>
  <c r="R2521" i="19"/>
  <c r="T2522" i="19"/>
  <c r="R2522" i="19"/>
  <c r="T2523" i="19"/>
  <c r="R2523" i="19"/>
  <c r="T2524" i="19"/>
  <c r="R2524" i="19"/>
  <c r="T2525" i="19"/>
  <c r="R2525" i="19"/>
  <c r="T2526" i="19"/>
  <c r="R2526" i="19"/>
  <c r="T2527" i="19"/>
  <c r="R2527" i="19"/>
  <c r="T2528" i="19"/>
  <c r="R2528" i="19"/>
  <c r="T2529" i="19"/>
  <c r="R2529" i="19"/>
  <c r="T2530" i="19"/>
  <c r="R2530" i="19"/>
  <c r="T2531" i="19"/>
  <c r="R2531" i="19"/>
  <c r="T2532" i="19"/>
  <c r="R2532" i="19"/>
  <c r="T2533" i="19"/>
  <c r="R2533" i="19"/>
  <c r="T2534" i="19"/>
  <c r="R2534" i="19"/>
  <c r="T2535" i="19"/>
  <c r="R2535" i="19"/>
  <c r="T2536" i="19"/>
  <c r="R2536" i="19"/>
  <c r="T2537" i="19"/>
  <c r="R2537" i="19"/>
  <c r="T2538" i="19"/>
  <c r="R2538" i="19"/>
  <c r="T2539" i="19"/>
  <c r="R2539" i="19"/>
  <c r="T2540" i="19"/>
  <c r="R2540" i="19"/>
  <c r="T2541" i="19"/>
  <c r="R2541" i="19"/>
  <c r="T2542" i="19"/>
  <c r="R2542" i="19"/>
  <c r="T2543" i="19"/>
  <c r="R2543" i="19"/>
  <c r="T2544" i="19"/>
  <c r="R2544" i="19"/>
  <c r="T2545" i="19"/>
  <c r="R2545" i="19"/>
  <c r="T2546" i="19"/>
  <c r="R2546" i="19"/>
  <c r="T2547" i="19"/>
  <c r="R2547" i="19"/>
  <c r="T2548" i="19"/>
  <c r="R2548" i="19"/>
  <c r="T2549" i="19"/>
  <c r="R2549" i="19"/>
  <c r="T2550" i="19"/>
  <c r="R2550" i="19"/>
  <c r="T2551" i="19"/>
  <c r="R2551" i="19"/>
  <c r="T2552" i="19"/>
  <c r="R2552" i="19"/>
  <c r="T2553" i="19"/>
  <c r="R2553" i="19"/>
  <c r="T2554" i="19"/>
  <c r="R2554" i="19"/>
  <c r="T2555" i="19"/>
  <c r="R2555" i="19"/>
  <c r="T2556" i="19"/>
  <c r="R2556" i="19"/>
  <c r="T2557" i="19"/>
  <c r="R2557" i="19"/>
  <c r="T2558" i="19"/>
  <c r="R2558" i="19"/>
  <c r="T2559" i="19"/>
  <c r="R2559" i="19"/>
  <c r="T2560" i="19"/>
  <c r="R2560" i="19"/>
  <c r="T2561" i="19"/>
  <c r="R2561" i="19"/>
  <c r="T2562" i="19"/>
  <c r="R2562" i="19"/>
  <c r="T2563" i="19"/>
  <c r="R2563" i="19"/>
  <c r="T2564" i="19"/>
  <c r="R2564" i="19"/>
  <c r="T2565" i="19"/>
  <c r="R2565" i="19"/>
  <c r="T2566" i="19"/>
  <c r="R2566" i="19"/>
  <c r="T2567" i="19"/>
  <c r="R2567" i="19"/>
  <c r="T2568" i="19"/>
  <c r="R2568" i="19"/>
  <c r="T2569" i="19"/>
  <c r="R2569" i="19"/>
  <c r="T2570" i="19"/>
  <c r="R2570" i="19"/>
  <c r="T2571" i="19"/>
  <c r="R2571" i="19"/>
  <c r="T2572" i="19"/>
  <c r="R2572" i="19"/>
  <c r="T2573" i="19"/>
  <c r="R2573" i="19"/>
  <c r="T2574" i="19"/>
  <c r="R2574" i="19"/>
  <c r="T2575" i="19"/>
  <c r="R2575" i="19"/>
  <c r="T2576" i="19"/>
  <c r="R2576" i="19"/>
  <c r="T2577" i="19"/>
  <c r="R2577" i="19"/>
  <c r="T2578" i="19"/>
  <c r="R2578" i="19"/>
  <c r="T2579" i="19"/>
  <c r="R2579" i="19"/>
  <c r="T2580" i="19"/>
  <c r="R2580" i="19"/>
  <c r="T2581" i="19"/>
  <c r="R2581" i="19"/>
  <c r="T2582" i="19"/>
  <c r="R2582" i="19"/>
  <c r="T2583" i="19"/>
  <c r="R2583" i="19"/>
  <c r="T2584" i="19"/>
  <c r="R2584" i="19"/>
  <c r="T2585" i="19"/>
  <c r="R2585" i="19"/>
  <c r="T2586" i="19"/>
  <c r="R2586" i="19"/>
  <c r="T2587" i="19"/>
  <c r="R2587" i="19"/>
  <c r="T2588" i="19"/>
  <c r="R2588" i="19"/>
  <c r="T2589" i="19"/>
  <c r="R2589" i="19"/>
  <c r="T2590" i="19"/>
  <c r="R2590" i="19"/>
  <c r="T2591" i="19"/>
  <c r="R2591" i="19"/>
  <c r="T2592" i="19"/>
  <c r="R2592" i="19"/>
  <c r="T2593" i="19"/>
  <c r="R2593" i="19"/>
  <c r="T2594" i="19"/>
  <c r="R2594" i="19"/>
  <c r="T2595" i="19"/>
  <c r="R2595" i="19"/>
  <c r="T2596" i="19"/>
  <c r="R2596" i="19"/>
  <c r="T2597" i="19"/>
  <c r="R2597" i="19"/>
  <c r="T2598" i="19"/>
  <c r="R2598" i="19"/>
  <c r="T2599" i="19"/>
  <c r="R2599" i="19"/>
  <c r="T2600" i="19"/>
  <c r="R2600" i="19"/>
  <c r="T2601" i="19"/>
  <c r="R2601" i="19"/>
  <c r="T2602" i="19"/>
  <c r="R2602" i="19"/>
  <c r="T2603" i="19"/>
  <c r="R2603" i="19"/>
  <c r="T2604" i="19"/>
  <c r="R2604" i="19"/>
  <c r="T2605" i="19"/>
  <c r="R2605" i="19"/>
  <c r="T2606" i="19"/>
  <c r="R2606" i="19"/>
  <c r="T2607" i="19"/>
  <c r="R2607" i="19"/>
  <c r="T2608" i="19"/>
  <c r="R2608" i="19"/>
  <c r="T2609" i="19"/>
  <c r="R2609" i="19"/>
  <c r="T2610" i="19"/>
  <c r="R2610" i="19"/>
  <c r="T2611" i="19"/>
  <c r="R2611" i="19"/>
  <c r="T2612" i="19"/>
  <c r="R2612" i="19"/>
  <c r="T2613" i="19"/>
  <c r="R2613" i="19"/>
  <c r="T2614" i="19"/>
  <c r="R2614" i="19"/>
  <c r="T2615" i="19"/>
  <c r="R2615" i="19"/>
  <c r="T2616" i="19"/>
  <c r="R2616" i="19"/>
  <c r="T2617" i="19"/>
  <c r="R2617" i="19"/>
  <c r="T2618" i="19"/>
  <c r="R2618" i="19"/>
  <c r="T2619" i="19"/>
  <c r="R2619" i="19"/>
  <c r="T2620" i="19"/>
  <c r="R2620" i="19"/>
  <c r="T2621" i="19"/>
  <c r="R2621" i="19"/>
  <c r="T2622" i="19"/>
  <c r="R2622" i="19"/>
  <c r="T2623" i="19"/>
  <c r="R2623" i="19"/>
  <c r="T2624" i="19"/>
  <c r="R2624" i="19"/>
  <c r="T2625" i="19"/>
  <c r="R2625" i="19"/>
  <c r="T2626" i="19"/>
  <c r="R2626" i="19"/>
  <c r="T2627" i="19"/>
  <c r="R2627" i="19"/>
  <c r="T2628" i="19"/>
  <c r="R2628" i="19"/>
  <c r="T2629" i="19"/>
  <c r="R2629" i="19"/>
  <c r="T2630" i="19"/>
  <c r="R2630" i="19"/>
  <c r="T2631" i="19"/>
  <c r="R2631" i="19"/>
  <c r="T2632" i="19"/>
  <c r="R2632" i="19"/>
  <c r="T2633" i="19"/>
  <c r="R2633" i="19"/>
  <c r="T2634" i="19"/>
  <c r="R2634" i="19"/>
  <c r="T2635" i="19"/>
  <c r="R2635" i="19"/>
  <c r="T2636" i="19"/>
  <c r="R2636" i="19"/>
  <c r="T2637" i="19"/>
  <c r="R2637" i="19"/>
  <c r="T2638" i="19"/>
  <c r="R2638" i="19"/>
  <c r="T2639" i="19"/>
  <c r="R2639" i="19"/>
  <c r="T2640" i="19"/>
  <c r="R2640" i="19"/>
  <c r="T2641" i="19"/>
  <c r="R2641" i="19"/>
  <c r="T2642" i="19"/>
  <c r="R2642" i="19"/>
  <c r="T2643" i="19"/>
  <c r="R2643" i="19"/>
  <c r="T2644" i="19"/>
  <c r="R2644" i="19"/>
  <c r="T2645" i="19"/>
  <c r="R2645" i="19"/>
  <c r="T2646" i="19"/>
  <c r="R2646" i="19"/>
  <c r="T2647" i="19"/>
  <c r="R2647" i="19"/>
  <c r="T2648" i="19"/>
  <c r="R2648" i="19"/>
  <c r="T2649" i="19"/>
  <c r="R2649" i="19"/>
  <c r="T2650" i="19"/>
  <c r="R2650" i="19"/>
  <c r="T2651" i="19"/>
  <c r="R2651" i="19"/>
  <c r="T2652" i="19"/>
  <c r="R2652" i="19"/>
  <c r="T2653" i="19"/>
  <c r="R2653" i="19"/>
  <c r="T2654" i="19"/>
  <c r="R2654" i="19"/>
  <c r="T2655" i="19"/>
  <c r="R2655" i="19"/>
  <c r="T2656" i="19"/>
  <c r="R2656" i="19"/>
  <c r="T2657" i="19"/>
  <c r="R2657" i="19"/>
  <c r="T2658" i="19"/>
  <c r="R2658" i="19"/>
  <c r="T2659" i="19"/>
  <c r="R2659" i="19"/>
  <c r="T2660" i="19"/>
  <c r="R2660" i="19"/>
  <c r="T2661" i="19"/>
  <c r="R2661" i="19"/>
  <c r="T2662" i="19"/>
  <c r="R2662" i="19"/>
  <c r="T2663" i="19"/>
  <c r="R2663" i="19"/>
  <c r="T2664" i="19"/>
  <c r="R2664" i="19"/>
  <c r="T2665" i="19"/>
  <c r="R2665" i="19"/>
  <c r="T2666" i="19"/>
  <c r="R2666" i="19"/>
  <c r="T2667" i="19"/>
  <c r="R2667" i="19"/>
  <c r="T2668" i="19"/>
  <c r="R2668" i="19"/>
  <c r="T2669" i="19"/>
  <c r="R2669" i="19"/>
  <c r="T2670" i="19"/>
  <c r="R2670" i="19"/>
  <c r="T2671" i="19"/>
  <c r="R2671" i="19"/>
  <c r="T2672" i="19"/>
  <c r="R2672" i="19"/>
  <c r="T2673" i="19"/>
  <c r="R2673" i="19"/>
  <c r="T2674" i="19"/>
  <c r="R2674" i="19"/>
  <c r="T2675" i="19"/>
  <c r="R2675" i="19"/>
  <c r="T2676" i="19"/>
  <c r="R2676" i="19"/>
  <c r="T2677" i="19"/>
  <c r="R2677" i="19"/>
  <c r="T2678" i="19"/>
  <c r="R2678" i="19"/>
  <c r="T2679" i="19"/>
  <c r="R2679" i="19"/>
  <c r="T2680" i="19"/>
  <c r="R2680" i="19"/>
  <c r="T2681" i="19"/>
  <c r="R2681" i="19"/>
  <c r="T2682" i="19"/>
  <c r="R2682" i="19"/>
  <c r="T2683" i="19"/>
  <c r="R2683" i="19"/>
  <c r="T2684" i="19"/>
  <c r="R2684" i="19"/>
  <c r="T2685" i="19"/>
  <c r="R2685" i="19"/>
  <c r="T2686" i="19"/>
  <c r="R2686" i="19"/>
  <c r="T2687" i="19"/>
  <c r="R2687" i="19"/>
  <c r="T2688" i="19"/>
  <c r="R2688" i="19"/>
  <c r="T2689" i="19"/>
  <c r="R2689" i="19"/>
  <c r="T2690" i="19"/>
  <c r="R2690" i="19"/>
  <c r="T2691" i="19"/>
  <c r="R2691" i="19"/>
  <c r="T2692" i="19"/>
  <c r="R2692" i="19"/>
  <c r="T2693" i="19"/>
  <c r="R2693" i="19"/>
  <c r="T2694" i="19"/>
  <c r="R2694" i="19"/>
  <c r="T2695" i="19"/>
  <c r="R2695" i="19"/>
  <c r="T2696" i="19"/>
  <c r="R2696" i="19"/>
  <c r="T2697" i="19"/>
  <c r="R2697" i="19"/>
  <c r="T2698" i="19"/>
  <c r="R2698" i="19"/>
  <c r="T2699" i="19"/>
  <c r="R2699" i="19"/>
  <c r="T2700" i="19"/>
  <c r="R2700" i="19"/>
  <c r="T2701" i="19"/>
  <c r="R2701" i="19"/>
  <c r="T2702" i="19"/>
  <c r="R2702" i="19"/>
  <c r="T2703" i="19"/>
  <c r="R2703" i="19"/>
  <c r="T2704" i="19"/>
  <c r="R2704" i="19"/>
  <c r="T2705" i="19"/>
  <c r="R2705" i="19"/>
  <c r="T2706" i="19"/>
  <c r="R2706" i="19"/>
  <c r="T2707" i="19"/>
  <c r="R2707" i="19"/>
  <c r="T2708" i="19"/>
  <c r="R2708" i="19"/>
  <c r="T2709" i="19"/>
  <c r="R2709" i="19"/>
  <c r="T2710" i="19"/>
  <c r="R2710" i="19"/>
  <c r="T2711" i="19"/>
  <c r="R2711" i="19"/>
  <c r="T2712" i="19"/>
  <c r="R2712" i="19"/>
  <c r="T2713" i="19"/>
  <c r="R2713" i="19"/>
  <c r="T2714" i="19"/>
  <c r="R2714" i="19"/>
  <c r="T2715" i="19"/>
  <c r="R2715" i="19"/>
  <c r="T2716" i="19"/>
  <c r="R2716" i="19"/>
  <c r="T2717" i="19"/>
  <c r="R2717" i="19"/>
  <c r="T2718" i="19"/>
  <c r="R2718" i="19"/>
  <c r="T2719" i="19"/>
  <c r="R2719" i="19"/>
  <c r="T2720" i="19"/>
  <c r="R2720" i="19"/>
  <c r="T2721" i="19"/>
  <c r="R2721" i="19"/>
  <c r="T2722" i="19"/>
  <c r="R2722" i="19"/>
  <c r="T2723" i="19"/>
  <c r="R2723" i="19"/>
  <c r="T2724" i="19"/>
  <c r="R2724" i="19"/>
  <c r="T2725" i="19"/>
  <c r="R2725" i="19"/>
  <c r="T2726" i="19"/>
  <c r="R2726" i="19"/>
  <c r="T2727" i="19"/>
  <c r="R2727" i="19"/>
  <c r="T2728" i="19"/>
  <c r="R2728" i="19"/>
  <c r="T2729" i="19"/>
  <c r="R2729" i="19"/>
  <c r="T2730" i="19"/>
  <c r="R2730" i="19"/>
  <c r="T2731" i="19"/>
  <c r="R2731" i="19"/>
  <c r="T2732" i="19"/>
  <c r="R2732" i="19"/>
  <c r="T2733" i="19"/>
  <c r="R2733" i="19"/>
  <c r="T2734" i="19"/>
  <c r="R2734" i="19"/>
  <c r="T2735" i="19"/>
  <c r="R2735" i="19"/>
  <c r="T2736" i="19"/>
  <c r="R2736" i="19"/>
  <c r="T2737" i="19"/>
  <c r="R2737" i="19"/>
  <c r="T2738" i="19"/>
  <c r="R2738" i="19"/>
  <c r="T2739" i="19"/>
  <c r="R2739" i="19"/>
  <c r="T2740" i="19"/>
  <c r="R2740" i="19"/>
  <c r="T2741" i="19"/>
  <c r="R2741" i="19"/>
  <c r="T2742" i="19"/>
  <c r="R2742" i="19"/>
  <c r="T2743" i="19"/>
  <c r="R2743" i="19"/>
  <c r="T2744" i="19"/>
  <c r="R2744" i="19"/>
  <c r="T2745" i="19"/>
  <c r="R2745" i="19"/>
  <c r="T2746" i="19"/>
  <c r="R2746" i="19"/>
  <c r="T2747" i="19"/>
  <c r="R2747" i="19"/>
  <c r="T2748" i="19"/>
  <c r="R2748" i="19"/>
  <c r="T2749" i="19"/>
  <c r="R2749" i="19"/>
  <c r="T2750" i="19"/>
  <c r="R2750" i="19"/>
  <c r="T2751" i="19"/>
  <c r="R2751" i="19"/>
  <c r="T2752" i="19"/>
  <c r="R2752" i="19"/>
  <c r="T2753" i="19"/>
  <c r="R2753" i="19"/>
  <c r="T2754" i="19"/>
  <c r="R2754" i="19"/>
  <c r="T2755" i="19"/>
  <c r="R2755" i="19"/>
  <c r="T2756" i="19"/>
  <c r="R2756" i="19"/>
  <c r="T2757" i="19"/>
  <c r="R2757" i="19"/>
  <c r="T2758" i="19"/>
  <c r="R2758" i="19"/>
  <c r="T2759" i="19"/>
  <c r="R2759" i="19"/>
  <c r="T2760" i="19"/>
  <c r="R2760" i="19"/>
  <c r="T2761" i="19"/>
  <c r="R2761" i="19"/>
  <c r="T2762" i="19"/>
  <c r="R2762" i="19"/>
  <c r="T2763" i="19"/>
  <c r="R2763" i="19"/>
  <c r="T2764" i="19"/>
  <c r="R2764" i="19"/>
  <c r="T2765" i="19"/>
  <c r="R2765" i="19"/>
  <c r="T2766" i="19"/>
  <c r="R2766" i="19"/>
  <c r="T2767" i="19"/>
  <c r="R2767" i="19"/>
  <c r="T2768" i="19"/>
  <c r="R2768" i="19"/>
  <c r="T2769" i="19"/>
  <c r="R2769" i="19"/>
  <c r="T2770" i="19"/>
  <c r="R2770" i="19"/>
  <c r="T2771" i="19"/>
  <c r="R2771" i="19"/>
  <c r="T2772" i="19"/>
  <c r="R2772" i="19"/>
  <c r="T2773" i="19"/>
  <c r="R2773" i="19"/>
  <c r="T2774" i="19"/>
  <c r="R2774" i="19"/>
  <c r="T2775" i="19"/>
  <c r="R2775" i="19"/>
  <c r="T2776" i="19"/>
  <c r="R2776" i="19"/>
  <c r="T2777" i="19"/>
  <c r="R2777" i="19"/>
  <c r="T2778" i="19"/>
  <c r="R2778" i="19"/>
  <c r="T2779" i="19"/>
  <c r="R2779" i="19"/>
  <c r="T2780" i="19"/>
  <c r="R2780" i="19"/>
  <c r="T2781" i="19"/>
  <c r="R2781" i="19"/>
  <c r="T2782" i="19"/>
  <c r="R2782" i="19"/>
  <c r="T2783" i="19"/>
  <c r="R2783" i="19"/>
  <c r="T2784" i="19"/>
  <c r="R2784" i="19"/>
  <c r="T2785" i="19"/>
  <c r="R2785" i="19"/>
  <c r="T2786" i="19"/>
  <c r="R2786" i="19"/>
  <c r="T2787" i="19"/>
  <c r="R2787" i="19"/>
  <c r="T2788" i="19"/>
  <c r="R2788" i="19"/>
  <c r="T2789" i="19"/>
  <c r="R2789" i="19"/>
  <c r="T2790" i="19"/>
  <c r="R2790" i="19"/>
  <c r="T2791" i="19"/>
  <c r="R2791" i="19"/>
  <c r="T2792" i="19"/>
  <c r="R2792" i="19"/>
  <c r="T2793" i="19"/>
  <c r="R2793" i="19"/>
  <c r="T2794" i="19"/>
  <c r="R2794" i="19"/>
  <c r="T2795" i="19"/>
  <c r="R2795" i="19"/>
  <c r="T2796" i="19"/>
  <c r="R2796" i="19"/>
  <c r="T2797" i="19"/>
  <c r="R2797" i="19"/>
  <c r="T2798" i="19"/>
  <c r="R2798" i="19"/>
  <c r="T2799" i="19"/>
  <c r="R2799" i="19"/>
  <c r="T2800" i="19"/>
  <c r="R2800" i="19"/>
  <c r="T2801" i="19"/>
  <c r="R2801" i="19"/>
  <c r="T2802" i="19"/>
  <c r="R2802" i="19"/>
  <c r="T2803" i="19"/>
  <c r="R2803" i="19"/>
  <c r="T2804" i="19"/>
  <c r="R2804" i="19"/>
  <c r="T2805" i="19"/>
  <c r="R2805" i="19"/>
  <c r="T2806" i="19"/>
  <c r="R2806" i="19"/>
  <c r="T2807" i="19"/>
  <c r="R2807" i="19"/>
  <c r="T2808" i="19"/>
  <c r="R2808" i="19"/>
  <c r="T2809" i="19"/>
  <c r="R2809" i="19"/>
  <c r="T2810" i="19"/>
  <c r="R2810" i="19"/>
  <c r="T2811" i="19"/>
  <c r="R2811" i="19"/>
  <c r="T2812" i="19"/>
  <c r="R2812" i="19"/>
  <c r="T2813" i="19"/>
  <c r="R2813" i="19"/>
  <c r="T2814" i="19"/>
  <c r="R2814" i="19"/>
  <c r="T2815" i="19"/>
  <c r="R2815" i="19"/>
  <c r="T2816" i="19"/>
  <c r="R2816" i="19"/>
  <c r="T2817" i="19"/>
  <c r="R2817" i="19"/>
  <c r="T2818" i="19"/>
  <c r="R2818" i="19"/>
  <c r="T2819" i="19"/>
  <c r="R2819" i="19"/>
  <c r="T2820" i="19"/>
  <c r="R2820" i="19"/>
  <c r="T2821" i="19"/>
  <c r="R2821" i="19"/>
  <c r="T2822" i="19"/>
  <c r="R2822" i="19"/>
  <c r="T2823" i="19"/>
  <c r="R2823" i="19"/>
  <c r="T2824" i="19"/>
  <c r="R2824" i="19"/>
  <c r="T2825" i="19"/>
  <c r="R2825" i="19"/>
  <c r="T2826" i="19"/>
  <c r="R2826" i="19"/>
  <c r="T2827" i="19"/>
  <c r="R2827" i="19"/>
  <c r="T2828" i="19"/>
  <c r="R2828" i="19"/>
  <c r="T2829" i="19"/>
  <c r="R2829" i="19"/>
  <c r="T2830" i="19"/>
  <c r="R2830" i="19"/>
  <c r="T2831" i="19"/>
  <c r="R2831" i="19"/>
  <c r="T2832" i="19"/>
  <c r="R2832" i="19"/>
  <c r="T2833" i="19"/>
  <c r="R2833" i="19"/>
  <c r="T2834" i="19"/>
  <c r="R2834" i="19"/>
  <c r="T2835" i="19"/>
  <c r="R2835" i="19"/>
  <c r="T2836" i="19"/>
  <c r="R2836" i="19"/>
  <c r="T2837" i="19"/>
  <c r="R2837" i="19"/>
  <c r="T2838" i="19"/>
  <c r="R2838" i="19"/>
  <c r="T2839" i="19"/>
  <c r="R2839" i="19"/>
  <c r="T2840" i="19"/>
  <c r="R2840" i="19"/>
  <c r="T2841" i="19"/>
  <c r="R2841" i="19"/>
  <c r="T2842" i="19"/>
  <c r="R2842" i="19"/>
  <c r="T2843" i="19"/>
  <c r="R2843" i="19"/>
  <c r="T2844" i="19"/>
  <c r="R2844" i="19"/>
  <c r="T2845" i="19"/>
  <c r="R2845" i="19"/>
  <c r="T2846" i="19"/>
  <c r="R2846" i="19"/>
  <c r="T2847" i="19"/>
  <c r="R2847" i="19"/>
  <c r="T2848" i="19"/>
  <c r="R2848" i="19"/>
  <c r="T2849" i="19"/>
  <c r="R2849" i="19"/>
  <c r="T2850" i="19"/>
  <c r="R2850" i="19"/>
  <c r="T2851" i="19"/>
  <c r="R2851" i="19"/>
  <c r="T2852" i="19"/>
  <c r="R2852" i="19"/>
  <c r="T2853" i="19"/>
  <c r="R2853" i="19"/>
  <c r="T2854" i="19"/>
  <c r="R2854" i="19"/>
  <c r="T2855" i="19"/>
  <c r="R2855" i="19"/>
  <c r="T2856" i="19"/>
  <c r="R2856" i="19"/>
  <c r="T2857" i="19"/>
  <c r="R2857" i="19"/>
  <c r="T2858" i="19"/>
  <c r="R2858" i="19"/>
  <c r="T2859" i="19"/>
  <c r="R2859" i="19"/>
  <c r="T2860" i="19"/>
  <c r="R2860" i="19"/>
  <c r="T2861" i="19"/>
  <c r="R2861" i="19"/>
  <c r="T2862" i="19"/>
  <c r="R2862" i="19"/>
  <c r="T2863" i="19"/>
  <c r="R2863" i="19"/>
  <c r="T2864" i="19"/>
  <c r="R2864" i="19"/>
  <c r="T2865" i="19"/>
  <c r="R2865" i="19"/>
  <c r="T2866" i="19"/>
  <c r="R2866" i="19"/>
  <c r="T2867" i="19"/>
  <c r="R2867" i="19"/>
  <c r="T2868" i="19"/>
  <c r="R2868" i="19"/>
  <c r="T2869" i="19"/>
  <c r="R2869" i="19"/>
  <c r="T2870" i="19"/>
  <c r="R2870" i="19"/>
  <c r="T2871" i="19"/>
  <c r="R2871" i="19"/>
  <c r="T2872" i="19"/>
  <c r="R2872" i="19"/>
  <c r="T2873" i="19"/>
  <c r="R2873" i="19"/>
  <c r="T2874" i="19"/>
  <c r="R2874" i="19"/>
  <c r="T2875" i="19"/>
  <c r="R2875" i="19"/>
  <c r="T2876" i="19"/>
  <c r="R2876" i="19"/>
  <c r="T2877" i="19"/>
  <c r="R2877" i="19"/>
  <c r="T2878" i="19"/>
  <c r="R2878" i="19"/>
  <c r="T2879" i="19"/>
  <c r="R2879" i="19"/>
  <c r="T2880" i="19"/>
  <c r="R2880" i="19"/>
  <c r="T2881" i="19"/>
  <c r="R2881" i="19"/>
  <c r="T2882" i="19"/>
  <c r="R2882" i="19"/>
  <c r="T2883" i="19"/>
  <c r="R2883" i="19"/>
  <c r="T2884" i="19"/>
  <c r="R2884" i="19"/>
  <c r="T2885" i="19"/>
  <c r="R2885" i="19"/>
  <c r="T2886" i="19"/>
  <c r="R2886" i="19"/>
  <c r="T2887" i="19"/>
  <c r="R2887" i="19"/>
  <c r="T2888" i="19"/>
  <c r="R2888" i="19"/>
  <c r="T2889" i="19"/>
  <c r="R2889" i="19"/>
  <c r="T2890" i="19"/>
  <c r="R2890" i="19"/>
  <c r="T2891" i="19"/>
  <c r="R2891" i="19"/>
  <c r="T2892" i="19"/>
  <c r="R2892" i="19"/>
  <c r="T2893" i="19"/>
  <c r="R2893" i="19"/>
  <c r="T2894" i="19"/>
  <c r="R2894" i="19"/>
  <c r="T2895" i="19"/>
  <c r="R2895" i="19"/>
  <c r="T2896" i="19"/>
  <c r="R2896" i="19"/>
  <c r="T2897" i="19"/>
  <c r="R2897" i="19"/>
  <c r="C2" i="18" l="1"/>
  <c r="AP52" i="17"/>
  <c r="AP53" i="17"/>
  <c r="AP54" i="17"/>
  <c r="AP55" i="17"/>
  <c r="AP56" i="17"/>
  <c r="AP57" i="17"/>
  <c r="AP58" i="17"/>
  <c r="AP59" i="17"/>
  <c r="G44" i="17" l="1"/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Q1182" i="1"/>
  <c r="R1182" i="1"/>
  <c r="Q1183" i="1"/>
  <c r="R1183" i="1"/>
  <c r="Q1184" i="1"/>
  <c r="R1184" i="1"/>
  <c r="Q1185" i="1"/>
  <c r="R1185" i="1"/>
  <c r="Q1186" i="1"/>
  <c r="R1186" i="1"/>
  <c r="Q1187" i="1"/>
  <c r="R1187" i="1"/>
  <c r="Q1188" i="1"/>
  <c r="R1188" i="1"/>
  <c r="Q1189" i="1"/>
  <c r="R1189" i="1"/>
  <c r="Q1190" i="1"/>
  <c r="R1190" i="1"/>
  <c r="Q1191" i="1"/>
  <c r="R1191" i="1"/>
  <c r="Q1192" i="1"/>
  <c r="R1192" i="1"/>
  <c r="Q1193" i="1"/>
  <c r="R1193" i="1"/>
  <c r="Q1194" i="1"/>
  <c r="R1194" i="1"/>
  <c r="Q1195" i="1"/>
  <c r="R1195" i="1"/>
  <c r="Q1196" i="1"/>
  <c r="R1196" i="1"/>
  <c r="Q1197" i="1"/>
  <c r="R1197" i="1"/>
  <c r="Q1198" i="1"/>
  <c r="R1198" i="1"/>
  <c r="Q1199" i="1"/>
  <c r="R1199" i="1"/>
  <c r="Q1200" i="1"/>
  <c r="R1200" i="1"/>
  <c r="Q1201" i="1"/>
  <c r="R1201" i="1"/>
  <c r="Q1202" i="1"/>
  <c r="R1202" i="1"/>
  <c r="Q1203" i="1"/>
  <c r="R1203" i="1"/>
  <c r="Q1204" i="1"/>
  <c r="R1204" i="1"/>
  <c r="Q1205" i="1"/>
  <c r="R1205" i="1"/>
  <c r="Q1206" i="1"/>
  <c r="R1206" i="1"/>
  <c r="Q1207" i="1"/>
  <c r="R1207" i="1"/>
  <c r="Q1208" i="1"/>
  <c r="R1208" i="1"/>
  <c r="Q1209" i="1"/>
  <c r="R1209" i="1"/>
  <c r="Q1210" i="1"/>
  <c r="R1210" i="1"/>
  <c r="Q1211" i="1"/>
  <c r="R1211" i="1"/>
  <c r="Q1212" i="1"/>
  <c r="R1212" i="1"/>
  <c r="Q1213" i="1"/>
  <c r="R1213" i="1"/>
  <c r="Q1214" i="1"/>
  <c r="R1214" i="1"/>
  <c r="Q1215" i="1"/>
  <c r="R1215" i="1"/>
  <c r="Q1216" i="1"/>
  <c r="R1216" i="1"/>
  <c r="Q1217" i="1"/>
  <c r="R1217" i="1"/>
  <c r="Q1218" i="1"/>
  <c r="R1218" i="1"/>
  <c r="Q1219" i="1"/>
  <c r="R1219" i="1"/>
  <c r="Q1220" i="1"/>
  <c r="R1220" i="1"/>
  <c r="Q1221" i="1"/>
  <c r="R1221" i="1"/>
  <c r="Q1222" i="1"/>
  <c r="R1222" i="1"/>
  <c r="Q1223" i="1"/>
  <c r="R1223" i="1"/>
  <c r="Q1224" i="1"/>
  <c r="R1224" i="1"/>
  <c r="Q1225" i="1"/>
  <c r="R1225" i="1"/>
  <c r="Q1226" i="1"/>
  <c r="R1226" i="1"/>
  <c r="Q1227" i="1"/>
  <c r="R1227" i="1"/>
  <c r="Q1228" i="1"/>
  <c r="R1228" i="1"/>
  <c r="Q1229" i="1"/>
  <c r="R1229" i="1"/>
  <c r="Q1230" i="1"/>
  <c r="R1230" i="1"/>
  <c r="Q1231" i="1"/>
  <c r="R1231" i="1"/>
  <c r="Q1232" i="1"/>
  <c r="R1232" i="1"/>
  <c r="Q1233" i="1"/>
  <c r="R1233" i="1"/>
  <c r="Q1234" i="1"/>
  <c r="R1234" i="1"/>
  <c r="Q1235" i="1"/>
  <c r="R1235" i="1"/>
  <c r="Q1236" i="1"/>
  <c r="R1236" i="1"/>
  <c r="Q1237" i="1"/>
  <c r="R1237" i="1"/>
  <c r="Q1238" i="1"/>
  <c r="R1238" i="1"/>
  <c r="Q1239" i="1"/>
  <c r="R1239" i="1"/>
  <c r="Q1240" i="1"/>
  <c r="R1240" i="1"/>
  <c r="Q1241" i="1"/>
  <c r="R1241" i="1"/>
  <c r="Q1242" i="1"/>
  <c r="R1242" i="1"/>
  <c r="Q1243" i="1"/>
  <c r="R1243" i="1"/>
  <c r="Q1244" i="1"/>
  <c r="R1244" i="1"/>
  <c r="Q1245" i="1"/>
  <c r="R1245" i="1"/>
  <c r="Q1246" i="1"/>
  <c r="R1246" i="1"/>
  <c r="Q1247" i="1"/>
  <c r="R1247" i="1"/>
  <c r="Q1248" i="1"/>
  <c r="R1248" i="1"/>
  <c r="Q1249" i="1"/>
  <c r="R1249" i="1"/>
  <c r="Q1250" i="1"/>
  <c r="R1250" i="1"/>
  <c r="Q1251" i="1"/>
  <c r="R1251" i="1"/>
  <c r="Q1252" i="1"/>
  <c r="R1252" i="1"/>
  <c r="Q1253" i="1"/>
  <c r="R1253" i="1"/>
  <c r="Q1254" i="1"/>
  <c r="R1254" i="1"/>
  <c r="Q1255" i="1"/>
  <c r="R1255" i="1"/>
  <c r="Q1256" i="1"/>
  <c r="R1256" i="1"/>
  <c r="Q1257" i="1"/>
  <c r="R1257" i="1"/>
  <c r="Q1258" i="1"/>
  <c r="R1258" i="1"/>
  <c r="Q1259" i="1"/>
  <c r="R1259" i="1"/>
  <c r="Q1260" i="1"/>
  <c r="R1260" i="1"/>
  <c r="Q1261" i="1"/>
  <c r="R1261" i="1"/>
  <c r="Q1262" i="1"/>
  <c r="R1262" i="1"/>
  <c r="Q1263" i="1"/>
  <c r="R1263" i="1"/>
  <c r="Q1264" i="1"/>
  <c r="R1264" i="1"/>
  <c r="Q1265" i="1"/>
  <c r="R1265" i="1"/>
  <c r="Q1266" i="1"/>
  <c r="R1266" i="1"/>
  <c r="Q1267" i="1"/>
  <c r="R1267" i="1"/>
  <c r="Q1268" i="1"/>
  <c r="R1268" i="1"/>
  <c r="Q1269" i="1"/>
  <c r="R1269" i="1"/>
  <c r="Q1270" i="1"/>
  <c r="R1270" i="1"/>
  <c r="Q1271" i="1"/>
  <c r="R1271" i="1"/>
  <c r="Q1272" i="1"/>
  <c r="R1272" i="1"/>
  <c r="Q1273" i="1"/>
  <c r="R1273" i="1"/>
  <c r="Q1274" i="1"/>
  <c r="R1274" i="1"/>
  <c r="Q1275" i="1"/>
  <c r="R1275" i="1"/>
  <c r="Q1276" i="1"/>
  <c r="R1276" i="1"/>
  <c r="Q1277" i="1"/>
  <c r="R1277" i="1"/>
  <c r="Q1278" i="1"/>
  <c r="R1278" i="1"/>
  <c r="Q1279" i="1"/>
  <c r="R1279" i="1"/>
  <c r="Q1280" i="1"/>
  <c r="R1280" i="1"/>
  <c r="Q1281" i="1"/>
  <c r="R1281" i="1"/>
  <c r="Q1282" i="1"/>
  <c r="R1282" i="1"/>
  <c r="Q1283" i="1"/>
  <c r="R1283" i="1"/>
  <c r="Q1284" i="1"/>
  <c r="R1284" i="1"/>
  <c r="Q1285" i="1"/>
  <c r="R1285" i="1"/>
  <c r="Q1286" i="1"/>
  <c r="R1286" i="1"/>
  <c r="Q1287" i="1"/>
  <c r="R1287" i="1"/>
  <c r="Q1288" i="1"/>
  <c r="R1288" i="1"/>
  <c r="Q1289" i="1"/>
  <c r="R1289" i="1"/>
  <c r="Q1290" i="1"/>
  <c r="R1290" i="1"/>
  <c r="Q1291" i="1"/>
  <c r="R1291" i="1"/>
  <c r="Q1292" i="1"/>
  <c r="R1292" i="1"/>
  <c r="Q1293" i="1"/>
  <c r="R1293" i="1"/>
  <c r="Q1294" i="1"/>
  <c r="R1294" i="1"/>
  <c r="Q1295" i="1"/>
  <c r="R1295" i="1"/>
  <c r="Q1296" i="1"/>
  <c r="R1296" i="1"/>
  <c r="Q1297" i="1"/>
  <c r="R1297" i="1"/>
  <c r="Q1298" i="1"/>
  <c r="R1298" i="1"/>
  <c r="Q1299" i="1"/>
  <c r="R1299" i="1"/>
  <c r="Q1300" i="1"/>
  <c r="R1300" i="1"/>
  <c r="Q1301" i="1"/>
  <c r="R1301" i="1"/>
  <c r="Q1302" i="1"/>
  <c r="R1302" i="1"/>
  <c r="Q1303" i="1"/>
  <c r="R1303" i="1"/>
  <c r="Q1304" i="1"/>
  <c r="R1304" i="1"/>
  <c r="Q1305" i="1"/>
  <c r="R1305" i="1"/>
  <c r="Q1306" i="1"/>
  <c r="R1306" i="1"/>
  <c r="Q1307" i="1"/>
  <c r="R1307" i="1"/>
  <c r="Q1308" i="1"/>
  <c r="R1308" i="1"/>
  <c r="Q1309" i="1"/>
  <c r="R1309" i="1"/>
  <c r="Q1310" i="1"/>
  <c r="R1310" i="1"/>
  <c r="Q1311" i="1"/>
  <c r="R1311" i="1"/>
  <c r="Q1312" i="1"/>
  <c r="R1312" i="1"/>
  <c r="Q1313" i="1"/>
  <c r="R1313" i="1"/>
  <c r="Q1314" i="1"/>
  <c r="R1314" i="1"/>
  <c r="Q1315" i="1"/>
  <c r="R1315" i="1"/>
  <c r="Q1316" i="1"/>
  <c r="R1316" i="1"/>
  <c r="Q1317" i="1"/>
  <c r="R1317" i="1"/>
  <c r="Q1318" i="1"/>
  <c r="R1318" i="1"/>
  <c r="Q1319" i="1"/>
  <c r="R1319" i="1"/>
  <c r="Q1320" i="1"/>
  <c r="R1320" i="1"/>
  <c r="Q1321" i="1"/>
  <c r="R1321" i="1"/>
  <c r="Q1322" i="1"/>
  <c r="R1322" i="1"/>
  <c r="Q1323" i="1"/>
  <c r="R1323" i="1"/>
  <c r="Q1324" i="1"/>
  <c r="R1324" i="1"/>
  <c r="Q1325" i="1"/>
  <c r="R1325" i="1"/>
  <c r="Q1326" i="1"/>
  <c r="R1326" i="1"/>
  <c r="Q1327" i="1"/>
  <c r="R1327" i="1"/>
  <c r="Q1328" i="1"/>
  <c r="R1328" i="1"/>
  <c r="Q1329" i="1"/>
  <c r="R1329" i="1"/>
  <c r="Q1330" i="1"/>
  <c r="R1330" i="1"/>
  <c r="Q1331" i="1"/>
  <c r="R1331" i="1"/>
  <c r="Q1332" i="1"/>
  <c r="R1332" i="1"/>
  <c r="Q1333" i="1"/>
  <c r="R1333" i="1"/>
  <c r="Q1334" i="1"/>
  <c r="R1334" i="1"/>
  <c r="Q1335" i="1"/>
  <c r="R1335" i="1"/>
  <c r="Q1336" i="1"/>
  <c r="R1336" i="1"/>
  <c r="Q1337" i="1"/>
  <c r="R1337" i="1"/>
  <c r="Q1338" i="1"/>
  <c r="R1338" i="1"/>
  <c r="Q1339" i="1"/>
  <c r="R1339" i="1"/>
  <c r="Q1340" i="1"/>
  <c r="R1340" i="1"/>
  <c r="Q1341" i="1"/>
  <c r="R1341" i="1"/>
  <c r="Q1342" i="1"/>
  <c r="R1342" i="1"/>
  <c r="Q1343" i="1"/>
  <c r="R1343" i="1"/>
  <c r="Q1344" i="1"/>
  <c r="R1344" i="1"/>
  <c r="Q1345" i="1"/>
  <c r="R1345" i="1"/>
  <c r="Q1346" i="1"/>
  <c r="R1346" i="1"/>
  <c r="Q1347" i="1"/>
  <c r="R1347" i="1"/>
  <c r="Q1348" i="1"/>
  <c r="R1348" i="1"/>
  <c r="Q1349" i="1"/>
  <c r="R1349" i="1"/>
  <c r="Q1350" i="1"/>
  <c r="R1350" i="1"/>
  <c r="Q1351" i="1"/>
  <c r="R1351" i="1"/>
  <c r="Q1352" i="1"/>
  <c r="R1352" i="1"/>
  <c r="Q1353" i="1"/>
  <c r="R1353" i="1"/>
  <c r="Q1354" i="1"/>
  <c r="R1354" i="1"/>
  <c r="Q1355" i="1"/>
  <c r="R1355" i="1"/>
  <c r="Q1356" i="1"/>
  <c r="R1356" i="1"/>
  <c r="Q1357" i="1"/>
  <c r="R1357" i="1"/>
  <c r="Q1358" i="1"/>
  <c r="R1358" i="1"/>
  <c r="Q1359" i="1"/>
  <c r="R1359" i="1"/>
  <c r="Q1360" i="1"/>
  <c r="R1360" i="1"/>
  <c r="Q1361" i="1"/>
  <c r="R1361" i="1"/>
  <c r="Q1362" i="1"/>
  <c r="R1362" i="1"/>
  <c r="Q1363" i="1"/>
  <c r="R1363" i="1"/>
  <c r="Q1364" i="1"/>
  <c r="R1364" i="1"/>
  <c r="Q1365" i="1"/>
  <c r="R1365" i="1"/>
  <c r="Q1366" i="1"/>
  <c r="R1366" i="1"/>
  <c r="Q1367" i="1"/>
  <c r="R1367" i="1"/>
  <c r="Q1368" i="1"/>
  <c r="R1368" i="1"/>
  <c r="Q1369" i="1"/>
  <c r="R1369" i="1"/>
  <c r="Q1370" i="1"/>
  <c r="R1370" i="1"/>
  <c r="Q1371" i="1"/>
  <c r="R1371" i="1"/>
  <c r="Q1372" i="1"/>
  <c r="R1372" i="1"/>
  <c r="Q1373" i="1"/>
  <c r="R1373" i="1"/>
  <c r="Q1374" i="1"/>
  <c r="R1374" i="1"/>
  <c r="Q1375" i="1"/>
  <c r="R1375" i="1"/>
  <c r="Q1376" i="1"/>
  <c r="R1376" i="1"/>
  <c r="Q1377" i="1"/>
  <c r="R1377" i="1"/>
  <c r="Q1378" i="1"/>
  <c r="R1378" i="1"/>
  <c r="Q1379" i="1"/>
  <c r="R1379" i="1"/>
  <c r="Q1380" i="1"/>
  <c r="R1380" i="1"/>
  <c r="Q1381" i="1"/>
  <c r="R1381" i="1"/>
  <c r="Q1382" i="1"/>
  <c r="R1382" i="1"/>
  <c r="Q1383" i="1"/>
  <c r="R1383" i="1"/>
  <c r="Q1384" i="1"/>
  <c r="R1384" i="1"/>
  <c r="Q1385" i="1"/>
  <c r="R1385" i="1"/>
  <c r="Q1386" i="1"/>
  <c r="R1386" i="1"/>
  <c r="Q1387" i="1"/>
  <c r="R1387" i="1"/>
  <c r="Q1388" i="1"/>
  <c r="R1388" i="1"/>
  <c r="Q1389" i="1"/>
  <c r="R1389" i="1"/>
  <c r="Q1390" i="1"/>
  <c r="R1390" i="1"/>
  <c r="Q1391" i="1"/>
  <c r="R1391" i="1"/>
  <c r="Q1392" i="1"/>
  <c r="R1392" i="1"/>
  <c r="Q1393" i="1"/>
  <c r="R1393" i="1"/>
  <c r="Q1394" i="1"/>
  <c r="R1394" i="1"/>
  <c r="Q1395" i="1"/>
  <c r="R1395" i="1"/>
  <c r="Q1396" i="1"/>
  <c r="R1396" i="1"/>
  <c r="Q1397" i="1"/>
  <c r="R1397" i="1"/>
  <c r="Q1398" i="1"/>
  <c r="R1398" i="1"/>
  <c r="Q1399" i="1"/>
  <c r="R1399" i="1"/>
  <c r="Q1400" i="1"/>
  <c r="R1400" i="1"/>
  <c r="Q1401" i="1"/>
  <c r="R1401" i="1"/>
  <c r="Q1402" i="1"/>
  <c r="R1402" i="1"/>
  <c r="Q1403" i="1"/>
  <c r="R1403" i="1"/>
  <c r="Q1404" i="1"/>
  <c r="R1404" i="1"/>
  <c r="Q1405" i="1"/>
  <c r="R1405" i="1"/>
  <c r="Q1406" i="1"/>
  <c r="R1406" i="1"/>
  <c r="Q1407" i="1"/>
  <c r="R1407" i="1"/>
  <c r="Q1408" i="1"/>
  <c r="R1408" i="1"/>
  <c r="Q1409" i="1"/>
  <c r="R1409" i="1"/>
  <c r="Q1410" i="1"/>
  <c r="R1410" i="1"/>
  <c r="Q1411" i="1"/>
  <c r="R1411" i="1"/>
  <c r="Q1412" i="1"/>
  <c r="R1412" i="1"/>
  <c r="Q1413" i="1"/>
  <c r="R1413" i="1"/>
  <c r="Q1414" i="1"/>
  <c r="R1414" i="1"/>
  <c r="Q1415" i="1"/>
  <c r="R1415" i="1"/>
  <c r="Q1416" i="1"/>
  <c r="R1416" i="1"/>
  <c r="Q1417" i="1"/>
  <c r="R1417" i="1"/>
  <c r="Q1418" i="1"/>
  <c r="R1418" i="1"/>
  <c r="Q1419" i="1"/>
  <c r="R1419" i="1"/>
  <c r="Q1420" i="1"/>
  <c r="R1420" i="1"/>
  <c r="Q1421" i="1"/>
  <c r="R1421" i="1"/>
  <c r="Q1422" i="1"/>
  <c r="R1422" i="1"/>
  <c r="Q1423" i="1"/>
  <c r="R1423" i="1"/>
  <c r="Q1424" i="1"/>
  <c r="R1424" i="1"/>
  <c r="Q1425" i="1"/>
  <c r="R1425" i="1"/>
  <c r="Q1426" i="1"/>
  <c r="R1426" i="1"/>
  <c r="Q1427" i="1"/>
  <c r="R1427" i="1"/>
  <c r="Q1428" i="1"/>
  <c r="R1428" i="1"/>
  <c r="Q1429" i="1"/>
  <c r="R1429" i="1"/>
  <c r="Q1430" i="1"/>
  <c r="R1430" i="1"/>
  <c r="Q1431" i="1"/>
  <c r="R1431" i="1"/>
  <c r="Q1432" i="1"/>
  <c r="R1432" i="1"/>
  <c r="Q1433" i="1"/>
  <c r="R1433" i="1"/>
  <c r="Q1434" i="1"/>
  <c r="R1434" i="1"/>
  <c r="Q1435" i="1"/>
  <c r="R1435" i="1"/>
  <c r="Q1436" i="1"/>
  <c r="R1436" i="1"/>
  <c r="Q1437" i="1"/>
  <c r="R1437" i="1"/>
  <c r="Q1438" i="1"/>
  <c r="R1438" i="1"/>
  <c r="Q1439" i="1"/>
  <c r="R1439" i="1"/>
  <c r="Q1440" i="1"/>
  <c r="R1440" i="1"/>
  <c r="Q1441" i="1"/>
  <c r="R1441" i="1"/>
  <c r="Q1442" i="1"/>
  <c r="R1442" i="1"/>
  <c r="Q1443" i="1"/>
  <c r="R1443" i="1"/>
  <c r="Q1444" i="1"/>
  <c r="R1444" i="1"/>
  <c r="Q1445" i="1"/>
  <c r="R1445" i="1"/>
  <c r="Q1446" i="1"/>
  <c r="R1446" i="1"/>
  <c r="Q1447" i="1"/>
  <c r="R1447" i="1"/>
  <c r="Q1448" i="1"/>
  <c r="R1448" i="1"/>
  <c r="Q1449" i="1"/>
  <c r="R1449" i="1"/>
  <c r="Q1450" i="1"/>
  <c r="R1450" i="1"/>
  <c r="Q1451" i="1"/>
  <c r="R1451" i="1"/>
  <c r="Q1452" i="1"/>
  <c r="R1452" i="1"/>
  <c r="Q1453" i="1"/>
  <c r="R1453" i="1"/>
  <c r="Q1454" i="1"/>
  <c r="R1454" i="1"/>
  <c r="Q1455" i="1"/>
  <c r="R1455" i="1"/>
  <c r="Q1456" i="1"/>
  <c r="R1456" i="1"/>
  <c r="Q1457" i="1"/>
  <c r="R1457" i="1"/>
  <c r="Q1458" i="1"/>
  <c r="R1458" i="1"/>
  <c r="Q1459" i="1"/>
  <c r="R1459" i="1"/>
  <c r="Q1460" i="1"/>
  <c r="R1460" i="1"/>
  <c r="Q1461" i="1"/>
  <c r="R1461" i="1"/>
  <c r="Q1462" i="1"/>
  <c r="R1462" i="1"/>
  <c r="Q1463" i="1"/>
  <c r="R1463" i="1"/>
  <c r="Q1464" i="1"/>
  <c r="R1464" i="1"/>
  <c r="Q1465" i="1"/>
  <c r="R1465" i="1"/>
  <c r="Q1466" i="1"/>
  <c r="R1466" i="1"/>
  <c r="Q1467" i="1"/>
  <c r="R1467" i="1"/>
  <c r="Q1468" i="1"/>
  <c r="R1468" i="1"/>
  <c r="Q1469" i="1"/>
  <c r="R1469" i="1"/>
  <c r="Q1470" i="1"/>
  <c r="R1470" i="1"/>
  <c r="Q1471" i="1"/>
  <c r="R1471" i="1"/>
  <c r="Q1472" i="1"/>
  <c r="R1472" i="1"/>
  <c r="Q1473" i="1"/>
  <c r="R1473" i="1"/>
  <c r="Q1474" i="1"/>
  <c r="R1474" i="1"/>
  <c r="Q1475" i="1"/>
  <c r="R1475" i="1"/>
  <c r="Q1476" i="1"/>
  <c r="R1476" i="1"/>
  <c r="Q1477" i="1"/>
  <c r="R1477" i="1"/>
  <c r="Q1478" i="1"/>
  <c r="R1478" i="1"/>
  <c r="Q1479" i="1"/>
  <c r="R1479" i="1"/>
  <c r="Q1480" i="1"/>
  <c r="R1480" i="1"/>
  <c r="Q1481" i="1"/>
  <c r="R1481" i="1"/>
  <c r="Q1482" i="1"/>
  <c r="R1482" i="1"/>
  <c r="Q1483" i="1"/>
  <c r="R1483" i="1"/>
  <c r="Q1484" i="1"/>
  <c r="R1484" i="1"/>
  <c r="Q1485" i="1"/>
  <c r="R1485" i="1"/>
  <c r="Q1486" i="1"/>
  <c r="R1486" i="1"/>
  <c r="Q1487" i="1"/>
  <c r="R1487" i="1"/>
  <c r="Q1488" i="1"/>
  <c r="R1488" i="1"/>
  <c r="Q1489" i="1"/>
  <c r="R1489" i="1"/>
  <c r="Q1490" i="1"/>
  <c r="R1490" i="1"/>
  <c r="Q1491" i="1"/>
  <c r="R1491" i="1"/>
  <c r="Q1492" i="1"/>
  <c r="R1492" i="1"/>
  <c r="Q1493" i="1"/>
  <c r="R1493" i="1"/>
  <c r="Q1494" i="1"/>
  <c r="R1494" i="1"/>
  <c r="Q1495" i="1"/>
  <c r="R1495" i="1"/>
  <c r="Q1496" i="1"/>
  <c r="R1496" i="1"/>
  <c r="Q1497" i="1"/>
  <c r="R1497" i="1"/>
  <c r="Q1498" i="1"/>
  <c r="R1498" i="1"/>
  <c r="Q1499" i="1"/>
  <c r="R1499" i="1"/>
  <c r="Q1500" i="1"/>
  <c r="R1500" i="1"/>
  <c r="Q1501" i="1"/>
  <c r="R1501" i="1"/>
  <c r="Q1502" i="1"/>
  <c r="R1502" i="1"/>
  <c r="Q1503" i="1"/>
  <c r="R1503" i="1"/>
  <c r="Q1504" i="1"/>
  <c r="R1504" i="1"/>
  <c r="Q1505" i="1"/>
  <c r="R1505" i="1"/>
  <c r="Q1506" i="1"/>
  <c r="R1506" i="1"/>
  <c r="Q1507" i="1"/>
  <c r="R1507" i="1"/>
  <c r="Q1508" i="1"/>
  <c r="R1508" i="1"/>
  <c r="Q1509" i="1"/>
  <c r="R1509" i="1"/>
  <c r="Q1510" i="1"/>
  <c r="R1510" i="1"/>
  <c r="Q1511" i="1"/>
  <c r="R1511" i="1"/>
  <c r="Q1512" i="1"/>
  <c r="R1512" i="1"/>
  <c r="Q1513" i="1"/>
  <c r="R1513" i="1"/>
  <c r="Q1514" i="1"/>
  <c r="R1514" i="1"/>
  <c r="Q1515" i="1"/>
  <c r="R1515" i="1"/>
  <c r="Q1516" i="1"/>
  <c r="R1516" i="1"/>
  <c r="Q1517" i="1"/>
  <c r="R1517" i="1"/>
  <c r="Q1518" i="1"/>
  <c r="R1518" i="1"/>
  <c r="Q1519" i="1"/>
  <c r="R1519" i="1"/>
  <c r="Q1520" i="1"/>
  <c r="R1520" i="1"/>
  <c r="Q1521" i="1"/>
  <c r="R1521" i="1"/>
  <c r="Q1522" i="1"/>
  <c r="R1522" i="1"/>
  <c r="Q1523" i="1"/>
  <c r="R1523" i="1"/>
  <c r="Q1524" i="1"/>
  <c r="R1524" i="1"/>
  <c r="Q1525" i="1"/>
  <c r="R1525" i="1"/>
  <c r="Q1526" i="1"/>
  <c r="R1526" i="1"/>
  <c r="Q1527" i="1"/>
  <c r="R1527" i="1"/>
  <c r="Q1528" i="1"/>
  <c r="R1528" i="1"/>
  <c r="Q1529" i="1"/>
  <c r="R1529" i="1"/>
  <c r="Q1530" i="1"/>
  <c r="R1530" i="1"/>
  <c r="Q1531" i="1"/>
  <c r="R1531" i="1"/>
  <c r="Q1532" i="1"/>
  <c r="R1532" i="1"/>
  <c r="Q1533" i="1"/>
  <c r="R1533" i="1"/>
  <c r="Q1534" i="1"/>
  <c r="R1534" i="1"/>
  <c r="Q1535" i="1"/>
  <c r="R1535" i="1"/>
  <c r="Q1536" i="1"/>
  <c r="R1536" i="1"/>
  <c r="Q1537" i="1"/>
  <c r="R1537" i="1"/>
  <c r="Q1538" i="1"/>
  <c r="R1538" i="1"/>
  <c r="Q1539" i="1"/>
  <c r="R1539" i="1"/>
  <c r="Q1540" i="1"/>
  <c r="R1540" i="1"/>
  <c r="Q1541" i="1"/>
  <c r="R1541" i="1"/>
  <c r="Q1542" i="1"/>
  <c r="R1542" i="1"/>
  <c r="Q1543" i="1"/>
  <c r="R1543" i="1"/>
  <c r="Q1544" i="1"/>
  <c r="R1544" i="1"/>
  <c r="Q1545" i="1"/>
  <c r="R1545" i="1"/>
  <c r="Q1546" i="1"/>
  <c r="R1546" i="1"/>
  <c r="Q1547" i="1"/>
  <c r="R1547" i="1"/>
  <c r="Q1548" i="1"/>
  <c r="R1548" i="1"/>
  <c r="Q1549" i="1"/>
  <c r="R1549" i="1"/>
  <c r="Q1550" i="1"/>
  <c r="R1550" i="1"/>
  <c r="Q1551" i="1"/>
  <c r="R1551" i="1"/>
  <c r="Q1552" i="1"/>
  <c r="R1552" i="1"/>
  <c r="Q1553" i="1"/>
  <c r="R1553" i="1"/>
  <c r="Q1554" i="1"/>
  <c r="R1554" i="1"/>
  <c r="Q1555" i="1"/>
  <c r="R1555" i="1"/>
  <c r="Q1556" i="1"/>
  <c r="R1556" i="1"/>
  <c r="Q1557" i="1"/>
  <c r="R1557" i="1"/>
  <c r="Q1558" i="1"/>
  <c r="R1558" i="1"/>
  <c r="Q1559" i="1"/>
  <c r="R1559" i="1"/>
  <c r="Q1560" i="1"/>
  <c r="R1560" i="1"/>
  <c r="Q1561" i="1"/>
  <c r="R1561" i="1"/>
  <c r="Q1562" i="1"/>
  <c r="R1562" i="1"/>
  <c r="Q1563" i="1"/>
  <c r="R1563" i="1"/>
  <c r="Q1564" i="1"/>
  <c r="R1564" i="1"/>
  <c r="Q1565" i="1"/>
  <c r="R1565" i="1"/>
  <c r="Q1566" i="1"/>
  <c r="R1566" i="1"/>
  <c r="Q1567" i="1"/>
  <c r="R1567" i="1"/>
  <c r="Q1568" i="1"/>
  <c r="R1568" i="1"/>
  <c r="Q1569" i="1"/>
  <c r="R1569" i="1"/>
  <c r="Q1570" i="1"/>
  <c r="R1570" i="1"/>
  <c r="Q1571" i="1"/>
  <c r="R1571" i="1"/>
  <c r="Q1572" i="1"/>
  <c r="R1572" i="1"/>
  <c r="Q1573" i="1"/>
  <c r="R1573" i="1"/>
  <c r="Q1574" i="1"/>
  <c r="R1574" i="1"/>
  <c r="Q1575" i="1"/>
  <c r="R1575" i="1"/>
  <c r="Q1576" i="1"/>
  <c r="R1576" i="1"/>
  <c r="Q1577" i="1"/>
  <c r="R1577" i="1"/>
  <c r="Q1578" i="1"/>
  <c r="R1578" i="1"/>
  <c r="Q1579" i="1"/>
  <c r="R1579" i="1"/>
  <c r="Q1580" i="1"/>
  <c r="R1580" i="1"/>
  <c r="Q1581" i="1"/>
  <c r="R1581" i="1"/>
  <c r="Q1582" i="1"/>
  <c r="R1582" i="1"/>
  <c r="Q1583" i="1"/>
  <c r="R1583" i="1"/>
  <c r="Q1584" i="1"/>
  <c r="R1584" i="1"/>
  <c r="Q1585" i="1"/>
  <c r="R1585" i="1"/>
  <c r="Q1586" i="1"/>
  <c r="R1586" i="1"/>
  <c r="Q1587" i="1"/>
  <c r="R1587" i="1"/>
  <c r="Q1588" i="1"/>
  <c r="R1588" i="1"/>
  <c r="Q1589" i="1"/>
  <c r="R1589" i="1"/>
  <c r="Q1590" i="1"/>
  <c r="R1590" i="1"/>
  <c r="Q1591" i="1"/>
  <c r="R1591" i="1"/>
  <c r="Q1592" i="1"/>
  <c r="R1592" i="1"/>
  <c r="Q1593" i="1"/>
  <c r="R1593" i="1"/>
  <c r="Q1594" i="1"/>
  <c r="R1594" i="1"/>
  <c r="Q1595" i="1"/>
  <c r="R1595" i="1"/>
  <c r="Q1596" i="1"/>
  <c r="R1596" i="1"/>
  <c r="Q1597" i="1"/>
  <c r="R1597" i="1"/>
  <c r="Q1598" i="1"/>
  <c r="R1598" i="1"/>
  <c r="Q1599" i="1"/>
  <c r="R1599" i="1"/>
  <c r="Q1600" i="1"/>
  <c r="R1600" i="1"/>
  <c r="Q1601" i="1"/>
  <c r="R1601" i="1"/>
  <c r="Q1602" i="1"/>
  <c r="R1602" i="1"/>
  <c r="Q1603" i="1"/>
  <c r="R1603" i="1"/>
  <c r="Q1604" i="1"/>
  <c r="R1604" i="1"/>
  <c r="Q1605" i="1"/>
  <c r="R1605" i="1"/>
  <c r="Q1606" i="1"/>
  <c r="R1606" i="1"/>
  <c r="Q1607" i="1"/>
  <c r="R1607" i="1"/>
  <c r="Q1608" i="1"/>
  <c r="R1608" i="1"/>
  <c r="Q1609" i="1"/>
  <c r="R1609" i="1"/>
  <c r="Q1610" i="1"/>
  <c r="R1610" i="1"/>
  <c r="Q1611" i="1"/>
  <c r="R1611" i="1"/>
  <c r="Q1612" i="1"/>
  <c r="R1612" i="1"/>
  <c r="Q1613" i="1"/>
  <c r="R1613" i="1"/>
  <c r="Q1614" i="1"/>
  <c r="R1614" i="1"/>
  <c r="Q1615" i="1"/>
  <c r="R1615" i="1"/>
  <c r="Q1616" i="1"/>
  <c r="R1616" i="1"/>
  <c r="Q1617" i="1"/>
  <c r="R1617" i="1"/>
  <c r="Q1618" i="1"/>
  <c r="R1618" i="1"/>
  <c r="Q1619" i="1"/>
  <c r="R1619" i="1"/>
  <c r="Q1620" i="1"/>
  <c r="R1620" i="1"/>
  <c r="Q1621" i="1"/>
  <c r="R1621" i="1"/>
  <c r="Q1622" i="1"/>
  <c r="R1622" i="1"/>
  <c r="Q1623" i="1"/>
  <c r="R1623" i="1"/>
  <c r="Q1624" i="1"/>
  <c r="R1624" i="1"/>
  <c r="Q1625" i="1"/>
  <c r="R1625" i="1"/>
  <c r="Q1626" i="1"/>
  <c r="R1626" i="1"/>
  <c r="Q1627" i="1"/>
  <c r="R1627" i="1"/>
  <c r="Q1628" i="1"/>
  <c r="R1628" i="1"/>
  <c r="Q1629" i="1"/>
  <c r="R1629" i="1"/>
  <c r="Q1630" i="1"/>
  <c r="R1630" i="1"/>
  <c r="Q1631" i="1"/>
  <c r="R1631" i="1"/>
  <c r="Q1632" i="1"/>
  <c r="R1632" i="1"/>
  <c r="Q1633" i="1"/>
  <c r="R1633" i="1"/>
  <c r="Q1634" i="1"/>
  <c r="R1634" i="1"/>
  <c r="Q1635" i="1"/>
  <c r="R1635" i="1"/>
  <c r="Q1636" i="1"/>
  <c r="R1636" i="1"/>
  <c r="Q1637" i="1"/>
  <c r="R1637" i="1"/>
  <c r="Q1638" i="1"/>
  <c r="R1638" i="1"/>
  <c r="Q1639" i="1"/>
  <c r="R1639" i="1"/>
  <c r="Q1640" i="1"/>
  <c r="R1640" i="1"/>
  <c r="Q1641" i="1"/>
  <c r="R1641" i="1"/>
  <c r="Q1642" i="1"/>
  <c r="R1642" i="1"/>
  <c r="Q1643" i="1"/>
  <c r="R1643" i="1"/>
  <c r="Q1644" i="1"/>
  <c r="R1644" i="1"/>
  <c r="Q1645" i="1"/>
  <c r="R1645" i="1"/>
  <c r="Q1646" i="1"/>
  <c r="R1646" i="1"/>
  <c r="Q1647" i="1"/>
  <c r="R1647" i="1"/>
  <c r="Q1648" i="1"/>
  <c r="R1648" i="1"/>
  <c r="Q1649" i="1"/>
  <c r="R1649" i="1"/>
  <c r="Q1650" i="1"/>
  <c r="R1650" i="1"/>
  <c r="Q1651" i="1"/>
  <c r="R1651" i="1"/>
  <c r="Q1652" i="1"/>
  <c r="R1652" i="1"/>
  <c r="Q1653" i="1"/>
  <c r="R1653" i="1"/>
  <c r="Q1654" i="1"/>
  <c r="R1654" i="1"/>
  <c r="Q1655" i="1"/>
  <c r="R1655" i="1"/>
  <c r="Q1656" i="1"/>
  <c r="R1656" i="1"/>
  <c r="Q1657" i="1"/>
  <c r="R1657" i="1"/>
  <c r="Q1658" i="1"/>
  <c r="R1658" i="1"/>
  <c r="Q1659" i="1"/>
  <c r="R1659" i="1"/>
  <c r="Q1660" i="1"/>
  <c r="R1660" i="1"/>
  <c r="Q1661" i="1"/>
  <c r="R1661" i="1"/>
  <c r="Q1662" i="1"/>
  <c r="R1662" i="1"/>
  <c r="Q1663" i="1"/>
  <c r="R1663" i="1"/>
  <c r="Q1664" i="1"/>
  <c r="R1664" i="1"/>
  <c r="Q1665" i="1"/>
  <c r="R1665" i="1"/>
  <c r="Q1666" i="1"/>
  <c r="R1666" i="1"/>
  <c r="Q1667" i="1"/>
  <c r="R1667" i="1"/>
  <c r="Q1668" i="1"/>
  <c r="R1668" i="1"/>
  <c r="Q1669" i="1"/>
  <c r="R1669" i="1"/>
  <c r="Q1670" i="1"/>
  <c r="R1670" i="1"/>
  <c r="Q1671" i="1"/>
  <c r="R1671" i="1"/>
  <c r="Q1672" i="1"/>
  <c r="R1672" i="1"/>
  <c r="Q1673" i="1"/>
  <c r="R1673" i="1"/>
  <c r="Q1674" i="1"/>
  <c r="R1674" i="1"/>
  <c r="Q1675" i="1"/>
  <c r="R1675" i="1"/>
  <c r="Q1676" i="1"/>
  <c r="R1676" i="1"/>
  <c r="Q1677" i="1"/>
  <c r="R1677" i="1"/>
  <c r="Q1678" i="1"/>
  <c r="R1678" i="1"/>
  <c r="Q1679" i="1"/>
  <c r="R1679" i="1"/>
  <c r="Q1680" i="1"/>
  <c r="R1680" i="1"/>
  <c r="Q1681" i="1"/>
  <c r="R1681" i="1"/>
  <c r="Q1682" i="1"/>
  <c r="R1682" i="1"/>
  <c r="Q1683" i="1"/>
  <c r="R1683" i="1"/>
  <c r="Q1684" i="1"/>
  <c r="R1684" i="1"/>
  <c r="Q1685" i="1"/>
  <c r="R1685" i="1"/>
  <c r="Q1686" i="1"/>
  <c r="R1686" i="1"/>
  <c r="Q1687" i="1"/>
  <c r="R1687" i="1"/>
  <c r="Q1688" i="1"/>
  <c r="R1688" i="1"/>
  <c r="Q1689" i="1"/>
  <c r="R1689" i="1"/>
  <c r="Q1690" i="1"/>
  <c r="R1690" i="1"/>
  <c r="Q1691" i="1"/>
  <c r="R1691" i="1"/>
  <c r="Q1692" i="1"/>
  <c r="R1692" i="1"/>
  <c r="Q1693" i="1"/>
  <c r="R1693" i="1"/>
  <c r="Q1694" i="1"/>
  <c r="R1694" i="1"/>
  <c r="Q1695" i="1"/>
  <c r="R1695" i="1"/>
  <c r="Q1696" i="1"/>
  <c r="R1696" i="1"/>
  <c r="Q1697" i="1"/>
  <c r="R1697" i="1"/>
  <c r="Q1698" i="1"/>
  <c r="R1698" i="1"/>
  <c r="Q1699" i="1"/>
  <c r="R1699" i="1"/>
  <c r="Q1700" i="1"/>
  <c r="R1700" i="1"/>
  <c r="Q1701" i="1"/>
  <c r="R1701" i="1"/>
  <c r="Q1702" i="1"/>
  <c r="R1702" i="1"/>
  <c r="Q1703" i="1"/>
  <c r="R1703" i="1"/>
  <c r="Q1704" i="1"/>
  <c r="R1704" i="1"/>
  <c r="Q1705" i="1"/>
  <c r="R1705" i="1"/>
  <c r="Q1706" i="1"/>
  <c r="R1706" i="1"/>
  <c r="Q1707" i="1"/>
  <c r="R1707" i="1"/>
  <c r="Q1708" i="1"/>
  <c r="R1708" i="1"/>
  <c r="Q1709" i="1"/>
  <c r="R1709" i="1"/>
  <c r="Q1710" i="1"/>
  <c r="R1710" i="1"/>
  <c r="Q1711" i="1"/>
  <c r="R1711" i="1"/>
  <c r="Q1712" i="1"/>
  <c r="R1712" i="1"/>
  <c r="Q1713" i="1"/>
  <c r="R1713" i="1"/>
  <c r="Q1714" i="1"/>
  <c r="R1714" i="1"/>
  <c r="Q1715" i="1"/>
  <c r="R1715" i="1"/>
  <c r="Q1716" i="1"/>
  <c r="R1716" i="1"/>
  <c r="Q1717" i="1"/>
  <c r="R1717" i="1"/>
  <c r="Q1718" i="1"/>
  <c r="R1718" i="1"/>
  <c r="Q1719" i="1"/>
  <c r="R1719" i="1"/>
  <c r="Q1720" i="1"/>
  <c r="R1720" i="1"/>
  <c r="Q1721" i="1"/>
  <c r="R1721" i="1"/>
  <c r="Q1722" i="1"/>
  <c r="R1722" i="1"/>
  <c r="Q1723" i="1"/>
  <c r="R1723" i="1"/>
  <c r="Q1724" i="1"/>
  <c r="R1724" i="1"/>
  <c r="Q1725" i="1"/>
  <c r="R1725" i="1"/>
  <c r="Q1726" i="1"/>
  <c r="R1726" i="1"/>
  <c r="Q1727" i="1"/>
  <c r="R1727" i="1"/>
  <c r="Q1728" i="1"/>
  <c r="R1728" i="1"/>
  <c r="Q1729" i="1"/>
  <c r="R1729" i="1"/>
  <c r="Q1730" i="1"/>
  <c r="R1730" i="1"/>
  <c r="Q1731" i="1"/>
  <c r="R1731" i="1"/>
  <c r="Q1732" i="1"/>
  <c r="R1732" i="1"/>
  <c r="Q1733" i="1"/>
  <c r="R1733" i="1"/>
  <c r="Q1734" i="1"/>
  <c r="R1734" i="1"/>
  <c r="Q1735" i="1"/>
  <c r="R1735" i="1"/>
  <c r="Q1736" i="1"/>
  <c r="R1736" i="1"/>
  <c r="Q1737" i="1"/>
  <c r="R1737" i="1"/>
  <c r="Q1738" i="1"/>
  <c r="R1738" i="1"/>
  <c r="Q1739" i="1"/>
  <c r="R1739" i="1"/>
  <c r="Q1740" i="1"/>
  <c r="R1740" i="1"/>
  <c r="Q1741" i="1"/>
  <c r="R1741" i="1"/>
  <c r="Q1742" i="1"/>
  <c r="R1742" i="1"/>
  <c r="Q1743" i="1"/>
  <c r="R1743" i="1"/>
  <c r="Q1744" i="1"/>
  <c r="R1744" i="1"/>
  <c r="Q1745" i="1"/>
  <c r="R1745" i="1"/>
  <c r="Q1746" i="1"/>
  <c r="R1746" i="1"/>
  <c r="Q1747" i="1"/>
  <c r="R1747" i="1"/>
  <c r="Q1748" i="1"/>
  <c r="R1748" i="1"/>
  <c r="Q1749" i="1"/>
  <c r="R1749" i="1"/>
  <c r="Q1750" i="1"/>
  <c r="R1750" i="1"/>
  <c r="Q1751" i="1"/>
  <c r="R1751" i="1"/>
  <c r="Q1752" i="1"/>
  <c r="R1752" i="1"/>
  <c r="Q1753" i="1"/>
  <c r="R1753" i="1"/>
  <c r="Q1754" i="1"/>
  <c r="R1754" i="1"/>
  <c r="Q1755" i="1"/>
  <c r="R1755" i="1"/>
  <c r="Q1756" i="1"/>
  <c r="R1756" i="1"/>
  <c r="Q1757" i="1"/>
  <c r="R1757" i="1"/>
  <c r="Q1758" i="1"/>
  <c r="R1758" i="1"/>
  <c r="Q1759" i="1"/>
  <c r="R1759" i="1"/>
  <c r="Q1760" i="1"/>
  <c r="R1760" i="1"/>
  <c r="Q1761" i="1"/>
  <c r="R1761" i="1"/>
  <c r="Q1762" i="1"/>
  <c r="R1762" i="1"/>
  <c r="Q1763" i="1"/>
  <c r="R1763" i="1"/>
  <c r="Q1764" i="1"/>
  <c r="R1764" i="1"/>
  <c r="Q1765" i="1"/>
  <c r="R1765" i="1"/>
  <c r="Q1766" i="1"/>
  <c r="R1766" i="1"/>
  <c r="Q1767" i="1"/>
  <c r="R1767" i="1"/>
  <c r="Q1768" i="1"/>
  <c r="R1768" i="1"/>
  <c r="Q1769" i="1"/>
  <c r="R1769" i="1"/>
  <c r="Q1770" i="1"/>
  <c r="R1770" i="1"/>
  <c r="Q1771" i="1"/>
  <c r="R1771" i="1"/>
  <c r="Q1772" i="1"/>
  <c r="R1772" i="1"/>
  <c r="Q1773" i="1"/>
  <c r="R1773" i="1"/>
  <c r="Q1774" i="1"/>
  <c r="R1774" i="1"/>
  <c r="Q1775" i="1"/>
  <c r="R1775" i="1"/>
  <c r="Q1776" i="1"/>
  <c r="R1776" i="1"/>
  <c r="Q1777" i="1"/>
  <c r="R1777" i="1"/>
  <c r="Q1778" i="1"/>
  <c r="R1778" i="1"/>
  <c r="Q1779" i="1"/>
  <c r="R1779" i="1"/>
  <c r="Q1780" i="1"/>
  <c r="R1780" i="1"/>
  <c r="Q1781" i="1"/>
  <c r="R1781" i="1"/>
  <c r="Q1782" i="1"/>
  <c r="R1782" i="1"/>
  <c r="Q1783" i="1"/>
  <c r="R1783" i="1"/>
  <c r="Q1784" i="1"/>
  <c r="R1784" i="1"/>
  <c r="Q1785" i="1"/>
  <c r="R1785" i="1"/>
  <c r="Q1786" i="1"/>
  <c r="R1786" i="1"/>
  <c r="Q1787" i="1"/>
  <c r="R1787" i="1"/>
  <c r="Q1788" i="1"/>
  <c r="R1788" i="1"/>
  <c r="Q1789" i="1"/>
  <c r="R1789" i="1"/>
  <c r="Q1790" i="1"/>
  <c r="R1790" i="1"/>
  <c r="Q1791" i="1"/>
  <c r="R1791" i="1"/>
  <c r="Q1792" i="1"/>
  <c r="R1792" i="1"/>
  <c r="Q1793" i="1"/>
  <c r="R1793" i="1"/>
  <c r="Q1794" i="1"/>
  <c r="R1794" i="1"/>
  <c r="Q1795" i="1"/>
  <c r="R1795" i="1"/>
  <c r="Q1796" i="1"/>
  <c r="R1796" i="1"/>
  <c r="Q1797" i="1"/>
  <c r="R1797" i="1"/>
  <c r="Q1798" i="1"/>
  <c r="R1798" i="1"/>
  <c r="Q1799" i="1"/>
  <c r="R1799" i="1"/>
  <c r="Q1800" i="1"/>
  <c r="R1800" i="1"/>
  <c r="Q1801" i="1"/>
  <c r="R1801" i="1"/>
  <c r="Q1802" i="1"/>
  <c r="R1802" i="1"/>
  <c r="Q1803" i="1"/>
  <c r="R1803" i="1"/>
  <c r="Q1804" i="1"/>
  <c r="R1804" i="1"/>
  <c r="Q1805" i="1"/>
  <c r="R1805" i="1"/>
  <c r="Q1806" i="1"/>
  <c r="R1806" i="1"/>
  <c r="Q1807" i="1"/>
  <c r="R1807" i="1"/>
  <c r="Q1808" i="1"/>
  <c r="R1808" i="1"/>
  <c r="Q1809" i="1"/>
  <c r="R1809" i="1"/>
  <c r="Q1810" i="1"/>
  <c r="R1810" i="1"/>
  <c r="Q1811" i="1"/>
  <c r="R1811" i="1"/>
  <c r="Q1812" i="1"/>
  <c r="R1812" i="1"/>
  <c r="Q1813" i="1"/>
  <c r="R1813" i="1"/>
  <c r="Q1814" i="1"/>
  <c r="R1814" i="1"/>
  <c r="Q1815" i="1"/>
  <c r="R1815" i="1"/>
  <c r="Q1816" i="1"/>
  <c r="R1816" i="1"/>
  <c r="Q1817" i="1"/>
  <c r="R1817" i="1"/>
  <c r="Q1818" i="1"/>
  <c r="R1818" i="1"/>
  <c r="Q1819" i="1"/>
  <c r="R1819" i="1"/>
  <c r="Q1820" i="1"/>
  <c r="R1820" i="1"/>
  <c r="Q1821" i="1"/>
  <c r="R1821" i="1"/>
  <c r="Q1822" i="1"/>
  <c r="R1822" i="1"/>
  <c r="Q1823" i="1"/>
  <c r="R1823" i="1"/>
  <c r="Q1824" i="1"/>
  <c r="R1824" i="1"/>
  <c r="Q1825" i="1"/>
  <c r="R1825" i="1"/>
  <c r="Q1826" i="1"/>
  <c r="R1826" i="1"/>
  <c r="Q1827" i="1"/>
  <c r="R1827" i="1"/>
  <c r="Q1828" i="1"/>
  <c r="R1828" i="1"/>
  <c r="Q1829" i="1"/>
  <c r="R1829" i="1"/>
  <c r="Q1830" i="1"/>
  <c r="R1830" i="1"/>
  <c r="Q1831" i="1"/>
  <c r="R1831" i="1"/>
  <c r="Q1832" i="1"/>
  <c r="R1832" i="1"/>
  <c r="Q1833" i="1"/>
  <c r="R1833" i="1"/>
  <c r="Q1834" i="1"/>
  <c r="R1834" i="1"/>
  <c r="Q1835" i="1"/>
  <c r="R1835" i="1"/>
  <c r="Q1836" i="1"/>
  <c r="R1836" i="1"/>
  <c r="Q1837" i="1"/>
  <c r="R1837" i="1"/>
  <c r="Q1838" i="1"/>
  <c r="R1838" i="1"/>
  <c r="Q1839" i="1"/>
  <c r="R1839" i="1"/>
  <c r="Q1840" i="1"/>
  <c r="R1840" i="1"/>
  <c r="Q1841" i="1"/>
  <c r="R1841" i="1"/>
  <c r="Q1842" i="1"/>
  <c r="R1842" i="1"/>
  <c r="Q1843" i="1"/>
  <c r="R1843" i="1"/>
  <c r="Q1844" i="1"/>
  <c r="R1844" i="1"/>
  <c r="Q1845" i="1"/>
  <c r="R1845" i="1"/>
  <c r="Q1846" i="1"/>
  <c r="R1846" i="1"/>
  <c r="Q1847" i="1"/>
  <c r="R1847" i="1"/>
  <c r="Q1848" i="1"/>
  <c r="R1848" i="1"/>
  <c r="Q1849" i="1"/>
  <c r="R1849" i="1"/>
  <c r="Q1850" i="1"/>
  <c r="R1850" i="1"/>
  <c r="Q1851" i="1"/>
  <c r="R1851" i="1"/>
  <c r="Q1852" i="1"/>
  <c r="R1852" i="1"/>
  <c r="Q1853" i="1"/>
  <c r="R1853" i="1"/>
  <c r="Q1854" i="1"/>
  <c r="R1854" i="1"/>
  <c r="Q1855" i="1"/>
  <c r="R1855" i="1"/>
  <c r="Q1856" i="1"/>
  <c r="R1856" i="1"/>
  <c r="Q1857" i="1"/>
  <c r="R1857" i="1"/>
  <c r="Q1858" i="1"/>
  <c r="R1858" i="1"/>
  <c r="Q1859" i="1"/>
  <c r="R1859" i="1"/>
  <c r="Q1860" i="1"/>
  <c r="R1860" i="1"/>
  <c r="Q1861" i="1"/>
  <c r="R1861" i="1"/>
  <c r="Q1862" i="1"/>
  <c r="R1862" i="1"/>
  <c r="Q1863" i="1"/>
  <c r="R1863" i="1"/>
  <c r="Q1864" i="1"/>
  <c r="R1864" i="1"/>
  <c r="Q1865" i="1"/>
  <c r="R1865" i="1"/>
  <c r="Q1866" i="1"/>
  <c r="R1866" i="1"/>
  <c r="Q1867" i="1"/>
  <c r="R1867" i="1"/>
  <c r="Q1868" i="1"/>
  <c r="R1868" i="1"/>
  <c r="Q1869" i="1"/>
  <c r="R1869" i="1"/>
  <c r="Q1870" i="1"/>
  <c r="R1870" i="1"/>
  <c r="Q1871" i="1"/>
  <c r="R1871" i="1"/>
  <c r="Q1872" i="1"/>
  <c r="R1872" i="1"/>
  <c r="Q1873" i="1"/>
  <c r="R1873" i="1"/>
  <c r="Q1874" i="1"/>
  <c r="R1874" i="1"/>
  <c r="Q1875" i="1"/>
  <c r="R1875" i="1"/>
  <c r="Q1876" i="1"/>
  <c r="R1876" i="1"/>
  <c r="Q1877" i="1"/>
  <c r="R1877" i="1"/>
  <c r="Q1878" i="1"/>
  <c r="R1878" i="1"/>
  <c r="Q1879" i="1"/>
  <c r="R1879" i="1"/>
  <c r="Q1880" i="1"/>
  <c r="R1880" i="1"/>
  <c r="Q1881" i="1"/>
  <c r="R1881" i="1"/>
  <c r="Q1882" i="1"/>
  <c r="R1882" i="1"/>
  <c r="Q1883" i="1"/>
  <c r="R1883" i="1"/>
  <c r="Q1884" i="1"/>
  <c r="R1884" i="1"/>
  <c r="Q1885" i="1"/>
  <c r="R1885" i="1"/>
  <c r="Q1886" i="1"/>
  <c r="R1886" i="1"/>
  <c r="Q1887" i="1"/>
  <c r="R1887" i="1"/>
  <c r="Q1888" i="1"/>
  <c r="R1888" i="1"/>
  <c r="Q1889" i="1"/>
  <c r="R1889" i="1"/>
  <c r="Q1890" i="1"/>
  <c r="R1890" i="1"/>
  <c r="Q1891" i="1"/>
  <c r="R1891" i="1"/>
  <c r="Q1892" i="1"/>
  <c r="R1892" i="1"/>
  <c r="Q1893" i="1"/>
  <c r="R1893" i="1"/>
  <c r="Q1894" i="1"/>
  <c r="R1894" i="1"/>
  <c r="Q1895" i="1"/>
  <c r="R1895" i="1"/>
  <c r="Q1896" i="1"/>
  <c r="R1896" i="1"/>
  <c r="Q1897" i="1"/>
  <c r="R1897" i="1"/>
  <c r="Q1898" i="1"/>
  <c r="R1898" i="1"/>
  <c r="Q1899" i="1"/>
  <c r="R1899" i="1"/>
  <c r="Q1900" i="1"/>
  <c r="R1900" i="1"/>
  <c r="Q1901" i="1"/>
  <c r="R1901" i="1"/>
  <c r="Q1902" i="1"/>
  <c r="R1902" i="1"/>
  <c r="Q1903" i="1"/>
  <c r="R1903" i="1"/>
  <c r="Q1904" i="1"/>
  <c r="R1904" i="1"/>
  <c r="Q1905" i="1"/>
  <c r="R1905" i="1"/>
  <c r="Q1906" i="1"/>
  <c r="R1906" i="1"/>
  <c r="Q1907" i="1"/>
  <c r="R1907" i="1"/>
  <c r="Q1908" i="1"/>
  <c r="R1908" i="1"/>
  <c r="Q1909" i="1"/>
  <c r="R1909" i="1"/>
  <c r="Q1910" i="1"/>
  <c r="R1910" i="1"/>
  <c r="Q1911" i="1"/>
  <c r="R1911" i="1"/>
  <c r="Q1912" i="1"/>
  <c r="R1912" i="1"/>
  <c r="Q1913" i="1"/>
  <c r="R1913" i="1"/>
  <c r="Q1914" i="1"/>
  <c r="R1914" i="1"/>
  <c r="Q1915" i="1"/>
  <c r="R1915" i="1"/>
  <c r="Q1916" i="1"/>
  <c r="R1916" i="1"/>
  <c r="Q1917" i="1"/>
  <c r="R1917" i="1"/>
  <c r="Q1918" i="1"/>
  <c r="R1918" i="1"/>
  <c r="Q1919" i="1"/>
  <c r="R1919" i="1"/>
  <c r="Q1920" i="1"/>
  <c r="R1920" i="1"/>
  <c r="Q1921" i="1"/>
  <c r="R1921" i="1"/>
  <c r="Q1922" i="1"/>
  <c r="R1922" i="1"/>
  <c r="Q1923" i="1"/>
  <c r="R1923" i="1"/>
  <c r="Q1924" i="1"/>
  <c r="R1924" i="1"/>
  <c r="Q1925" i="1"/>
  <c r="R1925" i="1"/>
  <c r="Q1926" i="1"/>
  <c r="R1926" i="1"/>
  <c r="Q1927" i="1"/>
  <c r="R1927" i="1"/>
  <c r="Q1928" i="1"/>
  <c r="R1928" i="1"/>
  <c r="Q1929" i="1"/>
  <c r="R1929" i="1"/>
  <c r="Q1930" i="1"/>
  <c r="R1930" i="1"/>
  <c r="Q1931" i="1"/>
  <c r="R1931" i="1"/>
  <c r="Q1932" i="1"/>
  <c r="R1932" i="1"/>
  <c r="Q1933" i="1"/>
  <c r="R1933" i="1"/>
  <c r="Q1934" i="1"/>
  <c r="R1934" i="1"/>
  <c r="Q1935" i="1"/>
  <c r="R1935" i="1"/>
  <c r="Q1936" i="1"/>
  <c r="R1936" i="1"/>
  <c r="Q1937" i="1"/>
  <c r="R1937" i="1"/>
  <c r="Q1938" i="1"/>
  <c r="R1938" i="1"/>
  <c r="Q1939" i="1"/>
  <c r="R1939" i="1"/>
  <c r="Q1940" i="1"/>
  <c r="R1940" i="1"/>
  <c r="Q1941" i="1"/>
  <c r="R1941" i="1"/>
  <c r="Q1942" i="1"/>
  <c r="R1942" i="1"/>
  <c r="Q1943" i="1"/>
  <c r="R1943" i="1"/>
  <c r="Q1944" i="1"/>
  <c r="R1944" i="1"/>
  <c r="Q1945" i="1"/>
  <c r="R1945" i="1"/>
  <c r="Q1946" i="1"/>
  <c r="R1946" i="1"/>
  <c r="Q1947" i="1"/>
  <c r="R1947" i="1"/>
  <c r="Q1948" i="1"/>
  <c r="R1948" i="1"/>
  <c r="Q1949" i="1"/>
  <c r="R1949" i="1"/>
  <c r="Q1950" i="1"/>
  <c r="R1950" i="1"/>
  <c r="Q1951" i="1"/>
  <c r="R1951" i="1"/>
  <c r="Q1952" i="1"/>
  <c r="R1952" i="1"/>
  <c r="Q1953" i="1"/>
  <c r="R1953" i="1"/>
  <c r="Q1954" i="1"/>
  <c r="R1954" i="1"/>
  <c r="Q1955" i="1"/>
  <c r="R1955" i="1"/>
  <c r="Q1956" i="1"/>
  <c r="R1956" i="1"/>
  <c r="Q1957" i="1"/>
  <c r="R1957" i="1"/>
  <c r="Q1958" i="1"/>
  <c r="R1958" i="1"/>
  <c r="Q1959" i="1"/>
  <c r="R1959" i="1"/>
  <c r="Q1960" i="1"/>
  <c r="R1960" i="1"/>
  <c r="Q1961" i="1"/>
  <c r="R1961" i="1"/>
  <c r="Q1962" i="1"/>
  <c r="R1962" i="1"/>
  <c r="Q1963" i="1"/>
  <c r="R1963" i="1"/>
  <c r="Q1964" i="1"/>
  <c r="R1964" i="1"/>
  <c r="Q1965" i="1"/>
  <c r="R1965" i="1"/>
  <c r="Q1966" i="1"/>
  <c r="R1966" i="1"/>
  <c r="Q1967" i="1"/>
  <c r="R1967" i="1"/>
  <c r="Q1968" i="1"/>
  <c r="R1968" i="1"/>
  <c r="Q1969" i="1"/>
  <c r="R1969" i="1"/>
  <c r="Q1970" i="1"/>
  <c r="R1970" i="1"/>
  <c r="Q1971" i="1"/>
  <c r="R1971" i="1"/>
  <c r="Q1972" i="1"/>
  <c r="R1972" i="1"/>
  <c r="Q1973" i="1"/>
  <c r="R1973" i="1"/>
  <c r="Q1974" i="1"/>
  <c r="R1974" i="1"/>
  <c r="Q1975" i="1"/>
  <c r="R1975" i="1"/>
  <c r="Q1976" i="1"/>
  <c r="R1976" i="1"/>
  <c r="Q1977" i="1"/>
  <c r="R1977" i="1"/>
  <c r="Q1978" i="1"/>
  <c r="R1978" i="1"/>
  <c r="Q1979" i="1"/>
  <c r="R1979" i="1"/>
  <c r="Q1980" i="1"/>
  <c r="R1980" i="1"/>
  <c r="Q1981" i="1"/>
  <c r="R1981" i="1"/>
  <c r="Q1982" i="1"/>
  <c r="R1982" i="1"/>
  <c r="Q1983" i="1"/>
  <c r="R1983" i="1"/>
  <c r="Q1984" i="1"/>
  <c r="R1984" i="1"/>
  <c r="Q1985" i="1"/>
  <c r="R1985" i="1"/>
  <c r="Q1986" i="1"/>
  <c r="R1986" i="1"/>
  <c r="Q1987" i="1"/>
  <c r="R1987" i="1"/>
  <c r="Q1988" i="1"/>
  <c r="R1988" i="1"/>
  <c r="Q1989" i="1"/>
  <c r="R1989" i="1"/>
  <c r="Q1990" i="1"/>
  <c r="R1990" i="1"/>
  <c r="Q1991" i="1"/>
  <c r="R1991" i="1"/>
  <c r="Q1992" i="1"/>
  <c r="R1992" i="1"/>
  <c r="Q1993" i="1"/>
  <c r="R1993" i="1"/>
  <c r="Q1994" i="1"/>
  <c r="R1994" i="1"/>
  <c r="Q1995" i="1"/>
  <c r="R1995" i="1"/>
  <c r="Q1996" i="1"/>
  <c r="R1996" i="1"/>
  <c r="Q1997" i="1"/>
  <c r="R1997" i="1"/>
  <c r="Q1998" i="1"/>
  <c r="R1998" i="1"/>
  <c r="Q1999" i="1"/>
  <c r="R1999" i="1"/>
  <c r="Q2000" i="1"/>
  <c r="R2000" i="1"/>
  <c r="Q2001" i="1"/>
  <c r="R2001" i="1"/>
  <c r="Q2002" i="1"/>
  <c r="R2002" i="1"/>
  <c r="Q2003" i="1"/>
  <c r="R2003" i="1"/>
  <c r="Q2004" i="1"/>
  <c r="R2004" i="1"/>
  <c r="Q2005" i="1"/>
  <c r="R2005" i="1"/>
  <c r="Q2006" i="1"/>
  <c r="R2006" i="1"/>
  <c r="Q2007" i="1"/>
  <c r="R2007" i="1"/>
  <c r="Q2008" i="1"/>
  <c r="R2008" i="1"/>
  <c r="Q2009" i="1"/>
  <c r="R2009" i="1"/>
  <c r="Q2010" i="1"/>
  <c r="R2010" i="1"/>
  <c r="Q2011" i="1"/>
  <c r="R2011" i="1"/>
  <c r="Q2012" i="1"/>
  <c r="R2012" i="1"/>
  <c r="Q2013" i="1"/>
  <c r="R2013" i="1"/>
  <c r="Q2014" i="1"/>
  <c r="R2014" i="1"/>
  <c r="Q2015" i="1"/>
  <c r="R2015" i="1"/>
  <c r="Q2016" i="1"/>
  <c r="R2016" i="1"/>
  <c r="Q2017" i="1"/>
  <c r="R2017" i="1"/>
  <c r="Q2018" i="1"/>
  <c r="R2018" i="1"/>
  <c r="Q2019" i="1"/>
  <c r="R2019" i="1"/>
  <c r="Q2020" i="1"/>
  <c r="R2020" i="1"/>
  <c r="Q2021" i="1"/>
  <c r="R2021" i="1"/>
  <c r="Q2022" i="1"/>
  <c r="R2022" i="1"/>
  <c r="Q2023" i="1"/>
  <c r="R2023" i="1"/>
  <c r="Q2024" i="1"/>
  <c r="R2024" i="1"/>
  <c r="Q2025" i="1"/>
  <c r="R2025" i="1"/>
  <c r="Q2026" i="1"/>
  <c r="R2026" i="1"/>
  <c r="Q2027" i="1"/>
  <c r="R2027" i="1"/>
  <c r="Q2028" i="1"/>
  <c r="R2028" i="1"/>
  <c r="Q2029" i="1"/>
  <c r="R2029" i="1"/>
  <c r="Q2030" i="1"/>
  <c r="R2030" i="1"/>
  <c r="Q2031" i="1"/>
  <c r="R2031" i="1"/>
  <c r="Q2032" i="1"/>
  <c r="R2032" i="1"/>
  <c r="Q2033" i="1"/>
  <c r="R2033" i="1"/>
  <c r="Q2034" i="1"/>
  <c r="R2034" i="1"/>
  <c r="Q2035" i="1"/>
  <c r="R2035" i="1"/>
  <c r="Q2036" i="1"/>
  <c r="R2036" i="1"/>
  <c r="Q2037" i="1"/>
  <c r="R2037" i="1"/>
  <c r="Q2038" i="1"/>
  <c r="R2038" i="1"/>
  <c r="Q2039" i="1"/>
  <c r="R2039" i="1"/>
  <c r="Q2040" i="1"/>
  <c r="R2040" i="1"/>
  <c r="Q2041" i="1"/>
  <c r="R2041" i="1"/>
  <c r="Q2042" i="1"/>
  <c r="R2042" i="1"/>
  <c r="Q2043" i="1"/>
  <c r="R2043" i="1"/>
  <c r="Q2044" i="1"/>
  <c r="R2044" i="1"/>
  <c r="Q2045" i="1"/>
  <c r="R2045" i="1"/>
  <c r="Q2046" i="1"/>
  <c r="R2046" i="1"/>
  <c r="Q2047" i="1"/>
  <c r="R2047" i="1"/>
  <c r="Q2048" i="1"/>
  <c r="R2048" i="1"/>
  <c r="Q2049" i="1"/>
  <c r="R2049" i="1"/>
  <c r="Q2050" i="1"/>
  <c r="R2050" i="1"/>
  <c r="Q2051" i="1"/>
  <c r="R2051" i="1"/>
  <c r="Q2052" i="1"/>
  <c r="R2052" i="1"/>
  <c r="Q2053" i="1"/>
  <c r="R2053" i="1"/>
  <c r="Q2054" i="1"/>
  <c r="R2054" i="1"/>
  <c r="Q2055" i="1"/>
  <c r="R2055" i="1"/>
  <c r="Q2056" i="1"/>
  <c r="R2056" i="1"/>
  <c r="Q2057" i="1"/>
  <c r="R2057" i="1"/>
  <c r="Q2058" i="1"/>
  <c r="R2058" i="1"/>
  <c r="Q2059" i="1"/>
  <c r="R2059" i="1"/>
  <c r="Q2060" i="1"/>
  <c r="R2060" i="1"/>
  <c r="Q2061" i="1"/>
  <c r="R2061" i="1"/>
  <c r="Q2062" i="1"/>
  <c r="R2062" i="1"/>
  <c r="Q2063" i="1"/>
  <c r="R2063" i="1"/>
  <c r="Q2064" i="1"/>
  <c r="R2064" i="1"/>
  <c r="Q2065" i="1"/>
  <c r="R2065" i="1"/>
  <c r="Q2066" i="1"/>
  <c r="R2066" i="1"/>
  <c r="Q2067" i="1"/>
  <c r="R2067" i="1"/>
  <c r="Q2068" i="1"/>
  <c r="R2068" i="1"/>
  <c r="Q2069" i="1"/>
  <c r="R2069" i="1"/>
  <c r="Q2070" i="1"/>
  <c r="R2070" i="1"/>
  <c r="Q2071" i="1"/>
  <c r="R2071" i="1"/>
  <c r="Q2072" i="1"/>
  <c r="R2072" i="1"/>
  <c r="Q2073" i="1"/>
  <c r="R2073" i="1"/>
  <c r="Q2074" i="1"/>
  <c r="R2074" i="1"/>
  <c r="Q2075" i="1"/>
  <c r="R2075" i="1"/>
  <c r="Q2076" i="1"/>
  <c r="R2076" i="1"/>
  <c r="Q2077" i="1"/>
  <c r="R2077" i="1"/>
  <c r="Q2078" i="1"/>
  <c r="R2078" i="1"/>
  <c r="Q2079" i="1"/>
  <c r="R2079" i="1"/>
  <c r="Q2080" i="1"/>
  <c r="R2080" i="1"/>
  <c r="Q2081" i="1"/>
  <c r="R2081" i="1"/>
  <c r="Q2082" i="1"/>
  <c r="R2082" i="1"/>
  <c r="Q2083" i="1"/>
  <c r="R2083" i="1"/>
  <c r="Q2084" i="1"/>
  <c r="R2084" i="1"/>
  <c r="Q2085" i="1"/>
  <c r="R2085" i="1"/>
  <c r="Q2086" i="1"/>
  <c r="R2086" i="1"/>
  <c r="Q2087" i="1"/>
  <c r="R2087" i="1"/>
  <c r="Q2088" i="1"/>
  <c r="R2088" i="1"/>
  <c r="Q2089" i="1"/>
  <c r="R2089" i="1"/>
  <c r="Q2090" i="1"/>
  <c r="R2090" i="1"/>
  <c r="Q2091" i="1"/>
  <c r="R2091" i="1"/>
  <c r="Q2092" i="1"/>
  <c r="R2092" i="1"/>
  <c r="Q2093" i="1"/>
  <c r="R2093" i="1"/>
  <c r="Q2094" i="1"/>
  <c r="R2094" i="1"/>
  <c r="Q2095" i="1"/>
  <c r="R2095" i="1"/>
  <c r="Q2096" i="1"/>
  <c r="R2096" i="1"/>
  <c r="Q2097" i="1"/>
  <c r="R2097" i="1"/>
  <c r="Q2098" i="1"/>
  <c r="R2098" i="1"/>
  <c r="Q2099" i="1"/>
  <c r="R2099" i="1"/>
  <c r="Q2100" i="1"/>
  <c r="R2100" i="1"/>
  <c r="Q2101" i="1"/>
  <c r="R2101" i="1"/>
  <c r="Q2102" i="1"/>
  <c r="R2102" i="1"/>
  <c r="Q2103" i="1"/>
  <c r="R2103" i="1"/>
  <c r="Q2104" i="1"/>
  <c r="R2104" i="1"/>
  <c r="Q2105" i="1"/>
  <c r="R2105" i="1"/>
  <c r="Q2106" i="1"/>
  <c r="R2106" i="1"/>
  <c r="Q2107" i="1"/>
  <c r="R2107" i="1"/>
  <c r="Q2108" i="1"/>
  <c r="R2108" i="1"/>
  <c r="Q2109" i="1"/>
  <c r="R2109" i="1"/>
  <c r="Q2110" i="1"/>
  <c r="R2110" i="1"/>
  <c r="Q2111" i="1"/>
  <c r="R2111" i="1"/>
  <c r="Q2112" i="1"/>
  <c r="R2112" i="1"/>
  <c r="Q2113" i="1"/>
  <c r="R2113" i="1"/>
  <c r="Q2114" i="1"/>
  <c r="R2114" i="1"/>
  <c r="Q2115" i="1"/>
  <c r="R2115" i="1"/>
  <c r="Q2116" i="1"/>
  <c r="R2116" i="1"/>
  <c r="Q2117" i="1"/>
  <c r="R2117" i="1"/>
  <c r="Q2118" i="1"/>
  <c r="R2118" i="1"/>
  <c r="Q2119" i="1"/>
  <c r="R2119" i="1"/>
  <c r="Q2120" i="1"/>
  <c r="R2120" i="1"/>
  <c r="Q2121" i="1"/>
  <c r="R2121" i="1"/>
  <c r="Q2122" i="1"/>
  <c r="R2122" i="1"/>
  <c r="Q2123" i="1"/>
  <c r="R2123" i="1"/>
  <c r="Q2124" i="1"/>
  <c r="R2124" i="1"/>
  <c r="Q2125" i="1"/>
  <c r="R2125" i="1"/>
  <c r="Q2126" i="1"/>
  <c r="R2126" i="1"/>
  <c r="Q2127" i="1"/>
  <c r="R2127" i="1"/>
  <c r="Q2128" i="1"/>
  <c r="R2128" i="1"/>
  <c r="Q2129" i="1"/>
  <c r="R2129" i="1"/>
  <c r="Q2130" i="1"/>
  <c r="R2130" i="1"/>
  <c r="Q2131" i="1"/>
  <c r="R2131" i="1"/>
  <c r="Q2132" i="1"/>
  <c r="R2132" i="1"/>
  <c r="Q2133" i="1"/>
  <c r="R2133" i="1"/>
  <c r="Q2134" i="1"/>
  <c r="R2134" i="1"/>
  <c r="Q2135" i="1"/>
  <c r="R2135" i="1"/>
  <c r="Q2136" i="1"/>
  <c r="R2136" i="1"/>
  <c r="Q2137" i="1"/>
  <c r="R2137" i="1"/>
  <c r="Q2138" i="1"/>
  <c r="R2138" i="1"/>
  <c r="Q2139" i="1"/>
  <c r="R2139" i="1"/>
  <c r="Q2140" i="1"/>
  <c r="R2140" i="1"/>
  <c r="Q2141" i="1"/>
  <c r="R2141" i="1"/>
  <c r="Q2142" i="1"/>
  <c r="R2142" i="1"/>
  <c r="Q2143" i="1"/>
  <c r="R2143" i="1"/>
  <c r="Q2144" i="1"/>
  <c r="R2144" i="1"/>
  <c r="Q2145" i="1"/>
  <c r="R2145" i="1"/>
  <c r="Q2146" i="1"/>
  <c r="R2146" i="1"/>
  <c r="Q2147" i="1"/>
  <c r="R2147" i="1"/>
  <c r="Q2148" i="1"/>
  <c r="R2148" i="1"/>
  <c r="Q2149" i="1"/>
  <c r="R2149" i="1"/>
  <c r="Q2150" i="1"/>
  <c r="R2150" i="1"/>
  <c r="Q2151" i="1"/>
  <c r="R2151" i="1"/>
  <c r="Q2152" i="1"/>
  <c r="R2152" i="1"/>
  <c r="Q2153" i="1"/>
  <c r="R2153" i="1"/>
  <c r="Q2154" i="1"/>
  <c r="R2154" i="1"/>
  <c r="Q2155" i="1"/>
  <c r="R2155" i="1"/>
  <c r="Q2156" i="1"/>
  <c r="R2156" i="1"/>
  <c r="Q2157" i="1"/>
  <c r="R2157" i="1"/>
  <c r="Q2158" i="1"/>
  <c r="R2158" i="1"/>
  <c r="Q2159" i="1"/>
  <c r="R2159" i="1"/>
  <c r="Q2160" i="1"/>
  <c r="R2160" i="1"/>
  <c r="Q2161" i="1"/>
  <c r="R2161" i="1"/>
  <c r="Q2162" i="1"/>
  <c r="R2162" i="1"/>
  <c r="Q2163" i="1"/>
  <c r="R2163" i="1"/>
  <c r="Q2164" i="1"/>
  <c r="R2164" i="1"/>
  <c r="Q2165" i="1"/>
  <c r="R2165" i="1"/>
  <c r="Q2166" i="1"/>
  <c r="R2166" i="1"/>
  <c r="Q2167" i="1"/>
  <c r="R2167" i="1"/>
  <c r="Q2168" i="1"/>
  <c r="R2168" i="1"/>
  <c r="Q2169" i="1"/>
  <c r="R2169" i="1"/>
  <c r="Q2170" i="1"/>
  <c r="R2170" i="1"/>
  <c r="Q2171" i="1"/>
  <c r="R2171" i="1"/>
  <c r="Q2172" i="1"/>
  <c r="R2172" i="1"/>
  <c r="Q2173" i="1"/>
  <c r="R2173" i="1"/>
  <c r="Q2174" i="1"/>
  <c r="R2174" i="1"/>
  <c r="Q2175" i="1"/>
  <c r="R2175" i="1"/>
  <c r="Q2176" i="1"/>
  <c r="R2176" i="1"/>
  <c r="Q2177" i="1"/>
  <c r="R2177" i="1"/>
  <c r="Q2178" i="1"/>
  <c r="R2178" i="1"/>
  <c r="Q2179" i="1"/>
  <c r="R2179" i="1"/>
  <c r="Q2180" i="1"/>
  <c r="R2180" i="1"/>
  <c r="Q2181" i="1"/>
  <c r="R2181" i="1"/>
  <c r="Q2182" i="1"/>
  <c r="R2182" i="1"/>
  <c r="Q2183" i="1"/>
  <c r="R2183" i="1"/>
  <c r="Q2184" i="1"/>
  <c r="R2184" i="1"/>
  <c r="Q2185" i="1"/>
  <c r="R2185" i="1"/>
  <c r="Q2186" i="1"/>
  <c r="R2186" i="1"/>
  <c r="Q2187" i="1"/>
  <c r="R2187" i="1"/>
  <c r="Q2188" i="1"/>
  <c r="R2188" i="1"/>
  <c r="Q2189" i="1"/>
  <c r="R2189" i="1"/>
  <c r="Q2190" i="1"/>
  <c r="R2190" i="1"/>
  <c r="Q2191" i="1"/>
  <c r="R2191" i="1"/>
  <c r="Q2192" i="1"/>
  <c r="R2192" i="1"/>
  <c r="Q2193" i="1"/>
  <c r="R2193" i="1"/>
  <c r="Q2194" i="1"/>
  <c r="R2194" i="1"/>
  <c r="Q2195" i="1"/>
  <c r="R2195" i="1"/>
  <c r="Q2196" i="1"/>
  <c r="R2196" i="1"/>
  <c r="Q2197" i="1"/>
  <c r="R2197" i="1"/>
  <c r="Q2198" i="1"/>
  <c r="R2198" i="1"/>
  <c r="Q2199" i="1"/>
  <c r="R2199" i="1"/>
  <c r="Q2200" i="1"/>
  <c r="R2200" i="1"/>
  <c r="Q2201" i="1"/>
  <c r="R2201" i="1"/>
  <c r="Q2202" i="1"/>
  <c r="R2202" i="1"/>
  <c r="Q2203" i="1"/>
  <c r="R2203" i="1"/>
  <c r="Q2204" i="1"/>
  <c r="R2204" i="1"/>
  <c r="Q2205" i="1"/>
  <c r="R2205" i="1"/>
  <c r="Q2206" i="1"/>
  <c r="R2206" i="1"/>
  <c r="Q2207" i="1"/>
  <c r="R2207" i="1"/>
  <c r="Q2208" i="1"/>
  <c r="R2208" i="1"/>
  <c r="Q2209" i="1"/>
  <c r="R2209" i="1"/>
  <c r="Q2210" i="1"/>
  <c r="R2210" i="1"/>
  <c r="Q2211" i="1"/>
  <c r="R2211" i="1"/>
  <c r="Q2212" i="1"/>
  <c r="R2212" i="1"/>
  <c r="Q2213" i="1"/>
  <c r="R2213" i="1"/>
  <c r="Q2214" i="1"/>
  <c r="R2214" i="1"/>
  <c r="Q2215" i="1"/>
  <c r="R2215" i="1"/>
  <c r="Q2216" i="1"/>
  <c r="R2216" i="1"/>
  <c r="Q2217" i="1"/>
  <c r="R2217" i="1"/>
  <c r="Q2218" i="1"/>
  <c r="R2218" i="1"/>
  <c r="Q2219" i="1"/>
  <c r="R2219" i="1"/>
  <c r="Q2220" i="1"/>
  <c r="R2220" i="1"/>
  <c r="Q2221" i="1"/>
  <c r="R2221" i="1"/>
  <c r="Q2222" i="1"/>
  <c r="R2222" i="1"/>
  <c r="Q2223" i="1"/>
  <c r="R2223" i="1"/>
  <c r="Q2224" i="1"/>
  <c r="R2224" i="1"/>
  <c r="Q2225" i="1"/>
  <c r="R2225" i="1"/>
  <c r="Q2226" i="1"/>
  <c r="R2226" i="1"/>
  <c r="Q2227" i="1"/>
  <c r="R2227" i="1"/>
  <c r="Q2228" i="1"/>
  <c r="R2228" i="1"/>
  <c r="Q2229" i="1"/>
  <c r="R2229" i="1"/>
  <c r="Q2230" i="1"/>
  <c r="R2230" i="1"/>
  <c r="Q2231" i="1"/>
  <c r="R2231" i="1"/>
  <c r="Q2232" i="1"/>
  <c r="R2232" i="1"/>
  <c r="Q2233" i="1"/>
  <c r="R2233" i="1"/>
  <c r="Q2234" i="1"/>
  <c r="R2234" i="1"/>
  <c r="Q2235" i="1"/>
  <c r="R2235" i="1"/>
  <c r="Q2236" i="1"/>
  <c r="R2236" i="1"/>
  <c r="Q2237" i="1"/>
  <c r="R2237" i="1"/>
  <c r="Q2238" i="1"/>
  <c r="R2238" i="1"/>
  <c r="Q2239" i="1"/>
  <c r="R2239" i="1"/>
  <c r="Q2240" i="1"/>
  <c r="R2240" i="1"/>
  <c r="Q2241" i="1"/>
  <c r="R2241" i="1"/>
  <c r="Q2242" i="1"/>
  <c r="R2242" i="1"/>
  <c r="Q2243" i="1"/>
  <c r="R2243" i="1"/>
  <c r="Q2244" i="1"/>
  <c r="R2244" i="1"/>
  <c r="Q2245" i="1"/>
  <c r="R2245" i="1"/>
  <c r="Q2246" i="1"/>
  <c r="R2246" i="1"/>
  <c r="Q2247" i="1"/>
  <c r="R2247" i="1"/>
  <c r="Q2248" i="1"/>
  <c r="R2248" i="1"/>
  <c r="Q2249" i="1"/>
  <c r="R2249" i="1"/>
  <c r="Q2250" i="1"/>
  <c r="R2250" i="1"/>
  <c r="Q2251" i="1"/>
  <c r="R2251" i="1"/>
  <c r="Q2252" i="1"/>
  <c r="R2252" i="1"/>
  <c r="Q2253" i="1"/>
  <c r="R2253" i="1"/>
  <c r="Q2254" i="1"/>
  <c r="R2254" i="1"/>
  <c r="Q2255" i="1"/>
  <c r="R2255" i="1"/>
  <c r="Q2256" i="1"/>
  <c r="R2256" i="1"/>
  <c r="Q2257" i="1"/>
  <c r="R2257" i="1"/>
  <c r="Q2258" i="1"/>
  <c r="R2258" i="1"/>
  <c r="Q2259" i="1"/>
  <c r="R2259" i="1"/>
  <c r="Q2260" i="1"/>
  <c r="R2260" i="1"/>
  <c r="Q2261" i="1"/>
  <c r="R2261" i="1"/>
  <c r="Q2262" i="1"/>
  <c r="R2262" i="1"/>
  <c r="Q2263" i="1"/>
  <c r="R2263" i="1"/>
  <c r="Q2264" i="1"/>
  <c r="R2264" i="1"/>
  <c r="Q2265" i="1"/>
  <c r="R2265" i="1"/>
  <c r="Q2266" i="1"/>
  <c r="R2266" i="1"/>
  <c r="Q2267" i="1"/>
  <c r="R2267" i="1"/>
  <c r="Q2268" i="1"/>
  <c r="R2268" i="1"/>
  <c r="Q2269" i="1"/>
  <c r="R2269" i="1"/>
  <c r="Q2270" i="1"/>
  <c r="R2270" i="1"/>
  <c r="Q2271" i="1"/>
  <c r="R2271" i="1"/>
  <c r="Q2272" i="1"/>
  <c r="R2272" i="1"/>
  <c r="Q2273" i="1"/>
  <c r="R2273" i="1"/>
  <c r="Q2274" i="1"/>
  <c r="R2274" i="1"/>
  <c r="Q2275" i="1"/>
  <c r="R2275" i="1"/>
  <c r="Q2276" i="1"/>
  <c r="R2276" i="1"/>
  <c r="Q2277" i="1"/>
  <c r="R2277" i="1"/>
  <c r="Q2278" i="1"/>
  <c r="R2278" i="1"/>
  <c r="Q2279" i="1"/>
  <c r="R2279" i="1"/>
  <c r="Q2280" i="1"/>
  <c r="R2280" i="1"/>
  <c r="Q2281" i="1"/>
  <c r="R2281" i="1"/>
  <c r="Q2282" i="1"/>
  <c r="R2282" i="1"/>
  <c r="Q2283" i="1"/>
  <c r="R2283" i="1"/>
  <c r="Q2284" i="1"/>
  <c r="R2284" i="1"/>
  <c r="Q2285" i="1"/>
  <c r="R2285" i="1"/>
  <c r="Q2286" i="1"/>
  <c r="R2286" i="1"/>
  <c r="Q2287" i="1"/>
  <c r="R2287" i="1"/>
  <c r="Q2288" i="1"/>
  <c r="R2288" i="1"/>
  <c r="Q2289" i="1"/>
  <c r="R2289" i="1"/>
  <c r="Q2290" i="1"/>
  <c r="R2290" i="1"/>
  <c r="Q2291" i="1"/>
  <c r="R2291" i="1"/>
  <c r="Q2292" i="1"/>
  <c r="R2292" i="1"/>
  <c r="Q2293" i="1"/>
  <c r="R2293" i="1"/>
  <c r="Q2294" i="1"/>
  <c r="R2294" i="1"/>
  <c r="Q2295" i="1"/>
  <c r="R2295" i="1"/>
  <c r="Q2296" i="1"/>
  <c r="R2296" i="1"/>
  <c r="Q2297" i="1"/>
  <c r="R2297" i="1"/>
  <c r="Q2298" i="1"/>
  <c r="R2298" i="1"/>
  <c r="Q2299" i="1"/>
  <c r="R2299" i="1"/>
  <c r="Q2300" i="1"/>
  <c r="R2300" i="1"/>
  <c r="Q2301" i="1"/>
  <c r="R2301" i="1"/>
  <c r="Q2302" i="1"/>
  <c r="R2302" i="1"/>
  <c r="Q2303" i="1"/>
  <c r="R2303" i="1"/>
  <c r="Q2304" i="1"/>
  <c r="R2304" i="1"/>
  <c r="Q2305" i="1"/>
  <c r="R2305" i="1"/>
  <c r="Q2306" i="1"/>
  <c r="R2306" i="1"/>
  <c r="Q2307" i="1"/>
  <c r="R2307" i="1"/>
  <c r="Q2308" i="1"/>
  <c r="R2308" i="1"/>
  <c r="Q2309" i="1"/>
  <c r="R2309" i="1"/>
  <c r="Q2310" i="1"/>
  <c r="R2310" i="1"/>
  <c r="Q2311" i="1"/>
  <c r="R2311" i="1"/>
  <c r="Q2312" i="1"/>
  <c r="R2312" i="1"/>
  <c r="Q2313" i="1"/>
  <c r="R2313" i="1"/>
  <c r="Q2314" i="1"/>
  <c r="R2314" i="1"/>
  <c r="Q2315" i="1"/>
  <c r="R2315" i="1"/>
  <c r="Q2316" i="1"/>
  <c r="R2316" i="1"/>
  <c r="Q2317" i="1"/>
  <c r="R2317" i="1"/>
  <c r="Q2318" i="1"/>
  <c r="R2318" i="1"/>
  <c r="Q2319" i="1"/>
  <c r="R2319" i="1"/>
  <c r="Q2320" i="1"/>
  <c r="R2320" i="1"/>
  <c r="Q2321" i="1"/>
  <c r="R2321" i="1"/>
  <c r="Q2322" i="1"/>
  <c r="R2322" i="1"/>
  <c r="Q2323" i="1"/>
  <c r="R2323" i="1"/>
  <c r="Q2324" i="1"/>
  <c r="R2324" i="1"/>
  <c r="Q2325" i="1"/>
  <c r="R2325" i="1"/>
  <c r="Q2326" i="1"/>
  <c r="R2326" i="1"/>
  <c r="Q2327" i="1"/>
  <c r="R2327" i="1"/>
  <c r="Q2328" i="1"/>
  <c r="R2328" i="1"/>
  <c r="Q2329" i="1"/>
  <c r="R2329" i="1"/>
  <c r="Q2330" i="1"/>
  <c r="R2330" i="1"/>
  <c r="Q2331" i="1"/>
  <c r="R2331" i="1"/>
  <c r="Q2332" i="1"/>
  <c r="R2332" i="1"/>
  <c r="Q2333" i="1"/>
  <c r="R2333" i="1"/>
  <c r="Q2334" i="1"/>
  <c r="R2334" i="1"/>
  <c r="Q2335" i="1"/>
  <c r="R2335" i="1"/>
  <c r="Q2336" i="1"/>
  <c r="R2336" i="1"/>
  <c r="Q2337" i="1"/>
  <c r="R2337" i="1"/>
  <c r="Q2338" i="1"/>
  <c r="R2338" i="1"/>
  <c r="Q2339" i="1"/>
  <c r="R2339" i="1"/>
  <c r="Q2340" i="1"/>
  <c r="R2340" i="1"/>
  <c r="Q2341" i="1"/>
  <c r="R2341" i="1"/>
  <c r="Q2342" i="1"/>
  <c r="R2342" i="1"/>
  <c r="Q2343" i="1"/>
  <c r="R2343" i="1"/>
  <c r="Q2344" i="1"/>
  <c r="R2344" i="1"/>
  <c r="Q2345" i="1"/>
  <c r="R2345" i="1"/>
  <c r="Q2346" i="1"/>
  <c r="R2346" i="1"/>
  <c r="Q2347" i="1"/>
  <c r="R2347" i="1"/>
  <c r="Q2348" i="1"/>
  <c r="R2348" i="1"/>
  <c r="Q2349" i="1"/>
  <c r="R2349" i="1"/>
  <c r="Q2350" i="1"/>
  <c r="R2350" i="1"/>
  <c r="Q2351" i="1"/>
  <c r="R2351" i="1"/>
  <c r="Q2352" i="1"/>
  <c r="R2352" i="1"/>
  <c r="Q2353" i="1"/>
  <c r="R2353" i="1"/>
  <c r="Q2354" i="1"/>
  <c r="R2354" i="1"/>
  <c r="Q2355" i="1"/>
  <c r="R2355" i="1"/>
  <c r="Q2356" i="1"/>
  <c r="R2356" i="1"/>
  <c r="Q2357" i="1"/>
  <c r="R2357" i="1"/>
  <c r="Q2358" i="1"/>
  <c r="R2358" i="1"/>
  <c r="Q2359" i="1"/>
  <c r="R2359" i="1"/>
  <c r="Q2360" i="1"/>
  <c r="R2360" i="1"/>
  <c r="Q2361" i="1"/>
  <c r="R2361" i="1"/>
  <c r="Q2362" i="1"/>
  <c r="R2362" i="1"/>
  <c r="Q2363" i="1"/>
  <c r="R2363" i="1"/>
  <c r="Q2364" i="1"/>
  <c r="R2364" i="1"/>
  <c r="Q2365" i="1"/>
  <c r="R2365" i="1"/>
  <c r="Q2366" i="1"/>
  <c r="R2366" i="1"/>
  <c r="Q2367" i="1"/>
  <c r="R2367" i="1"/>
  <c r="Q2368" i="1"/>
  <c r="R2368" i="1"/>
  <c r="Q2369" i="1"/>
  <c r="R2369" i="1"/>
  <c r="Q2370" i="1"/>
  <c r="R2370" i="1"/>
  <c r="Q2371" i="1"/>
  <c r="R2371" i="1"/>
  <c r="Q2372" i="1"/>
  <c r="R2372" i="1"/>
  <c r="Q2373" i="1"/>
  <c r="R2373" i="1"/>
  <c r="Q2374" i="1"/>
  <c r="R2374" i="1"/>
  <c r="Q2375" i="1"/>
  <c r="R2375" i="1"/>
  <c r="Q2376" i="1"/>
  <c r="R2376" i="1"/>
  <c r="Q2377" i="1"/>
  <c r="R2377" i="1"/>
  <c r="Q2378" i="1"/>
  <c r="R2378" i="1"/>
  <c r="Q2379" i="1"/>
  <c r="R2379" i="1"/>
  <c r="Q2380" i="1"/>
  <c r="R2380" i="1"/>
  <c r="Q2381" i="1"/>
  <c r="R2381" i="1"/>
  <c r="Q2382" i="1"/>
  <c r="R2382" i="1"/>
  <c r="Q2383" i="1"/>
  <c r="R2383" i="1"/>
  <c r="Q2384" i="1"/>
  <c r="R2384" i="1"/>
  <c r="Q2385" i="1"/>
  <c r="R2385" i="1"/>
  <c r="Q2386" i="1"/>
  <c r="R2386" i="1"/>
  <c r="Q2387" i="1"/>
  <c r="R2387" i="1"/>
  <c r="Q2388" i="1"/>
  <c r="R2388" i="1"/>
  <c r="Q2389" i="1"/>
  <c r="R2389" i="1"/>
  <c r="Q2390" i="1"/>
  <c r="R2390" i="1"/>
  <c r="Q2391" i="1"/>
  <c r="R2391" i="1"/>
  <c r="Q2392" i="1"/>
  <c r="R2392" i="1"/>
  <c r="Q2393" i="1"/>
  <c r="R2393" i="1"/>
  <c r="Q2394" i="1"/>
  <c r="R2394" i="1"/>
  <c r="Q2395" i="1"/>
  <c r="R2395" i="1"/>
  <c r="Q2396" i="1"/>
  <c r="R2396" i="1"/>
  <c r="Q2397" i="1"/>
  <c r="R2397" i="1"/>
  <c r="Q2398" i="1"/>
  <c r="R2398" i="1"/>
  <c r="Q2399" i="1"/>
  <c r="R2399" i="1"/>
  <c r="Q2400" i="1"/>
  <c r="R2400" i="1"/>
  <c r="Q2401" i="1"/>
  <c r="R2401" i="1"/>
  <c r="Q2402" i="1"/>
  <c r="R2402" i="1"/>
  <c r="Q2403" i="1"/>
  <c r="R2403" i="1"/>
  <c r="Q2404" i="1"/>
  <c r="R2404" i="1"/>
  <c r="Q2405" i="1"/>
  <c r="R2405" i="1"/>
  <c r="Q2406" i="1"/>
  <c r="R2406" i="1"/>
  <c r="Q2407" i="1"/>
  <c r="R2407" i="1"/>
  <c r="Q2408" i="1"/>
  <c r="R2408" i="1"/>
  <c r="Q2409" i="1"/>
  <c r="R2409" i="1"/>
  <c r="Q2410" i="1"/>
  <c r="R2410" i="1"/>
  <c r="Q2411" i="1"/>
  <c r="R2411" i="1"/>
  <c r="Q2412" i="1"/>
  <c r="R2412" i="1"/>
  <c r="Q2413" i="1"/>
  <c r="R2413" i="1"/>
  <c r="Q2414" i="1"/>
  <c r="R2414" i="1"/>
  <c r="Q2415" i="1"/>
  <c r="R2415" i="1"/>
  <c r="Q2416" i="1"/>
  <c r="R2416" i="1"/>
  <c r="Q2417" i="1"/>
  <c r="R2417" i="1"/>
  <c r="Q2418" i="1"/>
  <c r="R2418" i="1"/>
  <c r="Q2419" i="1"/>
  <c r="R2419" i="1"/>
  <c r="Q2420" i="1"/>
  <c r="R2420" i="1"/>
  <c r="Q2421" i="1"/>
  <c r="R2421" i="1"/>
  <c r="Q2422" i="1"/>
  <c r="R2422" i="1"/>
  <c r="Q2423" i="1"/>
  <c r="R2423" i="1"/>
  <c r="Q2424" i="1"/>
  <c r="R2424" i="1"/>
  <c r="Q2425" i="1"/>
  <c r="R2425" i="1"/>
  <c r="Q2426" i="1"/>
  <c r="R2426" i="1"/>
  <c r="Q2427" i="1"/>
  <c r="R2427" i="1"/>
  <c r="Q2428" i="1"/>
  <c r="R2428" i="1"/>
  <c r="Q2429" i="1"/>
  <c r="R2429" i="1"/>
  <c r="Q2430" i="1"/>
  <c r="R2430" i="1"/>
  <c r="Q2431" i="1"/>
  <c r="R2431" i="1"/>
  <c r="Q2432" i="1"/>
  <c r="R2432" i="1"/>
  <c r="Q2433" i="1"/>
  <c r="R2433" i="1"/>
  <c r="Q2434" i="1"/>
  <c r="R2434" i="1"/>
  <c r="Q2435" i="1"/>
  <c r="R2435" i="1"/>
  <c r="Q2436" i="1"/>
  <c r="R2436" i="1"/>
  <c r="Q2437" i="1"/>
  <c r="R2437" i="1"/>
  <c r="Q2438" i="1"/>
  <c r="R2438" i="1"/>
  <c r="Q2439" i="1"/>
  <c r="R2439" i="1"/>
  <c r="Q2440" i="1"/>
  <c r="R2440" i="1"/>
  <c r="Q2441" i="1"/>
  <c r="R2441" i="1"/>
  <c r="Q2442" i="1"/>
  <c r="R2442" i="1"/>
  <c r="Q2443" i="1"/>
  <c r="R2443" i="1"/>
  <c r="Q2444" i="1"/>
  <c r="R2444" i="1"/>
  <c r="Q2445" i="1"/>
  <c r="R2445" i="1"/>
  <c r="Q2446" i="1"/>
  <c r="R2446" i="1"/>
  <c r="Q2447" i="1"/>
  <c r="R2447" i="1"/>
  <c r="Q2448" i="1"/>
  <c r="R2448" i="1"/>
  <c r="Q2449" i="1"/>
  <c r="R2449" i="1"/>
  <c r="Q2450" i="1"/>
  <c r="R2450" i="1"/>
  <c r="Q2451" i="1"/>
  <c r="R2451" i="1"/>
  <c r="Q2452" i="1"/>
  <c r="R2452" i="1"/>
  <c r="Q2453" i="1"/>
  <c r="R2453" i="1"/>
  <c r="Q2454" i="1"/>
  <c r="R2454" i="1"/>
  <c r="Q2455" i="1"/>
  <c r="R2455" i="1"/>
  <c r="Q2456" i="1"/>
  <c r="R2456" i="1"/>
  <c r="Q2457" i="1"/>
  <c r="R2457" i="1"/>
  <c r="Q2458" i="1"/>
  <c r="R2458" i="1"/>
  <c r="Q2459" i="1"/>
  <c r="R2459" i="1"/>
  <c r="Q2460" i="1"/>
  <c r="R2460" i="1"/>
  <c r="Q2461" i="1"/>
  <c r="R2461" i="1"/>
  <c r="Q2462" i="1"/>
  <c r="R2462" i="1"/>
  <c r="Q2463" i="1"/>
  <c r="R2463" i="1"/>
  <c r="Q2464" i="1"/>
  <c r="R2464" i="1"/>
  <c r="Q2465" i="1"/>
  <c r="R2465" i="1"/>
  <c r="Q2466" i="1"/>
  <c r="R2466" i="1"/>
  <c r="Q2467" i="1"/>
  <c r="R2467" i="1"/>
  <c r="Q2468" i="1"/>
  <c r="R2468" i="1"/>
  <c r="Q2469" i="1"/>
  <c r="R2469" i="1"/>
  <c r="Q2470" i="1"/>
  <c r="R2470" i="1"/>
  <c r="Q2471" i="1"/>
  <c r="R2471" i="1"/>
  <c r="Q2472" i="1"/>
  <c r="R2472" i="1"/>
  <c r="Q2473" i="1"/>
  <c r="R2473" i="1"/>
  <c r="Q2474" i="1"/>
  <c r="R2474" i="1"/>
  <c r="Q2475" i="1"/>
  <c r="R2475" i="1"/>
  <c r="Q2476" i="1"/>
  <c r="R2476" i="1"/>
  <c r="Q2477" i="1"/>
  <c r="R2477" i="1"/>
  <c r="Q2478" i="1"/>
  <c r="R2478" i="1"/>
  <c r="Q2479" i="1"/>
  <c r="R2479" i="1"/>
  <c r="Q2480" i="1"/>
  <c r="R2480" i="1"/>
  <c r="Q2481" i="1"/>
  <c r="R2481" i="1"/>
  <c r="Q2482" i="1"/>
  <c r="R2482" i="1"/>
  <c r="Q2483" i="1"/>
  <c r="R2483" i="1"/>
  <c r="Q2484" i="1"/>
  <c r="R2484" i="1"/>
  <c r="Q2485" i="1"/>
  <c r="R2485" i="1"/>
  <c r="Q2486" i="1"/>
  <c r="R2486" i="1"/>
  <c r="Q2487" i="1"/>
  <c r="R2487" i="1"/>
  <c r="Q2488" i="1"/>
  <c r="R2488" i="1"/>
  <c r="Q2489" i="1"/>
  <c r="R2489" i="1"/>
  <c r="Q2490" i="1"/>
  <c r="R2490" i="1"/>
  <c r="Q2491" i="1"/>
  <c r="R2491" i="1"/>
  <c r="Q2492" i="1"/>
  <c r="R2492" i="1"/>
  <c r="Q2493" i="1"/>
  <c r="R2493" i="1"/>
  <c r="Q2494" i="1"/>
  <c r="R2494" i="1"/>
  <c r="Q2495" i="1"/>
  <c r="R2495" i="1"/>
  <c r="Q2496" i="1"/>
  <c r="R2496" i="1"/>
  <c r="Q2497" i="1"/>
  <c r="R2497" i="1"/>
  <c r="Q2498" i="1"/>
  <c r="R2498" i="1"/>
  <c r="Q2499" i="1"/>
  <c r="R2499" i="1"/>
  <c r="Q2500" i="1"/>
  <c r="R2500" i="1"/>
  <c r="Q2501" i="1"/>
  <c r="R2501" i="1"/>
  <c r="Q2502" i="1"/>
  <c r="R2502" i="1"/>
  <c r="Q2503" i="1"/>
  <c r="R2503" i="1"/>
  <c r="Q2504" i="1"/>
  <c r="R2504" i="1"/>
  <c r="Q2505" i="1"/>
  <c r="R2505" i="1"/>
  <c r="Q2506" i="1"/>
  <c r="R2506" i="1"/>
  <c r="Q2507" i="1"/>
  <c r="R2507" i="1"/>
  <c r="Q2508" i="1"/>
  <c r="R2508" i="1"/>
  <c r="Q2509" i="1"/>
  <c r="R2509" i="1"/>
  <c r="Q2510" i="1"/>
  <c r="R2510" i="1"/>
  <c r="Q2511" i="1"/>
  <c r="R2511" i="1"/>
  <c r="Q2512" i="1"/>
  <c r="R2512" i="1"/>
  <c r="Q2513" i="1"/>
  <c r="R2513" i="1"/>
  <c r="Q2514" i="1"/>
  <c r="R2514" i="1"/>
  <c r="Q2515" i="1"/>
  <c r="R2515" i="1"/>
  <c r="Q2516" i="1"/>
  <c r="R2516" i="1"/>
  <c r="Q2517" i="1"/>
  <c r="R2517" i="1"/>
  <c r="Q2518" i="1"/>
  <c r="R2518" i="1"/>
  <c r="Q2519" i="1"/>
  <c r="R2519" i="1"/>
  <c r="Q2520" i="1"/>
  <c r="R2520" i="1"/>
  <c r="Q2521" i="1"/>
  <c r="R2521" i="1"/>
  <c r="Q2522" i="1"/>
  <c r="R2522" i="1"/>
  <c r="Q2523" i="1"/>
  <c r="R2523" i="1"/>
  <c r="Q2524" i="1"/>
  <c r="R2524" i="1"/>
  <c r="Q2525" i="1"/>
  <c r="R2525" i="1"/>
  <c r="Q2526" i="1"/>
  <c r="R2526" i="1"/>
  <c r="Q2527" i="1"/>
  <c r="R2527" i="1"/>
  <c r="Q2528" i="1"/>
  <c r="R2528" i="1"/>
  <c r="Q2529" i="1"/>
  <c r="R2529" i="1"/>
  <c r="Q2530" i="1"/>
  <c r="R2530" i="1"/>
  <c r="Q2531" i="1"/>
  <c r="R2531" i="1"/>
  <c r="Q2532" i="1"/>
  <c r="R2532" i="1"/>
  <c r="Q2533" i="1"/>
  <c r="R2533" i="1"/>
  <c r="Q2534" i="1"/>
  <c r="R2534" i="1"/>
  <c r="Q2535" i="1"/>
  <c r="R2535" i="1"/>
  <c r="Q2536" i="1"/>
  <c r="R2536" i="1"/>
  <c r="Q2537" i="1"/>
  <c r="R2537" i="1"/>
  <c r="Q2538" i="1"/>
  <c r="R2538" i="1"/>
  <c r="Q2539" i="1"/>
  <c r="R2539" i="1"/>
  <c r="B40" i="18" l="1"/>
  <c r="I18" i="17" s="1"/>
  <c r="B24" i="18"/>
  <c r="I37" i="17" s="1"/>
  <c r="B34" i="18"/>
  <c r="B42" i="18"/>
  <c r="B41" i="18"/>
  <c r="I20" i="17" s="1"/>
  <c r="B39" i="18"/>
  <c r="I19" i="17" s="1"/>
  <c r="B29" i="18"/>
  <c r="I9" i="17" s="1"/>
  <c r="B37" i="18"/>
  <c r="I13" i="17" s="1"/>
  <c r="B35" i="18"/>
  <c r="B36" i="18"/>
  <c r="I4" i="17" s="1"/>
  <c r="B32" i="18"/>
  <c r="B31" i="18"/>
  <c r="B30" i="18"/>
  <c r="G50" i="17"/>
  <c r="AP50" i="17" s="1"/>
  <c r="AJ46" i="17"/>
  <c r="AM46" i="17" s="1"/>
  <c r="AL46" i="17"/>
  <c r="AJ47" i="17"/>
  <c r="AM47" i="17" s="1"/>
  <c r="AL47" i="17"/>
  <c r="AJ48" i="17"/>
  <c r="AM48" i="17" s="1"/>
  <c r="AL48" i="17"/>
  <c r="AJ49" i="17"/>
  <c r="AM49" i="17" s="1"/>
  <c r="AL49" i="17"/>
  <c r="AL50" i="17"/>
  <c r="AA46" i="17"/>
  <c r="Z46" i="17" s="1"/>
  <c r="AD46" i="17"/>
  <c r="AA47" i="17"/>
  <c r="Z47" i="17" s="1"/>
  <c r="AD47" i="17"/>
  <c r="AA48" i="17"/>
  <c r="Z48" i="17" s="1"/>
  <c r="AD48" i="17"/>
  <c r="AA49" i="17"/>
  <c r="Z49" i="17" s="1"/>
  <c r="AD49" i="17"/>
  <c r="AA50" i="17"/>
  <c r="AA51" i="17"/>
  <c r="Z51" i="17" s="1"/>
  <c r="AA52" i="17"/>
  <c r="Z52" i="17" s="1"/>
  <c r="AD52" i="17"/>
  <c r="AA53" i="17"/>
  <c r="Z53" i="17" s="1"/>
  <c r="AD53" i="17"/>
  <c r="AA54" i="17"/>
  <c r="Z54" i="17" s="1"/>
  <c r="AD54" i="17"/>
  <c r="AA55" i="17"/>
  <c r="Z55" i="17" s="1"/>
  <c r="AD55" i="17"/>
  <c r="AA56" i="17"/>
  <c r="Z56" i="17" s="1"/>
  <c r="AD56" i="17"/>
  <c r="AA57" i="17"/>
  <c r="Z57" i="17" s="1"/>
  <c r="AD57" i="17"/>
  <c r="AA58" i="17"/>
  <c r="Z58" i="17" s="1"/>
  <c r="AD58" i="17"/>
  <c r="AA59" i="17"/>
  <c r="Z59" i="17" s="1"/>
  <c r="AD59" i="17"/>
  <c r="Z50" i="17" l="1"/>
  <c r="E46" i="17" l="1"/>
  <c r="O46" i="17" s="1"/>
  <c r="G46" i="17"/>
  <c r="AP46" i="17" s="1"/>
  <c r="L46" i="17"/>
  <c r="M46" i="17"/>
  <c r="E47" i="17"/>
  <c r="N47" i="17" s="1"/>
  <c r="G47" i="17"/>
  <c r="AP47" i="17" s="1"/>
  <c r="L47" i="17"/>
  <c r="M47" i="17"/>
  <c r="E48" i="17"/>
  <c r="N48" i="17" s="1"/>
  <c r="G48" i="17"/>
  <c r="AP48" i="17" s="1"/>
  <c r="L48" i="17"/>
  <c r="M48" i="17"/>
  <c r="E42" i="17"/>
  <c r="H42" i="17"/>
  <c r="K42" i="17"/>
  <c r="L42" i="17"/>
  <c r="M42" i="17"/>
  <c r="AA42" i="17"/>
  <c r="AD42" i="17"/>
  <c r="E43" i="17"/>
  <c r="H43" i="17"/>
  <c r="K43" i="17"/>
  <c r="L43" i="17"/>
  <c r="M43" i="17"/>
  <c r="AA43" i="17"/>
  <c r="Z43" i="17" s="1"/>
  <c r="AD43" i="17"/>
  <c r="AL43" i="17"/>
  <c r="E44" i="17"/>
  <c r="F44" i="17"/>
  <c r="H44" i="17"/>
  <c r="K44" i="17"/>
  <c r="L44" i="17"/>
  <c r="M44" i="17"/>
  <c r="AA44" i="17"/>
  <c r="Z44" i="17" s="1"/>
  <c r="AD44" i="17"/>
  <c r="AL44" i="17"/>
  <c r="E49" i="17"/>
  <c r="N49" i="17" s="1"/>
  <c r="G49" i="17"/>
  <c r="AP49" i="17" s="1"/>
  <c r="L49" i="17"/>
  <c r="M49" i="17"/>
  <c r="G51" i="17"/>
  <c r="AP51" i="17" s="1"/>
  <c r="O42" i="17" l="1"/>
  <c r="O44" i="17"/>
  <c r="N46" i="17"/>
  <c r="Z42" i="17"/>
  <c r="O47" i="17"/>
  <c r="O43" i="17"/>
  <c r="O48" i="17"/>
  <c r="O49" i="17"/>
  <c r="N43" i="17" l="1"/>
  <c r="S43" i="17"/>
  <c r="N44" i="17"/>
  <c r="S44" i="17"/>
  <c r="N42" i="17"/>
  <c r="S42" i="17"/>
  <c r="D7" i="17" l="1"/>
  <c r="I7" i="17"/>
  <c r="D20" i="17"/>
  <c r="Q4" i="17"/>
  <c r="I6" i="17"/>
  <c r="I15" i="17"/>
  <c r="D15" i="17"/>
  <c r="G15" i="17" l="1"/>
  <c r="L15" i="17"/>
  <c r="M15" i="17"/>
  <c r="Q15" i="17"/>
  <c r="Q6" i="17"/>
  <c r="G6" i="17"/>
  <c r="Q20" i="17"/>
  <c r="G20" i="17"/>
  <c r="Q7" i="17"/>
  <c r="G7" i="17"/>
  <c r="AP7" i="17" s="1"/>
  <c r="AD6" i="17"/>
  <c r="L7" i="17"/>
  <c r="M7" i="17"/>
  <c r="E7" i="17"/>
  <c r="AD7" i="17"/>
  <c r="D19" i="17"/>
  <c r="D5" i="17"/>
  <c r="H6" i="17"/>
  <c r="I5" i="17"/>
  <c r="H5" i="17" s="1"/>
  <c r="Q5" i="17" l="1"/>
  <c r="G5" i="17"/>
  <c r="AP5" i="17" s="1"/>
  <c r="Q19" i="17"/>
  <c r="G19" i="17"/>
  <c r="AD5" i="17"/>
  <c r="N7" i="17"/>
  <c r="O7" i="17"/>
  <c r="S7" i="17" s="1"/>
  <c r="E5" i="17"/>
  <c r="O5" i="17" s="1"/>
  <c r="S5" i="17" s="1"/>
  <c r="M5" i="17"/>
  <c r="L5" i="17"/>
  <c r="K5" i="17"/>
  <c r="C27" i="18"/>
  <c r="D50" i="17" s="1"/>
  <c r="Q50" i="17" s="1"/>
  <c r="C26" i="18"/>
  <c r="D39" i="17" s="1"/>
  <c r="C35" i="18"/>
  <c r="D8" i="17"/>
  <c r="C28" i="18"/>
  <c r="E6" i="17"/>
  <c r="C25" i="18"/>
  <c r="C23" i="18"/>
  <c r="D36" i="17" s="1"/>
  <c r="C4" i="18"/>
  <c r="D34" i="17" s="1"/>
  <c r="C21" i="18"/>
  <c r="C15" i="18"/>
  <c r="D23" i="17" s="1"/>
  <c r="C9" i="18"/>
  <c r="D29" i="17" s="1"/>
  <c r="C3" i="18"/>
  <c r="D45" i="17" s="1"/>
  <c r="C20" i="18"/>
  <c r="C14" i="18"/>
  <c r="C8" i="18"/>
  <c r="D38" i="17" s="1"/>
  <c r="C19" i="18"/>
  <c r="D30" i="17" s="1"/>
  <c r="C13" i="18"/>
  <c r="D27" i="17" s="1"/>
  <c r="C7" i="18"/>
  <c r="D26" i="17" s="1"/>
  <c r="C18" i="18"/>
  <c r="C12" i="18"/>
  <c r="D28" i="17" s="1"/>
  <c r="C6" i="18"/>
  <c r="D25" i="17" s="1"/>
  <c r="C17" i="18"/>
  <c r="D32" i="17" s="1"/>
  <c r="C11" i="18"/>
  <c r="C5" i="18"/>
  <c r="D35" i="17" s="1"/>
  <c r="D21" i="17"/>
  <c r="C22" i="18"/>
  <c r="D24" i="17" s="1"/>
  <c r="C16" i="18"/>
  <c r="C10" i="18"/>
  <c r="Q41" i="17" l="1"/>
  <c r="G41" i="17"/>
  <c r="Q8" i="17"/>
  <c r="G8" i="17"/>
  <c r="Q36" i="17"/>
  <c r="G36" i="17"/>
  <c r="AP36" i="17" s="1"/>
  <c r="Q21" i="17"/>
  <c r="G21" i="17"/>
  <c r="Q27" i="17"/>
  <c r="G27" i="17"/>
  <c r="Q23" i="17"/>
  <c r="G23" i="17"/>
  <c r="Q24" i="17"/>
  <c r="G24" i="17"/>
  <c r="Q35" i="17"/>
  <c r="G35" i="17"/>
  <c r="AP35" i="17" s="1"/>
  <c r="Q32" i="17"/>
  <c r="G32" i="17"/>
  <c r="Q25" i="17"/>
  <c r="G25" i="17"/>
  <c r="Q26" i="17"/>
  <c r="G26" i="17"/>
  <c r="Q39" i="17"/>
  <c r="G39" i="17"/>
  <c r="Q28" i="17"/>
  <c r="G28" i="17"/>
  <c r="Q38" i="17"/>
  <c r="G38" i="17"/>
  <c r="Q29" i="17"/>
  <c r="G29" i="17"/>
  <c r="Q45" i="17"/>
  <c r="D33" i="17"/>
  <c r="M6" i="17"/>
  <c r="L6" i="17"/>
  <c r="K6" i="17"/>
  <c r="AP6" i="17"/>
  <c r="N6" i="17"/>
  <c r="O6" i="17"/>
  <c r="S6" i="17" s="1"/>
  <c r="M27" i="17"/>
  <c r="D22" i="17"/>
  <c r="D31" i="17"/>
  <c r="D51" i="17"/>
  <c r="Q51" i="17" s="1"/>
  <c r="G4" i="17"/>
  <c r="L4" i="17"/>
  <c r="M50" i="17"/>
  <c r="AD50" i="17"/>
  <c r="E50" i="17"/>
  <c r="O50" i="17" s="1"/>
  <c r="L50" i="17"/>
  <c r="AJ50" i="17"/>
  <c r="AM50" i="17" s="1"/>
  <c r="C33" i="18"/>
  <c r="D10" i="17" s="1"/>
  <c r="Q33" i="17" l="1"/>
  <c r="G33" i="17"/>
  <c r="AP33" i="17" s="1"/>
  <c r="Q34" i="17"/>
  <c r="G34" i="17"/>
  <c r="AP34" i="17" s="1"/>
  <c r="Q30" i="17"/>
  <c r="G30" i="17"/>
  <c r="Q31" i="17"/>
  <c r="G31" i="17"/>
  <c r="Q22" i="17"/>
  <c r="G22" i="17"/>
  <c r="G45" i="17"/>
  <c r="AD33" i="17"/>
  <c r="AD51" i="17"/>
  <c r="K37" i="17"/>
  <c r="AP37" i="17"/>
  <c r="M37" i="17"/>
  <c r="E37" i="17"/>
  <c r="O37" i="17" s="1"/>
  <c r="L37" i="17"/>
  <c r="E51" i="17"/>
  <c r="N51" i="17" s="1"/>
  <c r="M51" i="17"/>
  <c r="L51" i="17"/>
  <c r="AJ17" i="17"/>
  <c r="AL45" i="17"/>
  <c r="F45" i="17"/>
  <c r="AJ45" i="17"/>
  <c r="AM45" i="17" s="1"/>
  <c r="AL41" i="17"/>
  <c r="L40" i="17"/>
  <c r="K40" i="17"/>
  <c r="H40" i="17"/>
  <c r="E40" i="17"/>
  <c r="L39" i="17"/>
  <c r="AL38" i="17"/>
  <c r="L38" i="17"/>
  <c r="AL36" i="17"/>
  <c r="E36" i="17"/>
  <c r="L35" i="17"/>
  <c r="L34" i="17"/>
  <c r="K34" i="17"/>
  <c r="E34" i="17"/>
  <c r="L33" i="17"/>
  <c r="K33" i="17"/>
  <c r="E33" i="17"/>
  <c r="AL32" i="17"/>
  <c r="AJ32" i="17"/>
  <c r="AM32" i="17" s="1"/>
  <c r="L32" i="17"/>
  <c r="K32" i="17"/>
  <c r="E32" i="17"/>
  <c r="K31" i="17"/>
  <c r="AL30" i="17"/>
  <c r="AL29" i="17"/>
  <c r="K28" i="17"/>
  <c r="AL27" i="17"/>
  <c r="AL26" i="17"/>
  <c r="AJ26" i="17"/>
  <c r="AM26" i="17" s="1"/>
  <c r="AL25" i="17"/>
  <c r="L25" i="17"/>
  <c r="E23" i="17"/>
  <c r="AL22" i="17"/>
  <c r="K22" i="17"/>
  <c r="AL20" i="17"/>
  <c r="AL19" i="17"/>
  <c r="J19" i="17"/>
  <c r="AK17" i="17"/>
  <c r="L17" i="17"/>
  <c r="J17" i="17"/>
  <c r="H17" i="17"/>
  <c r="E17" i="17"/>
  <c r="AK16" i="17"/>
  <c r="AL16" i="17" s="1"/>
  <c r="L16" i="17"/>
  <c r="J16" i="17"/>
  <c r="H16" i="17"/>
  <c r="E16" i="17"/>
  <c r="AK13" i="17"/>
  <c r="AH13" i="17"/>
  <c r="J13" i="17" s="1"/>
  <c r="F13" i="17" s="1"/>
  <c r="AF10" i="17"/>
  <c r="J10" i="17"/>
  <c r="F10" i="17" s="1"/>
  <c r="AF9" i="17"/>
  <c r="L9" i="17"/>
  <c r="J9" i="17"/>
  <c r="F9" i="17" s="1"/>
  <c r="E9" i="17"/>
  <c r="AF8" i="17"/>
  <c r="J8" i="17"/>
  <c r="F8" i="17" s="1"/>
  <c r="AK5" i="17"/>
  <c r="AL5" i="17" s="1"/>
  <c r="AG4" i="17"/>
  <c r="AF4" i="17"/>
  <c r="J4" i="17"/>
  <c r="F4" i="17" s="1"/>
  <c r="AK3" i="17"/>
  <c r="C3" i="17"/>
  <c r="G3" i="17" s="1"/>
  <c r="A1" i="17"/>
  <c r="N37" i="17" l="1"/>
  <c r="S37" i="17"/>
  <c r="Q10" i="17"/>
  <c r="G10" i="17"/>
  <c r="E10" i="17"/>
  <c r="O51" i="17"/>
  <c r="N5" i="17"/>
  <c r="H15" i="17"/>
  <c r="AA15" i="17"/>
  <c r="Z15" i="17" s="1"/>
  <c r="AA40" i="17"/>
  <c r="Z40" i="17" s="1"/>
  <c r="AA30" i="17"/>
  <c r="Z30" i="17" s="1"/>
  <c r="AA22" i="17"/>
  <c r="Z22" i="17" s="1"/>
  <c r="AA23" i="17"/>
  <c r="Z23" i="17" s="1"/>
  <c r="AA19" i="17"/>
  <c r="Z19" i="17" s="1"/>
  <c r="M30" i="17"/>
  <c r="M32" i="17"/>
  <c r="M24" i="17"/>
  <c r="AA17" i="17"/>
  <c r="Z17" i="17" s="1"/>
  <c r="M41" i="17"/>
  <c r="AA24" i="17"/>
  <c r="Z24" i="17" s="1"/>
  <c r="AA27" i="17"/>
  <c r="Z27" i="17" s="1"/>
  <c r="M8" i="17"/>
  <c r="M29" i="17"/>
  <c r="M9" i="17"/>
  <c r="Z8" i="17"/>
  <c r="Z10" i="17"/>
  <c r="Z4" i="17"/>
  <c r="K29" i="17"/>
  <c r="L29" i="17"/>
  <c r="AJ29" i="17"/>
  <c r="AM29" i="17" s="1"/>
  <c r="E38" i="17"/>
  <c r="L31" i="17"/>
  <c r="E35" i="17"/>
  <c r="E30" i="17"/>
  <c r="M31" i="17"/>
  <c r="AJ38" i="17"/>
  <c r="AM38" i="17" s="1"/>
  <c r="E29" i="17"/>
  <c r="K35" i="17"/>
  <c r="L8" i="17"/>
  <c r="AD30" i="17"/>
  <c r="AJ5" i="17"/>
  <c r="AM5" i="17" s="1"/>
  <c r="L22" i="17"/>
  <c r="E39" i="17"/>
  <c r="K26" i="17"/>
  <c r="L26" i="17"/>
  <c r="L28" i="17"/>
  <c r="K45" i="17"/>
  <c r="M22" i="17"/>
  <c r="M28" i="17"/>
  <c r="K39" i="17"/>
  <c r="L45" i="17"/>
  <c r="AD39" i="17"/>
  <c r="K41" i="17"/>
  <c r="L41" i="17"/>
  <c r="M25" i="17"/>
  <c r="AD35" i="17"/>
  <c r="K38" i="17"/>
  <c r="AD10" i="17"/>
  <c r="E26" i="17"/>
  <c r="K17" i="17"/>
  <c r="AM17" i="17"/>
  <c r="L19" i="17"/>
  <c r="K19" i="17"/>
  <c r="AJ19" i="17"/>
  <c r="AM19" i="17" s="1"/>
  <c r="E19" i="17"/>
  <c r="M19" i="17"/>
  <c r="M4" i="17"/>
  <c r="K4" i="17"/>
  <c r="D3" i="17"/>
  <c r="AD3" i="17" s="1"/>
  <c r="L3" i="17" s="1"/>
  <c r="E4" i="17"/>
  <c r="E13" i="17"/>
  <c r="M13" i="17"/>
  <c r="L13" i="17"/>
  <c r="K13" i="17"/>
  <c r="AJ13" i="17"/>
  <c r="AM13" i="17" s="1"/>
  <c r="E20" i="17"/>
  <c r="L20" i="17"/>
  <c r="AJ20" i="17"/>
  <c r="AM20" i="17" s="1"/>
  <c r="M20" i="17"/>
  <c r="K20" i="17"/>
  <c r="M21" i="17"/>
  <c r="L21" i="17"/>
  <c r="K21" i="17"/>
  <c r="E21" i="17"/>
  <c r="AD24" i="17"/>
  <c r="E27" i="17"/>
  <c r="AA25" i="17"/>
  <c r="Z25" i="17" s="1"/>
  <c r="AJ27" i="17"/>
  <c r="AM27" i="17" s="1"/>
  <c r="AJ30" i="17"/>
  <c r="AM30" i="17" s="1"/>
  <c r="E8" i="17"/>
  <c r="AA8" i="17"/>
  <c r="E25" i="17"/>
  <c r="AD25" i="17"/>
  <c r="M26" i="17"/>
  <c r="AD36" i="17"/>
  <c r="AD4" i="17"/>
  <c r="AD8" i="17"/>
  <c r="AD13" i="17"/>
  <c r="AD16" i="17"/>
  <c r="AD21" i="17"/>
  <c r="K23" i="17"/>
  <c r="AJ25" i="17"/>
  <c r="AM25" i="17" s="1"/>
  <c r="AJ36" i="17"/>
  <c r="AM36" i="17" s="1"/>
  <c r="E41" i="17"/>
  <c r="AD41" i="17"/>
  <c r="AA45" i="17"/>
  <c r="Z45" i="17" s="1"/>
  <c r="E24" i="17"/>
  <c r="AD27" i="17"/>
  <c r="AA31" i="17"/>
  <c r="AJ41" i="17"/>
  <c r="AM41" i="17" s="1"/>
  <c r="E45" i="17"/>
  <c r="AD45" i="17"/>
  <c r="AA28" i="17"/>
  <c r="Z28" i="17" s="1"/>
  <c r="Z9" i="17"/>
  <c r="N9" i="17" s="1"/>
  <c r="L10" i="17"/>
  <c r="M17" i="17"/>
  <c r="AD19" i="17"/>
  <c r="E22" i="17"/>
  <c r="AD22" i="17"/>
  <c r="M23" i="17"/>
  <c r="K24" i="17"/>
  <c r="K27" i="17"/>
  <c r="E28" i="17"/>
  <c r="AD28" i="17"/>
  <c r="K30" i="17"/>
  <c r="E31" i="17"/>
  <c r="AD31" i="17"/>
  <c r="M33" i="17"/>
  <c r="M34" i="17"/>
  <c r="AA26" i="17"/>
  <c r="L27" i="17"/>
  <c r="AA29" i="17"/>
  <c r="L30" i="17"/>
  <c r="AA32" i="17"/>
  <c r="Z32" i="17" s="1"/>
  <c r="AA38" i="17"/>
  <c r="Z38" i="17" s="1"/>
  <c r="AA3" i="17"/>
  <c r="AD9" i="17"/>
  <c r="K25" i="17"/>
  <c r="AD26" i="17"/>
  <c r="AD29" i="17"/>
  <c r="AD32" i="17"/>
  <c r="M35" i="17"/>
  <c r="K36" i="17"/>
  <c r="AD38" i="17"/>
  <c r="M39" i="17"/>
  <c r="K9" i="17"/>
  <c r="K10" i="17"/>
  <c r="J15" i="17"/>
  <c r="AJ16" i="17"/>
  <c r="AM16" i="17" s="1"/>
  <c r="L23" i="17"/>
  <c r="AA9" i="17"/>
  <c r="O9" i="17" s="1"/>
  <c r="S9" i="17" s="1"/>
  <c r="M10" i="17"/>
  <c r="AJ22" i="17"/>
  <c r="AM22" i="17" s="1"/>
  <c r="L24" i="17"/>
  <c r="AL13" i="17"/>
  <c r="K8" i="17"/>
  <c r="K16" i="17"/>
  <c r="L36" i="17"/>
  <c r="M40" i="17"/>
  <c r="AA33" i="17"/>
  <c r="AA34" i="17"/>
  <c r="M36" i="17"/>
  <c r="AA10" i="17"/>
  <c r="E15" i="17"/>
  <c r="M16" i="17"/>
  <c r="AD17" i="17"/>
  <c r="AD20" i="17"/>
  <c r="AD23" i="17"/>
  <c r="AD34" i="17"/>
  <c r="AA35" i="17"/>
  <c r="Z35" i="17" s="1"/>
  <c r="AA39" i="17"/>
  <c r="Z39" i="17" s="1"/>
  <c r="M45" i="17"/>
  <c r="AA36" i="17"/>
  <c r="Z36" i="17" s="1"/>
  <c r="AD40" i="17"/>
  <c r="AL17" i="17"/>
  <c r="AA13" i="17"/>
  <c r="Z13" i="17" s="1"/>
  <c r="AA16" i="17"/>
  <c r="Z16" i="17" s="1"/>
  <c r="AA21" i="17"/>
  <c r="Z21" i="17" s="1"/>
  <c r="M38" i="17"/>
  <c r="AA41" i="17"/>
  <c r="Z41" i="17" s="1"/>
  <c r="N10" i="17" l="1"/>
  <c r="O10" i="17"/>
  <c r="S10" i="17" s="1"/>
  <c r="O8" i="17"/>
  <c r="S8" i="17" s="1"/>
  <c r="O15" i="17"/>
  <c r="Z31" i="17"/>
  <c r="O31" i="17"/>
  <c r="O27" i="17"/>
  <c r="O22" i="17"/>
  <c r="O40" i="17"/>
  <c r="O19" i="17"/>
  <c r="O30" i="17"/>
  <c r="O17" i="17"/>
  <c r="S17" i="17" s="1"/>
  <c r="AA20" i="17"/>
  <c r="Z20" i="17" s="1"/>
  <c r="O23" i="17"/>
  <c r="O24" i="17"/>
  <c r="O45" i="17"/>
  <c r="O16" i="17"/>
  <c r="O32" i="17"/>
  <c r="O21" i="17"/>
  <c r="O28" i="17"/>
  <c r="O13" i="17"/>
  <c r="AD15" i="17"/>
  <c r="K15" i="17"/>
  <c r="H20" i="17"/>
  <c r="H19" i="17"/>
  <c r="Z29" i="17"/>
  <c r="O29" i="17"/>
  <c r="O39" i="17"/>
  <c r="Z34" i="17"/>
  <c r="O34" i="17"/>
  <c r="N4" i="17"/>
  <c r="O4" i="17"/>
  <c r="S4" i="17" s="1"/>
  <c r="O36" i="17"/>
  <c r="O35" i="17"/>
  <c r="O41" i="17"/>
  <c r="Z26" i="17"/>
  <c r="O26" i="17"/>
  <c r="AJ3" i="17"/>
  <c r="M3" i="17"/>
  <c r="E3" i="17"/>
  <c r="O3" i="17" s="1"/>
  <c r="O25" i="17"/>
  <c r="O38" i="17"/>
  <c r="Z33" i="17"/>
  <c r="O33" i="17"/>
  <c r="N8" i="17"/>
  <c r="N24" i="17" l="1"/>
  <c r="S24" i="17"/>
  <c r="N28" i="17"/>
  <c r="S28" i="17"/>
  <c r="N21" i="17"/>
  <c r="S21" i="17"/>
  <c r="N26" i="17"/>
  <c r="S26" i="17"/>
  <c r="N32" i="17"/>
  <c r="S32" i="17"/>
  <c r="N16" i="17"/>
  <c r="S16" i="17"/>
  <c r="N41" i="17"/>
  <c r="S41" i="17"/>
  <c r="N45" i="17"/>
  <c r="S45" i="17"/>
  <c r="N35" i="17"/>
  <c r="S35" i="17"/>
  <c r="N36" i="17"/>
  <c r="S36" i="17"/>
  <c r="N23" i="17"/>
  <c r="S23" i="17"/>
  <c r="N17" i="17"/>
  <c r="N34" i="17"/>
  <c r="S34" i="17"/>
  <c r="N30" i="17"/>
  <c r="S30" i="17"/>
  <c r="N19" i="17"/>
  <c r="S19" i="17"/>
  <c r="N39" i="17"/>
  <c r="S39" i="17"/>
  <c r="N40" i="17"/>
  <c r="S40" i="17"/>
  <c r="N29" i="17"/>
  <c r="S29" i="17"/>
  <c r="N22" i="17"/>
  <c r="S22" i="17"/>
  <c r="N27" i="17"/>
  <c r="S27" i="17"/>
  <c r="N31" i="17"/>
  <c r="S31" i="17"/>
  <c r="N33" i="17"/>
  <c r="S33" i="17"/>
  <c r="N15" i="17"/>
  <c r="S15" i="17"/>
  <c r="N38" i="17"/>
  <c r="S38" i="17"/>
  <c r="N25" i="17"/>
  <c r="S25" i="17"/>
  <c r="N13" i="17"/>
  <c r="S13" i="17"/>
  <c r="O20" i="17"/>
  <c r="AM3" i="17"/>
  <c r="AL3" i="17"/>
  <c r="N20" i="17" l="1"/>
  <c r="S20" i="17"/>
  <c r="B27" i="18"/>
  <c r="I50" i="17" s="1"/>
  <c r="B28" i="18"/>
  <c r="I8" i="17"/>
  <c r="B26" i="18"/>
  <c r="I39" i="17" s="1"/>
  <c r="H39" i="17" s="1"/>
  <c r="B23" i="18"/>
  <c r="I36" i="17" s="1"/>
  <c r="H36" i="17" s="1"/>
  <c r="B25" i="18"/>
  <c r="B5" i="18"/>
  <c r="I35" i="17" s="1"/>
  <c r="B11" i="18"/>
  <c r="B17" i="18"/>
  <c r="I32" i="17" s="1"/>
  <c r="H32" i="17" s="1"/>
  <c r="B2" i="18"/>
  <c r="I21" i="17" s="1"/>
  <c r="B6" i="18"/>
  <c r="I25" i="17" s="1"/>
  <c r="H25" i="17" s="1"/>
  <c r="B12" i="18"/>
  <c r="I28" i="17" s="1"/>
  <c r="H28" i="17" s="1"/>
  <c r="B18" i="18"/>
  <c r="B7" i="18"/>
  <c r="I26" i="17" s="1"/>
  <c r="H26" i="17" s="1"/>
  <c r="B13" i="18"/>
  <c r="I27" i="17" s="1"/>
  <c r="H27" i="17" s="1"/>
  <c r="B19" i="18"/>
  <c r="B8" i="18"/>
  <c r="I38" i="17" s="1"/>
  <c r="H38" i="17" s="1"/>
  <c r="B14" i="18"/>
  <c r="I22" i="17" s="1"/>
  <c r="H22" i="17" s="1"/>
  <c r="B20" i="18"/>
  <c r="B3" i="18"/>
  <c r="I45" i="17" s="1"/>
  <c r="H45" i="17" s="1"/>
  <c r="B9" i="18"/>
  <c r="I29" i="17" s="1"/>
  <c r="H29" i="17" s="1"/>
  <c r="B15" i="18"/>
  <c r="I23" i="17" s="1"/>
  <c r="H23" i="17" s="1"/>
  <c r="B21" i="18"/>
  <c r="B4" i="18"/>
  <c r="I34" i="17" s="1"/>
  <c r="B10" i="18"/>
  <c r="B16" i="18"/>
  <c r="I41" i="17" s="1"/>
  <c r="H41" i="17" s="1"/>
  <c r="B22" i="18"/>
  <c r="I24" i="17" s="1"/>
  <c r="H24" i="17" s="1"/>
  <c r="I33" i="17" l="1"/>
  <c r="H33" i="17" s="1"/>
  <c r="H37" i="17"/>
  <c r="H9" i="17"/>
  <c r="H8" i="17"/>
  <c r="I31" i="17"/>
  <c r="H31" i="17" s="1"/>
  <c r="I30" i="17"/>
  <c r="H30" i="17" s="1"/>
  <c r="H34" i="17"/>
  <c r="I51" i="17"/>
  <c r="H35" i="17"/>
  <c r="H13" i="17"/>
  <c r="H4" i="17"/>
  <c r="B33" i="18"/>
  <c r="I10" i="17" s="1"/>
  <c r="H21" i="17"/>
  <c r="H10" i="17" l="1"/>
  <c r="I3" i="17"/>
  <c r="AP4" i="17" l="1"/>
  <c r="AP26" i="17"/>
  <c r="AP16" i="17"/>
  <c r="AP13" i="17"/>
  <c r="AP19" i="17"/>
  <c r="AP39" i="17"/>
  <c r="AP45" i="17"/>
  <c r="AP40" i="17"/>
  <c r="AP38" i="17"/>
  <c r="AP17" i="17"/>
  <c r="AP21" i="17"/>
  <c r="AP9" i="17"/>
  <c r="AP27" i="17"/>
  <c r="AP44" i="17"/>
  <c r="AP25" i="17"/>
  <c r="AP29" i="17"/>
  <c r="AP28" i="17"/>
  <c r="AP23" i="17"/>
  <c r="AP41" i="17"/>
  <c r="AP15" i="17"/>
  <c r="AP42" i="17"/>
  <c r="AP22" i="17"/>
  <c r="AP8" i="17"/>
  <c r="AP20" i="17"/>
  <c r="AP31" i="17"/>
  <c r="AP30" i="17"/>
  <c r="AP24" i="17"/>
  <c r="AP10" i="17"/>
  <c r="AP32" i="17"/>
  <c r="AP43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Yaniv Barak</author>
  </authors>
  <commentList>
    <comment ref="F2" authorId="0" shapeId="0" xr:uid="{052495F1-6FD5-472B-BF9E-896CB0F4258E}">
      <text>
        <r>
          <rPr>
            <b/>
            <sz val="9"/>
            <color indexed="81"/>
            <rFont val="Tahoma"/>
            <family val="2"/>
          </rPr>
          <t>Yaniv Barak:</t>
        </r>
        <r>
          <rPr>
            <sz val="9"/>
            <color indexed="81"/>
            <rFont val="Tahoma"/>
            <family val="2"/>
          </rPr>
          <t xml:space="preserve">
changed by yaniv</t>
        </r>
      </text>
    </comment>
    <comment ref="H2" authorId="0" shapeId="0" xr:uid="{9267C070-727D-45EE-8F5F-ECFCE99FAC01}">
      <text>
        <r>
          <rPr>
            <b/>
            <sz val="9"/>
            <color indexed="81"/>
            <rFont val="Tahoma"/>
            <family val="2"/>
          </rPr>
          <t>Yaniv Barak:</t>
        </r>
        <r>
          <rPr>
            <sz val="9"/>
            <color indexed="81"/>
            <rFont val="Tahoma"/>
            <family val="2"/>
          </rPr>
          <t xml:space="preserve">
changed by yaniv</t>
        </r>
      </text>
    </comment>
    <comment ref="K2" authorId="0" shapeId="0" xr:uid="{27DCC1AC-7279-4127-B0BB-ECF6E906F389}">
      <text>
        <r>
          <rPr>
            <b/>
            <sz val="9"/>
            <color indexed="81"/>
            <rFont val="Tahoma"/>
            <family val="2"/>
          </rPr>
          <t>Yaniv Barak:</t>
        </r>
        <r>
          <rPr>
            <sz val="9"/>
            <color indexed="81"/>
            <rFont val="Tahoma"/>
            <family val="2"/>
          </rPr>
          <t xml:space="preserve">
changed by yaniv</t>
        </r>
      </text>
    </comment>
    <comment ref="N2" authorId="0" shapeId="0" xr:uid="{B9858925-996D-4850-AB50-9E34D993AEE6}">
      <text>
        <r>
          <rPr>
            <b/>
            <sz val="9"/>
            <color indexed="81"/>
            <rFont val="Tahoma"/>
            <family val="2"/>
          </rPr>
          <t>Yaniv Barak:</t>
        </r>
        <r>
          <rPr>
            <sz val="9"/>
            <color indexed="81"/>
            <rFont val="Tahoma"/>
            <family val="2"/>
          </rPr>
          <t xml:space="preserve">
changed by yaniv</t>
        </r>
      </text>
    </comment>
    <comment ref="Z2" authorId="0" shapeId="0" xr:uid="{0113597D-D97A-458E-B0DD-A7D0520947CA}">
      <text>
        <r>
          <rPr>
            <b/>
            <sz val="9"/>
            <color indexed="81"/>
            <rFont val="Tahoma"/>
            <family val="2"/>
          </rPr>
          <t>Yaniv Barak:</t>
        </r>
        <r>
          <rPr>
            <sz val="9"/>
            <color indexed="81"/>
            <rFont val="Tahoma"/>
            <family val="2"/>
          </rPr>
          <t xml:space="preserve">
changed by yaniv</t>
        </r>
      </text>
    </comment>
  </commentList>
</comments>
</file>

<file path=xl/sharedStrings.xml><?xml version="1.0" encoding="utf-8"?>
<sst xmlns="http://schemas.openxmlformats.org/spreadsheetml/2006/main" count="8943" uniqueCount="2215">
  <si>
    <t>Material</t>
  </si>
  <si>
    <t>Material description</t>
  </si>
  <si>
    <t>Batch</t>
  </si>
  <si>
    <t>Basic start date</t>
  </si>
  <si>
    <t>Order</t>
  </si>
  <si>
    <t>Sales Order</t>
  </si>
  <si>
    <t>Order quantity (GMEIN)</t>
  </si>
  <si>
    <t>Delivered quantity (GMEIN)</t>
  </si>
  <si>
    <t>Release date (actual)</t>
  </si>
  <si>
    <t>Actual finish date</t>
  </si>
  <si>
    <t>Confirmed Yield Quantity (GMEIN)</t>
  </si>
  <si>
    <t>Plant</t>
  </si>
  <si>
    <t>Unit of measure (=GMEIN)</t>
  </si>
  <si>
    <t>Production line</t>
  </si>
  <si>
    <t>Storage Location</t>
  </si>
  <si>
    <t>System Status</t>
  </si>
  <si>
    <t>משפחת מוצר</t>
  </si>
  <si>
    <t>תוויות שורה</t>
  </si>
  <si>
    <t>FLUROCHLORIDONE</t>
  </si>
  <si>
    <t>סכום כולל</t>
  </si>
  <si>
    <t>סכום של Delivered quantity (GMEIN)</t>
  </si>
  <si>
    <t>אריזה</t>
  </si>
  <si>
    <t>(ריק)</t>
  </si>
  <si>
    <t>% Achievement</t>
  </si>
  <si>
    <t>Req. t/d</t>
  </si>
  <si>
    <t>Last day</t>
  </si>
  <si>
    <t>Need days</t>
  </si>
  <si>
    <t>Adjusted Req. t/d</t>
  </si>
  <si>
    <t>Actual t/d</t>
  </si>
  <si>
    <t>%Rate</t>
  </si>
  <si>
    <t>Remarks</t>
  </si>
  <si>
    <t>Month progress</t>
  </si>
  <si>
    <t>start date</t>
  </si>
  <si>
    <t>end date</t>
  </si>
  <si>
    <t>Production days remaining</t>
  </si>
  <si>
    <t xml:space="preserve"> production days</t>
  </si>
  <si>
    <t>Reduced working days</t>
  </si>
  <si>
    <t>ability</t>
  </si>
  <si>
    <t>EC(25,23)</t>
  </si>
  <si>
    <t>EC (23)</t>
  </si>
  <si>
    <t>LQ pack (42)</t>
  </si>
  <si>
    <t>LQ 5 lt (42)</t>
  </si>
  <si>
    <t>LQ 10/20 lt (42)</t>
  </si>
  <si>
    <t>SC (28)</t>
  </si>
  <si>
    <t xml:space="preserve"> WG 19</t>
  </si>
  <si>
    <t>LRH Pack(24)</t>
  </si>
  <si>
    <t>EC (25)</t>
  </si>
  <si>
    <t>Cottonex (25,40)</t>
  </si>
  <si>
    <t>CS (25,40)</t>
  </si>
  <si>
    <t>Bromacil (25,40)</t>
  </si>
  <si>
    <t>Galigan (25,40)</t>
  </si>
  <si>
    <t>Propa Premix (25,40)</t>
  </si>
  <si>
    <t>Fluorochloridon (25,40)</t>
  </si>
  <si>
    <t>Saflufenacil Tech (25,40)</t>
  </si>
  <si>
    <t>Pyroxasulfon (41)</t>
  </si>
  <si>
    <t>Imazamox  (25,40)</t>
  </si>
  <si>
    <t>Metazachlor (41)</t>
  </si>
  <si>
    <t>Ethyl HA(41)</t>
  </si>
  <si>
    <t>Aganile</t>
  </si>
  <si>
    <t>Damascone crude(41)</t>
  </si>
  <si>
    <t>TDMK Crude (batches)(41)</t>
  </si>
  <si>
    <t>D. Damascone (41)</t>
  </si>
  <si>
    <t>5 Streams generation</t>
  </si>
  <si>
    <t>5 Streams dist.</t>
  </si>
  <si>
    <t>Fuel sub.</t>
  </si>
  <si>
    <t>ETHOFUMESATE</t>
  </si>
  <si>
    <t>לזכור לעדכן ספירת ימי ייצור בפועל במתקנים שלא עובדים מלא</t>
  </si>
  <si>
    <t>30000000052</t>
  </si>
  <si>
    <t>AP 200</t>
  </si>
  <si>
    <t>50000000040</t>
  </si>
  <si>
    <t>50000000042</t>
  </si>
  <si>
    <t>EC 25</t>
  </si>
  <si>
    <t>DELTA DAMASCON</t>
  </si>
  <si>
    <t>IMAZAMOX</t>
  </si>
  <si>
    <t>CS</t>
  </si>
  <si>
    <t>WP</t>
  </si>
  <si>
    <t>ATRALONE</t>
  </si>
  <si>
    <t>LINURON</t>
  </si>
  <si>
    <t>ET HA</t>
  </si>
  <si>
    <t>KROVAR</t>
  </si>
  <si>
    <t>BROMACIL</t>
  </si>
  <si>
    <t>DIURON</t>
  </si>
  <si>
    <t>CHLOROTOLURON TOLUREX</t>
  </si>
  <si>
    <t>NANA</t>
  </si>
  <si>
    <t>PYROXASULFONE</t>
  </si>
  <si>
    <t>GALIGAN</t>
  </si>
  <si>
    <t>QUIZALOFOP Premix</t>
  </si>
  <si>
    <t>PROPAQUIZAFOP Premix</t>
  </si>
  <si>
    <t>סה"כ ייצור חודשי</t>
  </si>
  <si>
    <t>ייצור יום קודם</t>
  </si>
  <si>
    <t>FLUOMETURON</t>
  </si>
  <si>
    <t>METAZACHLOR</t>
  </si>
  <si>
    <t>SAFLUFENACIL</t>
  </si>
  <si>
    <t>PHENOLOXIME</t>
  </si>
  <si>
    <t>10,20</t>
  </si>
  <si>
    <t>Plan</t>
  </si>
  <si>
    <t>Atralone (41)</t>
  </si>
  <si>
    <t>Phenol Oxime (41)</t>
  </si>
  <si>
    <t>WG small packs (19)</t>
  </si>
  <si>
    <t>PNDM400 CS PENDIMETHALINE 400CS 200 L</t>
  </si>
  <si>
    <t>ACLN600 SC PAPEL 10 LT 10LT FR</t>
  </si>
  <si>
    <t>FCDN250 EC FLUROCHLORIDONE 25EC 200 L</t>
  </si>
  <si>
    <t>OXFF970 TC GALIGAN TECH 97% CRD 999 KG</t>
  </si>
  <si>
    <t>ETHOXY (GALIGAN) ISO</t>
  </si>
  <si>
    <t>MTZC735 TC METAZACHLR T WT CRUD 600 KG</t>
  </si>
  <si>
    <t>DRON468HZNN132 WG 500KG</t>
  </si>
  <si>
    <t>KROVAR SLURRY .00 KG</t>
  </si>
  <si>
    <t>BRMC950 TC AMVA CBROM 525KG JP 525KG JP</t>
  </si>
  <si>
    <t>URAGAN TECH SLURRY KG</t>
  </si>
  <si>
    <t>DELTA DAMASCON FLASH 1.00 KG</t>
  </si>
  <si>
    <t>ACLN600 SC ACLONIFEN 600SC 200 L</t>
  </si>
  <si>
    <t>PNDM400 CS PENDIGAN  400CS 200LT GR</t>
  </si>
  <si>
    <t>MTMN900 WG GOLTIX 90WG 5KG FRAN 5KG FR</t>
  </si>
  <si>
    <t>CLTN950 TC CHLOROT.TECH EEC 550KG JOB ES</t>
  </si>
  <si>
    <t>OXIMGLYCOL CRUDE ISO</t>
  </si>
  <si>
    <t>GALIGAN IN TOLUENE ISO</t>
  </si>
  <si>
    <t>PHENOLOXIME 70% 200.00 KG</t>
  </si>
  <si>
    <t>DMP+PMP+ETHO 50% SC 200.00 KG</t>
  </si>
  <si>
    <t>PNDM400 SC ORDAGO SC GRANEL SPA 200LT ES</t>
  </si>
  <si>
    <t>DELTA DAMASCONE 180KG</t>
  </si>
  <si>
    <t>NA URACIL  L</t>
  </si>
  <si>
    <t>FLUROCHLORIDONE44.5C 200.00 KG</t>
  </si>
  <si>
    <t>DELTA DAMASCONE CRUD 1.00 KG</t>
  </si>
  <si>
    <t>OXFF240 EC GALIGAN 200LT BR</t>
  </si>
  <si>
    <t>PNDM400 CS ACTIVUS ME Lt. 5 5LT IT</t>
  </si>
  <si>
    <t>PPQZ100 EC Propaquiz 200lt TW 200LT TW</t>
  </si>
  <si>
    <t>PPQZ100 EC PROPQUIZFOP 100 SSS 1000 L</t>
  </si>
  <si>
    <t>PPQZ100 EC PROPQUZFOP 100 PCSSS 1000 L</t>
  </si>
  <si>
    <t>ATRL1000 ATRALONE 20KG General</t>
  </si>
  <si>
    <t>DELTA MTL KTN CR RUS 1.00 KG</t>
  </si>
  <si>
    <t>DRON468+HZNN132 WG HEXARON 5KG BR 5KG BR</t>
  </si>
  <si>
    <t>KOH SOLU IN ETHN22.5 1.00 KG</t>
  </si>
  <si>
    <t>OXIMGLYCOL CRUDE CONC ISO</t>
  </si>
  <si>
    <t>PNDM400 CS CINDER 400 CS 1L_S TR</t>
  </si>
  <si>
    <t>ACLONIFEN 600SC  יצר</t>
  </si>
  <si>
    <t>PPQZ100 EC AGIL 200LT ES</t>
  </si>
  <si>
    <t>TOLUREX SLURRY  KG</t>
  </si>
  <si>
    <t>LQ 1lt (42)</t>
  </si>
  <si>
    <t>WG (19)</t>
  </si>
  <si>
    <t>HEXENONE (1002) ISO</t>
  </si>
  <si>
    <t>LNRN500 WP AFALON 50PH 500KG MX</t>
  </si>
  <si>
    <t>MTMN150 SG BREVIS SG 1KG IT</t>
  </si>
  <si>
    <t>DRON900 WG DIURON 900 WDG 15KG AU</t>
  </si>
  <si>
    <t>OXIMGLYCOL DIST ISO</t>
  </si>
  <si>
    <t>24DA306.1FLSL6 SE CAMARO SAS 5LT RU</t>
  </si>
  <si>
    <t>FCDN250 EC RACER 25 EC 1.L_S TR</t>
  </si>
  <si>
    <t>AP 200 (41)</t>
  </si>
  <si>
    <t>PNDM400 SC PENDIMETHALINE 400SC 200 L</t>
  </si>
  <si>
    <t>TBAZ270+PNDM64 SE 200L SSS</t>
  </si>
  <si>
    <t>DRON468+HZNN132 WG DIURON+HEXAZ 500KG PH</t>
  </si>
  <si>
    <t>PNDM400 SC Pendigan Strong 400 SC 5LT PL</t>
  </si>
  <si>
    <t>PNDM64+TBAZ270 SE TREK P 5L TUR 5LT TR</t>
  </si>
  <si>
    <t>PMRN500 SC Adama Essentials PROME 5LT AR</t>
  </si>
  <si>
    <t>PPQZ100 EC PROPAQUIZAFOP 10 E 24000LT IN</t>
  </si>
  <si>
    <t>PYRAZOLE SOL 1.00 KG</t>
  </si>
  <si>
    <t>BFNX480 SC Fox 5LT DE</t>
  </si>
  <si>
    <t>TNXP175 EC STEMPER 175 EC 5LT PL</t>
  </si>
  <si>
    <t>TNXP175 EC TRINEXAPAC 175 EC 5LT UK</t>
  </si>
  <si>
    <t>DRON468HZNN132 WG 900KG</t>
  </si>
  <si>
    <t>DRON540HZNN67 WG 600KG</t>
  </si>
  <si>
    <t>TNXP175 EC TRINEXAPAC ETL 175EC 200 L</t>
  </si>
  <si>
    <t>ATRL1000 ATRALONE 50KG General</t>
  </si>
  <si>
    <t>PMRN500 SC PROMETREX 50 SC 160 L</t>
  </si>
  <si>
    <t>DRON970 TC DIUREX TEC MEXICO 500KG MX</t>
  </si>
  <si>
    <t>PNDM400 CS PENDIMEA 400CS GRANE 200LT ES</t>
  </si>
  <si>
    <t>PHENOLOXIME 70% ISO</t>
  </si>
  <si>
    <t>DMK DIST RUS 1.00 KG</t>
  </si>
  <si>
    <t>NANA (41)</t>
  </si>
  <si>
    <t>BFNX480 SC BIFENOX 480 SC 200 L</t>
  </si>
  <si>
    <t>OXFF240 EC GALIGAN EC 240 SSS 1022 L</t>
  </si>
  <si>
    <t>PMRN500 SC Prometrex  1LT_ S IL</t>
  </si>
  <si>
    <t>DRON900 WG DIUREX 90 WG 600 KG</t>
  </si>
  <si>
    <t>BFNX480 SC Fox 480 SC 5LT BE</t>
  </si>
  <si>
    <t>BFNX480 SC FOX 5LT HU</t>
  </si>
  <si>
    <t>MCPA400 SL MCPA 400 SL 200 L</t>
  </si>
  <si>
    <t>BFNX480 SC Fox 480 SC NL [5.000] 5LT NL</t>
  </si>
  <si>
    <t>DRON900 WG DIUREX 90 WG GENFARM 15KG AU</t>
  </si>
  <si>
    <t>QZLF50 EC QUIZALOFOP 5 EC SS 1000 L</t>
  </si>
  <si>
    <t>CLTN500 SC TOLUREX 50 SC 200 L</t>
  </si>
  <si>
    <t>PNDM400 SC PENDIGAN 40SC GRE 200LT GR</t>
  </si>
  <si>
    <t>PMRN500 SC Prometrex SC - 5l 5LT UA</t>
  </si>
  <si>
    <t>OXFF240 EC GALIGAN EC 240SP 200 L</t>
  </si>
  <si>
    <t>ETFM200PNMP200SC PHENM200+ETHO200GL 200L</t>
  </si>
  <si>
    <t>FRXP200 EC FLUROXYPYR 200 SS 200 L</t>
  </si>
  <si>
    <t>LNRN500 WP AFALON 50 WP 500 KG</t>
  </si>
  <si>
    <t>PPQZ100 EC Agil 100 EC NL [5.000] 5LT NL</t>
  </si>
  <si>
    <t>PPQZ100 EC Agil-S 4x5 L AT 5.000 5LT AT</t>
  </si>
  <si>
    <t>BFNX480 SC FOXPRO LT. 1_S IT</t>
  </si>
  <si>
    <t>PMRN500 SC PROMETREX 50 SC 200 L</t>
  </si>
  <si>
    <t>FRXP200 EC FLUROXYPYR 200 S 200 L</t>
  </si>
  <si>
    <t>ETFM200+PNMP200 SC ESPEJO 400 SC 1L_S TR</t>
  </si>
  <si>
    <t>DRON800 WG DIUREX 80 WG 500 KG</t>
  </si>
  <si>
    <t>DRON510BRMC490 WP KROVAR TECH 500 KG</t>
  </si>
  <si>
    <t>FCDN250 EC Racer 5 L 5LT IL</t>
  </si>
  <si>
    <t>24DA306.1+FLSL6 SE ELEGANT 5LT ES</t>
  </si>
  <si>
    <t>CLTN700 SC CLTN700 SC 200L 200 L</t>
  </si>
  <si>
    <t>24DA300FLSL6 SE 1000L</t>
  </si>
  <si>
    <t>OXFF240 EC GALIGAN 240 EC 1L_S TR</t>
  </si>
  <si>
    <t>DRON800 WG DIUREX 80WG PROFI EC 15KG EC</t>
  </si>
  <si>
    <t>PPQZ100 EC AGIL 100EC 1 L_S PL</t>
  </si>
  <si>
    <t>DRON800 WG DIUREX 80WG BRAVO MX 500KG MX</t>
  </si>
  <si>
    <t>PPQZ100 EC AGIL EXTRA 100 EC 1LT_S TR</t>
  </si>
  <si>
    <t>OXFF240 EC GALIGAN EC LT. 1_S UAG</t>
  </si>
  <si>
    <t>OXFF240 EC BLOCK GALIGAN 200LT BR</t>
  </si>
  <si>
    <t>PPQZ100 EC AGIL 200lLT NMPF GRE 200LT GR</t>
  </si>
  <si>
    <t>ETFM200+PNMP200 SC Powertwin SC 5LT UA</t>
  </si>
  <si>
    <t>DSMP100+ETFM200+PNMP100 SE Belved 5LT UA</t>
  </si>
  <si>
    <t>QZLF50 EC LEOPARD 200LT ES</t>
  </si>
  <si>
    <t>PNDM330 EC PENDIMETHALIN330EC S 200 L</t>
  </si>
  <si>
    <t>PPQZ100 EC AGIL 5L direct ITALY 5LT IT</t>
  </si>
  <si>
    <t>PNDM330 EC Adama Essentials Clin  5LT AR</t>
  </si>
  <si>
    <t>ETFM150+MTMN350 SC GOLTIX DUO 5LT 5LT FR</t>
  </si>
  <si>
    <t>AP 200 DIST AGAN 150 KG</t>
  </si>
  <si>
    <t>ALBAR M SL 5LT IL MCW</t>
  </si>
  <si>
    <t>TFLL480 EC TRIFLUREX 48EC MEXIC 200LT MX</t>
  </si>
  <si>
    <t>DRON800 WG DIUREX 80 WG 900 KG</t>
  </si>
  <si>
    <t>PPQZ100 EC FALCON MK LT. 1_S 1LT IT</t>
  </si>
  <si>
    <t>QZLF100 EC FIRST ACT (270 GAL) 1022LT US</t>
  </si>
  <si>
    <t>QZLF50 EC QUIZA 5LIT ITALY 5LT IT</t>
  </si>
  <si>
    <t>PPQZ100 EC AGIL LT. 1L_S IT</t>
  </si>
  <si>
    <t xml:space="preserve">1 liter </t>
  </si>
  <si>
    <t>5 lIter</t>
  </si>
  <si>
    <t>PNDM400 CS ACTIVUS ME Lt. 1_S IT</t>
  </si>
  <si>
    <t>FCDN250 EC RACER RACER 1L_S RS</t>
  </si>
  <si>
    <t>MTZC500 SULTAN 50 SC 1L_S RO</t>
  </si>
  <si>
    <t>ETFM150+MTMN350 SC GOLTIX PLUS 1L_S TR</t>
  </si>
  <si>
    <t>MTMN700 SC GOLTIX GOLD 5LT RS NEW</t>
  </si>
  <si>
    <t>TNXP175 EC STEMPER 5 LT FR</t>
  </si>
  <si>
    <t>MTMN700 SC GOLTIX GOLD OF - 5LT UA NEW</t>
  </si>
  <si>
    <t>MTMN700 SC GOLTIX 70SC 5LT GB</t>
  </si>
  <si>
    <t>PPQZ100 EC AGIL 100  5/10/20 CA 5LT CAM</t>
  </si>
  <si>
    <t>TFLL480 EC TRIFLURALIN 48 EC 5LT NEW GR</t>
  </si>
  <si>
    <t>SPREADER DX 5.00 L</t>
  </si>
  <si>
    <t>MTMN700 SC GOLTIX GOLDSC 5LT RU NEW</t>
  </si>
  <si>
    <t>CLTN250+DIF40+PND300SC FIRSTPOINT 5LT TR</t>
  </si>
  <si>
    <t>BRXL240 EC Bromotril  5 L 5LT IL</t>
  </si>
  <si>
    <t>CLTN250+DIFF40+PNDM300 SC TRIVIZA 5LT SK</t>
  </si>
  <si>
    <t>Sunny-B Colombia 200LT IL</t>
  </si>
  <si>
    <t>UCZL 50 SC SUNNY SOUTH AFRICA 200LT IL</t>
  </si>
  <si>
    <t>OXFF240 EC GALIGAN 200LT CENAM 200LT CAM</t>
  </si>
  <si>
    <t>MTZC500 SC FUEGO (S) 5LT AT</t>
  </si>
  <si>
    <t>OXFF240 EC CAVALLIER 240 EC 1LT CL</t>
  </si>
  <si>
    <t>OXFF240 EC Galigan 1 L 1LT IL</t>
  </si>
  <si>
    <t>CLMZ33+MTZC250 ZC KALIF MEGA 10LT BY</t>
  </si>
  <si>
    <t>DRON320+GLYP180+OXFF144 SC Glider 1LT IL</t>
  </si>
  <si>
    <t>AGAN-23-F-05</t>
  </si>
  <si>
    <t>EC</t>
  </si>
  <si>
    <t>AGAN-42-P-02</t>
  </si>
  <si>
    <t>AGAN-23-F-06</t>
  </si>
  <si>
    <t>AGAN-42-P-95</t>
  </si>
  <si>
    <t>42-Tank 5 L</t>
  </si>
  <si>
    <t>AGAN-42-P-910</t>
  </si>
  <si>
    <t>42-Tank 10-20 L</t>
  </si>
  <si>
    <t>AGAN-42-P-91</t>
  </si>
  <si>
    <t>42-Tank 1 L</t>
  </si>
  <si>
    <t>CLODNFP-PRPRGL100SSS 200 L</t>
  </si>
  <si>
    <t>AGAN-23-F-03</t>
  </si>
  <si>
    <t>AGAN-42-P-03</t>
  </si>
  <si>
    <t>CLODNFP-PRPRGL100SSS 1000 L</t>
  </si>
  <si>
    <t>CLODNFOP-PROPRGL24EC 200 L</t>
  </si>
  <si>
    <t>AGAN-23-F-08</t>
  </si>
  <si>
    <t>AGAN-42-P-04</t>
  </si>
  <si>
    <t>10\20 liter</t>
  </si>
  <si>
    <t>SL</t>
  </si>
  <si>
    <t>CPRL300 SL CLOPYRALID 300 SL 200 L</t>
  </si>
  <si>
    <t>ZC</t>
  </si>
  <si>
    <t>MTZC250CLMZ33 ZC CLOMZ33+METAZ250 200 L</t>
  </si>
  <si>
    <t>AGAN-23-F-09</t>
  </si>
  <si>
    <t>CLMZ480 EC CLOMAZONE 480 S EC 200 L</t>
  </si>
  <si>
    <t>AGAN-23-F-07</t>
  </si>
  <si>
    <t>CLTD120 EC CLETODIM 120 SS ECO 200 L</t>
  </si>
  <si>
    <t>CLTD120 EC CLETODIM 120 SS ECO 1000 L</t>
  </si>
  <si>
    <t>LS</t>
  </si>
  <si>
    <t>AGAN-19-F-12</t>
  </si>
  <si>
    <t>WG</t>
  </si>
  <si>
    <t>SC</t>
  </si>
  <si>
    <t>AGAN-28-F-04</t>
  </si>
  <si>
    <t>BRXL400 EC BROMOTRIL 400 EC S 5 L</t>
  </si>
  <si>
    <t>BRXL500 SC BROMOXYNIL PH 500 SC 200 L</t>
  </si>
  <si>
    <t>BRXL250 SC BROMOXYNL PH 250 SC 200 L</t>
  </si>
  <si>
    <t>BRXL250 SC BROMOXYNL PH 250 SC 20 L</t>
  </si>
  <si>
    <t>BROMOTRIL 400 EC*</t>
  </si>
  <si>
    <t>BRXL400 EC BROMOTRIL 400 EC 10 L</t>
  </si>
  <si>
    <t>BRXL240 EC BROMOTRIL 240 EC 200 L</t>
  </si>
  <si>
    <t>BRXL240 EC BROMOTRIL 240 S EC 200 L</t>
  </si>
  <si>
    <t>BRXL240 EC BROMOTRIL 240 S EC 5 L</t>
  </si>
  <si>
    <t>BRXL240 EC BROMOTRIL 240 S EC 1 L</t>
  </si>
  <si>
    <t>BRMX225+MCPA225 SS</t>
  </si>
  <si>
    <t>BSPB400 SC BISPYRIBAC SOD 400SC 200 L</t>
  </si>
  <si>
    <t>AGAN-24-F-02</t>
  </si>
  <si>
    <t>line 24</t>
  </si>
  <si>
    <t>BSPB100 SC BISPYRIBAC 100 SC 200 L</t>
  </si>
  <si>
    <t>BSPB1000 NA BISPYRIBAC ADJVNT SL 200 L</t>
  </si>
  <si>
    <t>ME</t>
  </si>
  <si>
    <t>BNTZ480CLMZ50 ME BNTZN480+CLMZN50 10 L</t>
  </si>
  <si>
    <t>BFNX480-FLRSM5 SCLRH 200 L</t>
  </si>
  <si>
    <t>24P</t>
  </si>
  <si>
    <t>BIFNOX+TOLURX 20-50 200 L</t>
  </si>
  <si>
    <t>BIFNOX+TOLURX 20-50 10 L</t>
  </si>
  <si>
    <t>BIFNX25-MECOPRP308SC 200.00 L</t>
  </si>
  <si>
    <t>BFNX480 SC BIFENOX 480 SC 5 L</t>
  </si>
  <si>
    <t>BFNX480 SC BIFENOX 480 SC 1 L</t>
  </si>
  <si>
    <t>ATRANX336+MTOLCLR324 200.00 L</t>
  </si>
  <si>
    <t>SE</t>
  </si>
  <si>
    <t>ATERBUTOX 50 SC</t>
  </si>
  <si>
    <t>ARZN250TBTN250 SC ATERBUTOX 50 SC 200 L</t>
  </si>
  <si>
    <t>ATRANEX 50P SC 200.00 L</t>
  </si>
  <si>
    <t>19P</t>
  </si>
  <si>
    <t>AGAN-19-P-03</t>
  </si>
  <si>
    <t>ATRANEX 600 SC 200.00 L</t>
  </si>
  <si>
    <t>ARZN500 SC ATRANEX 50 SC 200 L</t>
  </si>
  <si>
    <t>ARZN500 SC ATRANEX 50 SC 5 L</t>
  </si>
  <si>
    <t>40</t>
  </si>
  <si>
    <t>40P</t>
  </si>
  <si>
    <t>AGAN-40-P-10</t>
  </si>
  <si>
    <t>ATRAMET COMBI 50 SC*</t>
  </si>
  <si>
    <t>AMTR250ARZN250 SC ATRAMET COMBI 50 200 L</t>
  </si>
  <si>
    <t>ATRAMET COMBI 50 SC 20.00 L</t>
  </si>
  <si>
    <t>ATRAMET COMBI 50 SC 5.00 L</t>
  </si>
  <si>
    <t>AMTR800 WG AMETREX 80 WG 900 KG</t>
  </si>
  <si>
    <t>AMTR800 WG AMETREX 80 WG INDIA 900 KG</t>
  </si>
  <si>
    <t>AMTR500 SC AMETREX 50 SC 20 L</t>
  </si>
  <si>
    <t>ALCL480 MCB ALANEX 480EC MCB 20 L</t>
  </si>
  <si>
    <t>ALCL480 EC ALANEX 48 EC 200 L</t>
  </si>
  <si>
    <t>ALCL480 EC ALANEX 48 EC 10 L</t>
  </si>
  <si>
    <t>ALCL480 EC ALANEX 48 EC 1 L</t>
  </si>
  <si>
    <t>ACLNFN300-IMZMX20 SC 5.00 L</t>
  </si>
  <si>
    <t>ACLNFN300-IMZMX20 SC 1000.00 L</t>
  </si>
  <si>
    <t>ACLN600 SC ACLONIFEN 600SC 10 L</t>
  </si>
  <si>
    <t>ACTC880 EC ACETOCHLOR EC 880 200 L</t>
  </si>
  <si>
    <t>ACTC880 EC ACETOCHLOR EC 880 20 L</t>
  </si>
  <si>
    <t>ACTC880 EC ACETOCHLOR EC 880 10 L</t>
  </si>
  <si>
    <t>ACTC900 EC ACETOCHLOR EC 900 200 L</t>
  </si>
  <si>
    <t>ACTC900 EC ACETOCHLOR EC 900 20 L</t>
  </si>
  <si>
    <t>ACTC900 EC ACETOCHLOR EC 900 10 L</t>
  </si>
  <si>
    <t>MTMN700 SC GOLTIX 700 SC 10LT TR</t>
  </si>
  <si>
    <t>25</t>
  </si>
  <si>
    <t>PNDM400CS PENDIMETALIN400G-L CS 200LT IT</t>
  </si>
  <si>
    <t>PNDM400 SC PRESTIGAN EKO 5LT IT</t>
  </si>
  <si>
    <t>PNDM400 SC PRESTIGAN EKO 1LT IT</t>
  </si>
  <si>
    <t>AGAN-19-F-02</t>
  </si>
  <si>
    <t>DRON800 WG KARMEX 80 WG X 15 KG DO</t>
  </si>
  <si>
    <t>TNXP175 EC TNEEX 17 EC 20LT GT</t>
  </si>
  <si>
    <t>AGAN-19-P-05</t>
  </si>
  <si>
    <t>PXSF850 WG NOVALI 850 WG 40KG AU</t>
  </si>
  <si>
    <t>MTMN150 SG BREVIS SG 140KG GR</t>
  </si>
  <si>
    <t>SG</t>
  </si>
  <si>
    <t>FRXP200 EC TOMAGAN EC 200LT GR</t>
  </si>
  <si>
    <t>QZLF50 EC LEOPARD 5EC SAS NEW 1000LT HU</t>
  </si>
  <si>
    <t>PNDM400 CS PENDIGAN 400 CS 10LT GR</t>
  </si>
  <si>
    <t>ETFM150+MTMN350 SC TORERO FLO 5LT FR</t>
  </si>
  <si>
    <t>CLTN400+DIFF25 SC CONSTEL 20LT FR</t>
  </si>
  <si>
    <t>ETFM150+MTMN350SC GOLTIX SUPER 5LT RS</t>
  </si>
  <si>
    <t>MTMN700 SC Goltix S 700 SC 1LT PL</t>
  </si>
  <si>
    <t>MTMN700 SC Goltix S 700 SC 5LT PL</t>
  </si>
  <si>
    <t>MTMN350+QNMC60 SC GOLTIX SILVER 20LT FR</t>
  </si>
  <si>
    <t>MTMN350+QNMC60 SC DAZAGO 10 LT 10LT FR</t>
  </si>
  <si>
    <t>MTBZ700 WG MISTRAL WG 1KG UAG</t>
  </si>
  <si>
    <t>FCDN250 EC VERNAL 250 EC 1LT PL</t>
  </si>
  <si>
    <t>ETF200+PNM200SC BELVEDERE EXTRA 40 5L PL</t>
  </si>
  <si>
    <t>ETF200+PNM200SC BELVEDERE EXTRA 40 1L PL</t>
  </si>
  <si>
    <t>MTBZ750 WG METRIBUZIN 750 MENTOR 10KG AU</t>
  </si>
  <si>
    <t>ACLN300+IMZX20 SC SUNBRIGHT 5LT ES</t>
  </si>
  <si>
    <t>ACLN300+IMZX20 SC SUNBRIGHT 10LT ES</t>
  </si>
  <si>
    <t>MTMN700 SC METOMAT 700 SC 5LT BE</t>
  </si>
  <si>
    <t>MTMN700 SC TORNADO 700 SC 5LT BE</t>
  </si>
  <si>
    <t>FCDN200 CS FLUROCHLOR 18.3% W-W 200LT IN</t>
  </si>
  <si>
    <t>OXFF500 SC GALIGAN TOP OXFF500 SC 5LT IL</t>
  </si>
  <si>
    <t>FLSL3+FRXP100 TOMIGAN XL (NF) 4x5 L DE</t>
  </si>
  <si>
    <t>FLSL3+FRXP100 SE CLEAVE 5LT IT</t>
  </si>
  <si>
    <t>ALBAR M SL 5LT MCW</t>
  </si>
  <si>
    <t>MTMN700 WG GOLTIX DF 70 1KGX12 BR</t>
  </si>
  <si>
    <t>SULFENT360 +TEBUTHI50 WG JUMBO 5KG BR</t>
  </si>
  <si>
    <t>ETFM500 SC ETHOSAT 500 SC 5LT PL</t>
  </si>
  <si>
    <t>ETFM500 SC ETHOSAT 500 SC 1LT PL</t>
  </si>
  <si>
    <t>DIFF20+FFNC80+PND333SC MERKUR 10L SGS AT</t>
  </si>
  <si>
    <t>ETFM500 SC ETHOSAT SC 5LT FR</t>
  </si>
  <si>
    <t>TNXP175 EC STEMPER 4x5 L 5LT DE</t>
  </si>
  <si>
    <t>TNXP175 EC STEMPER EC 5LT AT</t>
  </si>
  <si>
    <t>PNDM400 SC ACTIVUS 400 10LT AT</t>
  </si>
  <si>
    <t>DRON800 WG KARMEX 80 WG 500 KG EC</t>
  </si>
  <si>
    <t>ACLN300+IMZX20 SC SUNBRIGHT 5LT FR</t>
  </si>
  <si>
    <t>ETFM150+MTMN350 SC GOLTIX SUPER 5LT IT</t>
  </si>
  <si>
    <t>ETFM150+MTMN350SC GOLDBEET SUPER  5LT IT</t>
  </si>
  <si>
    <t>FRXP200 EC TOMIGAN 1LT IT</t>
  </si>
  <si>
    <t>AGAN-24-F-12</t>
  </si>
  <si>
    <t>FLSL3+FRXP100 SE OUTSHINE 200LT CA</t>
  </si>
  <si>
    <t>line 128</t>
  </si>
  <si>
    <t>LNRN450 SC AFALON 500 SC 200LT PE</t>
  </si>
  <si>
    <t>CLMZ33+MTZC250 ZC BODY 10LT FR</t>
  </si>
  <si>
    <t>ETFM150+MTMN350 SC GOLTIX SUPER 5LT RUB</t>
  </si>
  <si>
    <t>CLMZ33+MTZC250 ZC SULTAN MAX 10LT FR</t>
  </si>
  <si>
    <t>MTMN525+QNMC40 SC HELANOV 5LT FR</t>
  </si>
  <si>
    <t>TNXP175 EC Trimaxx 1-1 1LT RS</t>
  </si>
  <si>
    <t>DIFF20+FFNC80+PNDM333 SC VIKTOR  20LT FR</t>
  </si>
  <si>
    <t>DIFF20+FFNC80+PNDM333 SC VIKTOR  10LT FR</t>
  </si>
  <si>
    <t>QZLF105+ISOXD 74 EC HIGHCARD 200 LT US</t>
  </si>
  <si>
    <t>Sunny- PERU 5LT IL</t>
  </si>
  <si>
    <t>FRXP359.7 EC Tomigan 250 EC (SAS) 1LT BA</t>
  </si>
  <si>
    <t>LNRN500 SC LINAGAN 50SC 200LT GR</t>
  </si>
  <si>
    <t>QZLF105 EC HIGHCARD 1000LT US</t>
  </si>
  <si>
    <t>QZLF50 EC LEOPARD SAS 200LT FR</t>
  </si>
  <si>
    <t>ETFM150+MTMN350 SC GOLTIX SUPER 5LT BY</t>
  </si>
  <si>
    <t>OXFF240 EC GALIGAN 1LT CAM</t>
  </si>
  <si>
    <t>TNXP175 EC TNEEX 200LT NI</t>
  </si>
  <si>
    <t>MTMN700 SC GOLTIX 1000LT GR</t>
  </si>
  <si>
    <t>MCPA600 EC ESTER 1000LT CA</t>
  </si>
  <si>
    <t>IMZX120 PRMIX 208LT US</t>
  </si>
  <si>
    <t>PRMIX</t>
  </si>
  <si>
    <t>CLTN250+DIFF40+PNDM300 SC TRINITY5LT BLT</t>
  </si>
  <si>
    <t>OXFF480 SC GALIGAN H2O 1000LT US</t>
  </si>
  <si>
    <t>PXSF850 WG NOVALI 5KG AU</t>
  </si>
  <si>
    <t>ACLN300+IMZX20 SC SUNBRIGHT 10LT FR</t>
  </si>
  <si>
    <t>FCDN250 EC RACER 5LT RUB</t>
  </si>
  <si>
    <t>MTMN700 SC GOLTIX 5LT RUB</t>
  </si>
  <si>
    <t>PPQZ100 EC SHOGUN 5LT RUB</t>
  </si>
  <si>
    <t>BRXL240 EC BROMOTRIL 200LT US</t>
  </si>
  <si>
    <t>MTBZ480 SC METRIBUZIN MISTRAL TOP 5LT RU</t>
  </si>
  <si>
    <t>MTMN700 SC GOLTIX GOLD 5LT RU</t>
  </si>
  <si>
    <t>BNTZ480+CLMZ50 ME EVENTUS SAS 5LT RU</t>
  </si>
  <si>
    <t>MTMN350+QNMC60 SC GOLTIX SILVER 10LT FR</t>
  </si>
  <si>
    <t>FLSL3+FRXP100 SE TOMIGAN XL 5LT BG</t>
  </si>
  <si>
    <t>DIFF40+PNDM400 SC EXPIRE 5LT TR</t>
  </si>
  <si>
    <t>DIFF40+PNDM400 SC EXPIRE 1LT TR</t>
  </si>
  <si>
    <t>ETFM200+PNMP200 SC ESPEJO 1LT TR</t>
  </si>
  <si>
    <t>DRON800 SC HERBUFURON 200LT GT</t>
  </si>
  <si>
    <t>OXFF240 EC GALIGAN 1000LT US</t>
  </si>
  <si>
    <t>ETFM500 SC ESTRELLA 1LT TR</t>
  </si>
  <si>
    <t>DRON800 WP KARMEX 500KG ID</t>
  </si>
  <si>
    <t>FRXP200 EC TOMIGAN 1LT AT</t>
  </si>
  <si>
    <t>FRXP200 EC TOMIGAN 1LT DE</t>
  </si>
  <si>
    <t>FLSL3+FRXP100 SE OUTSHINE 1000LT CA</t>
  </si>
  <si>
    <t>MTZC500 SC SULTAN 5LT RUB</t>
  </si>
  <si>
    <t>DRON900 WG DIURON WDG TITAN 15KG AU</t>
  </si>
  <si>
    <t>MTMN700 SC GOLTIX GOLD 5LT SE</t>
  </si>
  <si>
    <t>ETFM150+MTMN350 SC TORERO 10LT NZ</t>
  </si>
  <si>
    <t>BRMC400+DRON400 WG KROVAR 5KG IL</t>
  </si>
  <si>
    <t>BRMC800 WG URAGAN GADOT 3KG IL</t>
  </si>
  <si>
    <t>CLMZ480 EC KALIF SAS 20LT KE</t>
  </si>
  <si>
    <t>CLMZ480 EC CLOMAZONE 1LT TH</t>
  </si>
  <si>
    <t>DIFF20+FFNC80+PNDM333 SC MERKUR 10LT GB</t>
  </si>
  <si>
    <t>PNDM400 SC ANTHEM EKO 5LT IT</t>
  </si>
  <si>
    <t>PNDM400 SC DOMITREL 5LT FR</t>
  </si>
  <si>
    <t>CLTN400+DIFF25 SC MADUREZ 5LT TR</t>
  </si>
  <si>
    <t>MTMN300PNMP100 SC BETAHERB 200L JP</t>
  </si>
  <si>
    <t>DIFF20+FFNC80+PNDM333 SC MERKUR 10LT DE</t>
  </si>
  <si>
    <t>DIFF40+PNDM400 SC DIFLUF4O+PEND 1000L ES</t>
  </si>
  <si>
    <t>LNRN500 WP LINUREX 50 500KG CAM</t>
  </si>
  <si>
    <t>MTZC500 SC MEZZO PLUS 5LT PL</t>
  </si>
  <si>
    <t>TRITON X 100 Triton 1L IL</t>
  </si>
  <si>
    <t>TC</t>
  </si>
  <si>
    <t>OXFF240 EC OXYFLUORFEN SAS 200LT KE</t>
  </si>
  <si>
    <t>CLTD240 EC ARROW 1000LT CA</t>
  </si>
  <si>
    <t>CLTN500 SC Chlortoluron 5LT CZ</t>
  </si>
  <si>
    <t>PPQZ100 EC REXSTAR 5LT CZ</t>
  </si>
  <si>
    <t>FCDN250 EC FLORANE 10LT AR</t>
  </si>
  <si>
    <t>CLTN250+DIFF40+PNDM300SC Legato T10LT UA</t>
  </si>
  <si>
    <t>MTMN150 SG BREVIS 1.1KG AU</t>
  </si>
  <si>
    <t>DSMP160+PNMP160 SE RIFLE 10LT NZ</t>
  </si>
  <si>
    <t>DIFF500 SC URBOLE SAS 1000LT FR</t>
  </si>
  <si>
    <t>TNXP175 EC Trimaxx 5-1 5LT RS</t>
  </si>
  <si>
    <t>QZLF50 EC Leopard 5 EC 1LT MK</t>
  </si>
  <si>
    <t>PNDM400 SC PENDIGAN 400 SC 200LT MK</t>
  </si>
  <si>
    <t>MTMN350+QNMC60 SC GOLTIX SILVER 5LT FR</t>
  </si>
  <si>
    <t>MTZC400+QNMC100 SC BANDONEON 5 LT 5LT FR</t>
  </si>
  <si>
    <t>DRON468+HZNN132 WG Heyday (1 Kg x 1KG TH</t>
  </si>
  <si>
    <t>FMTR500 SC COTTONEX 5LT GR</t>
  </si>
  <si>
    <t>QZLF100 EC QUIZALOFOP 10 EC SSS 5LT PH</t>
  </si>
  <si>
    <t>FLSL3+FRXP100 SE 1000LT General</t>
  </si>
  <si>
    <t>FLSL3+FRXP100 SE OUTSHINE 1000 1000LT CA</t>
  </si>
  <si>
    <t>QZLF100 EC Presto max x 1 Lt 1LT DO</t>
  </si>
  <si>
    <t>PPQZ100 EC AGIL 100  5-10-20 CA 20LT CAM</t>
  </si>
  <si>
    <t>ACLN300+IMZX20 SC Sunbright 5LT TR</t>
  </si>
  <si>
    <t>BRMC800 WG BROMACIL 80 WG 500KG US</t>
  </si>
  <si>
    <t>BRMC800 WG URAGAN AGAN 3KG IL</t>
  </si>
  <si>
    <t>TBAZ500 SC TYLLANEX 50 200LT 200LT CAM</t>
  </si>
  <si>
    <t>SLCT173+TBAZ330 SC SULCOTREK 20 200LT GR</t>
  </si>
  <si>
    <t>QZLF50 EC LEOPARD 5 EC 1LT RO</t>
  </si>
  <si>
    <t>PMTN250 EC PRAMITOL 25E DR USA 200LT US</t>
  </si>
  <si>
    <t>ETFM200+PNMP200 SC Belvedere Duo 10LT DE</t>
  </si>
  <si>
    <t>ETFM200+PNMP200 SC Belvedere Duo  5LT AT</t>
  </si>
  <si>
    <t>ETFM200+PNMP200 SC Powertwin 1-1 1LT RS</t>
  </si>
  <si>
    <t>IMZT37+PPQZ25 ME PRP2.5%+IMZT 1000LT IN</t>
  </si>
  <si>
    <t>PPQZ100 EC AGIL 1000LT CH</t>
  </si>
  <si>
    <t>DIFF63+MTBZ250 SC Tavas 312.5 SC  5LT BY</t>
  </si>
  <si>
    <t>DIFF63+MTBZ250 SC TAVAS (5) PORTU 5LT PT</t>
  </si>
  <si>
    <t>DIFF63+MTBZ250 SC Tavas 4x5 L AT 5LT AT</t>
  </si>
  <si>
    <t>DIFF63+MTBZ250 SC Tavas 312.5 SC  5LT NL</t>
  </si>
  <si>
    <t>DIFF63+MTBZ250 SC Tavas 5LT BE</t>
  </si>
  <si>
    <t>MTBZ700 WG Mistral WG - 500kg 500KG UA</t>
  </si>
  <si>
    <t>AGAN-19-P-04</t>
  </si>
  <si>
    <t>MTBZ700 WG Mistral 700 WG BY 5KG BY</t>
  </si>
  <si>
    <t>41</t>
  </si>
  <si>
    <t>MTZC500 SC METZACHLOR 50SC SULT 200LT IT</t>
  </si>
  <si>
    <t>MTZC500 SC ESTRAN SC 4LT FR</t>
  </si>
  <si>
    <t>UCZL50 SC MAGIC 5 SC G 200LT IL</t>
  </si>
  <si>
    <t>Sunny- South Africa 5LT IL</t>
  </si>
  <si>
    <t>Sunny- New Zealand 5LT IL</t>
  </si>
  <si>
    <t>UCZL50 SC Sumagic- Chile 5LT IL</t>
  </si>
  <si>
    <t>Sunny- Dominican Republ 5LT IL</t>
  </si>
  <si>
    <t>LNRN476 SC LINEX 4L 1000 TKI 947LT US</t>
  </si>
  <si>
    <t>LNRN476 SC Lorox L (946 Lt) 946LT CA</t>
  </si>
  <si>
    <t>LNRN500 WP LINUREX 50 WP 15KG TW</t>
  </si>
  <si>
    <t>IMZX80 SL SALTUS 5 LT 5LT FR</t>
  </si>
  <si>
    <t>GLYP360+OXFF30 SC ZOOMER 200 LT 200LT KR</t>
  </si>
  <si>
    <t>FLSL50 SC FLORASULAM 200LT CA 200LT CA</t>
  </si>
  <si>
    <t>FLSL50 SC FLORASULAM 1000LT CA 1000LT CA</t>
  </si>
  <si>
    <t>24DA306.1+FLSL6 SE 200LT General</t>
  </si>
  <si>
    <t>24DA306.1+FLSL6 SE CAMARO 200LT 200LT PL</t>
  </si>
  <si>
    <t>24DA306.1+FLSL6 SE COLORADO SE 1000LT GR</t>
  </si>
  <si>
    <t>FLSL50 SC Darbuka  200 L 200LT IL</t>
  </si>
  <si>
    <t>DIU40+URAG40 WG BROMACIL 40 2.72 KG USA</t>
  </si>
  <si>
    <t>DRON800 WP KARMEX 15KG General</t>
  </si>
  <si>
    <t>DRON800 SC DIUREX 80SC 200 CA 200LT HN</t>
  </si>
  <si>
    <t>DRON800 WP 15KG General</t>
  </si>
  <si>
    <t>DSMP100+ETFM200+PNMP100 SE 200LT General</t>
  </si>
  <si>
    <t>CLTN400+DIFF25 SC 200LT ES</t>
  </si>
  <si>
    <t>CLTN400+DIFF25 SC CONSTEL F SC 200LT GR</t>
  </si>
  <si>
    <t>DELTA DAMASCONE 20KG</t>
  </si>
  <si>
    <t>TDMK 180.00 KG</t>
  </si>
  <si>
    <t>FMTR500 SC COTTONEX 1000LT GR</t>
  </si>
  <si>
    <t>CLTD120 EC ARROW-ALL-IN 1000LT 1000LT CA</t>
  </si>
  <si>
    <t>CCC400 LS C C C 10 L 10LT IL</t>
  </si>
  <si>
    <t>ARZN500 SC Atranex  1 L 1LT IL</t>
  </si>
  <si>
    <t>IMZX80 SL DAVAI 5 LT 5LT FR</t>
  </si>
  <si>
    <t>BRMC800 WG BROMACIL 80WG THAILA 500KG TH</t>
  </si>
  <si>
    <t>BRMC800 WG URAGAN 800 4X5KG SA 5KG ZA</t>
  </si>
  <si>
    <t>BRMC800 WG URAGAN 80WG 2X5 AUS 5KG AU</t>
  </si>
  <si>
    <t>BRMC800 WG TOGA 80 WG 10X1 THAI 1KG TH</t>
  </si>
  <si>
    <t>BRMC800 WP BROMACIL 80WP ID LAB 15KG TH</t>
  </si>
  <si>
    <t>BRMC800 WP HYBRO 15 KG ECUADOR 15KG EC</t>
  </si>
  <si>
    <t>TFLL480 EC TRIFLEX 5LT AAKO TN 5LT TN</t>
  </si>
  <si>
    <t>TFLL480 EC TRIFLUR 4X5 SOC TUN 5LT TN</t>
  </si>
  <si>
    <t>TFLL480 EC HERBALIN 48 4x5L TUN 5LT TN</t>
  </si>
  <si>
    <t>TFLL480 EC TRIFLUREX 48 EC CHIL 5LT CL</t>
  </si>
  <si>
    <t>TFLL480 EC Triflurex EC 5LT UA</t>
  </si>
  <si>
    <t>TNXP175 EC OPTIMUS 20LT NZ 20LT NZ</t>
  </si>
  <si>
    <t>TNXP175 EC Calma 175 EC BY 5LT BY</t>
  </si>
  <si>
    <t>TNXP175 EC Calma EC - 5l 5LT UA</t>
  </si>
  <si>
    <t>TNXP175 EC MARVEL 5LT AUSTRALIA 5LT AU</t>
  </si>
  <si>
    <t>TNXP175 EC OPTIMUS 4X5 NEW ZEAL 5LT NZ</t>
  </si>
  <si>
    <t>FRXP359.7 EC TOMIGAN 5L POLAND 5LT PL</t>
  </si>
  <si>
    <t>FRXP359.7 EC TOMIGAN 250 12X1 CRO 1LT HR</t>
  </si>
  <si>
    <t>FRXP359.7 EC TOMIGAN 1lit POLAND 1LT PL</t>
  </si>
  <si>
    <t>FRXP180 EC FLUROXYPYR 1000LT CA</t>
  </si>
  <si>
    <t>FRXP288 EC TOMAHAWK 200EC S-AFR 5LT ZA</t>
  </si>
  <si>
    <t>FRXP288 EC TOMAHAWK 20EC 4X5L 5LT GB</t>
  </si>
  <si>
    <t>FRXP288 EC MORAINE (4 X 5L)(MAPP1 5LT GB</t>
  </si>
  <si>
    <t>FRXP288 EC Flurox 200  4x5 L CH 5LT CH</t>
  </si>
  <si>
    <t>FRXP288 EC Apell 200 4x5 L CH (SY 5LT CH</t>
  </si>
  <si>
    <t>FRXP288 EC TOMAHAWK 200 EC (5) Fi 5LT FI</t>
  </si>
  <si>
    <t>FRXP288 EC Tomahawk 200 EC (SS)  5LT BLT</t>
  </si>
  <si>
    <t>FRXP288 EC Tomahawk 200 EC (5) Sw 5LT SE</t>
  </si>
  <si>
    <t>FRXP288 EC Tomahawk 200 EC (SS) D 5LT DK</t>
  </si>
  <si>
    <t>FRXP288 EC Profi Fluroxy 200 4x5  5LT DE</t>
  </si>
  <si>
    <t>FRXP288 EC Tomahawk 200 EC (5) No 5LT NO</t>
  </si>
  <si>
    <t>FRXP200 EC Tomigan 200 4x5L DE 5LT DE</t>
  </si>
  <si>
    <t>FRXP359.7 EC Tomigan 250 EC 200 200LT HU</t>
  </si>
  <si>
    <t>FRXP359.7 EC TOMIGAN - 5 L 5LT RO</t>
  </si>
  <si>
    <t>FRXP359.7 EC DISCOVERY 250 EC- 5  5LT RO</t>
  </si>
  <si>
    <t>FRXP359.7 EC Tomigan S 250 EC 5 l 5LT PL</t>
  </si>
  <si>
    <t>FRXP359.7 EC Tomahawk 5 l 5LT CZ</t>
  </si>
  <si>
    <t>FRXP359.7 EC Tomigan EC 5LT UA</t>
  </si>
  <si>
    <t>FRXP359.7 EC TOMIGAN 5L SLOVAKIA 5LT SK</t>
  </si>
  <si>
    <t>FRXP359.7 EC TOMIGAN-1L 1LT RO</t>
  </si>
  <si>
    <t>FRXP359.7 EC DISCOVERY 250 EC-1L 1LT RO</t>
  </si>
  <si>
    <t>FRXP359.7 EC Tomigan S 250 EC 1 l 1LT PL</t>
  </si>
  <si>
    <t>FRXP359.7 EC TOMIGAN 250E 12X1 SE 1LT RS</t>
  </si>
  <si>
    <t>FRXP359.7 EC Tomigan 250 EC 1-1 1LT HU</t>
  </si>
  <si>
    <t>FRXP288 EC Matabu 20 EC x 20 Lt 20LT CU</t>
  </si>
  <si>
    <t>FRXP288 EC Tomahawk 20 EC x  5 Lt 5LT GY</t>
  </si>
  <si>
    <t>FRXP288 EC TOMAHAWK 5LT BOLIVIA 5LT BO</t>
  </si>
  <si>
    <t>FRXP288 EC Adama Essentials Tomah 5LT AR</t>
  </si>
  <si>
    <t>FRXP288 EC TOMAHAWK 4X5 URUGUA 5LT UY</t>
  </si>
  <si>
    <t>FRXP288 EC Adama Essentials Tomah 1LT AR</t>
  </si>
  <si>
    <t>FRXP288 EC TOMAHAWK20EC IL C-AM 1LT CAM</t>
  </si>
  <si>
    <t>CLTN700 SC PROFI CTU 700 10 LT 10LT FR</t>
  </si>
  <si>
    <t>CLTN700 SC SHVAT 700 10 LT FRANC 10LT FR</t>
  </si>
  <si>
    <t>CLTN700 SC AMBOISE 700 10 LT 10LT FR</t>
  </si>
  <si>
    <t>CLTN700 SC Toluron 700 SC 2x10 L 10LT DE</t>
  </si>
  <si>
    <t>CLTN700 SC TOLURON 700 SC 5 lit P 5LT PL</t>
  </si>
  <si>
    <t>CLTN700 SC TOLURON 700 SC 1 LIT P 1LT PL</t>
  </si>
  <si>
    <t>CLTN500 SC TOLUREX 20L SLOVAKIA 20LT SK</t>
  </si>
  <si>
    <t>CLTN500 SC TOLUREX 50SC 20L POL 20LT PL</t>
  </si>
  <si>
    <t>CLTN500 SC MAIWAY 500 10 LT 10LT FR</t>
  </si>
  <si>
    <t>CLTN500 SC PROFI-CTU 10L FRANCE 10LT FR</t>
  </si>
  <si>
    <t>CLTN500 SC AMBOISE 10 LT 10LT FR</t>
  </si>
  <si>
    <t>CLTN500 SC SHVAT 10 LT 10LT FR</t>
  </si>
  <si>
    <t>CLTN500 SC TOLUREX 50SC 4X5 ROM 5LT RO</t>
  </si>
  <si>
    <t>CLTN500 SC CHLOORTOLURON  5L BE 5LT BE</t>
  </si>
  <si>
    <t>CLTN500 SC Tolurex 50 SC 5 l 5LT CZ</t>
  </si>
  <si>
    <t>CLTN500 SC TOLUREX 50 5LT POL 5LT PL</t>
  </si>
  <si>
    <t>CLTN500 SC TOLUREX 50 1L POLAND 1LT PL</t>
  </si>
  <si>
    <t>TBAZ500 SC Magneto 20L 20LT NZ</t>
  </si>
  <si>
    <t>TBAZ500 SC TYLLANEX 50 20L CHIL 20LT CL</t>
  </si>
  <si>
    <t>TBTN500 SC Terbuli  5 L 5LT IL</t>
  </si>
  <si>
    <t>TBTN500 SC TERBUTREX 20LT CA 20LT CAM</t>
  </si>
  <si>
    <t>TBTN500 SC Adama Essentials Terbu 5LT AR</t>
  </si>
  <si>
    <t>TBTN500 SC Terbutrex 1 L 1LT IL</t>
  </si>
  <si>
    <t>SLCT173+TBAZ330 SC SULCOTREK 20 200LT ES</t>
  </si>
  <si>
    <t>SLCT173+TBAZ330 SC SUlcotrek 5-1 5LT RS</t>
  </si>
  <si>
    <t>SLCT173+TBAZ330 SC SULCOTREK 5LTB 5LT BG</t>
  </si>
  <si>
    <t>SLCT173+TBAZ330 SC SULCOTREK 5LT  5LT PL</t>
  </si>
  <si>
    <t>SLCT173+TBAZ330 SC SULCOTREK 5LT  5LT RO</t>
  </si>
  <si>
    <t>SLCT173+TBAZ330 SC Sulcotrek 5 l 5LT CZ</t>
  </si>
  <si>
    <t>SLCT173+TBAZ330 SC Sulcotrek 5-1 5LT HU</t>
  </si>
  <si>
    <t>SLCT173+TBAZ330 SC SULCOTREK  Lt. 5LT IT</t>
  </si>
  <si>
    <t>SLCT173+TBAZ330 SC Sulcotrek 500  1LT PL</t>
  </si>
  <si>
    <t>SLCT173+TBAZ330 SC SULCOTREK 1LT  1LT RS</t>
  </si>
  <si>
    <t>QZLF50 EC JAGUAR 5EC 200LT GRE 200LT GR</t>
  </si>
  <si>
    <t>QZLF50 EC LEOPARD EXTRA 20LT POL 20LT PL</t>
  </si>
  <si>
    <t>QZLF50 EC LEOPARD 5 EC-5L 5LT RO</t>
  </si>
  <si>
    <t>QZLF50 EC Leopard 50 EC BY 5LT BY</t>
  </si>
  <si>
    <t>QZLF50 EC Leopard 50 EC SE 5LT SE</t>
  </si>
  <si>
    <t>QZLF50 EC Leopard 4x5 L DE (SAS) 5LT DE</t>
  </si>
  <si>
    <t>QZLF50 EC HANUKYS Lt. 5 5LT IT</t>
  </si>
  <si>
    <t>QZLF50 EC MANAGER Lt.5 5LT IT</t>
  </si>
  <si>
    <t>QZLF50 EC LION 5 C Lt. 5 BAYER 5LT IT</t>
  </si>
  <si>
    <t>QZLF50 EC LEOPARD 5EC 5LT SERB 5LT RS</t>
  </si>
  <si>
    <t>QZLF50 EC MAGIO Lt. 5 5LT IT</t>
  </si>
  <si>
    <t>QZLF50 EC LEOPARD EXTRA 5T POLAN 5LT PL</t>
  </si>
  <si>
    <t>QZLF50 EC LEOPARD 5EC SS 4x5L 5LT IT</t>
  </si>
  <si>
    <t>QZLF50 EC Leopard 5 EC 5-1 5LT HU</t>
  </si>
  <si>
    <t>QZLF50 EC MANAGER Lt. 1 1LT IT</t>
  </si>
  <si>
    <t>QZLF50 EC Lampart 05 EC 1 lit 1LT PL</t>
  </si>
  <si>
    <t>QZLF50 EC LION 5 EC Lt. 1 Bayer 1LT IT</t>
  </si>
  <si>
    <t>QZLF50 EC LEOPARD EXTRA 1LT POLAN 1LT PL</t>
  </si>
  <si>
    <t>QZLF50 EC MMAGIO Lt. 1 1LT IT</t>
  </si>
  <si>
    <t>QZLF50 EC LEOPARD 5 EC Lt. 1 1LT IT</t>
  </si>
  <si>
    <t>QZLF100 EC LEOPARD 10LT CAM</t>
  </si>
  <si>
    <t>QZLF100 EC LEOPARD 5LT CAM</t>
  </si>
  <si>
    <t>QZLF100 EC Leopard 5 L 5LT IL</t>
  </si>
  <si>
    <t>PMRN500 SC Prometrex 500 SC BY 5LT BY</t>
  </si>
  <si>
    <t>PMRN500 SC Prometrex  5 L 5LT IL</t>
  </si>
  <si>
    <t>PMRN500 SC Prosun SC 5LT UA</t>
  </si>
  <si>
    <t>PMRN500 SC Prometrex  1 L 1LT IL</t>
  </si>
  <si>
    <t>DIFF20+FFNC80+PNDM333 SC Merkur  10LT BE</t>
  </si>
  <si>
    <t>L24-5</t>
  </si>
  <si>
    <t>DIFF20+FFNC80+PNDM333 SC MERKUR  10LT FR</t>
  </si>
  <si>
    <t>PNDM330 EC Pendigan 330 EC 10 LT 10LT TR</t>
  </si>
  <si>
    <t>PNDM330 EC PENDIMETHALIN330 ECS 1LT AL</t>
  </si>
  <si>
    <t>PNDM400 SC ORDAGO  20LT BULGA 20LT BG</t>
  </si>
  <si>
    <t>PNDM400 SC Pendigan Strong 400 S 10LT PL</t>
  </si>
  <si>
    <t>PNDM400 SC CLEANCROP NATIONAL (2 10LT GB</t>
  </si>
  <si>
    <t>PNDM400 SC PENDIGAN 40 SC 10LT GR</t>
  </si>
  <si>
    <t>PNDM400 SC AVANA Lt. 10 10LT IT</t>
  </si>
  <si>
    <t>PNDM400 SC ANTHEM 2X10LIT UK 10LT GB</t>
  </si>
  <si>
    <t>PNDM400 SC PENTIUM FLO 10LT FRA 10LT FR</t>
  </si>
  <si>
    <t>PNDM400 SC Activus SC 2x10 L DE 10LT DE</t>
  </si>
  <si>
    <t>PNDM400 SC ORDAGO SC 5LT BG</t>
  </si>
  <si>
    <t>PNDM400 SC ACTIGAN EKO Lt. 5 5LT IT</t>
  </si>
  <si>
    <t>PNDM400 SC ACTIVUS SC 5 LT 5LT FR</t>
  </si>
  <si>
    <t>PNDM400 SC ACTIVUS EKO Lt. 5 5LT IT</t>
  </si>
  <si>
    <t>PNDM400 SC ACTIGAN EKO Lt. 1 1LT IT</t>
  </si>
  <si>
    <t>PNDM400 SC Pendigan Strong 400 SC 1LT PL</t>
  </si>
  <si>
    <t>PNDM400 SC Activus 400 SC 1 lit 1LT PL</t>
  </si>
  <si>
    <t>PNDM400 CS CINDER 400 CS 10LT TR</t>
  </si>
  <si>
    <t>PNDM400 CS DOMITREL 400 CS LT 5 5LT IT</t>
  </si>
  <si>
    <t>PNDM400 CS CINDER 400 CS 5L TUR 5LT TR</t>
  </si>
  <si>
    <t>PNDM400 CS DOMITREL 400 CS LT 1 1LT IT</t>
  </si>
  <si>
    <t>PNDM400 CS ACTIVUS ME Lt. 1 1LT IT</t>
  </si>
  <si>
    <t>PNDM400 CS CINDER 400 CS 1L TUR 1LT TR</t>
  </si>
  <si>
    <t>PNDM330 EC KIMUR  PENDI 200L ME 200LT MX</t>
  </si>
  <si>
    <t>PNDM330 EC PENDIGAN 330 10L SK 10LT SK</t>
  </si>
  <si>
    <t>PNDM330 EC Pendigan EC - 10l 10LT UA</t>
  </si>
  <si>
    <t>PNDM330 EC stopper 5 LT ISRAEL 5LT IL</t>
  </si>
  <si>
    <t>PNDM330 EC Pendigan 330 5lt IL 5LT IL</t>
  </si>
  <si>
    <t>PNDM330 EC Pendigan EC 1LT UAG</t>
  </si>
  <si>
    <t>PNDM330 EC PENDIGAN 330 1LT SLO 1LT SK</t>
  </si>
  <si>
    <t>PNDM330 EC Adama Essentials Clin  1LT AR</t>
  </si>
  <si>
    <t>PNDM330 EC Pendigan 1 L 1LT IL</t>
  </si>
  <si>
    <t>PNDM64+TBAZ270 SE TREK P 1L TUR 1LT TR</t>
  </si>
  <si>
    <t>ETFM200+PNMP200 SC Belvedere Duo 10LT AT</t>
  </si>
  <si>
    <t>ETFM200+PNMP200 SC Belvedere Duo  5LT DE</t>
  </si>
  <si>
    <t>ETFM200+PNMP200 SC Triade Twin 5LT BE</t>
  </si>
  <si>
    <t>ETFM200+PNMP200 SC Powertwin 5-1 5LT RS</t>
  </si>
  <si>
    <t>ETFM200+PNMP200 SC Powertwin 400  5LT BE</t>
  </si>
  <si>
    <t>ETFM200+PNMP200 SC Powertwin 400  5LT PL</t>
  </si>
  <si>
    <t>ETFM200+PNMP200 SC Powertwin 400  5LT NL</t>
  </si>
  <si>
    <t>ETFM200+PNMP200 SC POWERTWIN 400  1LT PL</t>
  </si>
  <si>
    <t>PNMP320 SC SHRAPNEL (4 X 5L)(1823 5LT GB</t>
  </si>
  <si>
    <t>PNMP320 SC KONTAKT 5 LT 5LT FR</t>
  </si>
  <si>
    <t>PNMP320 SC KONTAKT 320 SC 5LT SLO 5LT SK</t>
  </si>
  <si>
    <t>PNMP320 SC Kontakt 320 5LT BLT</t>
  </si>
  <si>
    <t>PNMP320 SC Kontakt 320 SC NL [5.0 5LT NL</t>
  </si>
  <si>
    <t>PNMP320 SC KONTAKT 5LT BELGIUM 5LT BE</t>
  </si>
  <si>
    <t>PNMP320 SC CONTATTO 320G-L 1L 1LT IT</t>
  </si>
  <si>
    <t>OXFF120+PPQZ50 EC GALI+PROPA 20 200LT IN</t>
  </si>
  <si>
    <t>OXFF240 EC GOLEX 240 EC (TANQUE 200LT EC</t>
  </si>
  <si>
    <t>OXFF240 EC GALIGAN  200LT TURKE 200LT TR</t>
  </si>
  <si>
    <t>OXFF240 EC GALIGAN24 20L CENAM 20LT CAM</t>
  </si>
  <si>
    <t>OXFF240 EC GALIGAN 24EC 10 10LT CU</t>
  </si>
  <si>
    <t>OXFF240 EC GALIGAN EC 240 SSS 200LT TH</t>
  </si>
  <si>
    <t>OXFF240 EC OXYFLUORFEN 240 ID 200LT TW</t>
  </si>
  <si>
    <t>OXFF240 EC Cavalier 240 EC 20L 20LT AU</t>
  </si>
  <si>
    <t>OXFF240 EC GALIGAN EC 240 SSS 20LT CO</t>
  </si>
  <si>
    <t>OXFF240 EC Cavalier 240 EC 5L 5LT AU</t>
  </si>
  <si>
    <t>OXFF240 EC Galigan EC 5LT UKRAINE 5LT UA</t>
  </si>
  <si>
    <t>OXFF240 EC GALIGAN 1LIT GEORGIA 1LT UAG</t>
  </si>
  <si>
    <t>OXFF240 EC Adama Essentials Galig 1LT AR</t>
  </si>
  <si>
    <t>OXFF240 EC BELMAC 200LT 200LT ID</t>
  </si>
  <si>
    <t>OXFF240 EC GALIGAN 200LT MEXICO 200LT MX</t>
  </si>
  <si>
    <t>OXFF240 EC GALIGAN 200LIT KENYA 200LT KE</t>
  </si>
  <si>
    <t>OXFF240 EC PRENSIL 200LT MEXICO 200LT MX</t>
  </si>
  <si>
    <t>OXFF240 EC Galigan 20 L 20LT IL</t>
  </si>
  <si>
    <t>OXFF240 EC GALIGAN 240 EC  5 LT 5LT CL</t>
  </si>
  <si>
    <t>OXFF240 EC GALIGAN 4X5 S.AFRICA 5LT ZA</t>
  </si>
  <si>
    <t>OXFF240 EC Galigan 5 L 5LT IL</t>
  </si>
  <si>
    <t>OXFF240 EC Galigan. EC (240 g-l)  1LT RU</t>
  </si>
  <si>
    <t>OXFF240 EC GALIGAN 24EC CHIL AG 1LT CL</t>
  </si>
  <si>
    <t>OXFF240 EC TOYOTO 12XIL MOROCCO 1LT MA</t>
  </si>
  <si>
    <t>OXFF240 EC GALIGAN 12X1L GOWMEX 1LT MX</t>
  </si>
  <si>
    <t>OXFF500 SC TOYOTO 500 1X12L MOR 1LT MA</t>
  </si>
  <si>
    <t>OD</t>
  </si>
  <si>
    <t>NCSN40 OD NICOGAN 1LT RSK</t>
  </si>
  <si>
    <t>NCSN40 OD ACRE 40 OD 12  X 1 L XA 1LT MX</t>
  </si>
  <si>
    <t>NCSN40 OD NICOSLFRN 40 OD TRAN 1LT AL</t>
  </si>
  <si>
    <t>NCSN40 OD Nicogan 040 OD 1 lit 1LT PL</t>
  </si>
  <si>
    <t>NCSN40 OD NICOGAN- V. O. Lt. 1 1LT IT</t>
  </si>
  <si>
    <t>NCSN40 OD NICOGAN 1LT RS</t>
  </si>
  <si>
    <t>NCSN40 OD NICOGAN 12X1L ROMANI 1LT RO</t>
  </si>
  <si>
    <t>IMZT37+PPQZ25 ME WEEDBLOCK 200LT GH</t>
  </si>
  <si>
    <t>IMZT37+PPQZ25 ME PRP2.5%+IMZTP3 200LT IN</t>
  </si>
  <si>
    <t>IMZT37+PPQZ25 ME Weedblock Plus  10LT UA</t>
  </si>
  <si>
    <t>IMZT37+PPQZ25 ME Weedblock Plus  10LT RU</t>
  </si>
  <si>
    <t>PPQZ100 EC PROPAQUIZAFOP 10 EC 200LT TH</t>
  </si>
  <si>
    <t>PPQZ100 EC PROPAQUIZAFOP 10 IND 200LT IN</t>
  </si>
  <si>
    <t>PPQZ100 EC PROPAQUIZAFOP 10 IN 1000LT IN</t>
  </si>
  <si>
    <t>PPQZ100 EC AGIL-S  20L POLAND 20LT PL</t>
  </si>
  <si>
    <t>PPQZ100 EC Agil-S 2x10 L DE 10LT DE</t>
  </si>
  <si>
    <t>PPQZ100 EC ZETROLA -5L 5LT RO</t>
  </si>
  <si>
    <t>PPQZ100 EC TITHE NMP FREE (4 X 5L 5LT GB</t>
  </si>
  <si>
    <t>PPQZ100 EC FALCON MK Lt. 5_ID lab 5LT IT</t>
  </si>
  <si>
    <t>PPQZ100 EC GARLAND FORTE 5 L (DOW 5LT SK</t>
  </si>
  <si>
    <t>PPQZ100 EC ALIGRAM 5L SLOVAKIA 5LT SK</t>
  </si>
  <si>
    <t>PPQZ100 EC Agil 100 EC (5) Sweden 5LT SE</t>
  </si>
  <si>
    <t>PPQZ100 EC AGIL S 5LT UKRAINE 5LT UA</t>
  </si>
  <si>
    <t>PPQZ100 EC AGIL 100 5L SERBIA 5LT RS</t>
  </si>
  <si>
    <t>PPQZ100 EC Agil 100 EC (5) Denmar 5LT DK</t>
  </si>
  <si>
    <t>PPQZ100 EC Garland Forte 5 l 5LT CZ</t>
  </si>
  <si>
    <t>PPQZ100 EC Agil 100 EC 5 l 5LT CZ</t>
  </si>
  <si>
    <t>PPQZ100 EC SHOGUN NMP FREE 4 X 5 5LT GB</t>
  </si>
  <si>
    <t>PPQZ100 EC AGIL 100 4X5L CROATI 5LT HR</t>
  </si>
  <si>
    <t>PPQZ100 EC AGIL 100EC 5L ROMANI 5LT RO</t>
  </si>
  <si>
    <t>PPQZ100 EC FALCON NMP FREE DUAL 5LT GB</t>
  </si>
  <si>
    <t>PPQZ100 EC AMBITION 5 LT 5LT FR</t>
  </si>
  <si>
    <t>PPQZ100 EC Agil 100 EC LT 5.000 5LT BLT</t>
  </si>
  <si>
    <t>PPQZ100 EC AGIL100EC 5 L POLAND 5LT PL</t>
  </si>
  <si>
    <t>PPQZ100 EC Agil 100 EC 5-1 5LT HU</t>
  </si>
  <si>
    <t>PPQZ100 EC AGIL 5 LT 5LT FR</t>
  </si>
  <si>
    <t>PPQZ100 EC Agil-S 4x5 L DE 5LT DE</t>
  </si>
  <si>
    <t>PPQZ100 EC CLAXON 5 LT 5LT FR</t>
  </si>
  <si>
    <t>PPQZ100 EC AGIL 100 EC 5L SLOVAKI 5LT SK</t>
  </si>
  <si>
    <t>PPQZ100 EC AGIL Lt. 1_ID label 1LT IT</t>
  </si>
  <si>
    <t>PPQZ100 EC FALCON MK Lt. 1 Direct 1LT IT</t>
  </si>
  <si>
    <t>PPQZ100 EC AGIL 1L direct ITALY 1LT IT</t>
  </si>
  <si>
    <t>PPQZ100 EC AGIL 1LIT TURKEY 1LT TR</t>
  </si>
  <si>
    <t>PPQZ100 EC Agil 100 EC 1-1 1LT HU</t>
  </si>
  <si>
    <t>PPQZ100 EC Agil-S 12x1 L DE 1LT DE</t>
  </si>
  <si>
    <t>PPQZ100 EC AGIL 100 12X 1L SERB 1LT RS</t>
  </si>
  <si>
    <t>PPQZ100 EC FALCON NMP FREE DUAL 1LT GB</t>
  </si>
  <si>
    <t>PPQZ100 EC AGIL 100 1LIT CROATI 1LT HR</t>
  </si>
  <si>
    <t>PPQZ100 EC AGIL® 100EC 1L BELGIU 1LT BE</t>
  </si>
  <si>
    <t>PPQZ100 EC Agil-S 12x1 L AT 1.00 1LT AT</t>
  </si>
  <si>
    <t>PPQZ100 EC Agil 100 EC NO [1.000] 1LT NO</t>
  </si>
  <si>
    <t>PPQZ100 EC AGIL 100EC 1L POLAND 1LT PL</t>
  </si>
  <si>
    <t>PPQZ100 EC AGIL 100 1 L BULGARI 1LT BG</t>
  </si>
  <si>
    <t>PPQZ100 EC AGIL 100EC 12X1 SLOV 1LT SI</t>
  </si>
  <si>
    <t>PPQZ100 EC AGIL 100 EC 1X12 ROM 1LT RO</t>
  </si>
  <si>
    <t>PPQZ100 EC AGIL EC GRANEL LITRO 200LT CO</t>
  </si>
  <si>
    <t>PPQZ100 EC PROPQUIZFOP 100 SSS 200LT PH</t>
  </si>
  <si>
    <t>PPQZ100 EC AGIL 200LT GHANA 200LT GH</t>
  </si>
  <si>
    <t>PPQZ100 EC AGIL 200lt C-AMERIC 200LT CAM</t>
  </si>
  <si>
    <t>PPQZ100 EC AGIL 100 REG 200L VI 200LT VN</t>
  </si>
  <si>
    <t>PPQZ100 EC AGIL 200 LIT KENYA 200LT KE</t>
  </si>
  <si>
    <t>PPQZ100 EC AGIL 100EC 200L INDO 200LT ID</t>
  </si>
  <si>
    <t>PPQZ100 EC AGIL 10EC 200 Lt MOR 200LT MA</t>
  </si>
  <si>
    <t>PPQZ100 EC Agil 10 EC x 20 Lt 20LT DO</t>
  </si>
  <si>
    <t>PPQZ100 EC SHOGUN 2X10L AUSTRAL 10LT AU</t>
  </si>
  <si>
    <t>PPQZ100 EC AGIL 100 10l S.Af 10LT ZA</t>
  </si>
  <si>
    <t>PPQZ100 EC Agil 10 EC x 5 Lt 5LT CU</t>
  </si>
  <si>
    <t>PPQZ100 EC Shogun 100 EC BY 5LT BY</t>
  </si>
  <si>
    <t>PPQZ100 EC Agil 10 EC x 5 Lt 5LT DO</t>
  </si>
  <si>
    <t>PPQZ100 EC ACERT 5LT BRAZIL 5LT BR</t>
  </si>
  <si>
    <t>PPQZ100 EC SHOGUN UKRAINE 5LIT 5LT UA</t>
  </si>
  <si>
    <t>PPQZ100 EC Agil 4 X 5 L 5LT IL</t>
  </si>
  <si>
    <t>PPQZ100 EC Shogun (100 g-l) 5LT RU</t>
  </si>
  <si>
    <t>PPQZ100 EC AGIL100EC 4X5L URUGU 5LT UY</t>
  </si>
  <si>
    <t>PPQZ100 EC Agil EC - 1l 1LT UAG</t>
  </si>
  <si>
    <t>PPQZ100 EC AGIL 10 EC CHILE AG 1LT CL</t>
  </si>
  <si>
    <t>PPQZ100 EC AGIL  C-AMERICA 1LT CAM</t>
  </si>
  <si>
    <t>PPQZ100 EC AGIL100 12X1 URUGUAY 1LT UY</t>
  </si>
  <si>
    <t>PPZM400 SC COHORT 5L DE 5LT DE</t>
  </si>
  <si>
    <t>PPZM400 SC Maglan 4 X 5 L 5LT IL</t>
  </si>
  <si>
    <t>MTMN525+QNMC40 SC Goltix Titan 1 10LT SK</t>
  </si>
  <si>
    <t>MTMN525+QNMC40 SC Goltix Titan S 10LT UA</t>
  </si>
  <si>
    <t>MTMN525+QNMC40 SC GOLTIX TITAN 10LT GB</t>
  </si>
  <si>
    <t>MTMN525+QNMC40 SC Goltix Titan 2 10LT AT</t>
  </si>
  <si>
    <t>MTMN525+QNMC40 SC Goltix Titan 2 10LT DE</t>
  </si>
  <si>
    <t>MTMN525+QNMC40 SC Goltix Titan 56 5LT BY</t>
  </si>
  <si>
    <t>MTMN525+QNMC40 SC AMAROK 565 SC 5 5LT TR</t>
  </si>
  <si>
    <t>MTMN525+QNMC40 SC Goltix Titan 5- 5LT HU</t>
  </si>
  <si>
    <t>MTMN525+QNMC40 SC Goltix Queen SE 5LT SE</t>
  </si>
  <si>
    <t>MTMN525+QNMC40 SC GOLTIX TITAN 56 5LT RO</t>
  </si>
  <si>
    <t>MTMN525+QNMC40 SC GOLTIX TITAN 5L 5LT BE</t>
  </si>
  <si>
    <t>MTMN525+QNMC40 SC GOLTIX TITAN 5L 5LT PL</t>
  </si>
  <si>
    <t>MTMN525+QNMC40 SC Goltix Queen L 5LT BLT</t>
  </si>
  <si>
    <t>MTMN525+QNMC40 SC Goltix Queen 5LT BE</t>
  </si>
  <si>
    <t>MTMN525+QNMC40 SC Goltix Queen NL 5LT NL</t>
  </si>
  <si>
    <t>MTMN525+QNMC40 SC AMAROK 565 SC 1 1LT TR</t>
  </si>
  <si>
    <t>MTMN525+QNMC40 SC Goltix Titan 56 1LT PL</t>
  </si>
  <si>
    <t>MTMN700 SC GOLTIX 70SC 10LT GB</t>
  </si>
  <si>
    <t>MTMN700 SC GOLTIX 70SC  10L UK 10LT GB</t>
  </si>
  <si>
    <t>MTMN700 SC Goltix 700 SC BY 5LT BY</t>
  </si>
  <si>
    <t>MTMN700 SC GOLTIX 70SC 5L ROMAN 5LT RO</t>
  </si>
  <si>
    <t>MTMN700 SC Goltix S 700 SC 5 lit 5LT PL</t>
  </si>
  <si>
    <t>MTMN700 SC GOLTIX 700 5LT SWITZ 5LT CH</t>
  </si>
  <si>
    <t>MTMN700 SC Zlatomitron SC 5LT UA</t>
  </si>
  <si>
    <t>MTMN700 SC METATRON SC 5LT BE 5LT BE</t>
  </si>
  <si>
    <t>MTMN700 SC GOLTIX 70SC CART SA 5LT ZA</t>
  </si>
  <si>
    <t>MTMN700 SC Goltix Top 5 l 5LT CZ</t>
  </si>
  <si>
    <t>MTMN700 SC GOLTIX (700 g-l) 5LT RU</t>
  </si>
  <si>
    <t>MTMN700 SC Goltix 700 SC LT [5.0 5LT BLT</t>
  </si>
  <si>
    <t>MTMN700 SC Goltix 70 SC 5-1 5LT HU</t>
  </si>
  <si>
    <t>MTMN700 SC GOLTIX 700SC 4x5 SER 5LT RS</t>
  </si>
  <si>
    <t>MTMN700 SC Goltix 700 SC NL 5.00 5LT NL</t>
  </si>
  <si>
    <t>MTMN700 SC KOMBO 70SC 5L BEL 5LT BE</t>
  </si>
  <si>
    <t>MTMN700 SC CORNER 700SC 5L BELG 5LT BE</t>
  </si>
  <si>
    <t>MTMN700 SC GOLTIX 700SC 4X5L PO 5LT PL</t>
  </si>
  <si>
    <t>MTMN700 SC METRON BAYER 70SC 5L 5LT PL</t>
  </si>
  <si>
    <t>MTMN700 SC Goltix 700 SC DK 5.00 5LT DK</t>
  </si>
  <si>
    <t>MTMN700 SC Goltix SC 5LT UKRAINE 5LT UA</t>
  </si>
  <si>
    <t>MTMN700 SC Goltix 700 SC (5) Finl 5LT FI</t>
  </si>
  <si>
    <t>MTMN700 SC GOLTIX 70SC 5L BELGI 5LT BE</t>
  </si>
  <si>
    <t>MTMN700 SC Goltix SC 700 (5) Swed 5LT SE</t>
  </si>
  <si>
    <t>MTMN700 SC DOMINO 700SC 5L POLA 5LT PL</t>
  </si>
  <si>
    <t>MTMN700 SC GOLTIX 70 12x1 TURKE 1LT TR</t>
  </si>
  <si>
    <t>MTMN700 SC Goltix S 700 SC 1 lit 1LT PL</t>
  </si>
  <si>
    <t>MTMN700 SC GOLTIX 700SC 12X1L P 1LT PL</t>
  </si>
  <si>
    <t>MTMN700 SC Goltix Gold 20L 20LT NZ</t>
  </si>
  <si>
    <t>MTMN700 SC Goltix Gold 10L 10LT NZ</t>
  </si>
  <si>
    <t>MTMN700 SC GOLTIX GOLD 10LIT SK 10LT SK</t>
  </si>
  <si>
    <t>MTMN700 SC Goltix Gold 700 SC [OF 5LT BY</t>
  </si>
  <si>
    <t>MTMN700 SC Goltix Gold- OF - 5l 5LT UA</t>
  </si>
  <si>
    <t>MTMN700 SC Sugaro Gold 4x5 L CH ( 5LT CH</t>
  </si>
  <si>
    <t>MTMN700 SC GOLTIX GOLD 5LT SW 5LT CH</t>
  </si>
  <si>
    <t>MTMN700 SC GOLTIX GOLD 5LT CROA 5LT HR</t>
  </si>
  <si>
    <t>MTMN700 SC GOLTIX GOLD 5 LIT SK 5LT SK</t>
  </si>
  <si>
    <t>MTMN700 SC GOLTIX GOLD 4x5 SERB 5LT RS</t>
  </si>
  <si>
    <t>MTMN700 SC Goltix Gold 4x5 L AT  5LT AT</t>
  </si>
  <si>
    <t>MTMN700 SC Goltix Gold 4x5 L DE 5LT DE</t>
  </si>
  <si>
    <t>MTMN150 SG BREVIS 1.1KG NEW ZEA 1.1KG NZ</t>
  </si>
  <si>
    <t>MTMN150 SG BREVIS CHILE 1.1KG CL</t>
  </si>
  <si>
    <t>MTMN150 SG Brevis 4x1 kg AT 1KG AT</t>
  </si>
  <si>
    <t>MTMN150 SG BREVIS 1 KG 1KG MD</t>
  </si>
  <si>
    <t>MTMN150 SG Brevis 1 kg 1KG CZ</t>
  </si>
  <si>
    <t>MTMN150 SG ADAMA BREVIS 15 SG 1KG AR</t>
  </si>
  <si>
    <t>MTMN150 SG BREVIS 1KG PORTUGA 1KG PT</t>
  </si>
  <si>
    <t>MTMN150 SG Brevis 4x1 kg DE 1KG DE</t>
  </si>
  <si>
    <t>MTMN150 SG Brevis 150 SG NL [1.00 1KG NL</t>
  </si>
  <si>
    <t>MTMN150 SG BREVIS (1) BELGIUM 1KG BE</t>
  </si>
  <si>
    <t>MTMN150 SG BREVIS 1KG SPAIN 1KG ES</t>
  </si>
  <si>
    <t>MTMN150 SG Brevis 1 KG 1KG IL</t>
  </si>
  <si>
    <t>MTMN700 WG HERBRAK 70% WDG MAJ 600KG JP</t>
  </si>
  <si>
    <t>MTMN700 WG Goltix 70 WDG 5KG TR</t>
  </si>
  <si>
    <t>MTMN700 WG Goltix 70 WG NO [F] [5 5KG NO</t>
  </si>
  <si>
    <t>MTMN700 WG GOLTIX WG 5KG NL 5KG NL</t>
  </si>
  <si>
    <t>MTMN700 WG GOLTIX 70 5KG AGR NZ 5KG NZ</t>
  </si>
  <si>
    <t>MTMN700 WG GOLTIX 70DF 5KG FRAN 5KG FR</t>
  </si>
  <si>
    <t>MTMN700 WG Goltix 70 WG 4X5 5KG IL</t>
  </si>
  <si>
    <t>MTMN700 WG METAMITRON 70 WG 1KG UY</t>
  </si>
  <si>
    <t>MTMN900 WG GOLTIX 90WG INTL LAB 500KG CH</t>
  </si>
  <si>
    <t>MTMN900 WG GOLTIX COMPACT  5KG CL</t>
  </si>
  <si>
    <t>MTMN900 WG GOLTIX 90WG 1KG MORO 1KG MA</t>
  </si>
  <si>
    <t>MTMN900 WG Goltix Compact  90 WG  1KG PL</t>
  </si>
  <si>
    <t>DIFF63+MTBZ250 SC TAHOMA 5 LT 5LT FR</t>
  </si>
  <si>
    <t>DIFF63+MTBZ250 SC TAVAS (5) 5LT ES</t>
  </si>
  <si>
    <t>DIFF63+MTBZ250 SC TAVAS Lt. 5 5LT IT</t>
  </si>
  <si>
    <t>DIFF63+MTBZ250 SC ELYSIUM 5LT FRA 5LT FR</t>
  </si>
  <si>
    <t>DIFF63+MTBZ250 SC Tavas 5 L 5LT IL</t>
  </si>
  <si>
    <t>MTBZ750 WG METRIBUZIN 75WG USA 500KG US</t>
  </si>
  <si>
    <t>MTBZ700 WG DADORA WG 500KG SPAI 500KG ES</t>
  </si>
  <si>
    <t>MTBZ700 WG MISTRAL 70WG CENT-A 500KG CAM</t>
  </si>
  <si>
    <t>MTBZ700 WG MISTRAL 500KG BB GRE 500KG GR</t>
  </si>
  <si>
    <t>MTBZ700 WG MISTRAL 5KG UKRAINE 5KG UA</t>
  </si>
  <si>
    <t>MTBZ700 WG Profi Metribuzin 4x5 k 5KG DE</t>
  </si>
  <si>
    <t>MTBZ700 WG TRIBUNE 70WG 4X5 URU 5KG UY</t>
  </si>
  <si>
    <t>MTBZ700 WG MISTRAL 4X5 S.AFRICA 5KG ZA</t>
  </si>
  <si>
    <t>MTBZ700 WG Adama EssentialsTribun 5KG AR</t>
  </si>
  <si>
    <t>MTBZ700 WG MISTRAL 5KG  POLAND 5KG PL</t>
  </si>
  <si>
    <t>MTBZ700 WG Mistral 4x5 kg DE 5KG DE</t>
  </si>
  <si>
    <t>MTBZ700 WG AURELIT 1KG PL 1KG PL</t>
  </si>
  <si>
    <t>MTBZ700 WG FEINZIN 10X1 TURKEY 1KG TR</t>
  </si>
  <si>
    <t>MTBZ700 WG BRETTEUR 1 KG 1KG FR</t>
  </si>
  <si>
    <t>MTBZ700 WG Mistral 700 WDG 1-1 1KG HU</t>
  </si>
  <si>
    <t>MTBZ700 WG Python 1 KG carton 1KG IL</t>
  </si>
  <si>
    <t>ETFM150+MTMN350 SC 10LT General</t>
  </si>
  <si>
    <t>ETFM150+MTMN350 SC GOLTIX UNO 10 10LT NZ</t>
  </si>
  <si>
    <t>ETFM150+MTMN350 SC TORERO 10L UK 10LT GB</t>
  </si>
  <si>
    <t>ETFM150+MTMN350 SC Goltix Super 5 5LT CZ</t>
  </si>
  <si>
    <t>ETFM150+MTMN350 SC Torero 500 SC  5LT BY</t>
  </si>
  <si>
    <t>ETFM150+MTMN350 SC TORERO (4 X 5L 5LT GB</t>
  </si>
  <si>
    <t>ETFM150+MTMN350 SC GOLTIX PLUS 5L 5LT TR</t>
  </si>
  <si>
    <t>ETFM150+MTMN350 SC TWISTER 5LT SL 5LT SK</t>
  </si>
  <si>
    <t>ETFM150+MTMN350 SC Goltix Super  5LT BLT</t>
  </si>
  <si>
    <t>ETFM150+MTMN350 SC TORERO 50 4X5L 5LT PL</t>
  </si>
  <si>
    <t>ETFM150+MTMN350 SC Goltix Super 5 5LT NL</t>
  </si>
  <si>
    <t>ETFM150+MTMN350 SC Torero SC 5LT UA</t>
  </si>
  <si>
    <t>ETFM150+MTMN350 SC TORNADO COMBI  5LT FR</t>
  </si>
  <si>
    <t>ETFM150+MTMN350 SC GOLTIX PLUS 12 1LT TR</t>
  </si>
  <si>
    <t>ETFM150+MTMN350 SC TORERO 50SC 1L 1LT PL</t>
  </si>
  <si>
    <t>ETFM150+MTMN350 SC TWISTER 12X1 M 1LT MA</t>
  </si>
  <si>
    <t>MTMN700 SC TORNADO SC - 5L 5LT RO</t>
  </si>
  <si>
    <t>MTMN700 SC GOLTIX FLO 5LT FRANCE 5LT FR</t>
  </si>
  <si>
    <t>MTMN700 SC TORNADO SC 5LIT BELG 5LT BE</t>
  </si>
  <si>
    <t>MTMN700 SC METOMAT 70SC 5L BELG 5LT BE</t>
  </si>
  <si>
    <t>MTMN700 SC TORNADO 70SC 5L FRAN 5LT FR</t>
  </si>
  <si>
    <t>MTMN700 SC TORNADO SC - 1 L 1LT RO</t>
  </si>
  <si>
    <t>MTLC960 EC CLINCHER 960 20LT SA 20LT ZA</t>
  </si>
  <si>
    <t>MTLC960 EC METOLAGAN 20LT COLOM 20LT CO</t>
  </si>
  <si>
    <t>MTLC960 EC Adama Essentials Meto 10LT AR</t>
  </si>
  <si>
    <t>MTZC400+QNMC100 SC SULTAN TWIN  5 5LT UA</t>
  </si>
  <si>
    <t>MTZC375+QNMC125 SC SULTAN SUPER 20LT BLT</t>
  </si>
  <si>
    <t>MTZC375+QNMC125 SC SULTAN TOP 20 20LT PL</t>
  </si>
  <si>
    <t>MTZC375+QNMC125 SC LEGION (2x10L 10LT GB</t>
  </si>
  <si>
    <t>MTZC375+QNMC125 SC ROCKET 2X10LT 10LT GB</t>
  </si>
  <si>
    <t>MTZC375+QNMC125SC Fuego Top 2x10 10LT DE</t>
  </si>
  <si>
    <t>MTZC375+QNMC125 SC Sultan Top 500 5LT BY</t>
  </si>
  <si>
    <t>MTZC375+QNMC125 SC FUEGO TOP 5 LT 5LT SI</t>
  </si>
  <si>
    <t>MTZC375+QNMC125 SC SULTAN TOP 5LT RO</t>
  </si>
  <si>
    <t>MTZC375+QNMC125 SC CLOUD (5) Finl 5LT FI</t>
  </si>
  <si>
    <t>MTZC375+QNMC125 SC SULTAN TOP 5LT 5LT SK</t>
  </si>
  <si>
    <t>MTZC375+QNMC125 SC SULTAN TOP 500 5LT BE</t>
  </si>
  <si>
    <t>MTZC375+QNMC125 SC Sultan Top 5-1 5LT HU</t>
  </si>
  <si>
    <t>MTZC500 SC SULTAN 50SC 200L SP 200LT ES</t>
  </si>
  <si>
    <t>MTZC500 SC REGO 20 LIT POLAND 20LT PL</t>
  </si>
  <si>
    <t>MTZC500 SC Fuego 500 SC 20 lit 20LT PL</t>
  </si>
  <si>
    <t>MTZC500 SC Sultan 500 SC LT [20 20LT BLT</t>
  </si>
  <si>
    <t>MTZC500 SC METAZANEX 20L POLAND 20LT PL</t>
  </si>
  <si>
    <t>MTZC500 SC Sultan. SC (500 g-l)  10LT RU</t>
  </si>
  <si>
    <t>MTZC500 SC Fuego (S) 2x10 L DE 10LT DE</t>
  </si>
  <si>
    <t>MTZC500 SC Sultan 500 SC BY 5LT BY</t>
  </si>
  <si>
    <t>MTZC500 SC Sultan 50 SC 5-1 5LT HU</t>
  </si>
  <si>
    <t>MTZC500 SC Fuego (S) 4x5 L DE 5LT DE</t>
  </si>
  <si>
    <t>MTZC500 SC SULTAN 50SC 5L CROAT 5LT HR</t>
  </si>
  <si>
    <t>MTZC500 SC AUTOR 5LIT DOW SK 5LT SK</t>
  </si>
  <si>
    <t>MTZC500 SC REGO 5 LIT POLAND 5LT PL</t>
  </si>
  <si>
    <t>MTZC500 SC Sultan SC 5LT UA</t>
  </si>
  <si>
    <t>MTZC500 SC SULTAN 500 5LT NL 5LT NL</t>
  </si>
  <si>
    <t>MTZC500 SC SULTAN 5LIT SLOVAKIA 5LT SK</t>
  </si>
  <si>
    <t>MTZC500 SC Autor 5 l 5LT CZ</t>
  </si>
  <si>
    <t>MTZC500 SC Sultan 50 SC 5 l 5LT CZ</t>
  </si>
  <si>
    <t>MTZC500 SC SULTAN 50SC 5L ROMAN 5LT RO</t>
  </si>
  <si>
    <t>MTZC500 SC SULTAN 5 LT 5LT FR</t>
  </si>
  <si>
    <t>MTZC500 SC Fuego 500 SC 5 lit 5LT PL</t>
  </si>
  <si>
    <t>MTZC500 SC SULTAN 50SC 4x5 S.AF 5LT ZA</t>
  </si>
  <si>
    <t>MTZC500 SC METAZANEX 5L POLAND 5LT PL</t>
  </si>
  <si>
    <t>MTZC500 SC SULTAN 50SC 4x5L UK 5LT GB</t>
  </si>
  <si>
    <t>MTZC500 SC CARTON 4 x 4 lts 4LT SK</t>
  </si>
  <si>
    <t>MTZC500 SC METAZACHL500 SC AMP 1LT UGE</t>
  </si>
  <si>
    <t>MTZC500 SC FUEGO 1LT SLOVENIA 1LT SI</t>
  </si>
  <si>
    <t>MTZC500 SC Sultan 1LT RS</t>
  </si>
  <si>
    <t>MTZC500 SC SULTAN 50SC 1L CROAT 1LT HR</t>
  </si>
  <si>
    <t>MTZC500 SC REGO 1 LIT POLAND 1LT PL</t>
  </si>
  <si>
    <t>MTZC500 SC FUEGO 50 SC 1LIT POL 1LT PL</t>
  </si>
  <si>
    <t>MTZC500 SC SULTAN 50SC 1LT RO</t>
  </si>
  <si>
    <t>MTZC500 SC SULTAN Lt. 1 1LT IT</t>
  </si>
  <si>
    <t>MTZC500 SC METAZANEX 1L POLAND 1LT PL</t>
  </si>
  <si>
    <t>MSRN100 SC STARSHIP 100 SC 5LT MD</t>
  </si>
  <si>
    <t>MSRN100 SC CHIEF 5LT  SERBIA 5LT RS</t>
  </si>
  <si>
    <t>MSRN100 SC CHIEF 1 LIT SERBIA 1LT RS</t>
  </si>
  <si>
    <t>MSRN480 SC MESOFLEX 4X5LIT SA 5LT ZA</t>
  </si>
  <si>
    <t>MSRN480 SC Adama Essentials Mesof 5LT AR</t>
  </si>
  <si>
    <t>UCZL50 SC White Label Chile 5LT IL</t>
  </si>
  <si>
    <t>UCZL50 SC Sumagic 5 Australia 5LT IL</t>
  </si>
  <si>
    <t>Sunny- Chile 5LT IL</t>
  </si>
  <si>
    <t>UCZL50 SC Magic 5 L 5LT IL</t>
  </si>
  <si>
    <t>LNRN450 SC AFALON 200LT BRAZIL 200LT BR</t>
  </si>
  <si>
    <t>LNRN450 SC Afalon 45 SC 20LT CR</t>
  </si>
  <si>
    <t>LNRN450 SC AFALON 10L AGRO NZ 10LT NZ</t>
  </si>
  <si>
    <t>LNRN450 SC AFALON DISPERSION 1L 1LT TR</t>
  </si>
  <si>
    <t>LNRN450 SC AFALON 12X1 LT MOROC 1LT MA</t>
  </si>
  <si>
    <t>LNRN476 SC LOROX L 10LT  TKI CN 10LT CA</t>
  </si>
  <si>
    <t>LNRN450 SC Linurex Flowable 450 S 5LT AU</t>
  </si>
  <si>
    <t>LNRN500 WP LINUREX 50 500KG 500KG EC</t>
  </si>
  <si>
    <t>LNRN500 WP LINUREX 50WP 15KG CA 15KG HN</t>
  </si>
  <si>
    <t>LNRN500 WP LINAGAN 15KG KENYA 15KG KE</t>
  </si>
  <si>
    <t>LNRN500 WP AFALON 50 WP ID LABE 15KG PH</t>
  </si>
  <si>
    <t>LNRN500 WP AFALON 50WP 15KG COL 15KG CO</t>
  </si>
  <si>
    <t>LNRN500 SC LINUREX 50 SC. 5 LT 5LT CL</t>
  </si>
  <si>
    <t>LNRN500 SC AFALON 50 SC. 5 LT 5LT CL</t>
  </si>
  <si>
    <t>LNRN500 SC LINUREX 50SC 4x5 URUGU 5LT UY</t>
  </si>
  <si>
    <t>LNRN500 SC Adama Essentials Linur 5LT AR</t>
  </si>
  <si>
    <t>LNRN500 SC Linurex 5 L 5LT IL</t>
  </si>
  <si>
    <t>LNRN500 SC AFALON 1LIT CHILE 1LT CL</t>
  </si>
  <si>
    <t>IMZT240 SL VEZIR 200 LT MAWA 200LT GH</t>
  </si>
  <si>
    <t>IMZC240 SL IMPOSE 55 GAL USA 208LT US</t>
  </si>
  <si>
    <t>IMZC240 SL Panoramic 24 SL 1LT GT</t>
  </si>
  <si>
    <t>IMZX120 SL IMAZAMOX 1003LT USA 1003LT US</t>
  </si>
  <si>
    <t>IMZX120 SL IMOX ALLIGARE 1003LT US</t>
  </si>
  <si>
    <t>GLYP360+OXFF30 SC OVNI XL 20L MO 20LT MA</t>
  </si>
  <si>
    <t>GLYP360+OXFF30 SC Zoomer SC 10LT UA</t>
  </si>
  <si>
    <t>GLYP360+OXFF30 SC BROUT 5LT TUNIS 5LT TN</t>
  </si>
  <si>
    <t>GLYP360+OXFF30 SC Oxifast 5 l car 5LT IL</t>
  </si>
  <si>
    <t>GLYP360+OXFF30 SC ZOOMER 1LT CAME 1LT CM</t>
  </si>
  <si>
    <t>DIFF40+GLYP250 SC Dingo 5 L 5LT IL</t>
  </si>
  <si>
    <t>GLFS200 SL Burner 4X5 5LT IL</t>
  </si>
  <si>
    <t>FMXZ480 SC YPF FLUMIOXAZIN HB 5LT 5LT AR</t>
  </si>
  <si>
    <t>24DA306.1+FLSL6 SE Aldaro 306 SE  5LT PL</t>
  </si>
  <si>
    <t>24DA306.1+FLSL6 SE Pegas 306 SE 5 5LT PL</t>
  </si>
  <si>
    <t>24DA306.1+FLSL6 SE CONCORDIA 306  5LT RO</t>
  </si>
  <si>
    <t>24DA306.1+FLSL6 SE PEGAS CEREAL 5 5LT SK</t>
  </si>
  <si>
    <t>24DA306.1+FLSL6 SE Elegant 2 FD 5 5LT CZ</t>
  </si>
  <si>
    <t>24DA306.1+FLSL6 SE TORNADO 306 4x 5LT MA</t>
  </si>
  <si>
    <t>24DA306.1+FLSL6 SE ELEGANT® 2FD 5LT BLT</t>
  </si>
  <si>
    <t>24DA306.1+FLSL6 SE Elegant 5 L 5LT IL</t>
  </si>
  <si>
    <t>24DA306.1+FLSL6 SE CONCORDIA 3 1000LT RO</t>
  </si>
  <si>
    <t>FLSL3+FRXP100 SE TOMIGAN XL 5LT A 5LT AT</t>
  </si>
  <si>
    <t>FLSL50 SC Darbuka 1 L 1LT IL</t>
  </si>
  <si>
    <t>FCDN250 EC RACER 25EC 200LT GRE 200LT GR</t>
  </si>
  <si>
    <t>FCDN250 EC Racer 250 EC BY 5LT BY</t>
  </si>
  <si>
    <t>FCDN250 EC Vernal 250 EC  5 lit 5LT PL</t>
  </si>
  <si>
    <t>NOT USE FCDN250 EC RACER 25EC</t>
  </si>
  <si>
    <t>FCDN250 EC RACER 5LT SERBIA 5LT RS</t>
  </si>
  <si>
    <t>FCDN250 EC RACER 25EC4x5 CROA 5LT HR</t>
  </si>
  <si>
    <t>FCDN250 EC Racer 25 EC 5-1 5LT HU</t>
  </si>
  <si>
    <t>FCDN250 EC Racer 25 EC  5 l 5LT CZ</t>
  </si>
  <si>
    <t>FCDN250 EC RACER (250 g-l) 5LT RU</t>
  </si>
  <si>
    <t>FCDN250 EC Racer 25 EC 5 l 5LT SK</t>
  </si>
  <si>
    <t>FCDN250 EC Racer 250 EC  5 lit 5LT PL</t>
  </si>
  <si>
    <t>FCDN250 EC RACER 25 EC 1L TURK 1LT TR</t>
  </si>
  <si>
    <t>FCDN250 EC RACER 25EC 1X12 CROA 1LT HR</t>
  </si>
  <si>
    <t>FCDN250 EC Racer 25 EC 1-1 1LT HU</t>
  </si>
  <si>
    <t>FCDN250 EC RACER 12X1 LT ROMANI 1LT RO</t>
  </si>
  <si>
    <t>FCDN250 EC RACER 12X1 SERBIA 1LT RS</t>
  </si>
  <si>
    <t>FCDN250 EC Racer 250 EC  1 lit 1LT PL</t>
  </si>
  <si>
    <t>FCDN250 EC Racer 1 L 1LT IL</t>
  </si>
  <si>
    <t>FCDN250 ME RIDER 10 LT 10LT FR</t>
  </si>
  <si>
    <t>FCDN250 ME RACER ME  10 L FRANCE 10LT FR</t>
  </si>
  <si>
    <t>FCDN250 ME RIDER 5 LT 5LT FR</t>
  </si>
  <si>
    <t>FCDN250 ME RACER ME 5L FRANCE 5LT FR</t>
  </si>
  <si>
    <t>FCDN250 ME RACER CS 1L L&amp;G SWIT 1LT CH</t>
  </si>
  <si>
    <t>FCDN250 ME RACER CS 1L - STAHLER  1LT CH</t>
  </si>
  <si>
    <t>FCDN250 EC Adama Essentials Rain 10LT AR</t>
  </si>
  <si>
    <t>FCDN250 EC RACER 25EC 5L BOLIV 5LT BO</t>
  </si>
  <si>
    <t>FCDN250 EC Racer EC 5LT UA</t>
  </si>
  <si>
    <t>FCDN200 CS RACER 200 2X10L S.A 10LT ZA</t>
  </si>
  <si>
    <t>FCDN200 CS RACER 25CS 1L TURKEY 1LT TR</t>
  </si>
  <si>
    <t>ETFM500 SC ETHOSAT 20LT NZ</t>
  </si>
  <si>
    <t>ETFM500 SC ETHOSAT 10LT NZ</t>
  </si>
  <si>
    <t>ETFM500 SC Ethosat 500 SC SE [1.0 1LT SE</t>
  </si>
  <si>
    <t>DRON468+HZNN132 WG Sinoron (1 Kg  1KG TH</t>
  </si>
  <si>
    <t>DRON468+HZNN132 WG HEXARON 1KG MA 1KG TH</t>
  </si>
  <si>
    <t>DRON800 WG DIUREX 80WG ID THAIL 500KG TH</t>
  </si>
  <si>
    <t>BRMC400+DRON400 WG BROMACIL 40- 500KG US</t>
  </si>
  <si>
    <t>DRON320+GLYP180+OXFF144 SC Glider 5LT IL</t>
  </si>
  <si>
    <t>DRON468+HZNN132 WG BOBCAT  COMBi 15KG AU</t>
  </si>
  <si>
    <t>DRON468+HZNN132 WG HEXARON 15 K 15KG CAM</t>
  </si>
  <si>
    <t>DRON468+HZNN132 WG HEXARON 600 W 15KG CO</t>
  </si>
  <si>
    <t>DRON800 WG DIUREX 80 500KG AFEC 500KG EC</t>
  </si>
  <si>
    <t>DRON800 WG DIUREX 80 500KG ANDI 500KG EC</t>
  </si>
  <si>
    <t>DRON800 WG Karmex 80 WG x 15 Kg 15KG JM</t>
  </si>
  <si>
    <t>DRON800 WG TROMBO (DIUREX) 80 WG 15KG NI</t>
  </si>
  <si>
    <t>DRON800 WG Karmex 80 WG 15KG CE 15KG CAM</t>
  </si>
  <si>
    <t>DRON800 WG Karmex XP 15KG CL 15KG CL</t>
  </si>
  <si>
    <t>DRON800 WG CONFIDENCE-DIURON 80 15KG PH</t>
  </si>
  <si>
    <t>DRON800 WG DIUREX 80WG 15KG BO</t>
  </si>
  <si>
    <t>DRON800 WG DIUREX 80WG 15KG COL 15KG CO</t>
  </si>
  <si>
    <t>DRON800 WG DIUREX 80 WG CENAM 15KG CAM</t>
  </si>
  <si>
    <t>DRON800 WG DIUR80 WDG 25LB AL 11.35KG US</t>
  </si>
  <si>
    <t>DRON800 WG Diurex WG 5 KG 5KG IL</t>
  </si>
  <si>
    <t>DRON800 WG DIUR80 WDG  10X5LB  2.27KG US</t>
  </si>
  <si>
    <t>DRON540+HZNN67 WG JUMP 5KG BRASIL 5KG BR</t>
  </si>
  <si>
    <t>DRON800 WP KARMEX 80 WP 15KG IN 15KG ID</t>
  </si>
  <si>
    <t>DRON800 WG KARMEX 500 KG MEXICO 500KG MX</t>
  </si>
  <si>
    <t>DRON800 SC DIUREX 80 SC 200LT GT</t>
  </si>
  <si>
    <t>DRON800 SC AGROFORTRESS DIUREX   20LT GT</t>
  </si>
  <si>
    <t>DRON800 SC DIUREX 80SC -20L SA 20LT ZA</t>
  </si>
  <si>
    <t>DRON800 SC DIUREX 80 SC CEN.AM 20LT CAM</t>
  </si>
  <si>
    <t>DRON800 SC DION 80FW 20 LANA 20LT UY</t>
  </si>
  <si>
    <t>DRON800 SC Diurex SC 20 L 20LT IL</t>
  </si>
  <si>
    <t>DRON800 SC DIUREX 80SC 5L BOLIV 5LT BO</t>
  </si>
  <si>
    <t>DRON800 SC Adama Essentials DIURE 5LT AR</t>
  </si>
  <si>
    <t>DRON800 SC Diurex  SC 5 L 5LT IL</t>
  </si>
  <si>
    <t>DRON800 SC Diurex 800 SC 1 lt ri 1LT GCI</t>
  </si>
  <si>
    <t>DRON800 SC Diurex SC  1 L 1LT IL</t>
  </si>
  <si>
    <t>DRON800 WP DIUREX 80 WP 15KG LK</t>
  </si>
  <si>
    <t>DRON800 WP DIUREX 80 WP 15KG PH</t>
  </si>
  <si>
    <t>DRON500 SC DIUREX 50SC 5L CHILE 5LT CL</t>
  </si>
  <si>
    <t>DRON800 WG KARMEX 500KG BB USA 500KG US</t>
  </si>
  <si>
    <t>DRON800 WG KARMEX  DF  5LB USA 2.27KG US</t>
  </si>
  <si>
    <t>DRON800 WG KARMEX  DF  25LB U 11.35KG US</t>
  </si>
  <si>
    <t>DSMP50+ETFM200+PNMP150 SE BISON 200LT MA</t>
  </si>
  <si>
    <t>DSMP100+ETFM200+PNMP100 SE Belved 5LT BY</t>
  </si>
  <si>
    <t>DSMP100+ETFM200+PNMP100 SE Belved 5LT PL</t>
  </si>
  <si>
    <t>DSMP100+ETFM200+PNMP100 SE Belved 5LT CZ</t>
  </si>
  <si>
    <t>DSMP100+ETFM200+PNMP100 SE Belved 5LT RU</t>
  </si>
  <si>
    <t>DSMP100+ETFM200+PNMP100 SE BELVED 1LT TR</t>
  </si>
  <si>
    <t>DSMP100+ETFM200+PNMP100 SE Belved 1LT PL</t>
  </si>
  <si>
    <t>DSMP160+PNMP160 SE RIFLE 160SE 2 20LT NZ</t>
  </si>
  <si>
    <t>DSMP160+PNMP160 SE Belvedere 320  5LT BY</t>
  </si>
  <si>
    <t>DSMP160+PNMP160 SE RIFLE 160SE 4X 5LT NZ</t>
  </si>
  <si>
    <t>DSMP160+PNMP160 SE Belvedere 5LT RU</t>
  </si>
  <si>
    <t>DSMP160+PNMP160 SE Belvedere 5LT UA</t>
  </si>
  <si>
    <t>DIFF40+PNDM400 SC DIFLUF4O+PEND 200LT ES</t>
  </si>
  <si>
    <t>DIFF40+PNDM400 SC PENDIF 10 LT 10LT FR</t>
  </si>
  <si>
    <t>DIFF40+PNDM400 SC CAYMAN PRO 10L 10LT PL</t>
  </si>
  <si>
    <t>DIFF40+PNDM400 SC RESUM 10 LT 10LT FR</t>
  </si>
  <si>
    <t>DIFF40+PNDM400 SC OMAHA 2 2X10LT 10LT GB</t>
  </si>
  <si>
    <t>DIFF40+PNDM400 SC CODIX 10 LT 10LT FR</t>
  </si>
  <si>
    <t>DIFF40+PNDM400 SC Activus Super  10LT NL</t>
  </si>
  <si>
    <t>DIFF40+PNDM400 SC STOPPER P 5LT I 5LT IT</t>
  </si>
  <si>
    <t>DIFF40+PNDM400 SC RESUM 5 LT 5LT FR</t>
  </si>
  <si>
    <t>DIFF40+PNDM400 SC CAYMAN PRO 5LT  5LT PL</t>
  </si>
  <si>
    <t>DIFF40+PNDM400 SC CODIX 5 LT 5LT FR</t>
  </si>
  <si>
    <t>DIFF40+PNDM400 SC Addition 4x5 L  5LT DE</t>
  </si>
  <si>
    <t>CLTN250+DIFF40+PNDM300 SC DFF4+ 200LT ES</t>
  </si>
  <si>
    <t>CLTN250+DIFF40+PNDM300 SC TRINIT 10LT UA</t>
  </si>
  <si>
    <t>PND300DIF40CLT250 SC IRISH TOWER 10L GB</t>
  </si>
  <si>
    <t>CLTN250+DIFF40+PNDM300 SC TRINIT 10LT FR</t>
  </si>
  <si>
    <t>CLTN250+DIFF40+PNDM300 SC TRIBAL 10LT GB</t>
  </si>
  <si>
    <t>PNDM300DIFF40CLTN250 SC TOWER 10L GB</t>
  </si>
  <si>
    <t>CLTN250+DIFF40+PNDM300 SC TRINIT 10LT PL</t>
  </si>
  <si>
    <t>CLTN250+DIFF40+PNDM300 SC Trinit 10LT AT</t>
  </si>
  <si>
    <t>CLTN250+DIFF40+PNDM300 SC Trinit 10LT DE</t>
  </si>
  <si>
    <t>CLTN250+DIFF40+PNDM300 SC Trinity 5LT BY</t>
  </si>
  <si>
    <t>CLTN250+DIFF40+PNDM300 SC TRINITY 5LT FR</t>
  </si>
  <si>
    <t>CLTN250+DIFF40+PNDM300 SC TRINITY 5LT BE</t>
  </si>
  <si>
    <t>CLTN250+DIFF40+PNDM300 SC TRINITY 5LT SK</t>
  </si>
  <si>
    <t>CLTN250+DIFF40+PNDM300 SC LEGATO  5LT HU</t>
  </si>
  <si>
    <t>CLTN250+DIFF40+PNDM300 SC TRINITY 5LT SI</t>
  </si>
  <si>
    <t>CLTN250+DIFF40+PNDM300 SC TRINITY 5LT PL</t>
  </si>
  <si>
    <t>CLTN250+DIFF40+PNDM300 SC TRINITY 5LT ES</t>
  </si>
  <si>
    <t>CLTN250+DIFF40+PNDM300 SC Legacy 5LT BLT</t>
  </si>
  <si>
    <t>CLTN250+DIFF40+PNDM300 SC Trinity 5LT CZ</t>
  </si>
  <si>
    <t>CLTN250+DIFF40+PNDM300 SC TRINITY 1LT SI</t>
  </si>
  <si>
    <t>CLTN250+DIFF40+PNDM300 SC TRINITY 1LT PL</t>
  </si>
  <si>
    <t>CLTN400+DIFF25 SC CONSTEL 20LT B 20LT BG</t>
  </si>
  <si>
    <t>CLTN400+DIFF25 SC VARIA 10 LT 10LT FR</t>
  </si>
  <si>
    <t>CLTN400+DIFF25 SC CONSTEL 10LT FR</t>
  </si>
  <si>
    <t>CLTN400+DIFF25 SC LEGATO PRO 5LT  5LT PL</t>
  </si>
  <si>
    <t>DIFF500 SC COMPIL 5LT MAF 5LT FR</t>
  </si>
  <si>
    <t>DIFF500 SC Adama Essentials Legac 5LT AR</t>
  </si>
  <si>
    <t>DIFF500 SC Legacy 500 SC NO [1.00 1LT NO</t>
  </si>
  <si>
    <t>DIFF500 SC ARCHIVE 1 LT 1LT FR</t>
  </si>
  <si>
    <t>FMTR250+GLYP60+PMRN250 SC COTTONE 1LT BJ</t>
  </si>
  <si>
    <t>FMTR500 SC COTTONEX 10LT TR</t>
  </si>
  <si>
    <t>FMTR500 SC COTTONEX 10LT GR</t>
  </si>
  <si>
    <t>FMTR500 SC COTTONEX 5LT TR</t>
  </si>
  <si>
    <t>FMTR500 SC COTTOGAN 5LT IL</t>
  </si>
  <si>
    <t>FMTR500 SC COTTORAN 1LT TZ</t>
  </si>
  <si>
    <t>CLDF100+CLQT25 EC Atops 4 X 5 L 5LT IL</t>
  </si>
  <si>
    <t>CLDF100+CLQT25 EC Atops 1 L carto 1LT IL</t>
  </si>
  <si>
    <t>CLDF240+CLQT60 EC CLODINAGAN 20 200LT TR</t>
  </si>
  <si>
    <t>CLDF240+CLQT60 EC CLODINAGAN 24 4 5LT ZA</t>
  </si>
  <si>
    <t>CLDF240+CLQT60 EC CLODINA24 1lt   1LT ZA</t>
  </si>
  <si>
    <t>CLDF240+CLQT60 EC Sword 12x1L DE 1LT DE</t>
  </si>
  <si>
    <t>CPRL300 SL Longan. SL (300 g-l)  10LT RU</t>
  </si>
  <si>
    <t>CLMZ33+MTZC250 ZC Kalif Mega 28 10LT BLT</t>
  </si>
  <si>
    <t>CLMZ33+MTZC250 ZC Kalif Mega ZC 10LT UA</t>
  </si>
  <si>
    <t>CLMZ33+MTZC250 ZC Kalif Mega 280  5LT BY</t>
  </si>
  <si>
    <t>CLMZ33+MTZC250 ZC SULTAN COMPLET  5LT RO</t>
  </si>
  <si>
    <t>CLMZ33+MTZC250 ZC KALIF MEGA 5LT  5LT HR</t>
  </si>
  <si>
    <t>CLMZ33+MTZC250 ZC GALA 5LT SWITZE 5LT CH</t>
  </si>
  <si>
    <t>CLMZ33+MTZC250 ZC KALIF MEGA ZC 5 5LT BG</t>
  </si>
  <si>
    <t>CLMZ33+MTZC250 ZC Bengala 4x5 L D 5LT DE</t>
  </si>
  <si>
    <t>CLMZ33+MTZC250 ZC KALIF MEGA 2 X1 1LT HR</t>
  </si>
  <si>
    <t>CLMZ480 EC KALIF  200L KENYA 200LT KE</t>
  </si>
  <si>
    <t>CLMZ480 EC KALIF 48 EC 20LT ZA</t>
  </si>
  <si>
    <t>CLMZ480 EC KALIF 48EC 20LT KENYA 20LT KE</t>
  </si>
  <si>
    <t>CLMZ480 EC KALIF 48 CA 10LT CAM</t>
  </si>
  <si>
    <t>CLMZ480 EC Kalif 480 EC BY 5LT BY</t>
  </si>
  <si>
    <t>CLMZ480 EC Kalif EC 5LT UA</t>
  </si>
  <si>
    <t>CLMZ480 EC KALIF 480 EC 1 L [1.00 1LT RO</t>
  </si>
  <si>
    <t>CLMZ480 EC KALIF 1LIT CROATIA 1LT HR</t>
  </si>
  <si>
    <t>CLMZ480 EC KALIF 48 12X1 SERBIA 1LT RS</t>
  </si>
  <si>
    <t>CLMZ480 EC KALIF 1L POLAND 1LT PL</t>
  </si>
  <si>
    <t>CLTD120 EC AKODIM 12 200LT MOR 200LT MA</t>
  </si>
  <si>
    <t>CLTD120 EC ADAMA ARROW LPU 10LT AR</t>
  </si>
  <si>
    <t>CLTD120 EC POQUER 12 EC 10L RSA 10LT ZA</t>
  </si>
  <si>
    <t>CLTD120 EC POQUER 12 EC 5L SA 5LT ZA</t>
  </si>
  <si>
    <t>CLTD120 EC DILER 5LT SERBIA 5LT RS</t>
  </si>
  <si>
    <t>CLTD120 EC Arrow Super  5 L 5LT IL</t>
  </si>
  <si>
    <t>CLTD120 EC DILER 1LT SERBIA 1LT RS</t>
  </si>
  <si>
    <t>CLTD120 EC Arrow Super 1 L 1LT IL</t>
  </si>
  <si>
    <t>BRXL150+TBAZ330 SC BROMOTRIL T 2 10LT ZA</t>
  </si>
  <si>
    <t>BRXL400 EC Sunflex 40 EC 10-1 10LT HU</t>
  </si>
  <si>
    <t>BRXL400 EC Bromotril 40 EC 5-1 5LT HU</t>
  </si>
  <si>
    <t>BRXL500 SC BROMOTRIL P 50SC S.A 10LT ZA</t>
  </si>
  <si>
    <t>BRXL250 SC BROMOTRIL 20L SLOV 20LT SK</t>
  </si>
  <si>
    <t>BRXL250 SC Bromotril 250 SC NL [5 5LT NL</t>
  </si>
  <si>
    <t>BRXL250 SC BROMOTRIL 250 5L BEL 5LT BE</t>
  </si>
  <si>
    <t>BRXL240 EC Adama Essentials Bromo 5LT AR</t>
  </si>
  <si>
    <t>BRXL327+MCPA351 EC BADGE 20LT KE 20LT KE</t>
  </si>
  <si>
    <t>BNTZ480+CLMZ50 ME Eventus ME 10LT UA</t>
  </si>
  <si>
    <t>BFNX480 SC FOX 5 LT 5LT FR</t>
  </si>
  <si>
    <t>BFNX480 SC MODOWN 4X5L ROMANIA 5LT RO</t>
  </si>
  <si>
    <t>BFNX480 SC FOX (4 X 5L) 5LT GB</t>
  </si>
  <si>
    <t>BFNX480 SC FOXPRO Lt. 1 1LT IT</t>
  </si>
  <si>
    <t>BFNX480 SC VALLEY Lt. 1 1LT IT</t>
  </si>
  <si>
    <t>ARZN500 SC Atranex  5 L 5LT IL</t>
  </si>
  <si>
    <t>AMTR250+ARZN250 SC ATRAMET COMBI  5LT ET</t>
  </si>
  <si>
    <t>AMTR800 WG AMETRYN 80 WG VIETNAM 15KG VN</t>
  </si>
  <si>
    <t>AMTR800 WG Ametrex WG 15KG 15KG AU</t>
  </si>
  <si>
    <t>AMTR800 WG AMETREX 80WG CENAM 15KG CAM</t>
  </si>
  <si>
    <t>AMTR800 WG Ametryne 80% WG [500 500KG IN</t>
  </si>
  <si>
    <t>AMTR800 WG AMETREX 80 WG 500 KG 500KG MX</t>
  </si>
  <si>
    <t>AMTR500 SC AMETREX 50 SC Chinese 20LT DO</t>
  </si>
  <si>
    <t>AMTR500 SC Ametrex 50 SC x 20 Lt 20LT DO</t>
  </si>
  <si>
    <t>AMTR500 SC Ametrex 50 SC x 20 L 20LT CAM</t>
  </si>
  <si>
    <t>ALCL480 MCB Cyclone 20L 20LT NZ</t>
  </si>
  <si>
    <t>ALCL480 EC Alanex  10 Liter 10LT IL</t>
  </si>
  <si>
    <t>ALCL480 EC Alanex 48 EC x 1 Lt 1LT CAM</t>
  </si>
  <si>
    <t>ACLN600 SC COLT 10LT 10LT FR</t>
  </si>
  <si>
    <t>ACTC880 EC Acenit A EC - 10l 10LT UA</t>
  </si>
  <si>
    <t>ACTC900 EC Acierto 900 EC 200L 200LT NZ</t>
  </si>
  <si>
    <t>ACTC900 EC Acierto 900 EC 20L 20LT NZ</t>
  </si>
  <si>
    <t>ACTC900 EC Acetogan 900 EC - 20l 20LT ZA</t>
  </si>
  <si>
    <t>ACTC900 EC Acetogan EC - 20l 20LT UA</t>
  </si>
  <si>
    <t>ACTC900 EC Acierto 900 EC 10L 10LT NZ</t>
  </si>
  <si>
    <t>ACTC770 EC ACETOGAN 768 EC - 20 20LT ZA</t>
  </si>
  <si>
    <t>Formulation Res</t>
  </si>
  <si>
    <t>*Production Line Code</t>
  </si>
  <si>
    <t>Capacity</t>
  </si>
  <si>
    <t>Description</t>
  </si>
  <si>
    <t>Formulation Code</t>
  </si>
  <si>
    <t>צריך להסיר מהמדידה</t>
  </si>
  <si>
    <t>משפחה לתכנון</t>
  </si>
  <si>
    <t>גודל אריזה</t>
  </si>
  <si>
    <t>Production Line Descr</t>
  </si>
  <si>
    <t>Local Item Code</t>
  </si>
  <si>
    <t>Item Code</t>
  </si>
  <si>
    <t>Res</t>
  </si>
  <si>
    <t>Type</t>
  </si>
  <si>
    <t>Family</t>
  </si>
  <si>
    <t>Segmentation Class</t>
  </si>
  <si>
    <t>Item Descr</t>
  </si>
  <si>
    <t>Old Bulk</t>
  </si>
  <si>
    <t>AMETRYN</t>
  </si>
  <si>
    <t>Class 1</t>
  </si>
  <si>
    <t>ATRAZINE</t>
  </si>
  <si>
    <t>Class 2</t>
  </si>
  <si>
    <t>Class 3</t>
  </si>
  <si>
    <t>DIURON-HEXAZINONE</t>
  </si>
  <si>
    <t>DIURON-BROMACIL</t>
  </si>
  <si>
    <t>METRIBUZIN</t>
  </si>
  <si>
    <t>METAMITRON</t>
  </si>
  <si>
    <t>DRON800 WG KARMEX 80 WG BRAZIL 500 KG</t>
  </si>
  <si>
    <t>HEXAZINONE</t>
  </si>
  <si>
    <t>DRON540HZNN67 WG 900KG</t>
  </si>
  <si>
    <t>DRON400BRMC400 WG 900KG</t>
  </si>
  <si>
    <t>DRON468HZNN132TH WG 500KG</t>
  </si>
  <si>
    <t>MTBZ700 WG METRIBUZIN 70 % WG 500 KG</t>
  </si>
  <si>
    <t>MTBZ700 WG METRIBUZIN 70 % WG 900 KG</t>
  </si>
  <si>
    <t>MTMN900 WG GOLTIX 90 WG 500 KG</t>
  </si>
  <si>
    <t>MTMN700 WG METAMITRON 70 WG 600 KG</t>
  </si>
  <si>
    <t>MTMN700 WG METAMITRON 70 WG 900 KG</t>
  </si>
  <si>
    <t>MTMN150 SG METAMITRON 150 SG 140 KG</t>
  </si>
  <si>
    <t>MTMN150 SG METAMITRON 150 SG 500 KG</t>
  </si>
  <si>
    <t>MTMN150 SG METAMITRON 150 SG 600 KG</t>
  </si>
  <si>
    <t>BRMC800 WG URAGAN 80 WG 500 KG</t>
  </si>
  <si>
    <t>BRMC800 WG URAGAN 80 WG 900 KG</t>
  </si>
  <si>
    <t>ACETOCHLOR</t>
  </si>
  <si>
    <t>Cloquintocet Mexyl-CLODINAFOP-PROPARGYL</t>
  </si>
  <si>
    <t>CLDF80+CLQT20 EC LADDER ALL IN 1000LT CA</t>
  </si>
  <si>
    <t>CLODINAFOP-PROPARGYL</t>
  </si>
  <si>
    <t>IMAZAPIC</t>
  </si>
  <si>
    <t>OXYFLUORFEN-PROPAQUIZAFOP</t>
  </si>
  <si>
    <t>PENDIMETHALIN</t>
  </si>
  <si>
    <t>QUIZALOFOP-P-ETHYL</t>
  </si>
  <si>
    <t>FLUROXYPYR</t>
  </si>
  <si>
    <t>TFLL480 EC Trifluralin 48 EC 200LT TH</t>
  </si>
  <si>
    <t>BROMOXYNIL 225 + MCPA 225 Badge 200LT CA</t>
  </si>
  <si>
    <t>PROMETON</t>
  </si>
  <si>
    <t>TRINEXAPAC-ETHYL</t>
  </si>
  <si>
    <t>ALACHLOR</t>
  </si>
  <si>
    <t>CLOMAZONE-BENTAZONE</t>
  </si>
  <si>
    <t>24DA560 EC 2.4D 56% EC 999 KG</t>
  </si>
  <si>
    <t>RAW MATERIALS</t>
  </si>
  <si>
    <t>FCDN250 EC FLURCHLRDN 25 EC UKR 200 L</t>
  </si>
  <si>
    <t>FCDN250 EC FLUROCHLRDNE 25EC LA 200 L</t>
  </si>
  <si>
    <t>GLUFOSINATE AMMONIUM</t>
  </si>
  <si>
    <t>GLFS200 SL GLUFOSINATE-AMN200SL 1000L</t>
  </si>
  <si>
    <t>GLYP360 SL GLYPHOS SL39.5(MONTA 999 KG</t>
  </si>
  <si>
    <t>IMZX80 SL IMAZAMOX 80 SL 1000 L</t>
  </si>
  <si>
    <t>IMZC240 SL IMAZAPIC 240 SL 1003 L</t>
  </si>
  <si>
    <t>IMZT240 SL IMAZETHAPYR 240 SL 1000 L</t>
  </si>
  <si>
    <t>MTLC960 EC METOLACHLOR 960 EC 200 L</t>
  </si>
  <si>
    <t>IMZT37PPQZ25 ME 1000L</t>
  </si>
  <si>
    <t>ACMP200 SL MOSPILAN200SL NO DYE 200 L</t>
  </si>
  <si>
    <t>OXFF120PPQZ50 EC GALIGAN12%+PROPA5% 200L</t>
  </si>
  <si>
    <t>QZLF100 EC QUIZALOFOP 10 EC 200 L</t>
  </si>
  <si>
    <t>QZLF100 EC QUIZALOFOP 10 EC SSS 1000 L</t>
  </si>
  <si>
    <t>QZLF100 EC QUIZALOFOP 10 EC SSS 200 L</t>
  </si>
  <si>
    <t>QUIZA105 +ISOXAD EC 1000.00 L</t>
  </si>
  <si>
    <t>FRXP250 EC FLUROXYPYR 250 S 200 L</t>
  </si>
  <si>
    <t>FRXP200 EC FLUROXYPYR 200 DS 200 L</t>
  </si>
  <si>
    <t>TFLL480 EC TRIFLUREX LNA 48 EC 200 L</t>
  </si>
  <si>
    <t>TFLL480 EC TRIFLUREX 48 S 200 L</t>
  </si>
  <si>
    <t>CLTD120 EC CLETODIM 120 SS ECO 1000L JOB</t>
  </si>
  <si>
    <t>CLMZ480 EC CLOMAZONE 480 S EC 200 L JOB</t>
  </si>
  <si>
    <t>QZLF50 EC QUIZALOFOP 5 EC SS JOB 1000LT</t>
  </si>
  <si>
    <t>FLORASULAM-2,4-D</t>
  </si>
  <si>
    <t>FLORASULAM-MCPA</t>
  </si>
  <si>
    <t>FLORASULAM-FLUROXYPYR</t>
  </si>
  <si>
    <t>FLSL50 SC FLRSLM 50 G-L SC LRH 1000 L</t>
  </si>
  <si>
    <t>FRXP100FLSL3 SE 1000L</t>
  </si>
  <si>
    <t>FLRSLM 20% SC LRH 1000 KG</t>
  </si>
  <si>
    <t>FLSL500 SC FLRSLM 20% CANADA LR 1000 KG</t>
  </si>
  <si>
    <t>NICOSULFURON</t>
  </si>
  <si>
    <t>FLSL2.5+FRXP100 SE 1000LT JOB</t>
  </si>
  <si>
    <t>FLSL2.5+FRXP100 SE 200LT JOB</t>
  </si>
  <si>
    <t>FLUROXYPYR 180SSF EC 200.00 KG</t>
  </si>
  <si>
    <t>INTERMEDIATES</t>
  </si>
  <si>
    <t>AGANILE</t>
  </si>
  <si>
    <t>לא מיוצר כרגע</t>
  </si>
  <si>
    <t>AGANILE 200KG</t>
  </si>
  <si>
    <t>27952</t>
  </si>
  <si>
    <t>AGANILE DIST 200.00 KG</t>
  </si>
  <si>
    <t>27950</t>
  </si>
  <si>
    <t>AGANILE FLASH 180.00 KG</t>
  </si>
  <si>
    <t>27951</t>
  </si>
  <si>
    <t>AGANILE FLASH 200.00 KG</t>
  </si>
  <si>
    <t>AP</t>
  </si>
  <si>
    <t>AP200ESTER FLASH AGA 175.00 KG</t>
  </si>
  <si>
    <t>1917</t>
  </si>
  <si>
    <t>22205</t>
  </si>
  <si>
    <t>41102</t>
  </si>
  <si>
    <t>BRMC800 WP URAGAN 80 WP 500 KG</t>
  </si>
  <si>
    <t>BRMC950 TC URAGAN TECH MIL DUP 15 KG</t>
  </si>
  <si>
    <t>41101</t>
  </si>
  <si>
    <t>BRMC950 TC BROMACIL TECH 15KG U 15KG US</t>
  </si>
  <si>
    <t>BRMC950 TC URAGAN TECH MIL DUP 525 KG</t>
  </si>
  <si>
    <t>BRMC950 TC AMVA CBROM 525kgMEXI 525KG MX</t>
  </si>
  <si>
    <t>CHLOROTOLURON</t>
  </si>
  <si>
    <t>CLTN950 TC TOLUREX TECH MILLED 550 KG</t>
  </si>
  <si>
    <t>37701</t>
  </si>
  <si>
    <t>CLTN950 TC CHLOROT.TECH BG EEC 550KG ES</t>
  </si>
  <si>
    <t>CLTN950 TC TOLUREX TECH MILLED 200 KG</t>
  </si>
  <si>
    <t>CLTN950 TC TOLUREX TECH MILLED 450 KG</t>
  </si>
  <si>
    <t>11640</t>
  </si>
  <si>
    <t>שלבי ביניים לא למדידה</t>
  </si>
  <si>
    <t>11631</t>
  </si>
  <si>
    <t>11636</t>
  </si>
  <si>
    <t>11638</t>
  </si>
  <si>
    <t>DELTA DAMASCON FLASH 180.00 KG</t>
  </si>
  <si>
    <t>13751</t>
  </si>
  <si>
    <t>DRON970 TC DIURON TECH Paint In 500KG IN</t>
  </si>
  <si>
    <t>DRON970 TC DIURON TECN OURO FIN 500KG BR</t>
  </si>
  <si>
    <t>DRON970 TC DIUREX TECH MILLED 550 KG</t>
  </si>
  <si>
    <t>DRON970 TC DIUREX TECH MILLED 650KG BR</t>
  </si>
  <si>
    <t>DRON970 TC DIUREX TECH MILLED 600 KG</t>
  </si>
  <si>
    <t>13804</t>
  </si>
  <si>
    <t>13807</t>
  </si>
  <si>
    <t>DRON970 TC DIUREX TECH MILLED 15 KG</t>
  </si>
  <si>
    <t>DRON970 TC DIUREX TECH MILLED 200 KG</t>
  </si>
  <si>
    <t>DRON970 TC DIUREX TECH MILLED 500 KG</t>
  </si>
  <si>
    <t>DRON970 TC DIURON TEC ADAMA COL 500KG CO</t>
  </si>
  <si>
    <t>DRON970 TC DIURON TECH BB USA 600KG US</t>
  </si>
  <si>
    <t>DRON970 TC DIURON 500KG JP</t>
  </si>
  <si>
    <t>DRON970 TC DIURON TECH PAINT IN 400KG IN</t>
  </si>
  <si>
    <t>DRON970 TC DIURON TECH AGRO 500KG IN</t>
  </si>
  <si>
    <t>אותו קרובר כמו הבא אחריו לבחור רק אחד מהם</t>
  </si>
  <si>
    <t>19799</t>
  </si>
  <si>
    <t>19790</t>
  </si>
  <si>
    <t>ETFM1000 TC ETHOFUMESA TC TREATED 265KG</t>
  </si>
  <si>
    <t>15800</t>
  </si>
  <si>
    <t>FMT960TC COTTONEX TEC MILLED GURIT 15KG</t>
  </si>
  <si>
    <t>11101</t>
  </si>
  <si>
    <t>FMTR960 TC COTTONEX TECH MILLED 550 KG</t>
  </si>
  <si>
    <t>FMTR960 TC COTORAN TECH 550KG US</t>
  </si>
  <si>
    <t>FMTR960 TC COTTONEX TECH MILLED 550KG ES</t>
  </si>
  <si>
    <t>FMTR960 TC COTTONEX TECH 550 KG GURIT ES</t>
  </si>
  <si>
    <t>16539</t>
  </si>
  <si>
    <t>NAA DIST ISO</t>
  </si>
  <si>
    <t>25603</t>
  </si>
  <si>
    <t>16529</t>
  </si>
  <si>
    <t>FCDN200 CS FLUROCHLORIDON 200CS 200 L</t>
  </si>
  <si>
    <t>FCDN250 ME FLUROCHLORIDONE 25CS 200 L</t>
  </si>
  <si>
    <t>16534</t>
  </si>
  <si>
    <t>NANA 1.00 KG</t>
  </si>
  <si>
    <t>25607</t>
  </si>
  <si>
    <t>FCDN250 ME FLUROCHLORIDONE 25CS200Lניפוי</t>
  </si>
  <si>
    <t>FLUROCHLRDN 50% SSS 24000.00 KG</t>
  </si>
  <si>
    <t>16538</t>
  </si>
  <si>
    <t>NAA DIST 230.00 KG</t>
  </si>
  <si>
    <t>HEXENONE</t>
  </si>
  <si>
    <t>17610</t>
  </si>
  <si>
    <t>HYDROPROP ACID</t>
  </si>
  <si>
    <t>HYDROPROP E.E 70% 200.00 KG</t>
  </si>
  <si>
    <t>18056</t>
  </si>
  <si>
    <t>IMAZAMOX TECH WET 600.00 KG</t>
  </si>
  <si>
    <t>18481</t>
  </si>
  <si>
    <t>מחליף את כל הדיורון טכני</t>
  </si>
  <si>
    <t>DIUREX SLURRY  KG</t>
  </si>
  <si>
    <t>13759</t>
  </si>
  <si>
    <t>מחליף את כל הטולורקס טכני</t>
  </si>
  <si>
    <t>37709</t>
  </si>
  <si>
    <t>מחליף את כל הכותורן טכני</t>
  </si>
  <si>
    <t>COTTONEX SLURRY USA* ISO</t>
  </si>
  <si>
    <t>11139</t>
  </si>
  <si>
    <t>מחליף את כל הברומציל טכני</t>
  </si>
  <si>
    <t>41109</t>
  </si>
  <si>
    <t>SULCOTRIONE-TERBUTHYLAZINE</t>
  </si>
  <si>
    <t>UNICONAZOLE</t>
  </si>
  <si>
    <t>METAMITRON-PHENMEDIPHAM</t>
  </si>
  <si>
    <t>OXYFLUORFEN</t>
  </si>
  <si>
    <t>DIFF500 SC TEMPERIS 200LT CO</t>
  </si>
  <si>
    <t>FMTR500 SC COTTONEX 50 SC 200 L</t>
  </si>
  <si>
    <t>DIFF500 SC DIFLUFENICAN 500 SC 200 L</t>
  </si>
  <si>
    <t>CLTN400DIFF25 SC DIFLUFE2.5+TOLRX40 200L</t>
  </si>
  <si>
    <t>DIF40+PND300+TOLU250 200 L</t>
  </si>
  <si>
    <t>PNDM400DIFF40 SC DIFLUF40+PENDIM400 200L</t>
  </si>
  <si>
    <t>DRON800 SC DIUREX 80 SC 200 L</t>
  </si>
  <si>
    <t>DRON320GLYP180OXFF144 SC 200L</t>
  </si>
  <si>
    <t>ETFM500 SC ETHOFUMESATE 50 SC 200 L</t>
  </si>
  <si>
    <t>FMXZ480 SC FLUMIOXAZIN 480 SC 200 L</t>
  </si>
  <si>
    <t>GLYP250DIFF40 SC 200L</t>
  </si>
  <si>
    <t>GLYP360OXFF30 SC 200L</t>
  </si>
  <si>
    <t>LNRN500 SC LINUREX 50 SC A 200 L</t>
  </si>
  <si>
    <t>LNRN476 SC LINURON 4L SC TKI 200 L</t>
  </si>
  <si>
    <t>LNRN450 SC AFALON 450 SC 200 L</t>
  </si>
  <si>
    <t>UCZL50 SC MAGIC 5 SC (G) 200 L</t>
  </si>
  <si>
    <t>MSRN100 SC MESOTRIONE 100 SC 200 L</t>
  </si>
  <si>
    <t>MTZC500 SC METZACHLOR 50SC SULT 200 L</t>
  </si>
  <si>
    <t>MTZC500 SC MTZACHLOR 50SC FUEGO 200 L</t>
  </si>
  <si>
    <t>METAZACHLOR-QUINMERAC</t>
  </si>
  <si>
    <t>MTZC375QNMC125 SC 200L</t>
  </si>
  <si>
    <t>MTZC400QNMC100 SC 200L</t>
  </si>
  <si>
    <t>MTMN700 SC METAMITRON 70 SC 200 L</t>
  </si>
  <si>
    <t>MTMN350ETFM150 SC 200L</t>
  </si>
  <si>
    <t>MTMN700 SC GOLTIX GOLD 70 SC 200 L</t>
  </si>
  <si>
    <t>MTMN700 SC GOLTIX 70 SC 200 L</t>
  </si>
  <si>
    <t>MTMN525QNMC40 SC MTM 525+QUIN 40 200 L</t>
  </si>
  <si>
    <t>MTMN350QNMC60 SC MTM 350+QUIN 60 200 L</t>
  </si>
  <si>
    <t>PPZM400 SC PROPYZAMIDE 400 SC 200 L</t>
  </si>
  <si>
    <t>PNMP320 SC PHENMEDIPHAM 320GLSC 200 L</t>
  </si>
  <si>
    <t>PNDM333DIFF20FFNC80 SC 200L</t>
  </si>
  <si>
    <t>PROMETRYN</t>
  </si>
  <si>
    <t>TBAZ330SLCT173 SC 200L</t>
  </si>
  <si>
    <t>TERBUTRYN</t>
  </si>
  <si>
    <t>TBTN500 SC TERBUTREX 50 SC 200 L</t>
  </si>
  <si>
    <t>TBAZ500 SC TYLLANEX 50 SC 200 L</t>
  </si>
  <si>
    <t>TBAZ500 SC TYLLANEX 500P SC 200 L</t>
  </si>
  <si>
    <t>DIF40+PND300+TOLU250 200 L JOB</t>
  </si>
  <si>
    <t>MTMN700SC GOLTIX 70SC 200LT NEW FORM 999</t>
  </si>
  <si>
    <t>MTZC375+QNMC125 SC 1000LT JOB</t>
  </si>
  <si>
    <t>MTZC500 SC METZACHLOR 50SC 1000LT JOB PL</t>
  </si>
  <si>
    <t>PHENMEDIPHAM-DESMEDIPHAM</t>
  </si>
  <si>
    <t>DMP 20%+PMP 20% SC 200.00 KG</t>
  </si>
  <si>
    <t>MAGIC SC CONC 34% 200.00 KG</t>
  </si>
  <si>
    <t>20196</t>
  </si>
  <si>
    <t>LNRN950 TC LINURON TECH  15KG KR</t>
  </si>
  <si>
    <t>20191</t>
  </si>
  <si>
    <t>LINURON TECH MIL. CH 600.00 KG</t>
  </si>
  <si>
    <t>20197</t>
  </si>
  <si>
    <t>20203</t>
  </si>
  <si>
    <t>LNRN500 WP LINUREX 50 WP 500 KG</t>
  </si>
  <si>
    <t>22019</t>
  </si>
  <si>
    <t>30715</t>
  </si>
  <si>
    <t>PYRAZOLE SOL 1000KG IBC</t>
  </si>
  <si>
    <t>26783</t>
  </si>
  <si>
    <t>26784</t>
  </si>
  <si>
    <t>26793</t>
  </si>
  <si>
    <t>26796</t>
  </si>
  <si>
    <t>OXFF240 EC GALIGAN EC 240 200 L</t>
  </si>
  <si>
    <t>OXFF240 EC GALIGAN EC 240 SSS 200 L</t>
  </si>
  <si>
    <t>OXFF240 EC GALIGAN EC 240SP NF 200 L</t>
  </si>
  <si>
    <t>26795</t>
  </si>
  <si>
    <t>OXFF240 EC GALIGAN 240EC BRZL 200 L</t>
  </si>
  <si>
    <t>26798</t>
  </si>
  <si>
    <t>10028</t>
  </si>
  <si>
    <t>26776</t>
  </si>
  <si>
    <t>OXFF970 TC GALIGAN TECH 97% 15 KG</t>
  </si>
  <si>
    <t>26780</t>
  </si>
  <si>
    <t>OXFF970 TC GALIGAN TECH MANA 15KG US</t>
  </si>
  <si>
    <t>GALIGAN PRMX FOR GALIGAN+PROPA 1.00 KG</t>
  </si>
  <si>
    <t>29929</t>
  </si>
  <si>
    <t>27800</t>
  </si>
  <si>
    <t>PROPAQUIZAFOP</t>
  </si>
  <si>
    <t>23375</t>
  </si>
  <si>
    <t>23376</t>
  </si>
  <si>
    <t>23377</t>
  </si>
  <si>
    <t>PPQZ100 EC PROPAQIZFOP 10%CH EC 1000 L</t>
  </si>
  <si>
    <t>23373</t>
  </si>
  <si>
    <t>PPQZ100 EC PROPQUZFOP 100PCSSS JOB 1000L</t>
  </si>
  <si>
    <t>PROPAQUIZAFOP PRMX25 1.00 KG</t>
  </si>
  <si>
    <t>שלב ביניים לא למדידה</t>
  </si>
  <si>
    <t>26685</t>
  </si>
  <si>
    <t>26686</t>
  </si>
  <si>
    <t>26687</t>
  </si>
  <si>
    <t>27747</t>
  </si>
  <si>
    <t>OXIMGLYCOL CRUDE 200-1000 KG</t>
  </si>
  <si>
    <t>OXIMGLYCOL CRUDE CONC 200-1000 KG</t>
  </si>
  <si>
    <t>PXSF980 TC PYROXASULFONE 500 KG</t>
  </si>
  <si>
    <t>95102</t>
  </si>
  <si>
    <t>PXSF980 TC PYROXASULFONE JOB 600 KG</t>
  </si>
  <si>
    <t>QUIZALOFOP TK 20% 180.00 KG</t>
  </si>
  <si>
    <t>30582</t>
  </si>
  <si>
    <t>QUIZALOFOP TK 20%SSS 180.00 KG</t>
  </si>
  <si>
    <t>30586</t>
  </si>
  <si>
    <t>QUIZALOFOP TK 20% SS 180.00 KG</t>
  </si>
  <si>
    <t>30587</t>
  </si>
  <si>
    <t>41189</t>
  </si>
  <si>
    <t>CATALYST FR D.DAMSCO 145.00 KG</t>
  </si>
  <si>
    <t>11450</t>
  </si>
  <si>
    <t>DELTA METHYL KTN CR 1.00 KG</t>
  </si>
  <si>
    <t>11630</t>
  </si>
  <si>
    <t>DELTA MTYL KTN DIST 1.00 KG</t>
  </si>
  <si>
    <t>11634</t>
  </si>
  <si>
    <t>NAA CRUDE 1100.00 KG</t>
  </si>
  <si>
    <t>25601</t>
  </si>
  <si>
    <t>SODIUM HYDROXD 45.5%  ISO</t>
  </si>
  <si>
    <t>33402</t>
  </si>
  <si>
    <t>19775</t>
  </si>
  <si>
    <t>26777</t>
  </si>
  <si>
    <t>26778</t>
  </si>
  <si>
    <t>11639</t>
  </si>
  <si>
    <t>NAA CRUDE ISO</t>
  </si>
  <si>
    <t>SODIUM METABISULFITE SOLUTION 30% 1000KG</t>
  </si>
  <si>
    <t>95027</t>
  </si>
  <si>
    <t>11635</t>
  </si>
  <si>
    <t>ATRL1000 ATRALONE 20KG General NEW</t>
  </si>
  <si>
    <t>ATRL1000 ATRALONE 50KG GENERAL NEW</t>
  </si>
  <si>
    <t>HEXENONE (1002) ISO NEW</t>
  </si>
  <si>
    <t>PPQZ100 EC PROPAQUIZAFOP 10 EC 200 L</t>
  </si>
  <si>
    <t>DRON800 WP DIUREX 80 WP 500 KG</t>
  </si>
  <si>
    <t>DRON800 WP DIUREX(KARMEX 80%WP) 500 KG</t>
  </si>
  <si>
    <t>MTZC735 TC METAZACHLR T WT CRUD 525 KG</t>
  </si>
  <si>
    <t>SFFL1000 SAFLUFENACIL SALT 1000KG TECH NEW</t>
  </si>
  <si>
    <t>QZLF50 EC QUIZA 5 EC LT.1_S IT</t>
  </si>
  <si>
    <t>MTZC500 SULTAN LT. 1_S IT</t>
  </si>
  <si>
    <t>CLTN700 SC TOLURON 700 SC 1 LIT_S PL</t>
  </si>
  <si>
    <t>FCDN250 EC RACER 250 EC 1LT_S PL</t>
  </si>
  <si>
    <t>MTMN700 SC GOLTIX 700 SC 5LT TR</t>
  </si>
  <si>
    <t>MTMN700 SC GOLTIX 700 SC 1L_S TR</t>
  </si>
  <si>
    <t>PNDM400 SC ACTIVUS 400 SC 1 LIT_S PL</t>
  </si>
  <si>
    <t>PNDM400SC PENDIGAN STRONG400SC 1LIT_S PL</t>
  </si>
  <si>
    <t>PNDM64+TBAZ270 SE  TREK-P L. 1_S TR</t>
  </si>
  <si>
    <t>TNXP175 EC STEMPER 5 LT RO</t>
  </si>
  <si>
    <t>ETFM500 SC ETHOSAT 500 SC 1L_S SE</t>
  </si>
  <si>
    <t>QZLF50 EC LEOPARD 5 EC-1L_S RO</t>
  </si>
  <si>
    <t>PMRN500 SC PROMETREX SC 5L UAG</t>
  </si>
  <si>
    <t>FRXP359.7 EC TOMIGAN-1L_S RO</t>
  </si>
  <si>
    <t>FRXP359.7 EC TOMIGAN 250 EC 1L_S HU</t>
  </si>
  <si>
    <t>PPQZ100 EC FALCON NMP FREE DUAL 1LT_S UK</t>
  </si>
  <si>
    <t>SFFL160 SL SAFLUFENACIL160 MCB 1000LT AU</t>
  </si>
  <si>
    <t>FCDN250 EC RACER25 EC 5LT RO</t>
  </si>
  <si>
    <t>BFNX480 SC VALLEY LT. 1_S IT</t>
  </si>
  <si>
    <t>QZLF50 EC LEOPARD 5 EC LT. 1_S IT</t>
  </si>
  <si>
    <t>AVERAGE</t>
  </si>
  <si>
    <t>%</t>
  </si>
  <si>
    <t>BRMC950 TC URAGAN TECH MIL DUP 420 KG</t>
  </si>
  <si>
    <t>Diuron (40)</t>
  </si>
  <si>
    <t>Krovar (40)</t>
  </si>
  <si>
    <t>Tolurex  (40)</t>
  </si>
  <si>
    <t>FCDN200 CS RACER 20 CS L.1_S TR</t>
  </si>
  <si>
    <t>PPQZ100 EC AGIL 100 EC-1L_S 1LT RO</t>
  </si>
  <si>
    <t>MTZC500 SC METAZANEX Sultan SC 1LT_S UA</t>
  </si>
  <si>
    <t>ETFM500 SC ETHOSAT 500 SC 5LT UK</t>
  </si>
  <si>
    <t>CLTD240 EC ARRODIM 5LT IT</t>
  </si>
  <si>
    <t>DIFF40+FFNC80+CLTN280SC CHROME 10LT DE</t>
  </si>
  <si>
    <t>DIFF40+FFN80+CLT280 SC CHROME 400 10L PL</t>
  </si>
  <si>
    <t>ACLN600 SC COLT 600 SC 1LT_S GR</t>
  </si>
  <si>
    <t>DIFF40+FFNC80+CLT280 SC CHROME 400 5L PL</t>
  </si>
  <si>
    <t>ETFM500 SC ETHOSAT 500 SC 5LT LT</t>
  </si>
  <si>
    <t>BFNX480 SC SONAVIO 5LT IT</t>
  </si>
  <si>
    <t>NANA 225.00 KG</t>
  </si>
  <si>
    <t>CLTN950 TC TOLUREX TEC NOT MILLED 550 KG</t>
  </si>
  <si>
    <t>WP (40)</t>
  </si>
  <si>
    <t>MTZC375+QNMC125 SC TOLMER TOP -5LT RO</t>
  </si>
  <si>
    <t>TNXP175 EC OPTIMUS 175 EC 1L_S TH</t>
  </si>
  <si>
    <t>CLTD240 EC ARRODIM 5LT FR</t>
  </si>
  <si>
    <t>DIFF40+FFNC80+CLTN280 SC TROZANO 5LT CZ</t>
  </si>
  <si>
    <t>CLTN500 SC TOLUREX 500 SC 1 LIT_S PL</t>
  </si>
  <si>
    <t>DIFF40+FFNC80+CLTN280 SC CHROME 10LT UK</t>
  </si>
  <si>
    <t>PNDM400 SC ANTHEM 2X10LIT UK 10LT UK</t>
  </si>
  <si>
    <t>THIENCARBAZONE METHYL TC 15 KG</t>
  </si>
  <si>
    <t>FRXP200 EC TOMAHAWK 5LT ZA</t>
  </si>
  <si>
    <t>THIENCARBAZONE-METHYL</t>
  </si>
  <si>
    <t>9510626</t>
  </si>
  <si>
    <t>THIENCARBAZONE</t>
  </si>
  <si>
    <t>CPRL300 SL Longan, SL (300 g/l)  10LT RU</t>
  </si>
  <si>
    <t>Production</t>
  </si>
  <si>
    <t>PNDM400 SC CLEANCROP NATIONAL 10LT UK</t>
  </si>
  <si>
    <t>QZLF105+ISOXAD EC HIGHCARD 5LT IT</t>
  </si>
  <si>
    <t>DRON970 TC DIUREX TECH NOT MILLED 600 KG</t>
  </si>
  <si>
    <t>TNXP175 EC OPTIMUS 175 EC 20LT CO</t>
  </si>
  <si>
    <t>PPQZ100 EC AGIL 10EC ENV CUADRA 1L_S CL</t>
  </si>
  <si>
    <t>PNMP320 SC CONTATTO 320 Lt. 1_S IT</t>
  </si>
  <si>
    <t>ETF200+PNMP200SC POWERTWIN 400SC 1L_S PL</t>
  </si>
  <si>
    <t>OXFF240 EC Galigan 1L_S IL</t>
  </si>
  <si>
    <t>For Packing</t>
  </si>
  <si>
    <t>Restricted - recycling</t>
  </si>
  <si>
    <t>Contaminated Internal Use</t>
  </si>
  <si>
    <t>Restricted – risk for disposal</t>
  </si>
  <si>
    <t>recycled</t>
  </si>
  <si>
    <t>OXFF240 EC GALIGAN 240 ISO 24000LT BR</t>
  </si>
  <si>
    <t>FLSL 200 SC FLORASULAM 200 SC 1000LT CA</t>
  </si>
  <si>
    <t>FRX52.5AE+PIN30+FLS1.75 TIMELI JOB1000LT</t>
  </si>
  <si>
    <t>BR20FR80+MCPA20EC FORCFIGHT ALL1000LT CA</t>
  </si>
  <si>
    <t>PNDM400 SC PENDIGAN 400 SC 1_LT MK</t>
  </si>
  <si>
    <t>BFNX480 SC BIFENOX 480 SC 1000LT</t>
  </si>
  <si>
    <t>DRON800 SC DIUREX 80 SC 1000LT</t>
  </si>
  <si>
    <t>LNRN450 SC AFALON 450 SC 200LT BR</t>
  </si>
  <si>
    <t>PNDM330 EC PENDIGAN EC LT, 1_S UA</t>
  </si>
  <si>
    <t>OXFF240 EC GALIGAN 1000LT (FOR BR)</t>
  </si>
  <si>
    <t>OXFF240 EC GALIGAN 240 EC 5LT CL</t>
  </si>
  <si>
    <t>CLMZ480 EC KALIF 48 EC 1L_S RS.</t>
  </si>
  <si>
    <t>PPQZ100 EC AGIL 10 EC 1L_S GR</t>
  </si>
  <si>
    <t>MTMN700 SC GOLTIX GOLD 70 SC (NEW) 200 L</t>
  </si>
  <si>
    <t>PNDM400 SC ACTIVUS 5LT ROMANIA 5LT RO</t>
  </si>
  <si>
    <t>ETFM200PNMP200SC PHEN200+ETHO200GL 1000L</t>
  </si>
  <si>
    <t>FMTR500 SC COTTONEX 50 SC 5LT GR</t>
  </si>
  <si>
    <t>FMTR500 SC COTTONEX 50 SC 200 LT NEW</t>
  </si>
  <si>
    <t>FMTR500 SC COTORAN 50 SC 5LT GR</t>
  </si>
  <si>
    <t>FMTR500 SC COTTONEX 50 SC 10T GR</t>
  </si>
  <si>
    <t>FCDN250 EC FLUROCHLORIDON 25EC200L( new)</t>
  </si>
  <si>
    <t>PPQZ 104EC AGIPROPQUIZA 10%EC 1000LT CN</t>
  </si>
  <si>
    <t>PINO100+THIEN8.3+MEF OD CAZADO 1000LT CA</t>
  </si>
  <si>
    <t>BRXL240 EC BROMOTRIL 240 SS EC 200 L</t>
  </si>
  <si>
    <t>BFNX480 SC SONAVIO Lt. 1_S IT</t>
  </si>
  <si>
    <t>FRXP200 EC GRANEL 200LT ES</t>
  </si>
  <si>
    <t>ACMP200 SL MOSPILAN 200SL VIOLT JOB 200L</t>
  </si>
  <si>
    <t>Shaked (42)</t>
  </si>
  <si>
    <t>בד"כ ב 23 ברגע שב 42 מדווח נפרד</t>
  </si>
  <si>
    <t>FRXP200 EC TOMIGAN EC 1L_S GR</t>
  </si>
  <si>
    <t>CLTD240 EC CLETHODIM 240SS EUR EC 200LT</t>
  </si>
  <si>
    <t>FCDN250 EC RACER 25 EC 1LT_S GR</t>
  </si>
  <si>
    <t>FLSL3+FRXP100 SE Mixin 102,5 SE D 5LT DK</t>
  </si>
  <si>
    <t>FLSL3+FRXP100 SE Cleave 102,5 SE 5LT BLT</t>
  </si>
  <si>
    <t>FLSL3+FRXP100SE TOMIGAN XL 102,5SE 5L RO</t>
  </si>
  <si>
    <t>24DA306.1+FLSL6 SE COLORADO SE 5LT GR</t>
  </si>
  <si>
    <t>24DA306.1+FLSL6SE PLAUSER SARABIA 5LT ES</t>
  </si>
  <si>
    <t>FRX52.5AE+PIN30+FLS1.75 TIMELINE 5LT SK</t>
  </si>
  <si>
    <t>FRX52.5+PIN30+FLS1.75 TIMELIN EC 5LT BG</t>
  </si>
  <si>
    <t>FRX52.5AE+PIN30+FLS1.75 TIMELINE 1000LT</t>
  </si>
  <si>
    <t>MSL12+PND60+MFP35 OD EDAPTIS72 1LT PL</t>
  </si>
  <si>
    <t>MSLN12+PND60+MFPR35 EDAPTIS 72 OD 5LT PL</t>
  </si>
  <si>
    <t>MSL12+PND60+MFP35 OD EDAPTIS 5LT IT</t>
  </si>
  <si>
    <t>MSL12+PND60+MFP35 OD MEZAYO 5LT IT</t>
  </si>
  <si>
    <t>MSLN12+PNDN60+MFPR35 OD EDAPTIS lt.5 IT.</t>
  </si>
  <si>
    <t>MSLN12+PND60+MFP35 EDAPTIS 5L(MAAP XX)UK</t>
  </si>
  <si>
    <t>FRX52.5AE+PIN30+FL1.75 TIMELIN EC 5L RO</t>
  </si>
  <si>
    <t>MSLN12+PNDN60+MFPR35 OD EDAPTIS LT 5 FR</t>
  </si>
  <si>
    <t>MSLN12+PNDN60+MFPR35 OD EDAPTIS (5) ES</t>
  </si>
  <si>
    <t>24F</t>
  </si>
  <si>
    <t>PINO100+THIEN8.3+MEF OD CAZADO 1000LT US</t>
  </si>
  <si>
    <t>MSEOS12 PINOAX60 MEFE DIETH OD 1000L PL</t>
  </si>
  <si>
    <t>MSEOS12 PINOA60 MEFEN DIETHL OD 1000L EU</t>
  </si>
  <si>
    <t>MSEO12 PINOA60 MEFP DIETH OD UK IT 1000L</t>
  </si>
  <si>
    <t>FRXP100FLSL3 SE 1000LT CN</t>
  </si>
  <si>
    <t>Galigan  iso (42)</t>
  </si>
  <si>
    <t>בד"כ ב 25 ברגע שב 42 מדווח נפרד</t>
  </si>
  <si>
    <t>MTMN525QNMC40 SC GOLTIX TITAN 1000LT JOB</t>
  </si>
  <si>
    <t>FRXP250 EC FLUROXYPYR 250 S 200 L (NEW)</t>
  </si>
  <si>
    <t>Central Item Code</t>
  </si>
  <si>
    <t>Batch creation date</t>
  </si>
  <si>
    <t>Batch process order</t>
  </si>
  <si>
    <t>Last Goods Receipt</t>
  </si>
  <si>
    <t>Supplier Batch</t>
  </si>
  <si>
    <t>Delivery Ref document item</t>
  </si>
  <si>
    <t>Delivery Ref document</t>
  </si>
  <si>
    <t>Pack order QC status</t>
  </si>
  <si>
    <t>UD code for delivery</t>
  </si>
  <si>
    <t>Delivery for batch</t>
  </si>
  <si>
    <t>Containers ID (Creation Date)</t>
  </si>
  <si>
    <t>Last Insp lot UD remarks</t>
  </si>
  <si>
    <t>QM Notification</t>
  </si>
  <si>
    <t>Batch indicator</t>
  </si>
  <si>
    <t>Batch remarks</t>
  </si>
  <si>
    <t>SLED/BBD</t>
  </si>
  <si>
    <t>Date of Manufacture</t>
  </si>
  <si>
    <t>UD Description</t>
  </si>
  <si>
    <t>UD Code</t>
  </si>
  <si>
    <t>HU change</t>
  </si>
  <si>
    <t>Transit and Transfer</t>
  </si>
  <si>
    <t>Blocked</t>
  </si>
  <si>
    <t>Restricted-Use Stock</t>
  </si>
  <si>
    <t>Unrestricted</t>
  </si>
  <si>
    <t>Old material number</t>
  </si>
  <si>
    <t>Base Unit of Measure</t>
  </si>
  <si>
    <t>Material Description</t>
  </si>
  <si>
    <t>שיוך למתקן/משפחה</t>
  </si>
  <si>
    <t>MTMN700 WG GOLTIX 70 WG Kg 1KG IT</t>
  </si>
  <si>
    <t>MTMN700 WG GOLTIX 70 WG Kg 5KG IT</t>
  </si>
  <si>
    <t>MTMN150 SG BREVIS 1KG UK</t>
  </si>
  <si>
    <t>FRXP200 EC FLUROXYPYR 29.64% ID 200LT TW</t>
  </si>
  <si>
    <t>FRXP200 EC TOMAHAWK 200L MEXICO 200LT MX</t>
  </si>
  <si>
    <t>QZLF100 EC Quizalofop 100EC 1000LT CA</t>
  </si>
  <si>
    <t>CPRL40+FRXP60+MCPA240EC ESTEEM ALL1000LT</t>
  </si>
  <si>
    <t>FOMESA18.3% +PROPAQUIZ 5.7% ME 200LT IN</t>
  </si>
  <si>
    <t>ETFM200PNMP150DSMP50 SE 200L</t>
  </si>
  <si>
    <t>GOLTIX 90 WG 900.00 KG</t>
  </si>
  <si>
    <t>SPREADER DX 200 L</t>
  </si>
  <si>
    <t>OXFF480 SC GALIGAN 480 SC 200 L</t>
  </si>
  <si>
    <t>QUIZA105 +ISOXAD EC 200.00 L</t>
  </si>
  <si>
    <t>MTBZ700 WG METRIBUZIN 70 % WG 500 KG JOB</t>
  </si>
  <si>
    <t>DIF40+FFNC80+CLTN280 SC SC 200LT</t>
  </si>
  <si>
    <t>BNTZ480+CLMZ50 ME NEW 200LT</t>
  </si>
  <si>
    <t>CLTN500 SC TOLUREX 50 SC 1000LT</t>
  </si>
  <si>
    <t>DIFLUFE25 + CHLOROTO 400 SC 1000 LT</t>
  </si>
  <si>
    <t>CLTN700 SC CLTN700 SC 1000L</t>
  </si>
  <si>
    <t>RHODOPOL MC2.7%BLEND 150.00 KG</t>
  </si>
  <si>
    <t>DMP+PMP+ETHO 50% SC 200.00 KG NEW</t>
  </si>
  <si>
    <t>CLOMAZONE EC 20.7% PREMIX 200KG</t>
  </si>
  <si>
    <t>FLUROXYPYR 180SSF EC 200.00 KG CN</t>
  </si>
  <si>
    <t>EDAPTIS BHA EASTMAN PREMIX 1000LT</t>
  </si>
  <si>
    <t>EDAPTIS BHA MILESTONE PREMIX 1000LT</t>
  </si>
  <si>
    <t>סטטוס מנה</t>
  </si>
  <si>
    <t>סטטוס מנה ומשפחה</t>
  </si>
  <si>
    <t>סטטוס מנה ומתקן</t>
  </si>
  <si>
    <t>DRON800 WG KARMEX 80WG 15KG JP</t>
  </si>
  <si>
    <t>DIFF40+GLYP250 SC SIROCO 200LT ES</t>
  </si>
  <si>
    <t>FRXP200 EC FLUROXYPYR 37952 ID 200LT CO</t>
  </si>
  <si>
    <t>FRXP200 EC TOMAHAWK20EC C-AM 200LT CAM</t>
  </si>
  <si>
    <t>IMZX80 SL Davai 80 SL 1,000 L 1000LT CA</t>
  </si>
  <si>
    <t>FMTR500 SC FLUOMETURON 200LT ES</t>
  </si>
  <si>
    <t>DRON468+HZN132 WG SINURON 600 WG 15KG PH</t>
  </si>
  <si>
    <t>BR20FR80+MCP20EC FORCEFIGHT ALL1000LT US</t>
  </si>
  <si>
    <t>CLTD240 EC TEAMMATE 24% W-V EC 200LT TH</t>
  </si>
  <si>
    <t>QZLF50 EC LEOPARD 5 EC 200L SAS 200LT HU</t>
  </si>
  <si>
    <t>AMPR 240 SL GRINDATONE 1000 LT AU</t>
  </si>
  <si>
    <t>DIURON 800 WG NC DIRUON 80DF 500KG US</t>
  </si>
  <si>
    <t>GLYP360+OXFF30 SC OVNI XL LT 200LT MA</t>
  </si>
  <si>
    <t>MTBZ700 WG IRISH SHOTPUT 1KG UK</t>
  </si>
  <si>
    <t>MTBZ700 WG SURDONE 70 WG 5KG RO</t>
  </si>
  <si>
    <t>MTBZ700 WG SHOTPUT DUAL 5KG UK</t>
  </si>
  <si>
    <t>MTBZ700 WG SHOTPUT(MAPP 15968) 5KG UK</t>
  </si>
  <si>
    <t>MTMN150 SG BREVIS 4KG FR</t>
  </si>
  <si>
    <t>MTMN150 SG BREVIS 1KG ZA</t>
  </si>
  <si>
    <t>MTMN150 SG THINNEX 15SG 1.1KG CL</t>
  </si>
  <si>
    <t>TRITON X 100 200 L</t>
  </si>
  <si>
    <t>FRXP200 EC FLUROXYPYR 200 SS 200LT CN</t>
  </si>
  <si>
    <t>BENTAZONE 50.86% SL PREMIX</t>
  </si>
  <si>
    <t>IMZX80 SL IMAZAMOX 80 SL 1000LT (JOB PL)</t>
  </si>
  <si>
    <t>משפחת מוצר/גודל אריזה/מתקן</t>
  </si>
  <si>
    <t>סה"כ לא תקין</t>
  </si>
  <si>
    <t>חיבור מתקן והחלטת שימוש</t>
  </si>
  <si>
    <t>19Restricted - recycling</t>
  </si>
  <si>
    <t>DELTA DAMASCONRestricted - recycling</t>
  </si>
  <si>
    <t>1Contaminated Internal Use</t>
  </si>
  <si>
    <t>24FRestricted - recycling</t>
  </si>
  <si>
    <t>23For Packing</t>
  </si>
  <si>
    <t>23Restricted - recycling</t>
  </si>
  <si>
    <t>28For Packing</t>
  </si>
  <si>
    <t>28Restricted - recycling</t>
  </si>
  <si>
    <t>19For Packing</t>
  </si>
  <si>
    <t>24FFor Packing</t>
  </si>
  <si>
    <t>EC 25For Packing</t>
  </si>
  <si>
    <t>23Contaminated Internal Use</t>
  </si>
  <si>
    <t>CSFor Packing</t>
  </si>
  <si>
    <t>CSRestricted - recycling</t>
  </si>
  <si>
    <t>19Contaminated Internal Use</t>
  </si>
  <si>
    <t>28Restricted – risk for disposal</t>
  </si>
  <si>
    <t>DIURONRestricted - recycling</t>
  </si>
  <si>
    <t>METAZACHLORFor Packing</t>
  </si>
  <si>
    <t>METAZACHLORFor Internal Use</t>
  </si>
  <si>
    <t>CHLOROTOLURON TOLUREXFor Internal Use</t>
  </si>
  <si>
    <t>CHLOROTOLURON TOLUREXRestricted - recycling</t>
  </si>
  <si>
    <t>BROMACILFor Internal Use</t>
  </si>
  <si>
    <t>FLUROCHLORIDONERestricted - recycling</t>
  </si>
  <si>
    <t>AP 200Restricted - recycling</t>
  </si>
  <si>
    <t>ATRALONERestricted - recycling</t>
  </si>
  <si>
    <t>WPRestricted - recycling</t>
  </si>
  <si>
    <t>BROMACILRestricted - recycling</t>
  </si>
  <si>
    <t>KROVARRestricted - recycling</t>
  </si>
  <si>
    <t>ETHOFUMESATERestricted - recycling</t>
  </si>
  <si>
    <t>FLUOMETURONRestricted - recycling</t>
  </si>
  <si>
    <t>NANARestricted - recycling</t>
  </si>
  <si>
    <t>ET HARestricted - recycling</t>
  </si>
  <si>
    <t>IMAZAMOXRestricted - recycling</t>
  </si>
  <si>
    <t>LINURONRestricted - recycling</t>
  </si>
  <si>
    <t>METAZACHLORRestricted - recycling</t>
  </si>
  <si>
    <t>EC 25Restricted - recycling</t>
  </si>
  <si>
    <t>GALIGANRestricted - recycling</t>
  </si>
  <si>
    <t>PROPAQUIZAFOP PremixRestricted - recycling</t>
  </si>
  <si>
    <t>PHENOLOXIMERestricted - recycling</t>
  </si>
  <si>
    <t>PYROXASULFONERestricted - recycling</t>
  </si>
  <si>
    <t>QUIZALOFOP PremixRestricted - recycling</t>
  </si>
  <si>
    <t>SAFLUFENACILRestricted - recycling</t>
  </si>
  <si>
    <t>THIENCARBAZONERestricted - recycling</t>
  </si>
  <si>
    <t>20Restricted - recycling</t>
  </si>
  <si>
    <t>10Restricted - recycling</t>
  </si>
  <si>
    <t>5Restricted - recycling</t>
  </si>
  <si>
    <t>1Restricted - recycling</t>
  </si>
  <si>
    <t>24PRestricted - recycling</t>
  </si>
  <si>
    <t>Shaked (42)Restricted - recycling</t>
  </si>
  <si>
    <t>Galigan  iso (42)Restricted - recycling</t>
  </si>
  <si>
    <t>AP 200Restricted – risk for disposal</t>
  </si>
  <si>
    <t>ATRALONERestricted – risk for disposal</t>
  </si>
  <si>
    <t>WPRestricted – risk for disposal</t>
  </si>
  <si>
    <t>BROMACILRestricted – risk for disposal</t>
  </si>
  <si>
    <t>CHLOROTOLURON TOLUREXRestricted – risk for disposal</t>
  </si>
  <si>
    <t>DELTA DAMASCONRestricted – risk for disposal</t>
  </si>
  <si>
    <t>DIURONRestricted – risk for disposal</t>
  </si>
  <si>
    <t>KROVARRestricted – risk for disposal</t>
  </si>
  <si>
    <t>ETHOFUMESATERestricted – risk for disposal</t>
  </si>
  <si>
    <t>FLUOMETURONRestricted – risk for disposal</t>
  </si>
  <si>
    <t>FLUROCHLORIDONERestricted – risk for disposal</t>
  </si>
  <si>
    <t>CSRestricted – risk for disposal</t>
  </si>
  <si>
    <t>NANARestricted – risk for disposal</t>
  </si>
  <si>
    <t>ET HARestricted – risk for disposal</t>
  </si>
  <si>
    <t>IMAZAMOXRestricted – risk for disposal</t>
  </si>
  <si>
    <t>LINURONRestricted – risk for disposal</t>
  </si>
  <si>
    <t>METAZACHLORRestricted – risk for disposal</t>
  </si>
  <si>
    <t>EC 25Restricted – risk for disposal</t>
  </si>
  <si>
    <t>GALIGANRestricted – risk for disposal</t>
  </si>
  <si>
    <t>PROPAQUIZAFOP PremixRestricted – risk for disposal</t>
  </si>
  <si>
    <t>PHENOLOXIMERestricted – risk for disposal</t>
  </si>
  <si>
    <t>PYROXASULFONERestricted – risk for disposal</t>
  </si>
  <si>
    <t>QUIZALOFOP PremixRestricted – risk for disposal</t>
  </si>
  <si>
    <t>SAFLUFENACILRestricted – risk for disposal</t>
  </si>
  <si>
    <t>THIENCARBAZONERestricted – risk for disposal</t>
  </si>
  <si>
    <t>20Restricted – risk for disposal</t>
  </si>
  <si>
    <t>10Restricted – risk for disposal</t>
  </si>
  <si>
    <t>23Restricted – risk for disposal</t>
  </si>
  <si>
    <t>19Restricted – risk for disposal</t>
  </si>
  <si>
    <t>5Restricted – risk for disposal</t>
  </si>
  <si>
    <t>1Restricted – risk for disposal</t>
  </si>
  <si>
    <t>24PRestricted – risk for disposal</t>
  </si>
  <si>
    <t>Shaked (42)Restricted – risk for disposal</t>
  </si>
  <si>
    <t>24FRestricted – risk for disposal</t>
  </si>
  <si>
    <t>Galigan  iso (42)Restricted – risk for disposal</t>
  </si>
  <si>
    <t>AP 200Contaminated Internal Use</t>
  </si>
  <si>
    <t>ATRALONEContaminated Internal Use</t>
  </si>
  <si>
    <t>WPContaminated Internal Use</t>
  </si>
  <si>
    <t>BROMACILContaminated Internal Use</t>
  </si>
  <si>
    <t>CHLOROTOLURON TOLUREXContaminated Internal Use</t>
  </si>
  <si>
    <t>DELTA DAMASCONContaminated Internal Use</t>
  </si>
  <si>
    <t>DIURONContaminated Internal Use</t>
  </si>
  <si>
    <t>KROVARContaminated Internal Use</t>
  </si>
  <si>
    <t>ETHOFUMESATEContaminated Internal Use</t>
  </si>
  <si>
    <t>FLUOMETURONContaminated Internal Use</t>
  </si>
  <si>
    <t>FLUROCHLORIDONEContaminated Internal Use</t>
  </si>
  <si>
    <t>CSContaminated Internal Use</t>
  </si>
  <si>
    <t>NANAContaminated Internal Use</t>
  </si>
  <si>
    <t>ET HAContaminated Internal Use</t>
  </si>
  <si>
    <t>IMAZAMOXContaminated Internal Use</t>
  </si>
  <si>
    <t>LINURONContaminated Internal Use</t>
  </si>
  <si>
    <t>METAZACHLORContaminated Internal Use</t>
  </si>
  <si>
    <t>EC 25Contaminated Internal Use</t>
  </si>
  <si>
    <t>GALIGANContaminated Internal Use</t>
  </si>
  <si>
    <t>PROPAQUIZAFOP PremixContaminated Internal Use</t>
  </si>
  <si>
    <t>PHENOLOXIMEContaminated Internal Use</t>
  </si>
  <si>
    <t>PYROXASULFONEContaminated Internal Use</t>
  </si>
  <si>
    <t>QUIZALOFOP PremixContaminated Internal Use</t>
  </si>
  <si>
    <t>SAFLUFENACILContaminated Internal Use</t>
  </si>
  <si>
    <t>THIENCARBAZONEContaminated Internal Use</t>
  </si>
  <si>
    <t>20Contaminated Internal Use</t>
  </si>
  <si>
    <t>10Contaminated Internal Use</t>
  </si>
  <si>
    <t>5Contaminated Internal Use</t>
  </si>
  <si>
    <t>28Contaminated Internal Use</t>
  </si>
  <si>
    <t>24PContaminated Internal Use</t>
  </si>
  <si>
    <t>Shaked (42)Contaminated Internal Use</t>
  </si>
  <si>
    <t>24FContaminated Internal Use</t>
  </si>
  <si>
    <t>Galigan  iso (42)Contaminated Internal Use</t>
  </si>
  <si>
    <t>AP 200For Internal Use</t>
  </si>
  <si>
    <t>ATRALONEFor Internal Use</t>
  </si>
  <si>
    <t>WPFor Internal Use</t>
  </si>
  <si>
    <t>DELTA DAMASCONFor Internal Use</t>
  </si>
  <si>
    <t>DIURONFor Internal Use</t>
  </si>
  <si>
    <t>KROVARFor Internal Use</t>
  </si>
  <si>
    <t>ETHOFUMESATEFor Internal Use</t>
  </si>
  <si>
    <t>FLUOMETURONFor Internal Use</t>
  </si>
  <si>
    <t>FLUROCHLORIDONEFor Internal Use</t>
  </si>
  <si>
    <t>CSFor Internal Use</t>
  </si>
  <si>
    <t>NANAFor Internal Use</t>
  </si>
  <si>
    <t>ET HAFor Internal Use</t>
  </si>
  <si>
    <t>IMAZAMOXFor Internal Use</t>
  </si>
  <si>
    <t>LINURONFor Internal Use</t>
  </si>
  <si>
    <t>EC 25For Internal Use</t>
  </si>
  <si>
    <t>GALIGANFor Internal Use</t>
  </si>
  <si>
    <t>PROPAQUIZAFOP PremixFor Internal Use</t>
  </si>
  <si>
    <t>PHENOLOXIMEFor Internal Use</t>
  </si>
  <si>
    <t>PYROXASULFONEFor Internal Use</t>
  </si>
  <si>
    <t>QUIZALOFOP PremixFor Internal Use</t>
  </si>
  <si>
    <t>SAFLUFENACILFor Internal Use</t>
  </si>
  <si>
    <t>THIENCARBAZONEFor Internal Use</t>
  </si>
  <si>
    <t>20For Internal Use</t>
  </si>
  <si>
    <t>10For Internal Use</t>
  </si>
  <si>
    <t>23For Internal Use</t>
  </si>
  <si>
    <t>19For Internal Use</t>
  </si>
  <si>
    <t>5For Internal Use</t>
  </si>
  <si>
    <t>1For Internal Use</t>
  </si>
  <si>
    <t>28For Internal Use</t>
  </si>
  <si>
    <t>24PFor Internal Use</t>
  </si>
  <si>
    <t>Shaked (42)For Internal Use</t>
  </si>
  <si>
    <t>24FFor Internal Use</t>
  </si>
  <si>
    <t>Galigan  iso (42)For Internal Use</t>
  </si>
  <si>
    <t>AP 200For Packing</t>
  </si>
  <si>
    <t>ATRALONEFor Packing</t>
  </si>
  <si>
    <t>WPFor Packing</t>
  </si>
  <si>
    <t>BROMACILFor Packing</t>
  </si>
  <si>
    <t>CHLOROTOLURON TOLUREXFor Packing</t>
  </si>
  <si>
    <t>DELTA DAMASCONFor Packing</t>
  </si>
  <si>
    <t>DIURONFor Packing</t>
  </si>
  <si>
    <t>KROVARFor Packing</t>
  </si>
  <si>
    <t>ETHOFUMESATEFor Packing</t>
  </si>
  <si>
    <t>FLUOMETURONFor Packing</t>
  </si>
  <si>
    <t>FLUROCHLORIDONEFor Packing</t>
  </si>
  <si>
    <t>NANAFor Packing</t>
  </si>
  <si>
    <t>ET HAFor Packing</t>
  </si>
  <si>
    <t>IMAZAMOXFor Packing</t>
  </si>
  <si>
    <t>LINURONFor Packing</t>
  </si>
  <si>
    <t>GALIGANFor Packing</t>
  </si>
  <si>
    <t>PROPAQUIZAFOP PremixFor Packing</t>
  </si>
  <si>
    <t>PHENOLOXIMEFor Packing</t>
  </si>
  <si>
    <t>PYROXASULFONEFor Packing</t>
  </si>
  <si>
    <t>QUIZALOFOP PremixFor Packing</t>
  </si>
  <si>
    <t>SAFLUFENACILFor Packing</t>
  </si>
  <si>
    <t>THIENCARBAZONEFor Packing</t>
  </si>
  <si>
    <t>20For Packing</t>
  </si>
  <si>
    <t>10For Packing</t>
  </si>
  <si>
    <t>5For Packing</t>
  </si>
  <si>
    <t>1For Packing</t>
  </si>
  <si>
    <t>24PFor Packing</t>
  </si>
  <si>
    <t>Shaked (42)For Packing</t>
  </si>
  <si>
    <t>Galigan  iso (42)For Packing</t>
  </si>
  <si>
    <t>MTZC500 SC METZACHLOR 50SC SULT 1000 L</t>
  </si>
  <si>
    <t>DIF40+PND300+TOLU250 1000 L</t>
  </si>
  <si>
    <t>FMTR500 SC COTOLINT 50 SC 5LT GR</t>
  </si>
  <si>
    <t>CLTD240 EC ARRODIM Lt. 1_S IT</t>
  </si>
  <si>
    <t>CLTD120 EC Arrow Super 1L_S IL.</t>
  </si>
  <si>
    <t>PNDM400 SC ACTIVUS 400SC 10 LT P 10LT PL</t>
  </si>
  <si>
    <t>תוויות עמודה</t>
  </si>
  <si>
    <t>QZLF50 EC Leopard 5 EC 5/1 5LT HU</t>
  </si>
  <si>
    <t>PNDM400 CS PENDIGAN 400 CS 5LT GR</t>
  </si>
  <si>
    <t>PNDM400 CS PENDIGAN 400 CS 1L_S GR</t>
  </si>
  <si>
    <t>FRXP359.7 EC TOMIGAN EC 5LT UA</t>
  </si>
  <si>
    <t>FRXP200 EC TOMIGAN 5LT RO</t>
  </si>
  <si>
    <t xml:space="preserve">PNDM400 SC PENDIMETHALINE 400SC 200 L </t>
  </si>
  <si>
    <t>ETFM500 SC ETHOSAT 500 5LT DE</t>
  </si>
  <si>
    <t>PND300DIF40CLT250 SC IRISH TOWER 10L UK</t>
  </si>
  <si>
    <t>FRXP359.7 EC TOMIGAN S 250 EC 1 LIT_S PL</t>
  </si>
  <si>
    <t>PINO100+THIEN8.3+MEF OD CAZADO 200LT CA</t>
  </si>
  <si>
    <t>PNDM400 SC ACTIVUS 400SC 5L POL 5LT PL</t>
  </si>
  <si>
    <t>FRXP200 EC TOMIGAN 1L_S RO</t>
  </si>
  <si>
    <t>MSRN100 SC CHIEF 1L_S RS</t>
  </si>
  <si>
    <t>FMTR500 SC FIBERAN 50 SC 5LT GR</t>
  </si>
  <si>
    <t>ARZN500 SC Atranex 5LT IL</t>
  </si>
  <si>
    <t>FMTR500 SC FLOW 50 SC 5LT GR</t>
  </si>
  <si>
    <t>SLCT173+TBAZ330 SC SULCOTREK SC 5LT GR</t>
  </si>
  <si>
    <t>MTZC500 SC METAZANEX 500 SC 1 LIT_S PL</t>
  </si>
  <si>
    <t>FRXP200 EC FLUROXYPYR 200S 200LT ARGENTI</t>
  </si>
  <si>
    <t>SLC173+TBA330SC SULCOTREK 500SC 1LT_S PL</t>
  </si>
  <si>
    <t>SLCT173+TBAZ330 SC SULCOTREK 1L_S GR</t>
  </si>
  <si>
    <t>ETFM200+PNMP200 SC POWERTWIN 5LT UK</t>
  </si>
  <si>
    <t>ETFM200+PNMP200 SC Belvedere Duo 5LT BE</t>
  </si>
  <si>
    <t>PPQZ100 EC AGIL 1L_S RS</t>
  </si>
  <si>
    <t>SUNNY B       200.00 יצרנים L</t>
  </si>
  <si>
    <t>MTZC500 SC SULTAN 50SC 5LT UK</t>
  </si>
  <si>
    <t>FRX52.5+PIN30+FLS1.75 TIMELIN EC 5L GR</t>
  </si>
  <si>
    <t>MSRN100 SC DIODE-5LT RO</t>
  </si>
  <si>
    <t>MSRN100 SC KELOMAX SC 5LT RO</t>
  </si>
  <si>
    <t>MSRN100 SC CHIEF 5LT SERBIA 5LT RS</t>
  </si>
  <si>
    <t>PNDM333DIFF20FFNC80 SC 200L ES JOB</t>
  </si>
  <si>
    <t>PROPAQUIZAFOP TECH 200KG IN</t>
  </si>
  <si>
    <t>ACTC880 EC Acenit A EC - 20l 20LT UA</t>
  </si>
  <si>
    <t>אריזה במתקן 42</t>
  </si>
  <si>
    <t>BFNX480 SC BIFENOX48 SC ATG FRE 200LT ES</t>
  </si>
  <si>
    <t>FRXP200 EC Tomahawk 1L_S IL</t>
  </si>
  <si>
    <t>TDMK DIST 180 KG EXPORT</t>
  </si>
  <si>
    <t>Sunny- Australia 5LT IL</t>
  </si>
  <si>
    <t>#N/A</t>
  </si>
  <si>
    <t>PPQZ100 EC AGIL 100 EC BE 1L_S BE</t>
  </si>
  <si>
    <t>CLTN700 SC Toluron 700 SC 10LT DE</t>
  </si>
  <si>
    <t>10 lIter</t>
  </si>
  <si>
    <t>OXFF240 EC GALIGAN 1L_S AR</t>
  </si>
  <si>
    <t>MTZC400QNMC100 SC 1000L</t>
  </si>
  <si>
    <t>OXFF240 EC GALIGAN EC (240 g/l) 1LT RU</t>
  </si>
  <si>
    <t>מוצר חדש</t>
  </si>
  <si>
    <t>Thiencarbazone (41)</t>
  </si>
  <si>
    <t>FLSL3+FRXP100 SE Cleave 102,5 SE  5LT NO</t>
  </si>
  <si>
    <t>MTMN525+QNMC40 SC GOLTIX TITAN 10LT UK</t>
  </si>
  <si>
    <t>FLSL3+FRXP100 SE CLEAVE 5LT UK</t>
  </si>
  <si>
    <t>FLSL3+FRXP100 SE Mixin 102,5 SE  5LT BLT</t>
  </si>
  <si>
    <t>PMRN500 SC PROMETREX 50 SC 1000 L</t>
  </si>
  <si>
    <t>PNDM400 SC PENDIMETHALINE 400SC 1000 L</t>
  </si>
  <si>
    <t>CHLO700 SC TABLO 710L FR</t>
  </si>
  <si>
    <t>MTZC500 SC SULTAN SC 5LT UA</t>
  </si>
  <si>
    <t>PNMP320 SC KONTAKT 320 SC 5LT NL</t>
  </si>
  <si>
    <t>CLTD240 EC CLETHODIM 240SS EUR EC 1000LT</t>
  </si>
  <si>
    <t>PNDM400 SC PENDIMETHALINE 40SC 1000LT</t>
  </si>
  <si>
    <t>CLDF80+CLQT20 EC LADDER 200LT C 200LT CA</t>
  </si>
  <si>
    <t>BR20FR80+MCPA20EC FORCFIGHT 200LT CA</t>
  </si>
  <si>
    <t>DRON970 TC DIUREX TECH MILLED 400 KG</t>
  </si>
  <si>
    <t xml:space="preserve">20 liter </t>
  </si>
  <si>
    <t>FRXP200 EC Adama Essentials Tomah 5LT AR</t>
  </si>
  <si>
    <t>1542</t>
  </si>
  <si>
    <t>1528</t>
  </si>
  <si>
    <t>OXFF240 EC BLOCK ISO 24000LT BR</t>
  </si>
  <si>
    <t>1140</t>
  </si>
  <si>
    <t>1141</t>
  </si>
  <si>
    <t>1540</t>
  </si>
  <si>
    <t>1523</t>
  </si>
  <si>
    <t>1525</t>
  </si>
  <si>
    <t>1519</t>
  </si>
  <si>
    <t>1541</t>
  </si>
  <si>
    <t>CLTN250+DIFF40+PNDM300 SC TRINITY 5LT RO</t>
  </si>
  <si>
    <t>DIF40+PND300+TOLU250 TRINITY 1000L HIGH</t>
  </si>
  <si>
    <t>CLTN700 SC TOLURON 700 SC 20 lit 20LT PL</t>
  </si>
  <si>
    <t>New Adherence</t>
  </si>
  <si>
    <t>CLTD240 EC ALC MILADIM 5LT FR</t>
  </si>
  <si>
    <t>CLTN400+DIFF25 SC CONSTEL F SC 10 LT GR</t>
  </si>
  <si>
    <t>EDAPTIS BHA MILESTONE PREMIX 1000KG</t>
  </si>
  <si>
    <t>EDAPTIS BHA EASTMAN PREMIX 1000KG</t>
  </si>
  <si>
    <t>DIFLUF40+PENDIM400SC 1000 L</t>
  </si>
  <si>
    <t>ETFM500 SC ETHOSAT 500 SC 5L BE</t>
  </si>
  <si>
    <t>CLTN400+DIFF25 SC CONSTEL F SC 5LT GR</t>
  </si>
  <si>
    <t>CLTN250+DIFF40+PNDM300SC TRIVIZA 5L CZ</t>
  </si>
  <si>
    <t>MSLN1%+PND5%+MFP3% OD EDAPTIS 1000LT CN</t>
  </si>
  <si>
    <t>DRON970 TC DIURON TECH MILLED 470KG BR</t>
  </si>
  <si>
    <t>1543</t>
  </si>
  <si>
    <t>PPQZ100 EC CLAYTON SA 5L 5LT UK</t>
  </si>
  <si>
    <t>MSLN12+PNDN60+MFPR35 OD EDAPTIS 5LT GR</t>
  </si>
  <si>
    <t>MSL12+PND60+MFPR35 OD EDAPTIS 1LT_S GR</t>
  </si>
  <si>
    <t>CLODINAFOP 80 EC CND 1000 L</t>
  </si>
  <si>
    <t>DRON20+GLYP180+OXFF144 SC Glider 1L_S IL</t>
  </si>
  <si>
    <t>LNRN500 SC LINUREX 50 SC A 1000LT</t>
  </si>
  <si>
    <t>LINURON SC TKI 1000LT</t>
  </si>
  <si>
    <t>Recycled</t>
  </si>
  <si>
    <t>PNMP320 SC SHRAPNEL 5LT UK</t>
  </si>
  <si>
    <t>MTZC500 SC Sultan 50 SC 5/1 5LT HU</t>
  </si>
  <si>
    <t>LNRN500 SC LINUREX 50SC 1LT_S UY</t>
  </si>
  <si>
    <t>PXSF850 WG PARAMER 5KG AR</t>
  </si>
  <si>
    <t>PNDM400 SC ACTIVUS 40 20L BG</t>
  </si>
  <si>
    <t>TRITON X 100 TRITON 1L_S IL,</t>
  </si>
  <si>
    <t>DRON970 TC DIURON TEC BAYER S.A 500KG BR</t>
  </si>
  <si>
    <t>OXFF240 EC GALIGAN EC 240SP 200L JOB ES</t>
  </si>
  <si>
    <t>TNXP175 EC AMIGO 175 EC 1000LT AU</t>
  </si>
  <si>
    <t>CLTN400+DIFF25 SC DICURAN PLUS Lt 5LT IT</t>
  </si>
  <si>
    <t>MTMN350QNMC60 SC MTM 350+QUIN 60 1000L</t>
  </si>
  <si>
    <t>CLTN250+DIFF40+PNDM300 SC BANDRIL 5LT FR</t>
  </si>
  <si>
    <t>CLT250+DIF40+PND300 SC LEGACY PRO 5L TV</t>
  </si>
  <si>
    <t>MTMN525QNMC40 SC MTM 525+QUIN 40 1000 L</t>
  </si>
  <si>
    <t>QZLF50 EC QUIZALOFOP 5EC THAI 200LT TH</t>
  </si>
  <si>
    <t>MTMN 350 ETFM 150 SC 1000LT</t>
  </si>
  <si>
    <t>PPQZ100 EC AGIL 100 EC 200LT SL 200LT SI</t>
  </si>
  <si>
    <t>FMTR500 SC COTTONEX 50 SC 1000LT</t>
  </si>
  <si>
    <t>MSL12+PND60+MFP35 OD EDAPTIS 1L_S PL</t>
  </si>
  <si>
    <t>1124</t>
  </si>
  <si>
    <t>LQ 43</t>
  </si>
  <si>
    <t>סה"כ 42+43</t>
  </si>
  <si>
    <t>Recycling Plan</t>
  </si>
  <si>
    <t>CLTD120 EC DILER 1L_S RS</t>
  </si>
  <si>
    <t>QNMC 539 SC 1000LT</t>
  </si>
  <si>
    <t>PNMP320 SC KYOSK 5LT SC FR</t>
  </si>
  <si>
    <t>24DA306.1+FLSL6 SE ELEGANT 2FD 5LT BT</t>
  </si>
  <si>
    <t>PNMP320 SC PHENMEDIPHAM 320GL SC 1000LT</t>
  </si>
  <si>
    <t>BFNX480 SC FOX 480 SC 5LT UK</t>
  </si>
  <si>
    <t>MSLN12+PNDN60+MFPR35 OD EDAPTIS 5LT RO</t>
  </si>
  <si>
    <t>(הכל)</t>
  </si>
  <si>
    <t>PNDM400 SC PENDIGAN 40 SC 1L_S GR</t>
  </si>
  <si>
    <t>FLSL3+FRXP100 SE CLEAVE 102.5 5LT SE</t>
  </si>
  <si>
    <t>FMTR500 SC COTTONEX 50 SC 1L_S GR</t>
  </si>
  <si>
    <t>CLTN250+DIFF40+PNDM300 SC TOWER 10L NZ</t>
  </si>
  <si>
    <t>MTM525+QN40SC GOLTIX TITAN565SC 1LT_S PL</t>
  </si>
  <si>
    <t>SLCT173+TBAZ330 SC SULCOTREK 5LT  5LT SK</t>
  </si>
  <si>
    <t>AMINO 13 W/W % WITH POTASSIUM HYDROXIDE</t>
  </si>
  <si>
    <t>BRMC400+DRON400 WG BROM/DIU 4 11.35KG US</t>
  </si>
  <si>
    <t>PNMP320 SC KONTAKT 320 SC (5) DEN 5LT DK</t>
  </si>
  <si>
    <t>AMPR 15+ QNMC 470 1000LT</t>
  </si>
  <si>
    <t>CPR40+FRX60+MCPA40EC ESTEEM ALL1000LT CA</t>
  </si>
  <si>
    <t>Propa Melt (25,40)</t>
  </si>
  <si>
    <t>ממתין לאישור הפעלה</t>
  </si>
  <si>
    <t>PNDM400 SC Activus 400 SC 5/1 5LT HU</t>
  </si>
  <si>
    <t>OXFF500 SC GALIGAN 500 G/L 200 L</t>
  </si>
  <si>
    <t>FLSL3+FRXP100 SE Mixin 102,5 SE F 5LT FI</t>
  </si>
  <si>
    <t>FRX52.5AE+PIN30+FLS1.75 TIMELINE F 5L BG</t>
  </si>
  <si>
    <t>FRX52.5AE+PIN30+FLS1.75 TIMELIN FX 5L PL</t>
  </si>
  <si>
    <t>PPQZ100 EC BATALIN 10LT DE</t>
  </si>
  <si>
    <t>FRX52.5AE+PIN30+FLS1.75 TIMELINE F 5L RO</t>
  </si>
  <si>
    <t>ETFM150+MTM350SC TORERO 500 SC 1 LT_S PL</t>
  </si>
  <si>
    <t>PPQZ100 EC CLEANCROP ENQUIRE(MAP)5LT UK</t>
  </si>
  <si>
    <t>FCDN250 EC RRACER25 EC-1L_S RO</t>
  </si>
  <si>
    <t>FRX52.5+PIN30+FLS1.75 KAMPAI EC 10L ES</t>
  </si>
  <si>
    <t>MSLN12+PNDN60+MFPR35 OD EDAPTIS 5LT CZ</t>
  </si>
  <si>
    <t>FRX52.5+PIN30+FLS1.75 TIMELIN EC 10L GR</t>
  </si>
  <si>
    <t>FCDN250 EC RACER EC 1L_S RS</t>
  </si>
  <si>
    <t>PPQZ100 EC TOMAS 5LT CZ</t>
  </si>
  <si>
    <t>MCW</t>
  </si>
  <si>
    <t>CLMZ480 EC CLOMAZONE 480 EC 200 LT (NEW)</t>
  </si>
  <si>
    <t>QZLF50 EC LEOPARD 5EC 5LT HR</t>
  </si>
  <si>
    <t>PNDM400 SC PENDI 40SC 1000LT JOB ES</t>
  </si>
  <si>
    <t>FRX52.5+PIN30+FLS1.75 TIMELINE FX 10L SE</t>
  </si>
  <si>
    <t>CLMZ480 EC KALIF 480 EC 1L_S HR</t>
  </si>
  <si>
    <t>QZLF50 EC LEOPARD 5EC 1L_S HR</t>
  </si>
  <si>
    <t>ETFM500 SC ETHOSAT 500 SC 5LT SK</t>
  </si>
  <si>
    <t>LNRN500 WP AFALON 500 500KG GT</t>
  </si>
  <si>
    <t>BNTZ480+CLMZ50 ME EVENTUS ME 1L_S RS</t>
  </si>
  <si>
    <t>ETFM150+MTMN350 SC GOLTIX UNO 5LT ES</t>
  </si>
  <si>
    <t>PPQZ100 EC PROPAQUIZAFOP 10 E 200LT KR</t>
  </si>
  <si>
    <t>DIF40+PND300+TOLU250 1000L ES FOR DE JOB</t>
  </si>
  <si>
    <t>MSLN12+PNDN60+MFPR35 OD EDAPTIS 5LT IE.</t>
  </si>
  <si>
    <t>BFNX480 SC SONAVIO 5LT GR</t>
  </si>
  <si>
    <t>AMINO15+QUINM470 SC PORAFAM TITAN 5LT DE</t>
  </si>
  <si>
    <t>BFNX480 SC SONAVIO 1L_S GR</t>
  </si>
  <si>
    <t>FRXP250 EC TOMIGAN 1L_S RS</t>
  </si>
  <si>
    <t>Shaked iso (42+23)</t>
  </si>
  <si>
    <t>CLOQ8+FLSL2+PNDN30+FRXP53 EC TIMELIN5 LT</t>
  </si>
  <si>
    <t>UCZL50 SC MAGIC S200 IL</t>
  </si>
  <si>
    <t>MTZC500 SC SULTAN 500 SC 5 LT BG</t>
  </si>
  <si>
    <t>MSRN100+ TFZN30+CYPR45 OD 1000LT</t>
  </si>
  <si>
    <t>L</t>
  </si>
  <si>
    <t/>
  </si>
  <si>
    <t>KG</t>
  </si>
  <si>
    <t>FRXP200 EC TOMAHAWK20EC 5LT CAM</t>
  </si>
  <si>
    <t>PPQZ100 EC AGIL 10 EC 1L_S CR</t>
  </si>
  <si>
    <t>FRXP200 EC TOMAHAWK 20LT GT</t>
  </si>
  <si>
    <t>FRXP200 EC TOMAHAWK 20 EC 1L_S GT</t>
  </si>
  <si>
    <t>MSR100+ TFZN30+CYP45 OD TELAVEX 5LT DE</t>
  </si>
  <si>
    <t>מחסור של CAC</t>
  </si>
  <si>
    <t>מחסור ב DMA</t>
  </si>
  <si>
    <t>NH</t>
  </si>
  <si>
    <t>תגבור פירמול בנאות חובב</t>
  </si>
  <si>
    <t>MTMN700 SC GOLTIX GOLD 70 SC(NEW)1000 LT</t>
  </si>
  <si>
    <t>DRON800 WP DIUREX 80 WP 500KG LK</t>
  </si>
  <si>
    <t>PRXS 835 SC PYROXASULFONE 1000 LT</t>
  </si>
  <si>
    <t>24F128</t>
  </si>
  <si>
    <t>LNRN500 WP LINUREX 50 WP 500KG TW</t>
  </si>
  <si>
    <t>עיכוב הגעה ALIL</t>
  </si>
  <si>
    <t>LNRN500 WP AFALON 50 WP 500KG PH</t>
  </si>
  <si>
    <t>CLT25+DIF40+PND30 TRINITY 590SC 1LT_S PL</t>
  </si>
  <si>
    <t>PNDM400 SC ANTHEM 10LT UK</t>
  </si>
  <si>
    <t>FRXP200 EC TOMAHAWK 5LT BOLIVIA 5LT BO</t>
  </si>
  <si>
    <t>BRMC800 WP HYBRO 500KG WP EC</t>
  </si>
  <si>
    <t>LNRN500 SC LINAGAN 50 SC  S.AFR 5LT ZA</t>
  </si>
  <si>
    <t>CLTN250+DIFF40+PNDM300SC Trinity1000L SI</t>
  </si>
  <si>
    <t>OXFF240 EC GALIGAN EC 240SSS US 1000 L</t>
  </si>
  <si>
    <t>DIFF40+PNDM400 SC DIFLUF4O+PEND1000L JOB</t>
  </si>
  <si>
    <t>PPQZ100 EC AGIL 100EC 1L_S HR</t>
  </si>
  <si>
    <t>1401</t>
  </si>
  <si>
    <t>REL  CNF  PRC  BASC BCRQ GMPS ILAS MACM*</t>
  </si>
  <si>
    <t>REL  CNF  DLV  PRC  BASC BCRQ GMPS MACM*</t>
  </si>
  <si>
    <t>REL  CNF  DLV  PRC  BASC BCRQ GMPS MANC*</t>
  </si>
  <si>
    <t>1524</t>
  </si>
  <si>
    <t>REL  PCNF DLV  PRC  BASC BCRQ GMPS ILAS*</t>
  </si>
  <si>
    <t>REL  PCNF DLV  PRC  BASC BCRQ GMPS MACM*</t>
  </si>
  <si>
    <t>REL  CNF  DLV  PRC  BASC BCRQ GMPS ILAS*</t>
  </si>
  <si>
    <t>CLTN950 TC TOLUREX TEC MILLED 550 KG</t>
  </si>
  <si>
    <t>REL  DLV  PRC  BASC BCRQ GMPS MACM ORRQ*</t>
  </si>
  <si>
    <t>REL  CNF  PRC  BASC BCRQ GMPS MACM ORRQ*</t>
  </si>
  <si>
    <t>REL  DLV  PRC  BASC BCRQ GMPS MANC ORRQ*</t>
  </si>
  <si>
    <t>0000000133</t>
  </si>
  <si>
    <t>0000000135</t>
  </si>
  <si>
    <t>REL  PCNF PRC  BASC BCRQ GMPS ILAS MACM*</t>
  </si>
  <si>
    <t xml:space="preserve"> Production Report Aug 2026</t>
  </si>
  <si>
    <t>חוסר TRIFLUOROMETHYL PHENOL</t>
  </si>
  <si>
    <t>בהתאם להגעת 486</t>
  </si>
  <si>
    <t>MCPA600 EC ESTER 600 1000LT US</t>
  </si>
  <si>
    <t>1390334</t>
  </si>
  <si>
    <t>1390336</t>
  </si>
  <si>
    <t>0000520621</t>
  </si>
  <si>
    <t>1390392</t>
  </si>
  <si>
    <t>0000012952</t>
  </si>
  <si>
    <t>1390039</t>
  </si>
  <si>
    <t>0000009267</t>
  </si>
  <si>
    <t>1389642</t>
  </si>
  <si>
    <t>0000001513</t>
  </si>
  <si>
    <t>1390178</t>
  </si>
  <si>
    <t>0000008648</t>
  </si>
  <si>
    <t>1390232</t>
  </si>
  <si>
    <t>0000520622</t>
  </si>
  <si>
    <t>1390393</t>
  </si>
  <si>
    <t>0000001901</t>
  </si>
  <si>
    <t>1390461</t>
  </si>
  <si>
    <t>0000000318</t>
  </si>
  <si>
    <t>1390865</t>
  </si>
  <si>
    <t>0000000319</t>
  </si>
  <si>
    <t>1390866</t>
  </si>
  <si>
    <t>0000000320</t>
  </si>
  <si>
    <t>1390867</t>
  </si>
  <si>
    <t>0000151932</t>
  </si>
  <si>
    <t>1390377</t>
  </si>
  <si>
    <t>0000151933</t>
  </si>
  <si>
    <t>1390378</t>
  </si>
  <si>
    <t>0000000156</t>
  </si>
  <si>
    <t>1391614</t>
  </si>
  <si>
    <t>0000151934</t>
  </si>
  <si>
    <t>1390987</t>
  </si>
  <si>
    <t>0000151935</t>
  </si>
  <si>
    <t>1390988</t>
  </si>
  <si>
    <t>0000151936</t>
  </si>
  <si>
    <t>1390989</t>
  </si>
  <si>
    <t>0000151937</t>
  </si>
  <si>
    <t>1390990</t>
  </si>
  <si>
    <t>0000000155</t>
  </si>
  <si>
    <t>1391309</t>
  </si>
  <si>
    <t>0000000207</t>
  </si>
  <si>
    <t>1390402</t>
  </si>
  <si>
    <t>0000000457</t>
  </si>
  <si>
    <t>1390805</t>
  </si>
  <si>
    <t>0000000458</t>
  </si>
  <si>
    <t>1390806</t>
  </si>
  <si>
    <t>0000151930</t>
  </si>
  <si>
    <t>1390375</t>
  </si>
  <si>
    <t>0000151931</t>
  </si>
  <si>
    <t>1390376</t>
  </si>
  <si>
    <t>0000207134</t>
  </si>
  <si>
    <t>1389341</t>
  </si>
  <si>
    <t>0000207135</t>
  </si>
  <si>
    <t>1389342</t>
  </si>
  <si>
    <t>0000207136</t>
  </si>
  <si>
    <t>1389343</t>
  </si>
  <si>
    <t>0000000953</t>
  </si>
  <si>
    <t>1387483</t>
  </si>
  <si>
    <t>0000284959</t>
  </si>
  <si>
    <t>1387631</t>
  </si>
  <si>
    <t>0000272406</t>
  </si>
  <si>
    <t>1387913</t>
  </si>
  <si>
    <t>0000000102</t>
  </si>
  <si>
    <t>1390220</t>
  </si>
  <si>
    <t>0000000103</t>
  </si>
  <si>
    <t>1390221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</si>
</sst>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#,##0.000"/>
    <numFmt numFmtId="166" formatCode="0.0"/>
    <numFmt numFmtId="167" formatCode="0.0000000000000000"/>
    <numFmt numFmtId="168" formatCode="_(* #,##0_);_(* \(#,##0\);_(* &quot;-&quot;??_);_(@_)"/>
    <numFmt numFmtId="169" formatCode="_(* #,##0.0_);_(* \(#,##0.0\);_(* &quot;-&quot;??_);_(@_)"/>
    <numFmt numFmtId="170" formatCode="[$-409]d\-mmm;@"/>
    <numFmt numFmtId="171" formatCode="_ * #,##0.0_ ;_ * \-#,##0.0_ ;_ * &quot;-&quot;?_ ;_ @_ "/>
  </numFmts>
  <fonts count="33" x14ac:knownFonts="1">
    <font>
      <sz val="10"/>
      <name val="Arial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000000"/>
      <name val="Arial"/>
      <family val="2"/>
      <charset val="177"/>
      <scheme val="minor"/>
    </font>
    <font>
      <sz val="11"/>
      <name val="Arial"/>
      <family val="2"/>
      <charset val="177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11"/>
      <color rgb="FFFF0000"/>
      <name val="Arial"/>
      <family val="2"/>
      <scheme val="minor"/>
    </font>
    <font>
      <b/>
      <sz val="9"/>
      <color theme="0"/>
      <name val="Arial"/>
      <family val="2"/>
      <scheme val="minor"/>
    </font>
    <font>
      <b/>
      <sz val="10"/>
      <name val="Arial"/>
      <family val="2"/>
    </font>
    <font>
      <u val="singleAccounting"/>
      <sz val="10"/>
      <name val="Arial"/>
      <family val="2"/>
    </font>
    <font>
      <b/>
      <sz val="11"/>
      <color rgb="FF000000"/>
      <name val="Arial"/>
      <family val="2"/>
      <scheme val="minor"/>
    </font>
    <font>
      <b/>
      <sz val="1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9" fillId="0" borderId="0"/>
    <xf numFmtId="9" fontId="19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16" fillId="0" borderId="0"/>
    <xf numFmtId="0" fontId="24" fillId="0" borderId="0"/>
    <xf numFmtId="0" fontId="9" fillId="0" borderId="0"/>
    <xf numFmtId="0" fontId="3" fillId="0" borderId="0"/>
  </cellStyleXfs>
  <cellXfs count="14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pivotButton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165" fontId="0" fillId="0" borderId="0" xfId="0" applyNumberFormat="1" applyAlignment="1">
      <alignment horizontal="right" vertical="top"/>
    </xf>
    <xf numFmtId="14" fontId="18" fillId="4" borderId="1" xfId="1" applyNumberFormat="1" applyFont="1" applyFill="1" applyBorder="1" applyAlignment="1">
      <alignment horizontal="center" vertical="center"/>
    </xf>
    <xf numFmtId="0" fontId="18" fillId="4" borderId="3" xfId="1" applyFont="1" applyFill="1" applyBorder="1" applyAlignment="1">
      <alignment vertical="center"/>
    </xf>
    <xf numFmtId="0" fontId="18" fillId="4" borderId="0" xfId="1" applyFont="1" applyFill="1" applyAlignment="1">
      <alignment vertical="center"/>
    </xf>
    <xf numFmtId="0" fontId="19" fillId="0" borderId="0" xfId="1" applyAlignment="1">
      <alignment horizontal="center" vertical="center"/>
    </xf>
    <xf numFmtId="0" fontId="17" fillId="5" borderId="4" xfId="1" applyFont="1" applyFill="1" applyBorder="1" applyAlignment="1">
      <alignment horizontal="center" wrapText="1"/>
    </xf>
    <xf numFmtId="0" fontId="18" fillId="0" borderId="4" xfId="1" applyFont="1" applyBorder="1" applyAlignment="1">
      <alignment horizontal="center"/>
    </xf>
    <xf numFmtId="0" fontId="17" fillId="5" borderId="1" xfId="1" applyFont="1" applyFill="1" applyBorder="1" applyAlignment="1">
      <alignment horizontal="center" vertical="center"/>
    </xf>
    <xf numFmtId="0" fontId="17" fillId="5" borderId="0" xfId="1" applyFont="1" applyFill="1" applyAlignment="1">
      <alignment vertical="center"/>
    </xf>
    <xf numFmtId="0" fontId="17" fillId="5" borderId="0" xfId="1" applyFont="1" applyFill="1" applyAlignment="1">
      <alignment horizontal="center" vertical="center" wrapText="1"/>
    </xf>
    <xf numFmtId="0" fontId="19" fillId="0" borderId="0" xfId="1" applyAlignment="1">
      <alignment horizontal="center"/>
    </xf>
    <xf numFmtId="2" fontId="19" fillId="0" borderId="0" xfId="1" applyNumberFormat="1" applyAlignment="1">
      <alignment horizontal="center"/>
    </xf>
    <xf numFmtId="1" fontId="19" fillId="0" borderId="0" xfId="1" applyNumberFormat="1" applyAlignment="1">
      <alignment horizontal="center"/>
    </xf>
    <xf numFmtId="9" fontId="0" fillId="9" borderId="0" xfId="2" applyFont="1" applyFill="1" applyAlignment="1">
      <alignment horizontal="center"/>
    </xf>
    <xf numFmtId="0" fontId="18" fillId="0" borderId="5" xfId="1" applyFont="1" applyBorder="1" applyAlignment="1">
      <alignment horizontal="left"/>
    </xf>
    <xf numFmtId="0" fontId="19" fillId="0" borderId="1" xfId="1" applyBorder="1" applyAlignment="1">
      <alignment horizontal="center" wrapText="1"/>
    </xf>
    <xf numFmtId="0" fontId="19" fillId="0" borderId="0" xfId="1"/>
    <xf numFmtId="14" fontId="19" fillId="0" borderId="0" xfId="1" applyNumberFormat="1" applyAlignment="1">
      <alignment horizontal="center"/>
    </xf>
    <xf numFmtId="0" fontId="19" fillId="0" borderId="1" xfId="1" applyBorder="1" applyAlignment="1">
      <alignment horizontal="center"/>
    </xf>
    <xf numFmtId="14" fontId="0" fillId="0" borderId="0" xfId="0" applyNumberFormat="1" applyAlignment="1">
      <alignment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8" fontId="0" fillId="0" borderId="1" xfId="3" applyNumberFormat="1" applyFont="1" applyBorder="1" applyAlignment="1">
      <alignment vertical="top"/>
    </xf>
    <xf numFmtId="17" fontId="0" fillId="0" borderId="1" xfId="0" applyNumberFormat="1" applyBorder="1" applyAlignment="1">
      <alignment vertical="top"/>
    </xf>
    <xf numFmtId="0" fontId="0" fillId="3" borderId="1" xfId="0" applyFill="1" applyBorder="1" applyAlignment="1">
      <alignment vertical="top"/>
    </xf>
    <xf numFmtId="1" fontId="21" fillId="0" borderId="6" xfId="1" applyNumberFormat="1" applyFont="1" applyBorder="1" applyAlignment="1">
      <alignment horizontal="center" vertical="center" wrapText="1"/>
    </xf>
    <xf numFmtId="1" fontId="21" fillId="8" borderId="6" xfId="1" applyNumberFormat="1" applyFont="1" applyFill="1" applyBorder="1" applyAlignment="1">
      <alignment horizontal="center"/>
    </xf>
    <xf numFmtId="1" fontId="21" fillId="0" borderId="6" xfId="1" applyNumberFormat="1" applyFont="1" applyBorder="1" applyAlignment="1">
      <alignment horizontal="center"/>
    </xf>
    <xf numFmtId="166" fontId="21" fillId="0" borderId="1" xfId="1" applyNumberFormat="1" applyFont="1" applyBorder="1" applyAlignment="1">
      <alignment horizontal="center" vertical="center" wrapText="1"/>
    </xf>
    <xf numFmtId="1" fontId="19" fillId="0" borderId="1" xfId="1" applyNumberFormat="1" applyBorder="1" applyAlignment="1">
      <alignment horizontal="center"/>
    </xf>
    <xf numFmtId="2" fontId="19" fillId="0" borderId="1" xfId="1" applyNumberFormat="1" applyBorder="1" applyAlignment="1">
      <alignment horizontal="center"/>
    </xf>
    <xf numFmtId="1" fontId="21" fillId="0" borderId="1" xfId="1" applyNumberFormat="1" applyFont="1" applyBorder="1" applyAlignment="1">
      <alignment horizontal="center" vertical="center" wrapText="1"/>
    </xf>
    <xf numFmtId="1" fontId="21" fillId="8" borderId="1" xfId="1" applyNumberFormat="1" applyFont="1" applyFill="1" applyBorder="1" applyAlignment="1">
      <alignment horizontal="center"/>
    </xf>
    <xf numFmtId="1" fontId="21" fillId="0" borderId="1" xfId="1" applyNumberFormat="1" applyFont="1" applyBorder="1" applyAlignment="1">
      <alignment horizontal="center"/>
    </xf>
    <xf numFmtId="9" fontId="0" fillId="9" borderId="1" xfId="2" applyFont="1" applyFill="1" applyBorder="1" applyAlignment="1">
      <alignment horizontal="center"/>
    </xf>
    <xf numFmtId="0" fontId="18" fillId="4" borderId="3" xfId="1" applyFont="1" applyFill="1" applyBorder="1" applyAlignment="1">
      <alignment horizontal="center" vertical="center"/>
    </xf>
    <xf numFmtId="1" fontId="17" fillId="5" borderId="1" xfId="1" applyNumberFormat="1" applyFont="1" applyFill="1" applyBorder="1" applyAlignment="1">
      <alignment horizontal="center" vertical="center"/>
    </xf>
    <xf numFmtId="0" fontId="17" fillId="5" borderId="4" xfId="1" applyFont="1" applyFill="1" applyBorder="1" applyAlignment="1">
      <alignment horizontal="center" vertical="center"/>
    </xf>
    <xf numFmtId="0" fontId="17" fillId="5" borderId="4" xfId="1" applyFont="1" applyFill="1" applyBorder="1" applyAlignment="1">
      <alignment horizontal="center" vertical="center" wrapText="1"/>
    </xf>
    <xf numFmtId="0" fontId="18" fillId="6" borderId="7" xfId="1" applyFont="1" applyFill="1" applyBorder="1" applyAlignment="1">
      <alignment horizontal="center"/>
    </xf>
    <xf numFmtId="0" fontId="19" fillId="0" borderId="6" xfId="1" applyBorder="1" applyAlignment="1">
      <alignment horizontal="center"/>
    </xf>
    <xf numFmtId="1" fontId="20" fillId="0" borderId="6" xfId="1" applyNumberFormat="1" applyFont="1" applyBorder="1" applyAlignment="1">
      <alignment horizontal="center"/>
    </xf>
    <xf numFmtId="9" fontId="20" fillId="0" borderId="6" xfId="2" applyFont="1" applyFill="1" applyBorder="1" applyAlignment="1">
      <alignment horizontal="center"/>
    </xf>
    <xf numFmtId="9" fontId="20" fillId="7" borderId="6" xfId="2" applyFont="1" applyFill="1" applyBorder="1" applyAlignment="1">
      <alignment horizontal="center"/>
    </xf>
    <xf numFmtId="0" fontId="18" fillId="0" borderId="1" xfId="1" applyFont="1" applyBorder="1" applyAlignment="1">
      <alignment horizontal="left"/>
    </xf>
    <xf numFmtId="1" fontId="20" fillId="0" borderId="1" xfId="3" applyNumberFormat="1" applyFont="1" applyBorder="1" applyAlignment="1">
      <alignment horizontal="center"/>
    </xf>
    <xf numFmtId="9" fontId="20" fillId="0" borderId="1" xfId="2" applyFont="1" applyFill="1" applyBorder="1" applyAlignment="1">
      <alignment horizontal="center"/>
    </xf>
    <xf numFmtId="1" fontId="20" fillId="0" borderId="1" xfId="1" applyNumberFormat="1" applyFont="1" applyBorder="1" applyAlignment="1">
      <alignment horizontal="center"/>
    </xf>
    <xf numFmtId="9" fontId="20" fillId="7" borderId="1" xfId="2" applyFont="1" applyFill="1" applyBorder="1"/>
    <xf numFmtId="9" fontId="20" fillId="7" borderId="1" xfId="2" applyFont="1" applyFill="1" applyBorder="1" applyAlignment="1">
      <alignment horizontal="center"/>
    </xf>
    <xf numFmtId="166" fontId="20" fillId="0" borderId="1" xfId="1" applyNumberFormat="1" applyFont="1" applyBorder="1" applyAlignment="1">
      <alignment horizontal="center"/>
    </xf>
    <xf numFmtId="2" fontId="21" fillId="0" borderId="1" xfId="1" applyNumberFormat="1" applyFont="1" applyBorder="1" applyAlignment="1">
      <alignment horizontal="center" vertical="center" wrapText="1"/>
    </xf>
    <xf numFmtId="166" fontId="21" fillId="0" borderId="1" xfId="1" applyNumberFormat="1" applyFont="1" applyBorder="1" applyAlignment="1">
      <alignment horizontal="center"/>
    </xf>
    <xf numFmtId="167" fontId="21" fillId="8" borderId="1" xfId="1" applyNumberFormat="1" applyFont="1" applyFill="1" applyBorder="1" applyAlignment="1">
      <alignment horizontal="center"/>
    </xf>
    <xf numFmtId="0" fontId="18" fillId="10" borderId="1" xfId="1" applyFont="1" applyFill="1" applyBorder="1" applyAlignment="1">
      <alignment horizontal="center"/>
    </xf>
    <xf numFmtId="0" fontId="21" fillId="0" borderId="1" xfId="1" applyFont="1" applyBorder="1" applyAlignment="1">
      <alignment horizontal="center"/>
    </xf>
    <xf numFmtId="0" fontId="18" fillId="0" borderId="1" xfId="0" applyFont="1" applyBorder="1" applyAlignment="1">
      <alignment horizontal="left"/>
    </xf>
    <xf numFmtId="0" fontId="21" fillId="0" borderId="1" xfId="0" applyFont="1" applyBorder="1" applyAlignment="1">
      <alignment horizontal="center"/>
    </xf>
    <xf numFmtId="1" fontId="20" fillId="0" borderId="1" xfId="0" applyNumberFormat="1" applyFont="1" applyBorder="1" applyAlignment="1">
      <alignment horizontal="center"/>
    </xf>
    <xf numFmtId="1" fontId="21" fillId="0" borderId="1" xfId="0" applyNumberFormat="1" applyFont="1" applyBorder="1" applyAlignment="1">
      <alignment horizontal="center"/>
    </xf>
    <xf numFmtId="166" fontId="21" fillId="0" borderId="1" xfId="0" applyNumberFormat="1" applyFont="1" applyBorder="1" applyAlignment="1">
      <alignment horizontal="center"/>
    </xf>
    <xf numFmtId="0" fontId="16" fillId="0" borderId="0" xfId="4"/>
    <xf numFmtId="0" fontId="16" fillId="0" borderId="0" xfId="4" applyAlignment="1">
      <alignment vertical="top"/>
    </xf>
    <xf numFmtId="16" fontId="16" fillId="0" borderId="0" xfId="4" applyNumberFormat="1"/>
    <xf numFmtId="1" fontId="21" fillId="0" borderId="1" xfId="1" applyNumberFormat="1" applyFont="1" applyBorder="1" applyAlignment="1">
      <alignment horizontal="center" vertical="center" wrapText="1" readingOrder="2"/>
    </xf>
    <xf numFmtId="0" fontId="19" fillId="0" borderId="1" xfId="1" applyBorder="1" applyAlignment="1">
      <alignment horizontal="center" vertical="center" wrapText="1"/>
    </xf>
    <xf numFmtId="9" fontId="0" fillId="9" borderId="8" xfId="2" applyFont="1" applyFill="1" applyBorder="1" applyAlignment="1">
      <alignment horizontal="center"/>
    </xf>
    <xf numFmtId="1" fontId="0" fillId="9" borderId="8" xfId="2" applyNumberFormat="1" applyFont="1" applyFill="1" applyBorder="1" applyAlignment="1">
      <alignment horizontal="center"/>
    </xf>
    <xf numFmtId="0" fontId="17" fillId="5" borderId="0" xfId="1" applyFont="1" applyFill="1" applyAlignment="1">
      <alignment horizontal="center" vertical="center"/>
    </xf>
    <xf numFmtId="0" fontId="25" fillId="3" borderId="0" xfId="1" applyFont="1" applyFill="1" applyAlignment="1">
      <alignment horizontal="center"/>
    </xf>
    <xf numFmtId="0" fontId="0" fillId="6" borderId="0" xfId="0" applyFill="1" applyAlignment="1">
      <alignment vertical="top"/>
    </xf>
    <xf numFmtId="0" fontId="18" fillId="6" borderId="6" xfId="1" applyFont="1" applyFill="1" applyBorder="1" applyAlignment="1">
      <alignment horizontal="center"/>
    </xf>
    <xf numFmtId="168" fontId="18" fillId="0" borderId="1" xfId="3" applyNumberFormat="1" applyFont="1" applyBorder="1" applyAlignment="1">
      <alignment horizontal="center"/>
    </xf>
    <xf numFmtId="0" fontId="18" fillId="0" borderId="1" xfId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26" fillId="5" borderId="0" xfId="1" applyFont="1" applyFill="1" applyAlignment="1">
      <alignment horizontal="center" vertical="center"/>
    </xf>
    <xf numFmtId="17" fontId="16" fillId="0" borderId="0" xfId="4" applyNumberFormat="1"/>
    <xf numFmtId="13" fontId="16" fillId="0" borderId="0" xfId="3" applyNumberFormat="1" applyFont="1"/>
    <xf numFmtId="0" fontId="15" fillId="0" borderId="0" xfId="4" applyFont="1"/>
    <xf numFmtId="0" fontId="0" fillId="0" borderId="0" xfId="0"/>
    <xf numFmtId="0" fontId="14" fillId="0" borderId="0" xfId="4" applyFont="1"/>
    <xf numFmtId="0" fontId="24" fillId="2" borderId="1" xfId="0" applyFont="1" applyFill="1" applyBorder="1" applyAlignment="1">
      <alignment vertical="top" wrapText="1"/>
    </xf>
    <xf numFmtId="169" fontId="18" fillId="0" borderId="1" xfId="3" applyNumberFormat="1" applyFont="1" applyBorder="1" applyAlignment="1">
      <alignment horizontal="center"/>
    </xf>
    <xf numFmtId="170" fontId="17" fillId="5" borderId="1" xfId="1" applyNumberFormat="1" applyFont="1" applyFill="1" applyBorder="1" applyAlignment="1">
      <alignment horizontal="center"/>
    </xf>
    <xf numFmtId="0" fontId="13" fillId="0" borderId="0" xfId="4" applyFont="1"/>
    <xf numFmtId="0" fontId="12" fillId="0" borderId="0" xfId="4" applyFont="1"/>
    <xf numFmtId="0" fontId="11" fillId="0" borderId="0" xfId="4" applyFont="1"/>
    <xf numFmtId="0" fontId="0" fillId="0" borderId="0" xfId="0" quotePrefix="1" applyAlignment="1">
      <alignment vertical="top"/>
    </xf>
    <xf numFmtId="0" fontId="24" fillId="2" borderId="1" xfId="0" applyFont="1" applyFill="1" applyBorder="1" applyAlignment="1">
      <alignment vertical="top"/>
    </xf>
    <xf numFmtId="0" fontId="27" fillId="3" borderId="0" xfId="0" applyFont="1" applyFill="1" applyAlignment="1">
      <alignment vertical="top" wrapText="1"/>
    </xf>
    <xf numFmtId="0" fontId="24" fillId="0" borderId="0" xfId="0" applyFont="1" applyAlignment="1">
      <alignment vertical="top"/>
    </xf>
    <xf numFmtId="0" fontId="24" fillId="3" borderId="0" xfId="0" applyFont="1" applyFill="1" applyAlignment="1">
      <alignment vertical="top" wrapText="1"/>
    </xf>
    <xf numFmtId="0" fontId="16" fillId="0" borderId="0" xfId="4" applyAlignment="1">
      <alignment horizontal="center"/>
    </xf>
    <xf numFmtId="16" fontId="16" fillId="0" borderId="0" xfId="4" applyNumberFormat="1" applyAlignment="1">
      <alignment horizontal="center"/>
    </xf>
    <xf numFmtId="0" fontId="12" fillId="0" borderId="0" xfId="4" applyFont="1" applyAlignment="1">
      <alignment horizontal="center"/>
    </xf>
    <xf numFmtId="0" fontId="24" fillId="3" borderId="1" xfId="0" applyFont="1" applyFill="1" applyBorder="1" applyAlignment="1">
      <alignment vertical="top"/>
    </xf>
    <xf numFmtId="3" fontId="0" fillId="0" borderId="0" xfId="0" applyNumberFormat="1" applyAlignment="1">
      <alignment vertical="top"/>
    </xf>
    <xf numFmtId="0" fontId="27" fillId="3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27" fillId="3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3" borderId="1" xfId="0" applyFill="1" applyBorder="1" applyAlignment="1">
      <alignment horizontal="right" vertical="top"/>
    </xf>
    <xf numFmtId="0" fontId="24" fillId="3" borderId="1" xfId="0" applyFont="1" applyFill="1" applyBorder="1" applyAlignment="1">
      <alignment horizontal="right" vertical="top"/>
    </xf>
    <xf numFmtId="0" fontId="24" fillId="0" borderId="1" xfId="0" applyFont="1" applyBorder="1" applyAlignment="1">
      <alignment horizontal="right" vertical="top"/>
    </xf>
    <xf numFmtId="168" fontId="0" fillId="3" borderId="0" xfId="0" applyNumberFormat="1" applyFill="1" applyAlignment="1">
      <alignment vertical="top"/>
    </xf>
    <xf numFmtId="168" fontId="28" fillId="3" borderId="0" xfId="0" applyNumberFormat="1" applyFont="1" applyFill="1" applyAlignment="1">
      <alignment vertical="top"/>
    </xf>
    <xf numFmtId="168" fontId="0" fillId="11" borderId="0" xfId="0" applyNumberFormat="1" applyFill="1" applyAlignment="1">
      <alignment vertical="top"/>
    </xf>
    <xf numFmtId="168" fontId="20" fillId="7" borderId="1" xfId="3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vertical="top"/>
    </xf>
    <xf numFmtId="0" fontId="10" fillId="0" borderId="0" xfId="4" applyFont="1"/>
    <xf numFmtId="168" fontId="18" fillId="0" borderId="1" xfId="3" applyNumberFormat="1" applyFont="1" applyFill="1" applyBorder="1" applyAlignment="1">
      <alignment horizontal="center"/>
    </xf>
    <xf numFmtId="168" fontId="29" fillId="0" borderId="1" xfId="3" applyNumberFormat="1" applyFont="1" applyBorder="1" applyAlignment="1">
      <alignment horizontal="center"/>
    </xf>
    <xf numFmtId="168" fontId="29" fillId="0" borderId="1" xfId="3" applyNumberFormat="1" applyFont="1" applyFill="1" applyBorder="1" applyAlignment="1">
      <alignment horizontal="center"/>
    </xf>
    <xf numFmtId="168" fontId="30" fillId="0" borderId="1" xfId="3" applyNumberFormat="1" applyFont="1" applyBorder="1" applyAlignment="1">
      <alignment horizontal="center"/>
    </xf>
    <xf numFmtId="0" fontId="9" fillId="0" borderId="0" xfId="4" applyFont="1"/>
    <xf numFmtId="0" fontId="0" fillId="0" borderId="0" xfId="0" applyAlignment="1">
      <alignment horizontal="right" vertical="top" indent="1"/>
    </xf>
    <xf numFmtId="0" fontId="8" fillId="0" borderId="0" xfId="4" applyFont="1"/>
    <xf numFmtId="0" fontId="31" fillId="5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center"/>
    </xf>
    <xf numFmtId="1" fontId="4" fillId="0" borderId="0" xfId="1" applyNumberFormat="1" applyFont="1" applyAlignment="1">
      <alignment horizontal="center"/>
    </xf>
    <xf numFmtId="0" fontId="12" fillId="0" borderId="1" xfId="4" applyFont="1" applyBorder="1"/>
    <xf numFmtId="168" fontId="0" fillId="3" borderId="1" xfId="3" applyNumberFormat="1" applyFont="1" applyFill="1" applyBorder="1" applyAlignment="1">
      <alignment vertical="top"/>
    </xf>
    <xf numFmtId="0" fontId="32" fillId="5" borderId="4" xfId="1" applyFont="1" applyFill="1" applyBorder="1" applyAlignment="1">
      <alignment horizontal="center" vertical="center" wrapText="1"/>
    </xf>
    <xf numFmtId="169" fontId="20" fillId="7" borderId="1" xfId="3" applyNumberFormat="1" applyFont="1" applyFill="1" applyBorder="1" applyAlignment="1">
      <alignment horizontal="center" vertical="center"/>
    </xf>
    <xf numFmtId="43" fontId="19" fillId="0" borderId="0" xfId="1" applyNumberFormat="1" applyAlignment="1">
      <alignment horizontal="center"/>
    </xf>
    <xf numFmtId="171" fontId="19" fillId="0" borderId="0" xfId="1" applyNumberFormat="1" applyAlignment="1">
      <alignment horizontal="center"/>
    </xf>
    <xf numFmtId="0" fontId="2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19" fillId="3" borderId="0" xfId="1" applyFill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8" fillId="4" borderId="2" xfId="1" applyFont="1" applyFill="1" applyBorder="1" applyAlignment="1">
      <alignment horizontal="center" vertical="center"/>
    </xf>
    <xf numFmtId="0" fontId="18" fillId="4" borderId="3" xfId="1" applyFont="1" applyFill="1" applyBorder="1" applyAlignment="1">
      <alignment horizontal="center" vertical="center"/>
    </xf>
  </cellXfs>
  <cellStyles count="8">
    <cellStyle name="Comma" xfId="3" builtinId="3"/>
    <cellStyle name="Normal" xfId="0" builtinId="0"/>
    <cellStyle name="Normal 14" xfId="7" xr:uid="{E4AAF435-BD49-4840-B86B-3B1AFDF11F2E}"/>
    <cellStyle name="Normal 2" xfId="1" xr:uid="{55E274DB-930D-4805-9FA2-B5FEBF31AF9C}"/>
    <cellStyle name="Normal 3" xfId="4" xr:uid="{AEBA3114-E5E0-4A81-8D73-162B22937AD4}"/>
    <cellStyle name="Normal 3 2" xfId="6" xr:uid="{F3929588-93A3-4D90-96E9-3BD6D8D96F7E}"/>
    <cellStyle name="Normal 4" xfId="5" xr:uid="{041FC534-E019-482E-A1D0-EF0174969E0B}"/>
    <cellStyle name="Percent 2" xfId="2" xr:uid="{DC4CBFB3-13A6-42E0-B984-E365867E1681}"/>
  </cellStyles>
  <dxfs count="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8" formatCode="_(* #,##0_);_(* \(#,##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8131248918698"/>
          <c:y val="0.15618491658407305"/>
          <c:w val="0.80861485907226416"/>
          <c:h val="0.76073885273011399"/>
        </c:manualLayout>
      </c:layout>
      <c:barChart>
        <c:barDir val="col"/>
        <c:grouping val="clustered"/>
        <c:varyColors val="1"/>
        <c:ser>
          <c:idx val="1"/>
          <c:order val="0"/>
          <c:tx>
            <c:strRef>
              <c:f>Sum!$E$2</c:f>
              <c:strCache>
                <c:ptCount val="1"/>
                <c:pt idx="0">
                  <c:v>% Achievement</c:v>
                </c:pt>
              </c:strCache>
            </c:strRef>
          </c:tx>
          <c:spPr>
            <a:gradFill>
              <a:gsLst>
                <a:gs pos="0">
                  <a:srgbClr val="92D050"/>
                </a:gs>
                <a:gs pos="74000">
                  <a:schemeClr val="accent4">
                    <a:lumMod val="45000"/>
                    <a:lumOff val="55000"/>
                  </a:schemeClr>
                </a:gs>
                <a:gs pos="83000">
                  <a:schemeClr val="accent4">
                    <a:lumMod val="45000"/>
                    <a:lumOff val="55000"/>
                  </a:schemeClr>
                </a:gs>
                <a:gs pos="100000">
                  <a:schemeClr val="accent4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 flip="none" rotWithShape="1">
                <a:gsLst>
                  <a:gs pos="0">
                    <a:srgbClr val="92D050"/>
                  </a:gs>
                  <a:gs pos="74000">
                    <a:schemeClr val="accent4">
                      <a:lumMod val="45000"/>
                      <a:lumOff val="55000"/>
                    </a:schemeClr>
                  </a:gs>
                  <a:gs pos="83000">
                    <a:schemeClr val="accent4">
                      <a:lumMod val="45000"/>
                      <a:lumOff val="55000"/>
                    </a:schemeClr>
                  </a:gs>
                  <a:gs pos="100000">
                    <a:schemeClr val="accent4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</a:ln>
            <a:effectLst/>
          </c:spPr>
          <c:invertIfNegative val="0"/>
          <c:cat>
            <c:strRef>
              <c:f>Sum!$A$3:$A$48</c:f>
              <c:strCache>
                <c:ptCount val="23"/>
                <c:pt idx="0">
                  <c:v>EC (23)</c:v>
                </c:pt>
                <c:pt idx="1">
                  <c:v>LQ 1lt (42)</c:v>
                </c:pt>
                <c:pt idx="2">
                  <c:v>LQ 5 lt (42)</c:v>
                </c:pt>
                <c:pt idx="3">
                  <c:v>LQ 10/20 lt (42)</c:v>
                </c:pt>
                <c:pt idx="4">
                  <c:v>LQ 43</c:v>
                </c:pt>
                <c:pt idx="5">
                  <c:v>SC (28)</c:v>
                </c:pt>
                <c:pt idx="6">
                  <c:v>WG (19)</c:v>
                </c:pt>
                <c:pt idx="7">
                  <c:v>WG small packs (19)</c:v>
                </c:pt>
                <c:pt idx="8">
                  <c:v>24F128</c:v>
                </c:pt>
                <c:pt idx="9">
                  <c:v>24F</c:v>
                </c:pt>
                <c:pt idx="10">
                  <c:v>EC (25)</c:v>
                </c:pt>
                <c:pt idx="11">
                  <c:v>Diuron (40)</c:v>
                </c:pt>
                <c:pt idx="12">
                  <c:v>Tolurex  (40)</c:v>
                </c:pt>
                <c:pt idx="13">
                  <c:v>CS (25,40)</c:v>
                </c:pt>
                <c:pt idx="14">
                  <c:v>Bromacil (25,40)</c:v>
                </c:pt>
                <c:pt idx="15">
                  <c:v>Galigan (25,40)</c:v>
                </c:pt>
                <c:pt idx="16">
                  <c:v>Propa Premix (25,40)</c:v>
                </c:pt>
                <c:pt idx="17">
                  <c:v>Fluorochloridon (25,40)</c:v>
                </c:pt>
                <c:pt idx="18">
                  <c:v>Saflufenacil Tech (25,40)</c:v>
                </c:pt>
                <c:pt idx="19">
                  <c:v>Metazachlor (41)</c:v>
                </c:pt>
                <c:pt idx="20">
                  <c:v>Atralone (41)</c:v>
                </c:pt>
                <c:pt idx="21">
                  <c:v>NANA (41)</c:v>
                </c:pt>
                <c:pt idx="22">
                  <c:v>D. Damascone (41)</c:v>
                </c:pt>
              </c:strCache>
            </c:strRef>
          </c:cat>
          <c:val>
            <c:numRef>
              <c:f>Sum!$E$3:$E$48</c:f>
              <c:numCache>
                <c:formatCode>0%</c:formatCode>
                <c:ptCount val="23"/>
                <c:pt idx="0">
                  <c:v>8.8912000000000005E-2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4.1935483870967745E-2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2.9833333333333333E-2</c:v>
                </c:pt>
                <c:pt idx="10">
                  <c:v>0</c:v>
                </c:pt>
                <c:pt idx="11">
                  <c:v>4.7999999999999994E-2</c:v>
                </c:pt>
                <c:pt idx="12">
                  <c:v>3.8076923076923078E-2</c:v>
                </c:pt>
                <c:pt idx="13">
                  <c:v>0</c:v>
                </c:pt>
                <c:pt idx="14">
                  <c:v>5.2500000000000005E-2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2.1954545454545456E-2</c:v>
                </c:pt>
                <c:pt idx="20">
                  <c:v>4.1463414634146344E-2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2-4A63-AF6A-DEC9F558D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518912"/>
        <c:axId val="233798160"/>
      </c:barChart>
      <c:lineChart>
        <c:grouping val="standard"/>
        <c:varyColors val="1"/>
        <c:ser>
          <c:idx val="2"/>
          <c:order val="1"/>
          <c:tx>
            <c:strRef>
              <c:f>[1]Sum!$S$2</c:f>
              <c:strCache>
                <c:ptCount val="1"/>
                <c:pt idx="0">
                  <c:v>Month progress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[1]Sum!$S$3:$S$41</c:f>
              <c:numCache>
                <c:formatCode>General</c:formatCode>
                <c:ptCount val="39"/>
                <c:pt idx="0">
                  <c:v>0.39285714285714285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0.35483870967741937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0.1875</c:v>
                </c:pt>
                <c:pt idx="37">
                  <c:v>0.17647058823529413</c:v>
                </c:pt>
                <c:pt idx="38">
                  <c:v>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52-4A63-AF6A-DEC9F558D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518912"/>
        <c:axId val="233798160"/>
      </c:lineChart>
      <c:catAx>
        <c:axId val="23551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33798160"/>
        <c:crosses val="autoZero"/>
        <c:auto val="1"/>
        <c:lblAlgn val="ctr"/>
        <c:lblOffset val="100"/>
        <c:noMultiLvlLbl val="0"/>
      </c:catAx>
      <c:valAx>
        <c:axId val="23379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3551891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972269</xdr:colOff>
      <xdr:row>83</xdr:row>
      <xdr:rowOff>54181</xdr:rowOff>
    </xdr:from>
    <xdr:to>
      <xdr:col>23</xdr:col>
      <xdr:colOff>1643063</xdr:colOff>
      <xdr:row>111</xdr:row>
      <xdr:rowOff>152606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C966764A-6604-4413-A6A9-ECADAEC15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yaniv.barak/Desktop/&#1514;&#1493;&#1499;&#1504;&#1497;&#1493;&#1514;%20&#1495;&#1493;&#1491;&#1513;&#1497;&#1493;&#1514;%20&#1502;&#1508;&#1506;&#1500;/production_report%20%20Oct%20%2023.xlsx" TargetMode="External"/><Relationship Id="rId2" Type="http://schemas.openxmlformats.org/officeDocument/2006/relationships/externalLinkPath" Target="file:///C:\Users\yaniv.barak\Desktop\&#1514;&#1493;&#1499;&#1504;&#1497;&#1493;&#1514;%20&#1495;&#1493;&#1491;&#1513;&#1497;&#1493;&#1514;%20&#1502;&#1508;&#1506;&#1500;\production_report%20%20Oct%20%2023.xlsx" TargetMode="External"/><Relationship Id="rId1" Type="http://schemas.openxmlformats.org/officeDocument/2006/relationships/externalLinkPath" Target="/Users/yaniv.barak/Desktop/&#1514;&#1493;&#1499;&#1504;&#1497;&#1493;&#1514;%20&#1495;&#1493;&#1491;&#1513;&#1497;&#1493;&#1514;%20&#1502;&#1508;&#1506;&#1500;/production_report%20%20Oct%20%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"/>
      <sheetName val="Sum FMS"/>
      <sheetName val="Sum AIMS"/>
      <sheetName val="Dashboard"/>
      <sheetName val="Day By Day"/>
      <sheetName val="PT"/>
      <sheetName val="production_report"/>
      <sheetName val="General PT"/>
      <sheetName val="General PT (3)"/>
      <sheetName val="General PT (BN)"/>
      <sheetName val="WP"/>
      <sheetName val="CS"/>
      <sheetName val="SC (28)"/>
      <sheetName val="EC"/>
      <sheetName val="EC (23)"/>
      <sheetName val="EC (25)"/>
      <sheetName val="LQ (24)"/>
      <sheetName val="LRH pack"/>
      <sheetName val="WG"/>
      <sheetName val="WG (small pack)"/>
      <sheetName val="10 lt"/>
      <sheetName val="10 lt chart"/>
      <sheetName val="5 lt"/>
      <sheetName val="5 lt chart"/>
      <sheetName val="1 lt "/>
      <sheetName val=" 1 lt Chart"/>
      <sheetName val="Residues"/>
      <sheetName val="Empty Pack"/>
      <sheetName val="Energy"/>
      <sheetName val="WW"/>
      <sheetName val="5 Streams"/>
      <sheetName val="Ureas"/>
      <sheetName val="operators (42)"/>
      <sheetName val="operators (28)"/>
      <sheetName val="operators (23)"/>
      <sheetName val="operators (24)"/>
      <sheetName val="Production by quarters"/>
    </sheetNames>
    <sheetDataSet>
      <sheetData sheetId="0">
        <row r="2">
          <cell r="S2" t="str">
            <v>Month progress</v>
          </cell>
        </row>
        <row r="3">
          <cell r="S3">
            <v>0.39285714285714285</v>
          </cell>
        </row>
        <row r="4">
          <cell r="S4">
            <v>0.2</v>
          </cell>
        </row>
        <row r="5">
          <cell r="S5">
            <v>0.2</v>
          </cell>
        </row>
        <row r="6">
          <cell r="S6">
            <v>0.2</v>
          </cell>
        </row>
        <row r="7">
          <cell r="S7">
            <v>0.2</v>
          </cell>
        </row>
        <row r="8">
          <cell r="S8">
            <v>0.2</v>
          </cell>
        </row>
        <row r="9">
          <cell r="S9">
            <v>0.2</v>
          </cell>
        </row>
        <row r="10">
          <cell r="S10">
            <v>0.2</v>
          </cell>
        </row>
        <row r="11">
          <cell r="S11">
            <v>0.2</v>
          </cell>
        </row>
        <row r="12">
          <cell r="S12">
            <v>0.2</v>
          </cell>
        </row>
        <row r="13">
          <cell r="S13">
            <v>0.2</v>
          </cell>
        </row>
        <row r="14">
          <cell r="S14">
            <v>0.2</v>
          </cell>
        </row>
        <row r="15">
          <cell r="S15">
            <v>0.2</v>
          </cell>
        </row>
        <row r="16">
          <cell r="S16">
            <v>0.2</v>
          </cell>
        </row>
        <row r="17">
          <cell r="S17">
            <v>0.2</v>
          </cell>
        </row>
        <row r="18">
          <cell r="S18">
            <v>0.2</v>
          </cell>
        </row>
        <row r="19">
          <cell r="S19">
            <v>0.2</v>
          </cell>
        </row>
        <row r="20">
          <cell r="S20">
            <v>0.2</v>
          </cell>
        </row>
        <row r="21">
          <cell r="S21">
            <v>0.2</v>
          </cell>
        </row>
        <row r="22">
          <cell r="S22">
            <v>0.2</v>
          </cell>
        </row>
        <row r="23">
          <cell r="S23">
            <v>0.2</v>
          </cell>
        </row>
        <row r="24">
          <cell r="S24">
            <v>0.2</v>
          </cell>
        </row>
        <row r="25">
          <cell r="S25">
            <v>0.2</v>
          </cell>
        </row>
        <row r="26">
          <cell r="S26">
            <v>0.35483870967741937</v>
          </cell>
        </row>
        <row r="27">
          <cell r="S27">
            <v>0.2</v>
          </cell>
        </row>
        <row r="28">
          <cell r="S28">
            <v>0.2</v>
          </cell>
        </row>
        <row r="29">
          <cell r="S29">
            <v>0.2</v>
          </cell>
        </row>
        <row r="30">
          <cell r="S30">
            <v>0.2</v>
          </cell>
        </row>
        <row r="31">
          <cell r="S31">
            <v>0.2</v>
          </cell>
        </row>
        <row r="32">
          <cell r="S32">
            <v>0.2</v>
          </cell>
        </row>
        <row r="33">
          <cell r="S33">
            <v>0.2</v>
          </cell>
        </row>
        <row r="34">
          <cell r="S34">
            <v>0.2</v>
          </cell>
        </row>
        <row r="35">
          <cell r="S35">
            <v>0.2</v>
          </cell>
        </row>
        <row r="36">
          <cell r="S36">
            <v>0.2</v>
          </cell>
        </row>
        <row r="37">
          <cell r="S37">
            <v>0.2</v>
          </cell>
        </row>
        <row r="38">
          <cell r="S38">
            <v>0.2</v>
          </cell>
        </row>
        <row r="39">
          <cell r="S39">
            <v>0.1875</v>
          </cell>
        </row>
        <row r="40">
          <cell r="S40">
            <v>0.17647058823529413</v>
          </cell>
        </row>
        <row r="41">
          <cell r="S41">
            <v>0.16666666666666666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F1">
            <v>0</v>
          </cell>
        </row>
      </sheetData>
      <sheetData sheetId="15"/>
      <sheetData sheetId="16"/>
      <sheetData sheetId="17"/>
      <sheetData sheetId="18"/>
      <sheetData sheetId="19"/>
      <sheetData sheetId="20">
        <row r="6">
          <cell r="F6">
            <v>0</v>
          </cell>
        </row>
      </sheetData>
      <sheetData sheetId="21" refreshError="1"/>
      <sheetData sheetId="22">
        <row r="1">
          <cell r="F1">
            <v>0</v>
          </cell>
        </row>
      </sheetData>
      <sheetData sheetId="23" refreshError="1"/>
      <sheetData sheetId="24">
        <row r="1">
          <cell r="F1">
            <v>0</v>
          </cell>
        </row>
      </sheetData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niv Barak" refreshedDate="45977.501919444447" createdVersion="6" refreshedVersion="8" minRefreshableVersion="3" recordCount="1659" xr:uid="{9442FB72-45B9-4034-B369-BBB656EADBEA}">
  <cacheSource type="worksheet">
    <worksheetSource ref="A1:Q1627" sheet="גיליון להדבקת Last day"/>
  </cacheSource>
  <cacheFields count="17">
    <cacheField name="Material" numFmtId="0">
      <sharedItems containsString="0" containsBlank="1" containsNumber="1" containsInteger="1" minValue="10000000401" maxValue="50000001441"/>
    </cacheField>
    <cacheField name="Material description" numFmtId="0">
      <sharedItems containsBlank="1"/>
    </cacheField>
    <cacheField name="Batch" numFmtId="0">
      <sharedItems containsBlank="1"/>
    </cacheField>
    <cacheField name="Basic start date" numFmtId="0">
      <sharedItems containsNonDate="0" containsDate="1" containsString="0" containsBlank="1" minDate="2025-09-01T00:00:00" maxDate="2025-12-28T00:00:00"/>
    </cacheField>
    <cacheField name="Order" numFmtId="0">
      <sharedItems containsBlank="1"/>
    </cacheField>
    <cacheField name="Sales Order" numFmtId="0">
      <sharedItems containsBlank="1"/>
    </cacheField>
    <cacheField name="Order quantity (GMEIN)" numFmtId="0">
      <sharedItems containsString="0" containsBlank="1" containsNumber="1" containsInteger="1" minValue="1600" maxValue="12000"/>
    </cacheField>
    <cacheField name="Delivered quantity (GMEIN)" numFmtId="0">
      <sharedItems containsString="0" containsBlank="1" containsNumber="1" containsInteger="1" minValue="1000" maxValue="12000"/>
    </cacheField>
    <cacheField name="Release date (actual)" numFmtId="14">
      <sharedItems containsNonDate="0" containsDate="1" containsString="0" containsBlank="1" minDate="2025-10-26T00:00:00" maxDate="2025-11-16T00:00:00"/>
    </cacheField>
    <cacheField name="Actual finish date" numFmtId="14">
      <sharedItems containsNonDate="0" containsDate="1" containsString="0" containsBlank="1" minDate="2025-11-15T00:00:00" maxDate="2025-11-16T00:00:00"/>
    </cacheField>
    <cacheField name="Confirmed Yield Quantity (GMEIN)" numFmtId="0">
      <sharedItems containsString="0" containsBlank="1" containsNumber="1" containsInteger="1" minValue="0" maxValue="12000"/>
    </cacheField>
    <cacheField name="Plant" numFmtId="0">
      <sharedItems containsBlank="1"/>
    </cacheField>
    <cacheField name="Unit of measure (=GMEIN)" numFmtId="0">
      <sharedItems containsBlank="1"/>
    </cacheField>
    <cacheField name="Production line" numFmtId="0">
      <sharedItems containsBlank="1"/>
    </cacheField>
    <cacheField name="Storage Location" numFmtId="0">
      <sharedItems containsBlank="1" containsMixedTypes="1" containsNumber="1" containsInteger="1" minValue="1125" maxValue="1542" count="23">
        <s v="1528"/>
        <s v="1543"/>
        <s v="1541"/>
        <s v="1519"/>
        <s v="1540"/>
        <s v="1124"/>
        <s v="1523"/>
        <s v="1141"/>
        <s v="1525"/>
        <s v="1140"/>
        <s v="1542"/>
        <m/>
        <n v="1542" u="1"/>
        <n v="1523" u="1"/>
        <n v="1125" u="1"/>
        <n v="1540" u="1"/>
        <n v="1528" u="1"/>
        <n v="1519" u="1"/>
        <n v="1141" u="1"/>
        <n v="1140" u="1"/>
        <n v="1525" u="1"/>
        <n v="1524" u="1"/>
        <n v="1541" u="1"/>
      </sharedItems>
    </cacheField>
    <cacheField name="System Status" numFmtId="0">
      <sharedItems containsBlank="1"/>
    </cacheField>
    <cacheField name="משפחת מוצר/גודל אריזה/מתקן" numFmtId="0">
      <sharedItems containsMixedTypes="1" containsNumber="1" containsInteger="1" minValue="5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niv Barak" refreshedDate="45977.501921296294" createdVersion="6" refreshedVersion="8" minRefreshableVersion="3" recordCount="2572" xr:uid="{55187C06-BC84-4661-9D98-999784AE0851}">
  <cacheSource type="worksheet">
    <worksheetSource ref="A1:R1048576" sheet="גיליון להדבקת Last day"/>
  </cacheSource>
  <cacheFields count="18">
    <cacheField name="Material" numFmtId="0">
      <sharedItems containsString="0" containsBlank="1" containsNumber="1" containsInteger="1" minValue="10000000401" maxValue="50000001441"/>
    </cacheField>
    <cacheField name="Material description" numFmtId="0">
      <sharedItems containsBlank="1"/>
    </cacheField>
    <cacheField name="Batch" numFmtId="0">
      <sharedItems containsBlank="1"/>
    </cacheField>
    <cacheField name="Basic start date" numFmtId="0">
      <sharedItems containsNonDate="0" containsDate="1" containsString="0" containsBlank="1" minDate="2025-09-01T00:00:00" maxDate="2025-12-28T00:00:00"/>
    </cacheField>
    <cacheField name="Order" numFmtId="0">
      <sharedItems containsBlank="1"/>
    </cacheField>
    <cacheField name="Sales Order" numFmtId="0">
      <sharedItems containsBlank="1"/>
    </cacheField>
    <cacheField name="Order quantity (GMEIN)" numFmtId="0">
      <sharedItems containsString="0" containsBlank="1" containsNumber="1" containsInteger="1" minValue="1600" maxValue="12000"/>
    </cacheField>
    <cacheField name="Delivered quantity (GMEIN)" numFmtId="0">
      <sharedItems containsString="0" containsBlank="1" containsNumber="1" containsInteger="1" minValue="1000" maxValue="12000"/>
    </cacheField>
    <cacheField name="Release date (actual)" numFmtId="0">
      <sharedItems containsNonDate="0" containsDate="1" containsString="0" containsBlank="1" minDate="2025-10-26T00:00:00" maxDate="2025-11-16T00:00:00"/>
    </cacheField>
    <cacheField name="Actual finish date" numFmtId="0">
      <sharedItems containsNonDate="0" containsDate="1" containsString="0" containsBlank="1" minDate="2023-09-01T00:00:00" maxDate="2025-11-16T00:00:00" count="36">
        <d v="2025-11-15T00:00:00"/>
        <m/>
        <d v="2025-10-14T00:00:00" u="1"/>
        <d v="2025-08-10T00:00:00" u="1"/>
        <d v="2025-07-16T00:00:00" u="1"/>
        <d v="2025-06-03T00:00:00" u="1"/>
        <d v="2025-05-06T00:00:00" u="1"/>
        <d v="2025-03-11T00:00:00" u="1"/>
        <d v="2025-03-08T00:00:00" u="1"/>
        <d v="2025-02-16T00:00:00" u="1"/>
        <d v="2025-01-18T00:00:00" u="1"/>
        <d v="2025-01-15T00:00:00" u="1"/>
        <d v="2025-01-14T00:00:00" u="1"/>
        <d v="2024-12-30T00:00:00" u="1"/>
        <d v="2023-10-14T00:00:00" u="1"/>
        <d v="2023-10-10T00:00:00" u="1"/>
        <d v="2023-10-12T00:00:00" u="1"/>
        <d v="2023-10-13T00:00:00" u="1"/>
        <d v="2023-10-11T00:00:00" u="1"/>
        <d v="2023-10-09T00:00:00" u="1"/>
        <d v="2023-09-04T00:00:00" u="1"/>
        <d v="2023-09-14T00:00:00" u="1"/>
        <d v="2023-09-06T00:00:00" u="1"/>
        <d v="2023-09-15T00:00:00" u="1"/>
        <d v="2023-09-18T00:00:00" u="1"/>
        <d v="2023-09-05T00:00:00" u="1"/>
        <d v="2023-09-12T00:00:00" u="1"/>
        <d v="2023-09-01T00:00:00" u="1"/>
        <d v="2023-09-02T00:00:00" u="1"/>
        <d v="2023-09-03T00:00:00" u="1"/>
        <d v="2023-09-11T00:00:00" u="1"/>
        <d v="2023-09-08T00:00:00" u="1"/>
        <d v="2023-09-09T00:00:00" u="1"/>
        <d v="2023-09-10T00:00:00" u="1"/>
        <d v="2023-09-13T00:00:00" u="1"/>
        <d v="2023-09-07T00:00:00" u="1"/>
      </sharedItems>
    </cacheField>
    <cacheField name="Confirmed Yield Quantity (GMEIN)" numFmtId="0">
      <sharedItems containsString="0" containsBlank="1" containsNumber="1" containsInteger="1" minValue="0" maxValue="12000"/>
    </cacheField>
    <cacheField name="Plant" numFmtId="0">
      <sharedItems containsBlank="1"/>
    </cacheField>
    <cacheField name="Unit of measure (=GMEIN)" numFmtId="0">
      <sharedItems containsBlank="1"/>
    </cacheField>
    <cacheField name="Production line" numFmtId="0">
      <sharedItems containsBlank="1"/>
    </cacheField>
    <cacheField name="Storage Location" numFmtId="0">
      <sharedItems containsBlank="1" containsMixedTypes="1" containsNumber="1" containsInteger="1" minValue="1125" maxValue="1542" count="23">
        <s v="1528"/>
        <s v="1543"/>
        <s v="1541"/>
        <s v="1519"/>
        <s v="1540"/>
        <s v="1124"/>
        <s v="1523"/>
        <s v="1141"/>
        <s v="1525"/>
        <s v="1140"/>
        <s v="1542"/>
        <m/>
        <n v="1542" u="1"/>
        <n v="1523" u="1"/>
        <n v="1125" u="1"/>
        <n v="1540" u="1"/>
        <n v="1528" u="1"/>
        <n v="1519" u="1"/>
        <n v="1141" u="1"/>
        <n v="1140" u="1"/>
        <n v="1525" u="1"/>
        <n v="1524" u="1"/>
        <n v="1541" u="1"/>
      </sharedItems>
    </cacheField>
    <cacheField name="System Status" numFmtId="0">
      <sharedItems containsBlank="1"/>
    </cacheField>
    <cacheField name="משפחת מוצר/גודל אריזה/מתקן" numFmtId="0">
      <sharedItems containsBlank="1" containsMixedTypes="1" containsNumber="1" containsInteger="1" minValue="5" maxValue="28"/>
    </cacheField>
    <cacheField name="אריזה" numFmtId="0">
      <sharedItems containsBlank="1" containsMixedTypes="1" containsNumber="1" containsInteger="1" minValue="1" maxValue="284" count="15">
        <n v="28"/>
        <n v="5"/>
        <e v="#N/A"/>
        <n v="19"/>
        <s v="24F"/>
        <s v="5 lIter"/>
        <n v="23"/>
        <n v="10"/>
        <s v="19P"/>
        <m/>
        <n v="1" u="1"/>
        <n v="20" u="1"/>
        <n v="200" u="1"/>
        <n v="284" u="1"/>
        <n v="25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niv Barak" refreshedDate="45977.501922337964" createdVersion="6" refreshedVersion="8" minRefreshableVersion="3" recordCount="1730" xr:uid="{B403B318-BFAA-41F0-A57B-6936FE7EAE65}">
  <cacheSource type="worksheet">
    <worksheetSource ref="A1:Q1698" sheet="גיליון להדבקת Last day"/>
  </cacheSource>
  <cacheFields count="17">
    <cacheField name="Material" numFmtId="0">
      <sharedItems containsString="0" containsBlank="1" containsNumber="1" containsInteger="1" minValue="10000000168" maxValue="99000000032" count="339">
        <n v="20000005837"/>
        <n v="10000000898"/>
        <n v="30000000097"/>
        <n v="10000000442"/>
        <n v="30000000076"/>
        <n v="50000000082"/>
        <n v="20000000387"/>
        <n v="20000006541"/>
        <n v="10000001150"/>
        <n v="20000000436"/>
        <n v="20000000805"/>
        <n v="30000000113"/>
        <n v="50000000077"/>
        <n v="30000000084"/>
        <n v="20000000683"/>
        <n v="50000000056"/>
        <n v="50000000049"/>
        <n v="50000000108"/>
        <n v="50000000072"/>
        <n v="20000000778"/>
        <n v="10000011550"/>
        <n v="10000002484"/>
        <n v="10000000401"/>
        <n v="50000001441"/>
        <m/>
        <n v="20000007726" u="1"/>
        <n v="10000000734" u="1"/>
        <n v="10000000430" u="1"/>
        <n v="20000000335" u="1"/>
        <n v="20000008110" u="1"/>
        <n v="20000002736" u="1"/>
        <n v="20000000394" u="1"/>
        <n v="10000009747" u="1"/>
        <n v="20000006540" u="1"/>
        <n v="10000000288" u="1"/>
        <n v="20000007709" u="1"/>
        <n v="10000002274" u="1"/>
        <n v="10000001434" u="1"/>
        <n v="50000000090" u="1"/>
        <n v="50000000062" u="1"/>
        <n v="50000000053" u="1"/>
        <n v="40000000055" u="1"/>
        <n v="10000000329" u="1"/>
        <n v="50000000091" u="1"/>
        <n v="10000000337" u="1"/>
        <n v="20000000625" u="1"/>
        <n v="30000000101" u="1"/>
        <n v="10000000872" u="1"/>
        <n v="30000000077" u="1"/>
        <n v="10000010430" u="1"/>
        <n v="10000001049" u="1"/>
        <n v="30000000099" u="1"/>
        <n v="10000000350" u="1"/>
        <n v="10000001965" u="1"/>
        <n v="50000002791" u="1"/>
        <n v="20000004929" u="1"/>
        <n v="20000007910" u="1"/>
        <n v="50000000083" u="1"/>
        <n v="20000005834" u="1"/>
        <n v="10000000408" u="1"/>
        <n v="30000000071" u="1"/>
        <n v="20000006523" u="1"/>
        <n v="50000000071" u="1"/>
        <n v="50000003092" u="1"/>
        <n v="20000002724" u="1"/>
        <n v="30000000080" u="1"/>
        <n v="10000000338" u="1"/>
        <n v="50000000114" u="1"/>
        <n v="10000011942" u="1"/>
        <n v="10000000759" u="1"/>
        <n v="50000002339" u="1"/>
        <n v="50000001939" u="1"/>
        <n v="20000007734" u="1"/>
        <n v="20000006539" u="1"/>
        <n v="20000006122" u="1"/>
        <n v="30000003588" u="1"/>
        <n v="30000005593" u="1"/>
        <n v="50000000058" u="1"/>
        <n v="30000005688" u="1"/>
        <n v="20000000499" u="1"/>
        <n v="10000001120" u="1"/>
        <n v="10000001064" u="1"/>
        <n v="10000000612" u="1"/>
        <n v="10000011627" u="1"/>
        <n v="10000010432" u="1"/>
        <n v="20000000850" u="1"/>
        <n v="10000000710" u="1"/>
        <n v="50000002141" u="1"/>
        <n v="30000000070" u="1"/>
        <n v="50000000086" u="1"/>
        <n v="30000000078" u="1"/>
        <n v="10000012624" u="1"/>
        <n v="10000014068" u="1"/>
        <n v="20000007509" u="1"/>
        <n v="10000002675" u="1"/>
        <n v="10000000398" u="1"/>
        <n v="10000001738" u="1"/>
        <n v="50000000117" u="1"/>
        <n v="20000000411" u="1"/>
        <n v="30000005393" u="1"/>
        <n v="10000011847" u="1"/>
        <n v="20000000724" u="1"/>
        <n v="20000001538" u="1"/>
        <n v="10000010360" u="1"/>
        <n v="20000005937" u="1"/>
        <n v="20000000722" u="1"/>
        <n v="10000001172" u="1"/>
        <n v="50000000116" u="1"/>
        <n v="10000001248" u="1"/>
        <n v="10000000441" u="1"/>
        <n v="20000000465" u="1"/>
        <n v="10000000225" u="1"/>
        <n v="10000001554" u="1"/>
        <n v="10000000592" u="1"/>
        <n v="20000007623" u="1"/>
        <n v="10000001556" u="1"/>
        <n v="10000000593" u="1"/>
        <n v="10000003373" u="1"/>
        <n v="50000000064" u="1"/>
        <n v="20000004926" u="1"/>
        <n v="20000007607" u="1"/>
        <n v="30000000072" u="1"/>
        <n v="20000000906" u="1"/>
        <n v="20000005322" u="1"/>
        <n v="20000006538" u="1"/>
        <n v="30000000095" u="1"/>
        <n v="10000001123" u="1"/>
        <n v="50000000113" u="1"/>
        <n v="10000001034" u="1"/>
        <n v="10000000923" u="1"/>
        <n v="10000000770" u="1"/>
        <n v="10000012211" u="1"/>
        <n v="20000000632" u="1"/>
        <n v="20000000135" u="1"/>
        <n v="10000000925" u="1"/>
        <n v="20000000490" u="1"/>
        <n v="30000005289" u="1"/>
        <n v="10000001109" u="1"/>
        <n v="10000001115" u="1"/>
        <n v="30000000125" u="1"/>
        <n v="20000000613" u="1"/>
        <n v="20000005923" u="1"/>
        <n v="10000000422" u="1"/>
        <n v="20000000453" u="1"/>
        <n v="10000002575" u="1"/>
        <n v="20000000638" u="1"/>
        <n v="20000004830" u="1"/>
        <n v="10000001110" u="1"/>
        <n v="10000001113" u="1"/>
        <n v="10000000584" u="1"/>
        <n v="10000009992" u="1"/>
        <n v="10000000831" u="1"/>
        <n v="50000000075" u="1"/>
        <n v="20000005622" u="1"/>
        <n v="10000000485" u="1"/>
        <n v="20000005122" u="1"/>
        <n v="10000001220" u="1"/>
        <n v="10000001515" u="1"/>
        <n v="50000000080" u="1"/>
        <n v="10000001085" u="1"/>
        <n v="10000010019" u="1"/>
        <n v="20000000716" u="1"/>
        <n v="10000010933" u="1"/>
        <n v="10000011907" u="1"/>
        <n v="20000000670" u="1"/>
        <n v="10000000445" u="1"/>
        <n v="10000000900" u="1"/>
        <n v="10000000912" u="1"/>
        <n v="20000000616" u="1"/>
        <n v="10000001632" u="1"/>
        <n v="20000000268" u="1"/>
        <n v="10000002372" u="1"/>
        <n v="10000000507" u="1"/>
        <n v="20000000246" u="1"/>
        <n v="20000000579" u="1"/>
        <n v="30000000058" u="1"/>
        <n v="10000002273" u="1"/>
        <n v="10000000574" u="1"/>
        <n v="10000000850" u="1"/>
        <n v="10000000702" u="1"/>
        <n v="10000002179" u="1"/>
        <n v="20000000377" u="1"/>
        <n v="20000004822" u="1"/>
        <n v="50000000070" u="1"/>
        <n v="10000000569" u="1"/>
        <n v="50000000063" u="1"/>
        <n v="10000000838" u="1"/>
        <n v="10000000917" u="1"/>
        <n v="10000000891" u="1"/>
        <n v="20000000301" u="1"/>
        <n v="10000000571" u="1"/>
        <n v="10000000666" u="1"/>
        <n v="50000000111" u="1"/>
        <n v="20000000485" u="1"/>
        <n v="20000000418" u="1"/>
        <n v="10000000816" u="1"/>
        <n v="10000000669" u="1"/>
        <n v="10000001973" u="1"/>
        <n v="10000000902" u="1"/>
        <n v="10000000823" u="1"/>
        <n v="10000000390" u="1"/>
        <n v="10000000672" u="1"/>
        <n v="20000000644" u="1"/>
        <n v="10000000993" u="1"/>
        <n v="50000000044" u="1"/>
        <n v="20000000581" u="1"/>
        <n v="50000000066" u="1"/>
        <n v="30000000553" u="1"/>
        <n v="20000004729" u="1"/>
        <n v="20000000339" u="1"/>
        <n v="20000000315" u="1"/>
        <n v="20000000324" u="1"/>
        <n v="20000000312" u="1"/>
        <n v="10000000804" u="1"/>
        <n v="20000000308" u="1"/>
        <n v="30000000083" u="1"/>
        <n v="10000000996" u="1"/>
        <n v="10000001455" u="1"/>
        <n v="30000000102" u="1"/>
        <n v="30000004290" u="1"/>
        <n v="10000001567" u="1"/>
        <n v="20000000858" u="1"/>
        <n v="20000000360" u="1"/>
        <n v="10000000506" u="1"/>
        <n v="20000000606" u="1"/>
        <n v="50000000076" u="1"/>
        <n v="20000000338" u="1"/>
        <n v="10000010439" u="1"/>
        <n v="10000000394" u="1"/>
        <n v="20000000112" u="1"/>
        <n v="20000000462" u="1"/>
        <n v="99000000032" u="1"/>
        <n v="10000007523" u="1"/>
        <n v="10000000972" u="1"/>
        <n v="20000000314" u="1"/>
        <n v="10000000538" u="1"/>
        <n v="10000001045" u="1"/>
        <n v="10000003808" u="1"/>
        <n v="10000000170" u="1"/>
        <n v="10000000169" u="1"/>
        <n v="10000000218" u="1"/>
        <n v="20000000545" u="1"/>
        <n v="20000000034" u="1"/>
        <n v="10000000994" u="1"/>
        <n v="20000000669" u="1"/>
        <n v="50000000112" u="1"/>
        <n v="10000002499" u="1"/>
        <n v="20000000863" u="1"/>
        <n v="50000000079" u="1"/>
        <n v="10000000371" u="1"/>
        <n v="10000000999" u="1"/>
        <n v="10000009738" u="1"/>
        <n v="10000000168" u="1"/>
        <n v="20000000685" u="1"/>
        <n v="10000000214" u="1"/>
        <n v="20000000026" u="1"/>
        <n v="10000002489" u="1"/>
        <n v="10000001199" u="1"/>
        <n v="10000001739" u="1"/>
        <n v="10000010403" u="1"/>
        <n v="10000009942" u="1"/>
        <n v="10000001225" u="1"/>
        <n v="10000001046" u="1"/>
        <n v="10000000458" u="1"/>
        <n v="10000007907" u="1"/>
        <n v="10000000395" u="1"/>
        <n v="10000000927" u="1"/>
        <n v="10000001869" u="1"/>
        <n v="10000000419" u="1"/>
        <n v="10000000564" u="1"/>
        <n v="10000000570" u="1"/>
        <n v="10000000857" u="1"/>
        <n v="10000010395" u="1"/>
        <n v="20000000432" u="1"/>
        <n v="50000000081" u="1"/>
        <n v="10000000576" u="1"/>
        <n v="10000001073" u="1"/>
        <n v="10000000437" u="1"/>
        <n v="10000008413" u="1"/>
        <n v="10000009762" u="1"/>
        <n v="50000000046" u="1"/>
        <n v="20000000894" u="1"/>
        <n v="10000000813" u="1"/>
        <n v="10000001168" u="1"/>
        <n v="20000000699" u="1"/>
        <n v="10000000603" u="1"/>
        <n v="10000000887" u="1"/>
        <n v="10000001171" u="1"/>
        <n v="50000000059" u="1"/>
        <n v="10000000322" u="1"/>
        <n v="20000000575" u="1"/>
        <n v="20000000729" u="1"/>
        <n v="10000002677" u="1"/>
        <n v="20000000599" u="1"/>
        <n v="50000000060" u="1"/>
        <n v="10000002476" u="1"/>
        <n v="10000000420" u="1"/>
        <n v="10000002485" u="1"/>
        <n v="20000000505" u="1"/>
        <n v="10000000861" u="1"/>
        <n v="10000000311" u="1"/>
        <n v="10000000453" u="1"/>
        <n v="20000000056" u="1"/>
        <n v="10000000181" u="1"/>
        <n v="10000001033" u="1"/>
        <n v="10000000616" u="1"/>
        <n v="10000000406" u="1"/>
        <n v="20000000885" u="1"/>
        <n v="10000001619" u="1"/>
        <n v="10000000986" u="1"/>
        <n v="20000000057" u="1"/>
        <n v="20000000838" u="1"/>
        <n v="10000000353" u="1"/>
        <n v="10000001063" u="1"/>
        <n v="10000001137" u="1"/>
        <n v="10000000359" u="1"/>
        <n v="10000000856" u="1"/>
        <n v="10000001566" u="1"/>
        <n v="10000001072" u="1"/>
        <n v="50000000089" u="1"/>
        <n v="20000000371" u="1"/>
        <n v="20000000868" u="1"/>
        <n v="10000001433" u="1"/>
        <n v="10000003776" u="1"/>
        <n v="10000001010" u="1"/>
        <n v="10000001087" u="1"/>
        <n v="10000000522" u="1"/>
        <n v="10000001167" u="1"/>
        <n v="20000000342" u="1"/>
        <n v="10000000602" u="1"/>
        <n v="10000001170" u="1"/>
        <n v="10000002022" u="1"/>
        <n v="50000000067" u="1"/>
        <n v="10000000466" u="1"/>
        <n v="10000001176" u="1"/>
        <n v="10000000611" u="1"/>
        <n v="10000001682" u="1"/>
        <n v="10000000549" u="1"/>
        <n v="50000000068" u="1"/>
      </sharedItems>
    </cacheField>
    <cacheField name="Material description" numFmtId="0">
      <sharedItems containsBlank="1"/>
    </cacheField>
    <cacheField name="Batch" numFmtId="0">
      <sharedItems containsBlank="1"/>
    </cacheField>
    <cacheField name="Basic start date" numFmtId="0">
      <sharedItems containsNonDate="0" containsDate="1" containsString="0" containsBlank="1" minDate="2025-09-01T00:00:00" maxDate="2025-12-28T00:00:00"/>
    </cacheField>
    <cacheField name="Order" numFmtId="0">
      <sharedItems containsBlank="1"/>
    </cacheField>
    <cacheField name="Sales Order" numFmtId="0">
      <sharedItems containsBlank="1"/>
    </cacheField>
    <cacheField name="Order quantity (GMEIN)" numFmtId="0">
      <sharedItems containsString="0" containsBlank="1" containsNumber="1" containsInteger="1" minValue="1600" maxValue="12000"/>
    </cacheField>
    <cacheField name="Delivered quantity (GMEIN)" numFmtId="0">
      <sharedItems containsString="0" containsBlank="1" containsNumber="1" containsInteger="1" minValue="1000" maxValue="12000"/>
    </cacheField>
    <cacheField name="Release date (actual)" numFmtId="14">
      <sharedItems containsNonDate="0" containsDate="1" containsString="0" containsBlank="1" minDate="2025-10-26T00:00:00" maxDate="2025-11-16T00:00:00"/>
    </cacheField>
    <cacheField name="Actual finish date" numFmtId="14">
      <sharedItems containsNonDate="0" containsDate="1" containsString="0" containsBlank="1" minDate="2023-10-09T00:00:00" maxDate="2025-11-16T00:00:00" count="20">
        <d v="2025-11-15T00:00:00"/>
        <m/>
        <d v="2025-10-14T00:00:00" u="1"/>
        <d v="2025-08-10T00:00:00" u="1"/>
        <d v="2025-07-16T00:00:00" u="1"/>
        <d v="2025-06-03T00:00:00" u="1"/>
        <d v="2025-05-06T00:00:00" u="1"/>
        <d v="2025-03-11T00:00:00" u="1"/>
        <d v="2025-03-08T00:00:00" u="1"/>
        <d v="2025-02-16T00:00:00" u="1"/>
        <d v="2025-01-18T00:00:00" u="1"/>
        <d v="2025-01-15T00:00:00" u="1"/>
        <d v="2025-01-14T00:00:00" u="1"/>
        <d v="2024-12-30T00:00:00" u="1"/>
        <d v="2023-10-14T00:00:00" u="1"/>
        <d v="2023-10-10T00:00:00" u="1"/>
        <d v="2023-10-12T00:00:00" u="1"/>
        <d v="2023-10-13T00:00:00" u="1"/>
        <d v="2023-10-11T00:00:00" u="1"/>
        <d v="2023-10-09T00:00:00" u="1"/>
      </sharedItems>
    </cacheField>
    <cacheField name="Confirmed Yield Quantity (GMEIN)" numFmtId="0">
      <sharedItems containsString="0" containsBlank="1" containsNumber="1" containsInteger="1" minValue="0" maxValue="12000"/>
    </cacheField>
    <cacheField name="Plant" numFmtId="0">
      <sharedItems containsBlank="1"/>
    </cacheField>
    <cacheField name="Unit of measure (=GMEIN)" numFmtId="0">
      <sharedItems containsBlank="1"/>
    </cacheField>
    <cacheField name="Production line" numFmtId="0">
      <sharedItems containsBlank="1"/>
    </cacheField>
    <cacheField name="Storage Location" numFmtId="0">
      <sharedItems containsBlank="1" containsMixedTypes="1" containsNumber="1" containsInteger="1" minValue="1125" maxValue="1542" count="23">
        <s v="1528"/>
        <s v="1543"/>
        <s v="1541"/>
        <s v="1519"/>
        <s v="1540"/>
        <s v="1124"/>
        <s v="1523"/>
        <s v="1141"/>
        <s v="1525"/>
        <s v="1140"/>
        <s v="1542"/>
        <m/>
        <n v="1542" u="1"/>
        <n v="1523" u="1"/>
        <n v="1125" u="1"/>
        <n v="1540" u="1"/>
        <n v="1528" u="1"/>
        <n v="1519" u="1"/>
        <n v="1141" u="1"/>
        <n v="1140" u="1"/>
        <n v="1525" u="1"/>
        <n v="1524" u="1"/>
        <n v="1541" u="1"/>
      </sharedItems>
    </cacheField>
    <cacheField name="System Status" numFmtId="0">
      <sharedItems containsBlank="1"/>
    </cacheField>
    <cacheField name="משפחת מוצר/גודל אריזה/מתקן" numFmtId="0">
      <sharedItems containsMixedTypes="1" containsNumber="1" containsInteger="1" minValue="5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niv Barak" refreshedDate="45977.501923495372" createdVersion="8" refreshedVersion="8" minRefreshableVersion="3" recordCount="2899" xr:uid="{5825CFEE-F165-4BEF-89EB-EB3E8F5F7E06}">
  <cacheSource type="worksheet">
    <worksheetSource ref="A1:U1048576" sheet="גיליון להדבקת production"/>
  </cacheSource>
  <cacheFields count="21">
    <cacheField name="Material" numFmtId="0">
      <sharedItems containsString="0" containsBlank="1" containsNumber="1" containsInteger="1" minValue="10000000229" maxValue="50000002791"/>
    </cacheField>
    <cacheField name="Material description" numFmtId="0">
      <sharedItems containsBlank="1"/>
    </cacheField>
    <cacheField name="Batch" numFmtId="0">
      <sharedItems containsBlank="1" containsMixedTypes="1" containsNumber="1" containsInteger="1" minValue="102" maxValue="333989"/>
    </cacheField>
    <cacheField name="Basic start date" numFmtId="0">
      <sharedItems containsNonDate="0" containsDate="1" containsString="0" containsBlank="1" minDate="2025-07-18T00:00:00" maxDate="2025-12-28T00:00:00"/>
    </cacheField>
    <cacheField name="Order" numFmtId="0">
      <sharedItems containsBlank="1" containsMixedTypes="1" containsNumber="1" containsInteger="1" minValue="1304870" maxValue="1329732"/>
    </cacheField>
    <cacheField name="Sales Order" numFmtId="0">
      <sharedItems containsBlank="1" containsMixedTypes="1" containsNumber="1" containsInteger="1" minValue="211015536" maxValue="211016381"/>
    </cacheField>
    <cacheField name="Order quantity (GMEIN)" numFmtId="0">
      <sharedItems containsString="0" containsBlank="1" containsNumber="1" containsInteger="1" minValue="40" maxValue="33000"/>
    </cacheField>
    <cacheField name="Delivered quantity (GMEIN)" numFmtId="0">
      <sharedItems containsString="0" containsBlank="1" containsNumber="1" containsInteger="1" minValue="0" maxValue="109126"/>
    </cacheField>
    <cacheField name="Release date (actual)" numFmtId="0">
      <sharedItems containsNonDate="0" containsDate="1" containsString="0" containsBlank="1" minDate="2025-07-25T00:00:00" maxDate="2025-11-16T00:00:00"/>
    </cacheField>
    <cacheField name="Actual finish date" numFmtId="0">
      <sharedItems containsNonDate="0" containsDate="1" containsBlank="1" containsMixedTypes="1" minDate="2025-01-01T00:00:00" maxDate="2025-11-16T00:00:00" count="118"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m/>
        <d v="2025-10-14T00:00:00" u="1"/>
        <d v="2025-10-09T00:00:00" u="1"/>
        <d v="2025-10-13T00:00:00" u="1"/>
        <d v="2025-10-10T00:00:00" u="1"/>
        <d v="2025-10-11T00:00:00" u="1"/>
        <d v="2025-10-12T00:00:00" u="1"/>
        <d v="2025-10-08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s v="21/10/2025" u="1"/>
        <d v="2025-08-03T00:00:00" u="1"/>
        <d v="2025-08-02T00:00:00" u="1"/>
        <d v="2025-08-01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3T00:00:00" u="1"/>
        <d v="2025-08-19T00:00:00" u="1"/>
        <d v="2025-08-18T00:00:00" u="1"/>
        <d v="2025-08-16T00:00:00" u="1"/>
        <d v="2025-08-14T00:00:00" u="1"/>
        <d v="2025-08-17T00:00:00" u="1"/>
        <d v="2025-08-15T00:00:00" u="1"/>
        <d v="2025-08-11T00:00:00" u="1"/>
        <d v="2025-08-12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6-01T00:00:00" u="1"/>
        <d v="2025-06-02T00:00:00" u="1"/>
        <d v="2025-06-03T00:00:00" u="1"/>
        <d v="2025-05-02T00:00:00" u="1"/>
        <d v="2025-05-03T00:00:00" u="1"/>
        <d v="2025-05-04T00:00:00" u="1"/>
        <d v="2025-05-05T00:00:00" u="1"/>
        <d v="2025-05-06T00:00:00" u="1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</sharedItems>
    </cacheField>
    <cacheField name="Confirmed Yield Quantity (GMEIN)" numFmtId="0">
      <sharedItems containsString="0" containsBlank="1" containsNumber="1" containsInteger="1" minValue="0" maxValue="109126"/>
    </cacheField>
    <cacheField name="Plant" numFmtId="0">
      <sharedItems containsBlank="1" containsMixedTypes="1" containsNumber="1" containsInteger="1" minValue="1001" maxValue="1001"/>
    </cacheField>
    <cacheField name="Unit of measure (=GMEIN)" numFmtId="0">
      <sharedItems containsBlank="1"/>
    </cacheField>
    <cacheField name="Production line" numFmtId="0">
      <sharedItems containsBlank="1"/>
    </cacheField>
    <cacheField name="Storage Location" numFmtId="0">
      <sharedItems containsBlank="1" containsMixedTypes="1" containsNumber="1" containsInteger="1" minValue="1125" maxValue="1543"/>
    </cacheField>
    <cacheField name="System Status" numFmtId="0">
      <sharedItems containsBlank="1"/>
    </cacheField>
    <cacheField name="משפחת מוצר/גודל אריזה/מתקן" numFmtId="0">
      <sharedItems containsBlank="1" containsMixedTypes="1" containsNumber="1" containsInteger="1" minValue="0" maxValue="28" count="32">
        <s v="שלבי ביניים לא למדידה"/>
        <n v="1"/>
        <s v="CS"/>
        <s v="24F"/>
        <n v="23"/>
        <n v="28"/>
        <e v="#N/A"/>
        <s v="NANA"/>
        <n v="19"/>
        <s v="ATRALONE"/>
        <s v="EC 25"/>
        <s v="שלב ביניים לא למדידה"/>
        <n v="5"/>
        <s v="METAZACHLOR"/>
        <s v="KROVAR"/>
        <s v="אותו קרובר כמו הבא אחריו לבחור רק אחד מהם"/>
        <s v="GALIGAN"/>
        <n v="10"/>
        <s v="DIURON"/>
        <s v="PROPAQUIZAFOP Premix"/>
        <s v="מחליף את כל הדיורון טכני"/>
        <s v="LINURON"/>
        <s v="FLUROCHLORIDONE"/>
        <s v="1 liter "/>
        <s v="DELTA DAMASCON"/>
        <s v="5 lIter"/>
        <s v="Galigan  iso (42)"/>
        <s v="מחליף את כל הטולורקס טכני"/>
        <s v="CHLOROTOLURON TOLUREX"/>
        <n v="0"/>
        <n v="20"/>
        <m/>
      </sharedItems>
    </cacheField>
    <cacheField name="אריזה" numFmtId="0">
      <sharedItems containsBlank="1" containsMixedTypes="1" containsNumber="1" containsInteger="1" minValue="1" maxValue="28"/>
    </cacheField>
    <cacheField name="סטטוס מנה" numFmtId="0">
      <sharedItems containsBlank="1"/>
    </cacheField>
    <cacheField name="סטטוס מנה ומשפחה" numFmtId="0">
      <sharedItems containsBlank="1"/>
    </cacheField>
    <cacheField name="סטטוס מנה ומתקן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9">
  <r>
    <n v="20000005837"/>
    <s v="CLTN500 SC TOLUREX 50 SC 1000LT"/>
    <s v="0000000231"/>
    <d v="2025-12-27T00:00:00"/>
    <s v="1331094"/>
    <s v=""/>
    <n v="7000"/>
    <n v="7000"/>
    <d v="2025-11-14T00:00:00"/>
    <d v="2025-11-15T00:00:00"/>
    <n v="7000"/>
    <s v="1001"/>
    <s v="L"/>
    <s v=""/>
    <x v="0"/>
    <s v="REL  CNF  DLV  PRC  BASC BCRQ GMPS MACM*"/>
    <n v="28"/>
  </r>
  <r>
    <n v="10000000898"/>
    <s v="PPQZ100 EC FALCON NMP FREE DUAL 5LT UK"/>
    <s v="0000005148"/>
    <d v="2025-12-02T00:00:00"/>
    <s v="1329351"/>
    <s v="211016243"/>
    <n v="9600"/>
    <n v="9600"/>
    <d v="2025-11-09T00:00:00"/>
    <d v="2025-11-15T00:00:00"/>
    <n v="9600"/>
    <s v="1001"/>
    <s v="L"/>
    <s v=""/>
    <x v="1"/>
    <s v="REL  PRT  CNF  DLV  PRC  BASC BCRQ GMPS*"/>
    <n v="5"/>
  </r>
  <r>
    <n v="30000000097"/>
    <s v="MTZC735 TC METAZACHLR T WT CRUD 600 KG"/>
    <s v="0000009024"/>
    <d v="2025-11-29T00:00:00"/>
    <s v="1330369"/>
    <s v=""/>
    <n v="2800"/>
    <n v="2515"/>
    <d v="2025-11-06T00:00:00"/>
    <d v="2025-11-15T00:00:00"/>
    <n v="0"/>
    <s v="1001"/>
    <s v="KG"/>
    <s v=""/>
    <x v="2"/>
    <s v="REL  CNF  PRC  BASC BCRQ GMPS ILAS MACM*"/>
    <s v="METAZACHLOR"/>
  </r>
  <r>
    <n v="30000000097"/>
    <s v="MTZC735 TC METAZACHLR T WT CRUD 600 KG"/>
    <s v="0000009025"/>
    <d v="2025-11-29T00:00:00"/>
    <s v="1330370"/>
    <s v=""/>
    <n v="2800"/>
    <n v="2600"/>
    <d v="2025-11-06T00:00:00"/>
    <d v="2025-11-15T00:00:00"/>
    <n v="0"/>
    <s v="1001"/>
    <s v="KG"/>
    <s v=""/>
    <x v="2"/>
    <s v="REL  CNF  PRC  BASC BCRQ GMPS ILAS MACM*"/>
    <s v="METAZACHLOR"/>
  </r>
  <r>
    <n v="10000000442"/>
    <s v="DRON800 WG DIUREX 80WG ID THAIL 500KG TH"/>
    <s v="0000017087"/>
    <d v="2025-11-24T00:00:00"/>
    <s v="1332097"/>
    <s v=""/>
    <n v="2500"/>
    <n v="2500"/>
    <d v="2025-11-14T00:00:00"/>
    <d v="2025-11-15T00:00:00"/>
    <n v="2500"/>
    <s v="1001"/>
    <s v="KG"/>
    <s v=""/>
    <x v="3"/>
    <s v="REL  CNF  DLV  PRC  BASC BCRQ GMPS MANC*"/>
    <n v="19"/>
  </r>
  <r>
    <n v="10000000442"/>
    <s v="DRON800 WG DIUREX 80WG ID THAIL 500KG TH"/>
    <s v="0000017088"/>
    <d v="2025-11-24T00:00:00"/>
    <s v="1332098"/>
    <s v=""/>
    <n v="2500"/>
    <n v="2500"/>
    <d v="2025-11-14T00:00:00"/>
    <d v="2025-11-15T00:00:00"/>
    <n v="2500"/>
    <s v="1001"/>
    <s v="KG"/>
    <s v=""/>
    <x v="3"/>
    <s v="REL  CNF  DLV  PRC  BASC BCRQ GMPS MANC*"/>
    <n v="19"/>
  </r>
  <r>
    <n v="10000000442"/>
    <s v="DRON800 WG DIUREX 80WG ID THAIL 500KG TH"/>
    <s v="0000017089"/>
    <d v="2025-11-24T00:00:00"/>
    <s v="1332099"/>
    <s v=""/>
    <n v="2500"/>
    <n v="2500"/>
    <d v="2025-11-15T00:00:00"/>
    <d v="2025-11-15T00:00:00"/>
    <n v="2500"/>
    <s v="1001"/>
    <s v="KG"/>
    <s v=""/>
    <x v="3"/>
    <s v="REL  CNF  DLV  PRC  BASC BCRQ GMPS MANC*"/>
    <n v="19"/>
  </r>
  <r>
    <n v="10000000442"/>
    <s v="DRON800 WG DIUREX 80WG ID THAIL 500KG TH"/>
    <s v="0000017090"/>
    <d v="2025-11-24T00:00:00"/>
    <s v="1332200"/>
    <s v=""/>
    <n v="2500"/>
    <n v="2500"/>
    <d v="2025-11-15T00:00:00"/>
    <d v="2025-11-15T00:00:00"/>
    <n v="2500"/>
    <s v="1001"/>
    <s v="KG"/>
    <s v=""/>
    <x v="3"/>
    <s v="REL  CNF  DLV  PRC  BASC BCRQ GMPS MANC*"/>
    <n v="19"/>
  </r>
  <r>
    <n v="10000000442"/>
    <s v="DRON800 WG DIUREX 80WG ID THAIL 500KG TH"/>
    <s v="0000017091"/>
    <d v="2025-11-24T00:00:00"/>
    <s v="1332201"/>
    <s v=""/>
    <n v="2500"/>
    <n v="2500"/>
    <d v="2025-11-15T00:00:00"/>
    <d v="2025-11-15T00:00:00"/>
    <n v="2500"/>
    <s v="1001"/>
    <s v="KG"/>
    <s v=""/>
    <x v="3"/>
    <s v="REL  CNF  DLV  PRC  BASC BCRQ GMPS MANC*"/>
    <n v="19"/>
  </r>
  <r>
    <n v="10000000442"/>
    <s v="DRON800 WG DIUREX 80WG ID THAIL 500KG TH"/>
    <s v="0000017092"/>
    <d v="2025-11-24T00:00:00"/>
    <s v="1332202"/>
    <s v=""/>
    <n v="2500"/>
    <n v="2500"/>
    <d v="2025-11-15T00:00:00"/>
    <d v="2025-11-15T00:00:00"/>
    <n v="2500"/>
    <s v="1001"/>
    <s v="KG"/>
    <s v=""/>
    <x v="3"/>
    <s v="REL  CNF  DLV  PRC  BASC BCRQ GMPS MANC*"/>
    <n v="19"/>
  </r>
  <r>
    <n v="10000000442"/>
    <s v="DRON800 WG DIUREX 80WG ID THAIL 500KG TH"/>
    <s v="0000017093"/>
    <d v="2025-11-24T00:00:00"/>
    <s v="1332203"/>
    <s v=""/>
    <n v="2500"/>
    <n v="2500"/>
    <d v="2025-11-15T00:00:00"/>
    <d v="2025-11-15T00:00:00"/>
    <n v="2500"/>
    <s v="1001"/>
    <s v="KG"/>
    <s v=""/>
    <x v="3"/>
    <s v="REL  CNF  DLV  PRC  BASC BCRQ GMPS MANC*"/>
    <n v="19"/>
  </r>
  <r>
    <n v="10000000442"/>
    <s v="DRON800 WG DIUREX 80WG ID THAIL 500KG TH"/>
    <s v="0000017094"/>
    <d v="2025-11-24T00:00:00"/>
    <s v="1332204"/>
    <s v=""/>
    <n v="2500"/>
    <n v="2500"/>
    <d v="2025-11-15T00:00:00"/>
    <d v="2025-11-15T00:00:00"/>
    <n v="2500"/>
    <s v="1001"/>
    <s v="KG"/>
    <s v=""/>
    <x v="3"/>
    <s v="REL  CNF  DLV  PRC  BASC BCRQ GMPS MANC*"/>
    <n v="19"/>
  </r>
  <r>
    <n v="10000000442"/>
    <s v="DRON800 WG DIUREX 80WG ID THAIL 500KG TH"/>
    <s v="0000017095"/>
    <d v="2025-11-24T00:00:00"/>
    <s v="1332205"/>
    <s v=""/>
    <n v="2500"/>
    <n v="2500"/>
    <d v="2025-11-15T00:00:00"/>
    <d v="2025-11-15T00:00:00"/>
    <n v="2500"/>
    <s v="1001"/>
    <s v="KG"/>
    <s v=""/>
    <x v="3"/>
    <s v="REL  CNF  DLV  PRC  BASC BCRQ GMPS MANC*"/>
    <n v="19"/>
  </r>
  <r>
    <n v="10000000442"/>
    <s v="DRON800 WG DIUREX 80WG ID THAIL 500KG TH"/>
    <s v="0000017096"/>
    <d v="2025-11-24T00:00:00"/>
    <s v="1332206"/>
    <s v=""/>
    <n v="2500"/>
    <n v="2500"/>
    <d v="2025-11-15T00:00:00"/>
    <d v="2025-11-15T00:00:00"/>
    <n v="2500"/>
    <s v="1001"/>
    <s v="KG"/>
    <s v=""/>
    <x v="3"/>
    <s v="REL  CNF  DLV  PRC  BASC BCRQ GMPS MANC*"/>
    <n v="19"/>
  </r>
  <r>
    <n v="10000000442"/>
    <s v="DRON800 WG DIUREX 80WG ID THAIL 500KG TH"/>
    <s v="0000017097"/>
    <d v="2025-11-24T00:00:00"/>
    <s v="1332207"/>
    <s v=""/>
    <n v="2500"/>
    <n v="2500"/>
    <d v="2025-11-15T00:00:00"/>
    <d v="2025-11-15T00:00:00"/>
    <n v="2500"/>
    <s v="1001"/>
    <s v="KG"/>
    <s v=""/>
    <x v="3"/>
    <s v="REL  CNF  DLV  PRC  BASC BCRQ GMPS MANC*"/>
    <n v="19"/>
  </r>
  <r>
    <n v="10000000442"/>
    <s v="DRON800 WG DIUREX 80WG ID THAIL 500KG TH"/>
    <s v="0000017098"/>
    <d v="2025-11-24T00:00:00"/>
    <s v="1332208"/>
    <s v=""/>
    <n v="2500"/>
    <n v="2500"/>
    <d v="2025-11-15T00:00:00"/>
    <d v="2025-11-15T00:00:00"/>
    <n v="2500"/>
    <s v="1001"/>
    <s v="KG"/>
    <s v=""/>
    <x v="3"/>
    <s v="REL  CNF  DLV  PRC  BASC BCRQ GMPS MANC*"/>
    <n v="19"/>
  </r>
  <r>
    <n v="10000000442"/>
    <s v="DRON800 WG DIUREX 80WG ID THAIL 500KG TH"/>
    <s v="0000017099"/>
    <d v="2025-11-24T00:00:00"/>
    <s v="1332209"/>
    <s v=""/>
    <n v="2500"/>
    <n v="2500"/>
    <d v="2025-11-15T00:00:00"/>
    <d v="2025-11-15T00:00:00"/>
    <n v="2500"/>
    <s v="1001"/>
    <s v="KG"/>
    <s v=""/>
    <x v="3"/>
    <s v="REL  CNF  DLV  PRC  BASC BCRQ GMPS MANC*"/>
    <n v="19"/>
  </r>
  <r>
    <n v="10000000442"/>
    <s v="DRON800 WG DIUREX 80WG ID THAIL 500KG TH"/>
    <s v="0000017100"/>
    <d v="2025-11-24T00:00:00"/>
    <s v="1332210"/>
    <s v=""/>
    <n v="2500"/>
    <n v="2500"/>
    <d v="2025-11-15T00:00:00"/>
    <d v="2025-11-15T00:00:00"/>
    <n v="2500"/>
    <s v="1001"/>
    <s v="KG"/>
    <s v=""/>
    <x v="3"/>
    <s v="REL  CNF  DLV  PRC  BASC BCRQ GMPS MANC*"/>
    <n v="19"/>
  </r>
  <r>
    <n v="10000000442"/>
    <s v="DRON800 WG DIUREX 80WG ID THAIL 500KG TH"/>
    <s v="0000017101"/>
    <d v="2025-11-24T00:00:00"/>
    <s v="1332211"/>
    <s v=""/>
    <n v="2500"/>
    <n v="2500"/>
    <d v="2025-11-15T00:00:00"/>
    <d v="2025-11-15T00:00:00"/>
    <n v="2500"/>
    <s v="1001"/>
    <s v="KG"/>
    <s v=""/>
    <x v="3"/>
    <s v="REL  CNF  DLV  PRC  BASC BCRQ GMPS MANC*"/>
    <n v="19"/>
  </r>
  <r>
    <n v="10000000442"/>
    <s v="DRON800 WG DIUREX 80WG ID THAIL 500KG TH"/>
    <s v="0000017102"/>
    <d v="2025-11-24T00:00:00"/>
    <s v="1332212"/>
    <s v=""/>
    <n v="2500"/>
    <n v="2500"/>
    <d v="2025-11-15T00:00:00"/>
    <d v="2025-11-15T00:00:00"/>
    <n v="2500"/>
    <s v="1001"/>
    <s v="KG"/>
    <s v=""/>
    <x v="3"/>
    <s v="REL  CNF  DLV  PRC  BASC BCRQ GMPS MANC*"/>
    <n v="19"/>
  </r>
  <r>
    <n v="10000000442"/>
    <s v="DRON800 WG DIUREX 80WG ID THAIL 500KG TH"/>
    <s v="0000017103"/>
    <d v="2025-11-24T00:00:00"/>
    <s v="1332213"/>
    <s v=""/>
    <n v="2500"/>
    <n v="2500"/>
    <d v="2025-11-15T00:00:00"/>
    <d v="2025-11-15T00:00:00"/>
    <n v="2500"/>
    <s v="1001"/>
    <s v="KG"/>
    <s v=""/>
    <x v="3"/>
    <s v="REL  CNF  DLV  PRC  BASC BCRQ GMPS MANC*"/>
    <n v="19"/>
  </r>
  <r>
    <n v="10000000442"/>
    <s v="DRON800 WG DIUREX 80WG ID THAIL 500KG TH"/>
    <s v="0000017104"/>
    <d v="2025-11-24T00:00:00"/>
    <s v="1332214"/>
    <s v=""/>
    <n v="2500"/>
    <n v="2500"/>
    <d v="2025-11-15T00:00:00"/>
    <d v="2025-11-15T00:00:00"/>
    <n v="2500"/>
    <s v="1001"/>
    <s v="KG"/>
    <s v=""/>
    <x v="3"/>
    <s v="REL  CNF  DLV  PRC  BASC BCRQ GMPS MANC*"/>
    <n v="19"/>
  </r>
  <r>
    <n v="10000000442"/>
    <s v="DRON800 WG DIUREX 80WG ID THAIL 500KG TH"/>
    <s v="0000017105"/>
    <d v="2025-11-24T00:00:00"/>
    <s v="1332215"/>
    <s v=""/>
    <n v="2500"/>
    <n v="2500"/>
    <d v="2025-11-15T00:00:00"/>
    <d v="2025-11-15T00:00:00"/>
    <n v="2500"/>
    <s v="1001"/>
    <s v="KG"/>
    <s v=""/>
    <x v="3"/>
    <s v="REL  CNF  DLV  PRC  BASC BCRQ GMPS MANC*"/>
    <n v="19"/>
  </r>
  <r>
    <n v="30000000076"/>
    <s v="DRON970 TC DIUREX TECH MILLED 550 KG"/>
    <s v="0000151717"/>
    <d v="2025-11-20T00:00:00"/>
    <s v="1331667"/>
    <s v=""/>
    <n v="3300"/>
    <n v="3300"/>
    <d v="2025-11-12T00:00:00"/>
    <d v="2025-11-15T00:00:00"/>
    <n v="0"/>
    <s v="1001"/>
    <s v="KG"/>
    <s v=""/>
    <x v="4"/>
    <s v="REL  PCNF DLV  PRC  BASC BCRQ GMPS MACM*"/>
    <s v="DIURON"/>
  </r>
  <r>
    <n v="50000000082"/>
    <s v="NANA 225.00 KG"/>
    <s v="0000136148"/>
    <d v="2025-11-18T00:00:00"/>
    <s v="1330420"/>
    <s v=""/>
    <n v="4500"/>
    <n v="3600"/>
    <d v="2025-11-13T00:00:00"/>
    <d v="2025-11-15T00:00:00"/>
    <n v="0"/>
    <s v="1001"/>
    <s v="KG"/>
    <s v=""/>
    <x v="2"/>
    <s v="REL  PCNF PRC  BASC BCRQ GMPS ILAS MACM*"/>
    <s v="NANA"/>
  </r>
  <r>
    <n v="50000000082"/>
    <s v="NANA 225.00 KG"/>
    <s v="0000136149"/>
    <d v="2025-11-18T00:00:00"/>
    <s v="1330421"/>
    <s v=""/>
    <n v="4500"/>
    <n v="3825"/>
    <d v="2025-11-13T00:00:00"/>
    <d v="2025-11-15T00:00:00"/>
    <n v="3825"/>
    <s v="1001"/>
    <s v="KG"/>
    <s v=""/>
    <x v="2"/>
    <s v="REL  CNF  PRC  BASC BCRQ GMPS ILAS MACM*"/>
    <s v="NANA"/>
  </r>
  <r>
    <n v="30000000076"/>
    <s v="DRON970 TC DIUREX TECH MILLED 550 KG"/>
    <s v="0000151719"/>
    <d v="2025-11-17T00:00:00"/>
    <s v="1331669"/>
    <s v=""/>
    <n v="3300"/>
    <n v="3300"/>
    <d v="2025-11-12T00:00:00"/>
    <d v="2025-11-15T00:00:00"/>
    <n v="0"/>
    <s v="1001"/>
    <s v="KG"/>
    <s v=""/>
    <x v="4"/>
    <s v="REL  PCNF DLV  PRC  BASC BCRQ GMPS MACM*"/>
    <s v="DIURON"/>
  </r>
  <r>
    <n v="20000000387"/>
    <s v="FRXP100FLSL3 SE 1000L"/>
    <s v="0000000432"/>
    <d v="2025-11-15T00:00:00"/>
    <s v="1330799"/>
    <s v=""/>
    <n v="8000"/>
    <n v="8000"/>
    <d v="2025-11-14T00:00:00"/>
    <d v="2025-11-15T00:00:00"/>
    <n v="0"/>
    <s v="1001"/>
    <s v="L"/>
    <s v=""/>
    <x v="5"/>
    <s v="REL  CNF  DLV  PRC  BASC BCRQ GMPS MANC*"/>
    <s v="24F"/>
  </r>
  <r>
    <n v="20000006541"/>
    <s v="ETFM200PNMP200SC PHEN200+ETHO200GL 1000L"/>
    <s v="0000438744"/>
    <d v="2025-11-14T00:00:00"/>
    <s v="1330940"/>
    <s v=""/>
    <n v="7000"/>
    <n v="7000"/>
    <d v="2025-11-14T00:00:00"/>
    <d v="2025-11-15T00:00:00"/>
    <n v="7000"/>
    <s v="1001"/>
    <s v="L"/>
    <s v=""/>
    <x v="0"/>
    <s v="REL  CNF  DLV  PRC  BASC BCRQ GMPS MACM*"/>
    <n v="28"/>
  </r>
  <r>
    <n v="20000006541"/>
    <s v="ETFM200PNMP200SC PHEN200+ETHO200GL 1000L"/>
    <s v="0000438745"/>
    <d v="2025-11-14T00:00:00"/>
    <s v="1330941"/>
    <s v=""/>
    <n v="7000"/>
    <n v="8000"/>
    <d v="2025-11-14T00:00:00"/>
    <d v="2025-11-15T00:00:00"/>
    <n v="8000"/>
    <s v="1001"/>
    <s v="L"/>
    <s v=""/>
    <x v="0"/>
    <s v="REL  CNF  DLV  PRC  BASC BCRQ GMPS MACM*"/>
    <n v="28"/>
  </r>
  <r>
    <n v="20000005837"/>
    <s v="CLTN500 SC TOLUREX 50 SC 1000LT"/>
    <s v="0000000232"/>
    <d v="2025-11-14T00:00:00"/>
    <s v="1331095"/>
    <s v=""/>
    <n v="8000"/>
    <n v="8000"/>
    <d v="2025-11-14T00:00:00"/>
    <d v="2025-11-15T00:00:00"/>
    <n v="8000"/>
    <s v="1001"/>
    <s v="L"/>
    <s v=""/>
    <x v="0"/>
    <s v="REL  CNF  DLV  PRC  BASC BCRQ GMPS MANC*"/>
    <n v="28"/>
  </r>
  <r>
    <n v="10000001150"/>
    <s v="SLCT173+TBAZ330 SC Terbutilazin 200LT IT"/>
    <s v="0000009890"/>
    <d v="2025-11-14T00:00:00"/>
    <s v="1332012"/>
    <s v=""/>
    <n v="6400"/>
    <n v="1400"/>
    <d v="2025-11-14T00:00:00"/>
    <d v="2025-11-15T00:00:00"/>
    <n v="0"/>
    <s v="1001"/>
    <s v="L"/>
    <s v=""/>
    <x v="0"/>
    <s v="REL  CNF  PRC  BASC BCRQ GMPS ILAS MACM*"/>
    <s v="5 lIter"/>
  </r>
  <r>
    <n v="20000000436"/>
    <s v="IMZX80 SL IMAZAMOX 80 SL 1000 L"/>
    <s v="0000000325"/>
    <d v="2025-11-13T00:00:00"/>
    <s v="1331090"/>
    <s v=""/>
    <n v="8000"/>
    <n v="8000"/>
    <d v="2025-11-12T00:00:00"/>
    <d v="2025-11-15T00:00:00"/>
    <n v="0"/>
    <s v="1001"/>
    <s v="L"/>
    <s v=""/>
    <x v="6"/>
    <s v="REL  CNF  DLV  PRC  BASC BCRQ GMPS ILAS*"/>
    <n v="23"/>
  </r>
  <r>
    <n v="20000000805"/>
    <s v="TBAZ330SLCT173 SC 200L"/>
    <s v="0000009219"/>
    <d v="2025-11-12T00:00:00"/>
    <s v="1331651"/>
    <s v=""/>
    <n v="7200"/>
    <n v="8700"/>
    <d v="2025-11-14T00:00:00"/>
    <d v="2025-11-15T00:00:00"/>
    <n v="0"/>
    <s v="1001"/>
    <s v="L"/>
    <s v=""/>
    <x v="0"/>
    <s v="TECO CNF  DLV  PRC  BASC BCRQ GMPS ILAS*"/>
    <n v="28"/>
  </r>
  <r>
    <n v="30000000113"/>
    <s v="CLTN950 TC TOLUREX TEC MILLED 550 KG"/>
    <s v="0000206784"/>
    <d v="2025-11-11T00:00:00"/>
    <s v="1330056"/>
    <s v=""/>
    <n v="3300"/>
    <n v="3300"/>
    <d v="2025-11-12T00:00:00"/>
    <d v="2025-11-15T00:00:00"/>
    <n v="0"/>
    <s v="1001"/>
    <s v="KG"/>
    <s v=""/>
    <x v="4"/>
    <s v="REL  DLV  PRC  BASC BCRQ GMPS MACM ORRQ*"/>
    <s v="CHLOROTOLURON TOLUREX"/>
  </r>
  <r>
    <n v="30000000113"/>
    <s v="CLTN950 TC TOLUREX TEC MILLED 550 KG"/>
    <s v="0000206785"/>
    <d v="2025-11-11T00:00:00"/>
    <s v="1330057"/>
    <s v=""/>
    <n v="3300"/>
    <n v="3300"/>
    <d v="2025-11-12T00:00:00"/>
    <d v="2025-11-15T00:00:00"/>
    <n v="0"/>
    <s v="1001"/>
    <s v="KG"/>
    <s v=""/>
    <x v="4"/>
    <s v="REL  DLV  PRC  BASC BCRQ GMPS MACM ORRQ*"/>
    <s v="CHLOROTOLURON TOLUREX"/>
  </r>
  <r>
    <n v="30000000113"/>
    <s v="CLTN950 TC TOLUREX TEC MILLED 550 KG"/>
    <s v="0000206786"/>
    <d v="2025-11-11T00:00:00"/>
    <s v="1330058"/>
    <s v=""/>
    <n v="3300"/>
    <n v="3300"/>
    <d v="2025-11-12T00:00:00"/>
    <d v="2025-11-15T00:00:00"/>
    <n v="0"/>
    <s v="1001"/>
    <s v="KG"/>
    <s v=""/>
    <x v="4"/>
    <s v="REL  DLV  PRC  BASC BCRQ GMPS MACM ORRQ*"/>
    <s v="CHLOROTOLURON TOLUREX"/>
  </r>
  <r>
    <n v="50000000077"/>
    <s v="NAA DIST ISO"/>
    <s v="0000021335"/>
    <d v="2025-11-10T00:00:00"/>
    <s v="1325383"/>
    <s v=""/>
    <n v="6000"/>
    <n v="8820"/>
    <d v="2025-11-10T00:00:00"/>
    <d v="2025-11-15T00:00:00"/>
    <n v="0"/>
    <s v="1001"/>
    <s v="KG"/>
    <s v=""/>
    <x v="7"/>
    <s v="REL  CNF  DLV  PRC  BASC BCRQ GMPS ILAS*"/>
    <s v="שלבי ביניים לא למדידה"/>
  </r>
  <r>
    <n v="30000000084"/>
    <s v="DRON510BRMC490 WP KROVAR TECH 500 KG"/>
    <s v="0000008198"/>
    <d v="2025-11-10T00:00:00"/>
    <s v="1327155"/>
    <s v=""/>
    <n v="2000"/>
    <n v="1500"/>
    <d v="2025-11-14T00:00:00"/>
    <d v="2025-11-15T00:00:00"/>
    <n v="0"/>
    <s v="1001"/>
    <s v="KG"/>
    <s v=""/>
    <x v="4"/>
    <s v="REL  PRC  BASC BCRQ GMPS MACM ORRQ PDLV*"/>
    <s v="KROVAR"/>
  </r>
  <r>
    <n v="20000000683"/>
    <s v="OXFF240 EC GALIGAN EC 240SP 200 L"/>
    <s v="0000061386"/>
    <d v="2025-11-10T00:00:00"/>
    <s v="1329320"/>
    <s v=""/>
    <n v="6000"/>
    <n v="6800"/>
    <d v="2025-11-03T00:00:00"/>
    <d v="2025-11-15T00:00:00"/>
    <n v="0"/>
    <s v="1001"/>
    <s v="L"/>
    <s v=""/>
    <x v="8"/>
    <s v="REL  DLV  PRC  BASC BCRQ GMPS ILAS MACM*"/>
    <s v="EC 25"/>
  </r>
  <r>
    <n v="50000000056"/>
    <s v="DELTA DAMASCON FLASH 1.00 KG"/>
    <s v="0000010328"/>
    <d v="2025-11-10T00:00:00"/>
    <s v="1330393"/>
    <s v=""/>
    <n v="1600"/>
    <n v="1740"/>
    <d v="2025-11-10T00:00:00"/>
    <d v="2025-11-15T00:00:00"/>
    <n v="0"/>
    <s v="1001"/>
    <s v="KG"/>
    <s v=""/>
    <x v="7"/>
    <s v="REL  CNF  DLV  PRC  BASC BCRQ GMPS ILAS*"/>
    <s v="שלבי ביניים לא למדידה"/>
  </r>
  <r>
    <n v="50000000049"/>
    <s v="DELTA MTL KTN CR RUS 1.00 KG"/>
    <s v="0000007639"/>
    <d v="2025-11-08T00:00:00"/>
    <s v="1328610"/>
    <s v=""/>
    <n v="2000"/>
    <n v="3000"/>
    <d v="2025-11-06T00:00:00"/>
    <d v="2025-11-15T00:00:00"/>
    <n v="0"/>
    <s v="1001"/>
    <s v="KG"/>
    <s v=""/>
    <x v="7"/>
    <s v="REL  CNF  DLV  PRC  BASC BCRQ GMPS ILAS*"/>
    <s v="שלבי ביניים לא למדידה"/>
  </r>
  <r>
    <n v="50000000108"/>
    <s v="PROPAQUIZAFOP PRMX25 1000 KG"/>
    <s v="0000003521"/>
    <d v="2025-11-07T00:00:00"/>
    <s v="1329751"/>
    <s v=""/>
    <n v="8000"/>
    <n v="8000"/>
    <d v="2025-11-04T00:00:00"/>
    <d v="2025-11-15T00:00:00"/>
    <n v="0"/>
    <s v="1001"/>
    <s v="KG"/>
    <s v=""/>
    <x v="8"/>
    <s v="REL  CNF  DLV  PRC  BASC BCRQ GMPS ILAS*"/>
    <s v="PROPAQUIZAFOP Premix"/>
  </r>
  <r>
    <n v="50000000108"/>
    <s v="PROPAQUIZAFOP PRMX25 1000 KG"/>
    <s v="0000003522"/>
    <d v="2025-11-07T00:00:00"/>
    <s v="1329752"/>
    <s v=""/>
    <n v="8000"/>
    <n v="7000"/>
    <d v="2025-11-04T00:00:00"/>
    <d v="2025-11-15T00:00:00"/>
    <n v="0"/>
    <s v="1001"/>
    <s v="KG"/>
    <s v=""/>
    <x v="8"/>
    <s v="REL  CNF  PRC  BASC BCRQ GMPS ILAS MACM*"/>
    <s v="PROPAQUIZAFOP Premix"/>
  </r>
  <r>
    <n v="50000000072"/>
    <s v="KROVAR SLURRY .00 KG"/>
    <s v="0000008959"/>
    <d v="2025-11-04T00:00:00"/>
    <s v="1326664"/>
    <s v=""/>
    <n v="2100"/>
    <n v="2100"/>
    <d v="2025-10-26T00:00:00"/>
    <d v="2025-11-15T00:00:00"/>
    <n v="2100"/>
    <s v="1001"/>
    <s v="KG"/>
    <s v=""/>
    <x v="9"/>
    <s v="REL  CNF  DLV  PRC  BASC BCRQ GMPS ILAS*"/>
    <s v="אותו קרובר כמו הבא אחריו לבחור רק אחד מהם"/>
  </r>
  <r>
    <n v="20000000778"/>
    <s v="QZLF50 EC QUIZALOFOP 5 EC SS 1000 L"/>
    <s v="0000001401"/>
    <d v="2025-11-01T00:00:00"/>
    <s v="1326233"/>
    <s v=""/>
    <n v="12000"/>
    <n v="11000"/>
    <d v="2025-11-14T00:00:00"/>
    <d v="2025-11-15T00:00:00"/>
    <n v="11000"/>
    <s v="1001"/>
    <s v="L"/>
    <s v=""/>
    <x v="6"/>
    <s v="REL  CNF  PRC  BASC BCRQ GMPS MACM ORRQ*"/>
    <n v="23"/>
  </r>
  <r>
    <n v="10000011550"/>
    <s v="PINO100+THIEN8.3+MEF OD CAZADO 1000LT CA"/>
    <s v="0000000167"/>
    <d v="2025-11-01T00:00:00"/>
    <s v="1326601"/>
    <s v=""/>
    <n v="5000"/>
    <n v="1000"/>
    <d v="2025-11-14T00:00:00"/>
    <d v="2025-11-15T00:00:00"/>
    <n v="1000"/>
    <s v="1001"/>
    <s v="L"/>
    <s v=""/>
    <x v="5"/>
    <s v="REL  CNF  PRC  BASC BCRQ GMPS ILAS MACM*"/>
    <s v="24F"/>
  </r>
  <r>
    <n v="10000011550"/>
    <s v="PINO100+THIEN8.3+MEF OD CAZADO 1000LT CA"/>
    <s v="0000000168"/>
    <d v="2025-11-01T00:00:00"/>
    <s v="1326602"/>
    <s v=""/>
    <n v="2770"/>
    <n v="2770"/>
    <d v="2025-11-14T00:00:00"/>
    <d v="2025-11-15T00:00:00"/>
    <n v="0"/>
    <s v="1001"/>
    <s v="L"/>
    <s v=""/>
    <x v="5"/>
    <s v="REL  PCNF DLV  PRC  BASC BCRQ GMPS ILAS*"/>
    <s v="24F"/>
  </r>
  <r>
    <n v="10000002484"/>
    <s v="MTMN350+QNMC60 SC GOLTIX SILVER 10LT FR"/>
    <s v="0000319318"/>
    <d v="2025-11-01T00:00:00"/>
    <s v="1327391"/>
    <s v="211016259"/>
    <n v="12000"/>
    <n v="12000"/>
    <d v="2025-10-28T00:00:00"/>
    <d v="2025-11-15T00:00:00"/>
    <n v="12000"/>
    <s v="1001"/>
    <s v="L"/>
    <s v=""/>
    <x v="10"/>
    <s v="REL  PRT  CNF  DLV  PRC  BASC BCRQ GMPS*"/>
    <n v="10"/>
  </r>
  <r>
    <n v="10000002484"/>
    <s v="MTMN350+QNMC60 SC GOLTIX SILVER 10LT FR"/>
    <s v="0000319319"/>
    <d v="2025-11-01T00:00:00"/>
    <s v="1327392"/>
    <s v="211016259"/>
    <n v="12000"/>
    <n v="12000"/>
    <d v="2025-10-28T00:00:00"/>
    <d v="2025-11-15T00:00:00"/>
    <n v="12000"/>
    <s v="1001"/>
    <s v="L"/>
    <s v=""/>
    <x v="10"/>
    <s v="REL  PRT  CNF  DLV  PRC  BASC BCRQ GMPS*"/>
    <n v="10"/>
  </r>
  <r>
    <n v="10000000401"/>
    <s v="DRON540+HZNN67 WG JUMP 5KG BRASIL 5KG BR"/>
    <s v="0000016434"/>
    <d v="2025-10-31T00:00:00"/>
    <s v="1326835"/>
    <s v=""/>
    <n v="2880"/>
    <n v="2880"/>
    <d v="2025-11-13T00:00:00"/>
    <d v="2025-11-15T00:00:00"/>
    <n v="0"/>
    <s v="1001"/>
    <s v="KG"/>
    <s v=""/>
    <x v="3"/>
    <s v="REL  CNF  DLV  PRC  BASC BCRQ GMPS ILAS*"/>
    <n v="19"/>
  </r>
  <r>
    <n v="10000000401"/>
    <s v="DRON540+HZNN67 WG JUMP 5KG BRASIL 5KG BR"/>
    <s v="0000016435"/>
    <d v="2025-10-31T00:00:00"/>
    <s v="1326836"/>
    <s v=""/>
    <n v="2880"/>
    <n v="2880"/>
    <d v="2025-11-13T00:00:00"/>
    <d v="2025-11-15T00:00:00"/>
    <n v="0"/>
    <s v="1001"/>
    <s v="KG"/>
    <s v=""/>
    <x v="3"/>
    <s v="REL  CNF  DLV  PRC  BASC BCRQ GMPS ILAS*"/>
    <n v="19"/>
  </r>
  <r>
    <n v="10000000401"/>
    <s v="DRON540+HZNN67 WG JUMP 5KG BRASIL 5KG BR"/>
    <s v="0000016436"/>
    <d v="2025-10-31T00:00:00"/>
    <s v="1326837"/>
    <s v=""/>
    <n v="2880"/>
    <n v="2880"/>
    <d v="2025-11-14T00:00:00"/>
    <d v="2025-11-15T00:00:00"/>
    <n v="0"/>
    <s v="1001"/>
    <s v="KG"/>
    <s v=""/>
    <x v="3"/>
    <s v="REL  CNF  DLV  PRC  BASC BCRQ GMPS ILAS*"/>
    <n v="19"/>
  </r>
  <r>
    <n v="10000000401"/>
    <s v="DRON540+HZNN67 WG JUMP 5KG BRASIL 5KG BR"/>
    <s v="0000016437"/>
    <d v="2025-10-31T00:00:00"/>
    <s v="1326838"/>
    <s v=""/>
    <n v="2880"/>
    <n v="2880"/>
    <d v="2025-11-14T00:00:00"/>
    <d v="2025-11-15T00:00:00"/>
    <n v="0"/>
    <s v="1001"/>
    <s v="KG"/>
    <s v=""/>
    <x v="3"/>
    <s v="REL  CNF  DLV  PRC  BASC BCRQ GMPS ILAS*"/>
    <n v="19"/>
  </r>
  <r>
    <n v="10000000401"/>
    <s v="DRON540+HZNN67 WG JUMP 5KG BRASIL 5KG BR"/>
    <s v="0000016438"/>
    <d v="2025-10-31T00:00:00"/>
    <s v="1326839"/>
    <s v=""/>
    <n v="2880"/>
    <n v="2880"/>
    <d v="2025-11-14T00:00:00"/>
    <d v="2025-11-15T00:00:00"/>
    <n v="0"/>
    <s v="1001"/>
    <s v="KG"/>
    <s v=""/>
    <x v="3"/>
    <s v="REL  PCNF DLV  PRC  BASC BCRQ GMPS ILAS*"/>
    <n v="19"/>
  </r>
  <r>
    <n v="10000000401"/>
    <s v="DRON540+HZNN67 WG JUMP 5KG BRASIL 5KG BR"/>
    <s v="0000016439"/>
    <d v="2025-10-31T00:00:00"/>
    <s v="1326840"/>
    <s v=""/>
    <n v="2880"/>
    <n v="2880"/>
    <d v="2025-11-14T00:00:00"/>
    <d v="2025-11-15T00:00:00"/>
    <n v="0"/>
    <s v="1001"/>
    <s v="KG"/>
    <s v=""/>
    <x v="3"/>
    <s v="REL  DLV  PRC  BASC BCRQ GMPS ILAS MANC*"/>
    <n v="19"/>
  </r>
  <r>
    <n v="10000000401"/>
    <s v="DRON540+HZNN67 WG JUMP 5KG BRASIL 5KG BR"/>
    <s v="0000016440"/>
    <d v="2025-10-31T00:00:00"/>
    <s v="1326841"/>
    <s v=""/>
    <n v="2880"/>
    <n v="2880"/>
    <d v="2025-11-14T00:00:00"/>
    <d v="2025-11-15T00:00:00"/>
    <n v="0"/>
    <s v="1001"/>
    <s v="KG"/>
    <s v=""/>
    <x v="3"/>
    <s v="REL  DLV  PRC  BASC BCRQ GMPS ILAS MANC*"/>
    <n v="19"/>
  </r>
  <r>
    <n v="50000001441"/>
    <s v="HEXENONE (1002) ISO NEW"/>
    <s v="0000279370"/>
    <d v="2025-09-01T00:00:00"/>
    <s v="1314532"/>
    <s v=""/>
    <n v="1800"/>
    <n v="1232"/>
    <d v="2025-11-03T00:00:00"/>
    <d v="2025-11-15T00:00:00"/>
    <n v="0"/>
    <s v="1001"/>
    <s v="KG"/>
    <s v=""/>
    <x v="7"/>
    <s v="REL  CNF  PRC  BASC BCRQ GMPS ILAS MACM*"/>
    <s v="שלבי ביניים לא למדידה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  <r>
    <m/>
    <m/>
    <m/>
    <m/>
    <m/>
    <m/>
    <m/>
    <m/>
    <m/>
    <m/>
    <m/>
    <m/>
    <m/>
    <m/>
    <x v="11"/>
    <m/>
    <e v="#N/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72">
  <r>
    <n v="20000005837"/>
    <s v="CLTN500 SC TOLUREX 50 SC 1000LT"/>
    <s v="0000000231"/>
    <d v="2025-12-27T00:00:00"/>
    <s v="1331094"/>
    <s v=""/>
    <n v="7000"/>
    <n v="7000"/>
    <d v="2025-11-14T00:00:00"/>
    <x v="0"/>
    <n v="7000"/>
    <s v="1001"/>
    <s v="L"/>
    <s v=""/>
    <x v="0"/>
    <s v="REL  CNF  DLV  PRC  BASC BCRQ GMPS MACM*"/>
    <n v="28"/>
    <x v="0"/>
  </r>
  <r>
    <n v="10000000898"/>
    <s v="PPQZ100 EC FALCON NMP FREE DUAL 5LT UK"/>
    <s v="0000005148"/>
    <d v="2025-12-02T00:00:00"/>
    <s v="1329351"/>
    <s v="211016243"/>
    <n v="9600"/>
    <n v="9600"/>
    <d v="2025-11-09T00:00:00"/>
    <x v="0"/>
    <n v="9600"/>
    <s v="1001"/>
    <s v="L"/>
    <s v=""/>
    <x v="1"/>
    <s v="REL  PRT  CNF  DLV  PRC  BASC BCRQ GMPS*"/>
    <n v="5"/>
    <x v="1"/>
  </r>
  <r>
    <n v="30000000097"/>
    <s v="MTZC735 TC METAZACHLR T WT CRUD 600 KG"/>
    <s v="0000009024"/>
    <d v="2025-11-29T00:00:00"/>
    <s v="1330369"/>
    <s v=""/>
    <n v="2800"/>
    <n v="2515"/>
    <d v="2025-11-06T00:00:00"/>
    <x v="0"/>
    <n v="0"/>
    <s v="1001"/>
    <s v="KG"/>
    <s v=""/>
    <x v="2"/>
    <s v="REL  CNF  PRC  BASC BCRQ GMPS ILAS MACM*"/>
    <s v="METAZACHLOR"/>
    <x v="2"/>
  </r>
  <r>
    <n v="30000000097"/>
    <s v="MTZC735 TC METAZACHLR T WT CRUD 600 KG"/>
    <s v="0000009025"/>
    <d v="2025-11-29T00:00:00"/>
    <s v="1330370"/>
    <s v=""/>
    <n v="2800"/>
    <n v="2600"/>
    <d v="2025-11-06T00:00:00"/>
    <x v="0"/>
    <n v="0"/>
    <s v="1001"/>
    <s v="KG"/>
    <s v=""/>
    <x v="2"/>
    <s v="REL  CNF  PRC  BASC BCRQ GMPS ILAS MACM*"/>
    <s v="METAZACHLOR"/>
    <x v="2"/>
  </r>
  <r>
    <n v="10000000442"/>
    <s v="DRON800 WG DIUREX 80WG ID THAIL 500KG TH"/>
    <s v="0000017087"/>
    <d v="2025-11-24T00:00:00"/>
    <s v="1332097"/>
    <s v=""/>
    <n v="2500"/>
    <n v="2500"/>
    <d v="2025-11-14T00:00:00"/>
    <x v="0"/>
    <n v="2500"/>
    <s v="1001"/>
    <s v="KG"/>
    <s v=""/>
    <x v="3"/>
    <s v="REL  CNF  DLV  PRC  BASC BCRQ GMPS MANC*"/>
    <n v="19"/>
    <x v="3"/>
  </r>
  <r>
    <n v="10000000442"/>
    <s v="DRON800 WG DIUREX 80WG ID THAIL 500KG TH"/>
    <s v="0000017088"/>
    <d v="2025-11-24T00:00:00"/>
    <s v="1332098"/>
    <s v=""/>
    <n v="2500"/>
    <n v="2500"/>
    <d v="2025-11-14T00:00:00"/>
    <x v="0"/>
    <n v="2500"/>
    <s v="1001"/>
    <s v="KG"/>
    <s v=""/>
    <x v="3"/>
    <s v="REL  CNF  DLV  PRC  BASC BCRQ GMPS MANC*"/>
    <n v="19"/>
    <x v="3"/>
  </r>
  <r>
    <n v="10000000442"/>
    <s v="DRON800 WG DIUREX 80WG ID THAIL 500KG TH"/>
    <s v="0000017089"/>
    <d v="2025-11-24T00:00:00"/>
    <s v="1332099"/>
    <s v=""/>
    <n v="2500"/>
    <n v="2500"/>
    <d v="2025-11-15T00:00:00"/>
    <x v="0"/>
    <n v="2500"/>
    <s v="1001"/>
    <s v="KG"/>
    <s v=""/>
    <x v="3"/>
    <s v="REL  CNF  DLV  PRC  BASC BCRQ GMPS MANC*"/>
    <n v="19"/>
    <x v="3"/>
  </r>
  <r>
    <n v="10000000442"/>
    <s v="DRON800 WG DIUREX 80WG ID THAIL 500KG TH"/>
    <s v="0000017090"/>
    <d v="2025-11-24T00:00:00"/>
    <s v="1332200"/>
    <s v=""/>
    <n v="2500"/>
    <n v="2500"/>
    <d v="2025-11-15T00:00:00"/>
    <x v="0"/>
    <n v="2500"/>
    <s v="1001"/>
    <s v="KG"/>
    <s v=""/>
    <x v="3"/>
    <s v="REL  CNF  DLV  PRC  BASC BCRQ GMPS MANC*"/>
    <n v="19"/>
    <x v="3"/>
  </r>
  <r>
    <n v="10000000442"/>
    <s v="DRON800 WG DIUREX 80WG ID THAIL 500KG TH"/>
    <s v="0000017091"/>
    <d v="2025-11-24T00:00:00"/>
    <s v="1332201"/>
    <s v=""/>
    <n v="2500"/>
    <n v="2500"/>
    <d v="2025-11-15T00:00:00"/>
    <x v="0"/>
    <n v="2500"/>
    <s v="1001"/>
    <s v="KG"/>
    <s v=""/>
    <x v="3"/>
    <s v="REL  CNF  DLV  PRC  BASC BCRQ GMPS MANC*"/>
    <n v="19"/>
    <x v="3"/>
  </r>
  <r>
    <n v="10000000442"/>
    <s v="DRON800 WG DIUREX 80WG ID THAIL 500KG TH"/>
    <s v="0000017092"/>
    <d v="2025-11-24T00:00:00"/>
    <s v="1332202"/>
    <s v=""/>
    <n v="2500"/>
    <n v="2500"/>
    <d v="2025-11-15T00:00:00"/>
    <x v="0"/>
    <n v="2500"/>
    <s v="1001"/>
    <s v="KG"/>
    <s v=""/>
    <x v="3"/>
    <s v="REL  CNF  DLV  PRC  BASC BCRQ GMPS MANC*"/>
    <n v="19"/>
    <x v="3"/>
  </r>
  <r>
    <n v="10000000442"/>
    <s v="DRON800 WG DIUREX 80WG ID THAIL 500KG TH"/>
    <s v="0000017093"/>
    <d v="2025-11-24T00:00:00"/>
    <s v="1332203"/>
    <s v=""/>
    <n v="2500"/>
    <n v="2500"/>
    <d v="2025-11-15T00:00:00"/>
    <x v="0"/>
    <n v="2500"/>
    <s v="1001"/>
    <s v="KG"/>
    <s v=""/>
    <x v="3"/>
    <s v="REL  CNF  DLV  PRC  BASC BCRQ GMPS MANC*"/>
    <n v="19"/>
    <x v="3"/>
  </r>
  <r>
    <n v="10000000442"/>
    <s v="DRON800 WG DIUREX 80WG ID THAIL 500KG TH"/>
    <s v="0000017094"/>
    <d v="2025-11-24T00:00:00"/>
    <s v="1332204"/>
    <s v=""/>
    <n v="2500"/>
    <n v="2500"/>
    <d v="2025-11-15T00:00:00"/>
    <x v="0"/>
    <n v="2500"/>
    <s v="1001"/>
    <s v="KG"/>
    <s v=""/>
    <x v="3"/>
    <s v="REL  CNF  DLV  PRC  BASC BCRQ GMPS MANC*"/>
    <n v="19"/>
    <x v="3"/>
  </r>
  <r>
    <n v="10000000442"/>
    <s v="DRON800 WG DIUREX 80WG ID THAIL 500KG TH"/>
    <s v="0000017095"/>
    <d v="2025-11-24T00:00:00"/>
    <s v="1332205"/>
    <s v=""/>
    <n v="2500"/>
    <n v="2500"/>
    <d v="2025-11-15T00:00:00"/>
    <x v="0"/>
    <n v="2500"/>
    <s v="1001"/>
    <s v="KG"/>
    <s v=""/>
    <x v="3"/>
    <s v="REL  CNF  DLV  PRC  BASC BCRQ GMPS MANC*"/>
    <n v="19"/>
    <x v="3"/>
  </r>
  <r>
    <n v="10000000442"/>
    <s v="DRON800 WG DIUREX 80WG ID THAIL 500KG TH"/>
    <s v="0000017096"/>
    <d v="2025-11-24T00:00:00"/>
    <s v="1332206"/>
    <s v=""/>
    <n v="2500"/>
    <n v="2500"/>
    <d v="2025-11-15T00:00:00"/>
    <x v="0"/>
    <n v="2500"/>
    <s v="1001"/>
    <s v="KG"/>
    <s v=""/>
    <x v="3"/>
    <s v="REL  CNF  DLV  PRC  BASC BCRQ GMPS MANC*"/>
    <n v="19"/>
    <x v="3"/>
  </r>
  <r>
    <n v="10000000442"/>
    <s v="DRON800 WG DIUREX 80WG ID THAIL 500KG TH"/>
    <s v="0000017097"/>
    <d v="2025-11-24T00:00:00"/>
    <s v="1332207"/>
    <s v=""/>
    <n v="2500"/>
    <n v="2500"/>
    <d v="2025-11-15T00:00:00"/>
    <x v="0"/>
    <n v="2500"/>
    <s v="1001"/>
    <s v="KG"/>
    <s v=""/>
    <x v="3"/>
    <s v="REL  CNF  DLV  PRC  BASC BCRQ GMPS MANC*"/>
    <n v="19"/>
    <x v="3"/>
  </r>
  <r>
    <n v="10000000442"/>
    <s v="DRON800 WG DIUREX 80WG ID THAIL 500KG TH"/>
    <s v="0000017098"/>
    <d v="2025-11-24T00:00:00"/>
    <s v="1332208"/>
    <s v=""/>
    <n v="2500"/>
    <n v="2500"/>
    <d v="2025-11-15T00:00:00"/>
    <x v="0"/>
    <n v="2500"/>
    <s v="1001"/>
    <s v="KG"/>
    <s v=""/>
    <x v="3"/>
    <s v="REL  CNF  DLV  PRC  BASC BCRQ GMPS MANC*"/>
    <n v="19"/>
    <x v="3"/>
  </r>
  <r>
    <n v="10000000442"/>
    <s v="DRON800 WG DIUREX 80WG ID THAIL 500KG TH"/>
    <s v="0000017099"/>
    <d v="2025-11-24T00:00:00"/>
    <s v="1332209"/>
    <s v=""/>
    <n v="2500"/>
    <n v="2500"/>
    <d v="2025-11-15T00:00:00"/>
    <x v="0"/>
    <n v="2500"/>
    <s v="1001"/>
    <s v="KG"/>
    <s v=""/>
    <x v="3"/>
    <s v="REL  CNF  DLV  PRC  BASC BCRQ GMPS MANC*"/>
    <n v="19"/>
    <x v="3"/>
  </r>
  <r>
    <n v="10000000442"/>
    <s v="DRON800 WG DIUREX 80WG ID THAIL 500KG TH"/>
    <s v="0000017100"/>
    <d v="2025-11-24T00:00:00"/>
    <s v="1332210"/>
    <s v=""/>
    <n v="2500"/>
    <n v="2500"/>
    <d v="2025-11-15T00:00:00"/>
    <x v="0"/>
    <n v="2500"/>
    <s v="1001"/>
    <s v="KG"/>
    <s v=""/>
    <x v="3"/>
    <s v="REL  CNF  DLV  PRC  BASC BCRQ GMPS MANC*"/>
    <n v="19"/>
    <x v="3"/>
  </r>
  <r>
    <n v="10000000442"/>
    <s v="DRON800 WG DIUREX 80WG ID THAIL 500KG TH"/>
    <s v="0000017101"/>
    <d v="2025-11-24T00:00:00"/>
    <s v="1332211"/>
    <s v=""/>
    <n v="2500"/>
    <n v="2500"/>
    <d v="2025-11-15T00:00:00"/>
    <x v="0"/>
    <n v="2500"/>
    <s v="1001"/>
    <s v="KG"/>
    <s v=""/>
    <x v="3"/>
    <s v="REL  CNF  DLV  PRC  BASC BCRQ GMPS MANC*"/>
    <n v="19"/>
    <x v="3"/>
  </r>
  <r>
    <n v="10000000442"/>
    <s v="DRON800 WG DIUREX 80WG ID THAIL 500KG TH"/>
    <s v="0000017102"/>
    <d v="2025-11-24T00:00:00"/>
    <s v="1332212"/>
    <s v=""/>
    <n v="2500"/>
    <n v="2500"/>
    <d v="2025-11-15T00:00:00"/>
    <x v="0"/>
    <n v="2500"/>
    <s v="1001"/>
    <s v="KG"/>
    <s v=""/>
    <x v="3"/>
    <s v="REL  CNF  DLV  PRC  BASC BCRQ GMPS MANC*"/>
    <n v="19"/>
    <x v="3"/>
  </r>
  <r>
    <n v="10000000442"/>
    <s v="DRON800 WG DIUREX 80WG ID THAIL 500KG TH"/>
    <s v="0000017103"/>
    <d v="2025-11-24T00:00:00"/>
    <s v="1332213"/>
    <s v=""/>
    <n v="2500"/>
    <n v="2500"/>
    <d v="2025-11-15T00:00:00"/>
    <x v="0"/>
    <n v="2500"/>
    <s v="1001"/>
    <s v="KG"/>
    <s v=""/>
    <x v="3"/>
    <s v="REL  CNF  DLV  PRC  BASC BCRQ GMPS MANC*"/>
    <n v="19"/>
    <x v="3"/>
  </r>
  <r>
    <n v="10000000442"/>
    <s v="DRON800 WG DIUREX 80WG ID THAIL 500KG TH"/>
    <s v="0000017104"/>
    <d v="2025-11-24T00:00:00"/>
    <s v="1332214"/>
    <s v=""/>
    <n v="2500"/>
    <n v="2500"/>
    <d v="2025-11-15T00:00:00"/>
    <x v="0"/>
    <n v="2500"/>
    <s v="1001"/>
    <s v="KG"/>
    <s v=""/>
    <x v="3"/>
    <s v="REL  CNF  DLV  PRC  BASC BCRQ GMPS MANC*"/>
    <n v="19"/>
    <x v="3"/>
  </r>
  <r>
    <n v="10000000442"/>
    <s v="DRON800 WG DIUREX 80WG ID THAIL 500KG TH"/>
    <s v="0000017105"/>
    <d v="2025-11-24T00:00:00"/>
    <s v="1332215"/>
    <s v=""/>
    <n v="2500"/>
    <n v="2500"/>
    <d v="2025-11-15T00:00:00"/>
    <x v="0"/>
    <n v="2500"/>
    <s v="1001"/>
    <s v="KG"/>
    <s v=""/>
    <x v="3"/>
    <s v="REL  CNF  DLV  PRC  BASC BCRQ GMPS MANC*"/>
    <n v="19"/>
    <x v="3"/>
  </r>
  <r>
    <n v="30000000076"/>
    <s v="DRON970 TC DIUREX TECH MILLED 550 KG"/>
    <s v="0000151717"/>
    <d v="2025-11-20T00:00:00"/>
    <s v="1331667"/>
    <s v=""/>
    <n v="3300"/>
    <n v="3300"/>
    <d v="2025-11-12T00:00:00"/>
    <x v="0"/>
    <n v="0"/>
    <s v="1001"/>
    <s v="KG"/>
    <s v=""/>
    <x v="4"/>
    <s v="REL  PCNF DLV  PRC  BASC BCRQ GMPS MACM*"/>
    <s v="DIURON"/>
    <x v="2"/>
  </r>
  <r>
    <n v="50000000082"/>
    <s v="NANA 225.00 KG"/>
    <s v="0000136148"/>
    <d v="2025-11-18T00:00:00"/>
    <s v="1330420"/>
    <s v=""/>
    <n v="4500"/>
    <n v="3600"/>
    <d v="2025-11-13T00:00:00"/>
    <x v="0"/>
    <n v="0"/>
    <s v="1001"/>
    <s v="KG"/>
    <s v=""/>
    <x v="2"/>
    <s v="REL  PCNF PRC  BASC BCRQ GMPS ILAS MACM*"/>
    <s v="NANA"/>
    <x v="2"/>
  </r>
  <r>
    <n v="50000000082"/>
    <s v="NANA 225.00 KG"/>
    <s v="0000136149"/>
    <d v="2025-11-18T00:00:00"/>
    <s v="1330421"/>
    <s v=""/>
    <n v="4500"/>
    <n v="3825"/>
    <d v="2025-11-13T00:00:00"/>
    <x v="0"/>
    <n v="3825"/>
    <s v="1001"/>
    <s v="KG"/>
    <s v=""/>
    <x v="2"/>
    <s v="REL  CNF  PRC  BASC BCRQ GMPS ILAS MACM*"/>
    <s v="NANA"/>
    <x v="2"/>
  </r>
  <r>
    <n v="30000000076"/>
    <s v="DRON970 TC DIUREX TECH MILLED 550 KG"/>
    <s v="0000151719"/>
    <d v="2025-11-17T00:00:00"/>
    <s v="1331669"/>
    <s v=""/>
    <n v="3300"/>
    <n v="3300"/>
    <d v="2025-11-12T00:00:00"/>
    <x v="0"/>
    <n v="0"/>
    <s v="1001"/>
    <s v="KG"/>
    <s v=""/>
    <x v="4"/>
    <s v="REL  PCNF DLV  PRC  BASC BCRQ GMPS MACM*"/>
    <s v="DIURON"/>
    <x v="2"/>
  </r>
  <r>
    <n v="20000000387"/>
    <s v="FRXP100FLSL3 SE 1000L"/>
    <s v="0000000432"/>
    <d v="2025-11-15T00:00:00"/>
    <s v="1330799"/>
    <s v=""/>
    <n v="8000"/>
    <n v="8000"/>
    <d v="2025-11-14T00:00:00"/>
    <x v="0"/>
    <n v="0"/>
    <s v="1001"/>
    <s v="L"/>
    <s v=""/>
    <x v="5"/>
    <s v="REL  CNF  DLV  PRC  BASC BCRQ GMPS MANC*"/>
    <s v="24F"/>
    <x v="4"/>
  </r>
  <r>
    <n v="20000006541"/>
    <s v="ETFM200PNMP200SC PHEN200+ETHO200GL 1000L"/>
    <s v="0000438744"/>
    <d v="2025-11-14T00:00:00"/>
    <s v="1330940"/>
    <s v=""/>
    <n v="7000"/>
    <n v="7000"/>
    <d v="2025-11-14T00:00:00"/>
    <x v="0"/>
    <n v="7000"/>
    <s v="1001"/>
    <s v="L"/>
    <s v=""/>
    <x v="0"/>
    <s v="REL  CNF  DLV  PRC  BASC BCRQ GMPS MACM*"/>
    <n v="28"/>
    <x v="0"/>
  </r>
  <r>
    <n v="20000006541"/>
    <s v="ETFM200PNMP200SC PHEN200+ETHO200GL 1000L"/>
    <s v="0000438745"/>
    <d v="2025-11-14T00:00:00"/>
    <s v="1330941"/>
    <s v=""/>
    <n v="7000"/>
    <n v="8000"/>
    <d v="2025-11-14T00:00:00"/>
    <x v="0"/>
    <n v="8000"/>
    <s v="1001"/>
    <s v="L"/>
    <s v=""/>
    <x v="0"/>
    <s v="REL  CNF  DLV  PRC  BASC BCRQ GMPS MACM*"/>
    <n v="28"/>
    <x v="0"/>
  </r>
  <r>
    <n v="20000005837"/>
    <s v="CLTN500 SC TOLUREX 50 SC 1000LT"/>
    <s v="0000000232"/>
    <d v="2025-11-14T00:00:00"/>
    <s v="1331095"/>
    <s v=""/>
    <n v="8000"/>
    <n v="8000"/>
    <d v="2025-11-14T00:00:00"/>
    <x v="0"/>
    <n v="8000"/>
    <s v="1001"/>
    <s v="L"/>
    <s v=""/>
    <x v="0"/>
    <s v="REL  CNF  DLV  PRC  BASC BCRQ GMPS MANC*"/>
    <n v="28"/>
    <x v="0"/>
  </r>
  <r>
    <n v="10000001150"/>
    <s v="SLCT173+TBAZ330 SC Terbutilazin 200LT IT"/>
    <s v="0000009890"/>
    <d v="2025-11-14T00:00:00"/>
    <s v="1332012"/>
    <s v=""/>
    <n v="6400"/>
    <n v="1400"/>
    <d v="2025-11-14T00:00:00"/>
    <x v="0"/>
    <n v="0"/>
    <s v="1001"/>
    <s v="L"/>
    <s v=""/>
    <x v="0"/>
    <s v="REL  CNF  PRC  BASC BCRQ GMPS ILAS MACM*"/>
    <s v="5 lIter"/>
    <x v="5"/>
  </r>
  <r>
    <n v="20000000436"/>
    <s v="IMZX80 SL IMAZAMOX 80 SL 1000 L"/>
    <s v="0000000325"/>
    <d v="2025-11-13T00:00:00"/>
    <s v="1331090"/>
    <s v=""/>
    <n v="8000"/>
    <n v="8000"/>
    <d v="2025-11-12T00:00:00"/>
    <x v="0"/>
    <n v="0"/>
    <s v="1001"/>
    <s v="L"/>
    <s v=""/>
    <x v="6"/>
    <s v="REL  CNF  DLV  PRC  BASC BCRQ GMPS ILAS*"/>
    <n v="23"/>
    <x v="6"/>
  </r>
  <r>
    <n v="20000000805"/>
    <s v="TBAZ330SLCT173 SC 200L"/>
    <s v="0000009219"/>
    <d v="2025-11-12T00:00:00"/>
    <s v="1331651"/>
    <s v=""/>
    <n v="7200"/>
    <n v="8700"/>
    <d v="2025-11-14T00:00:00"/>
    <x v="0"/>
    <n v="0"/>
    <s v="1001"/>
    <s v="L"/>
    <s v=""/>
    <x v="0"/>
    <s v="TECO CNF  DLV  PRC  BASC BCRQ GMPS ILAS*"/>
    <n v="28"/>
    <x v="0"/>
  </r>
  <r>
    <n v="30000000113"/>
    <s v="CLTN950 TC TOLUREX TEC MILLED 550 KG"/>
    <s v="0000206784"/>
    <d v="2025-11-11T00:00:00"/>
    <s v="1330056"/>
    <s v=""/>
    <n v="3300"/>
    <n v="3300"/>
    <d v="2025-11-12T00:00:00"/>
    <x v="0"/>
    <n v="0"/>
    <s v="1001"/>
    <s v="KG"/>
    <s v=""/>
    <x v="4"/>
    <s v="REL  DLV  PRC  BASC BCRQ GMPS MACM ORRQ*"/>
    <s v="CHLOROTOLURON TOLUREX"/>
    <x v="2"/>
  </r>
  <r>
    <n v="30000000113"/>
    <s v="CLTN950 TC TOLUREX TEC MILLED 550 KG"/>
    <s v="0000206785"/>
    <d v="2025-11-11T00:00:00"/>
    <s v="1330057"/>
    <s v=""/>
    <n v="3300"/>
    <n v="3300"/>
    <d v="2025-11-12T00:00:00"/>
    <x v="0"/>
    <n v="0"/>
    <s v="1001"/>
    <s v="KG"/>
    <s v=""/>
    <x v="4"/>
    <s v="REL  DLV  PRC  BASC BCRQ GMPS MACM ORRQ*"/>
    <s v="CHLOROTOLURON TOLUREX"/>
    <x v="2"/>
  </r>
  <r>
    <n v="30000000113"/>
    <s v="CLTN950 TC TOLUREX TEC MILLED 550 KG"/>
    <s v="0000206786"/>
    <d v="2025-11-11T00:00:00"/>
    <s v="1330058"/>
    <s v=""/>
    <n v="3300"/>
    <n v="3300"/>
    <d v="2025-11-12T00:00:00"/>
    <x v="0"/>
    <n v="0"/>
    <s v="1001"/>
    <s v="KG"/>
    <s v=""/>
    <x v="4"/>
    <s v="REL  DLV  PRC  BASC BCRQ GMPS MACM ORRQ*"/>
    <s v="CHLOROTOLURON TOLUREX"/>
    <x v="2"/>
  </r>
  <r>
    <n v="50000000077"/>
    <s v="NAA DIST ISO"/>
    <s v="0000021335"/>
    <d v="2025-11-10T00:00:00"/>
    <s v="1325383"/>
    <s v=""/>
    <n v="6000"/>
    <n v="8820"/>
    <d v="2025-11-10T00:00:00"/>
    <x v="0"/>
    <n v="0"/>
    <s v="1001"/>
    <s v="KG"/>
    <s v=""/>
    <x v="7"/>
    <s v="REL  CNF  DLV  PRC  BASC BCRQ GMPS ILAS*"/>
    <s v="שלבי ביניים לא למדידה"/>
    <x v="2"/>
  </r>
  <r>
    <n v="30000000084"/>
    <s v="DRON510BRMC490 WP KROVAR TECH 500 KG"/>
    <s v="0000008198"/>
    <d v="2025-11-10T00:00:00"/>
    <s v="1327155"/>
    <s v=""/>
    <n v="2000"/>
    <n v="1500"/>
    <d v="2025-11-14T00:00:00"/>
    <x v="0"/>
    <n v="0"/>
    <s v="1001"/>
    <s v="KG"/>
    <s v=""/>
    <x v="4"/>
    <s v="REL  PRC  BASC BCRQ GMPS MACM ORRQ PDLV*"/>
    <s v="KROVAR"/>
    <x v="2"/>
  </r>
  <r>
    <n v="20000000683"/>
    <s v="OXFF240 EC GALIGAN EC 240SP 200 L"/>
    <s v="0000061386"/>
    <d v="2025-11-10T00:00:00"/>
    <s v="1329320"/>
    <s v=""/>
    <n v="6000"/>
    <n v="6800"/>
    <d v="2025-11-03T00:00:00"/>
    <x v="0"/>
    <n v="0"/>
    <s v="1001"/>
    <s v="L"/>
    <s v=""/>
    <x v="8"/>
    <s v="REL  DLV  PRC  BASC BCRQ GMPS ILAS MACM*"/>
    <s v="EC 25"/>
    <x v="2"/>
  </r>
  <r>
    <n v="50000000056"/>
    <s v="DELTA DAMASCON FLASH 1.00 KG"/>
    <s v="0000010328"/>
    <d v="2025-11-10T00:00:00"/>
    <s v="1330393"/>
    <s v=""/>
    <n v="1600"/>
    <n v="1740"/>
    <d v="2025-11-10T00:00:00"/>
    <x v="0"/>
    <n v="0"/>
    <s v="1001"/>
    <s v="KG"/>
    <s v=""/>
    <x v="7"/>
    <s v="REL  CNF  DLV  PRC  BASC BCRQ GMPS ILAS*"/>
    <s v="שלבי ביניים לא למדידה"/>
    <x v="2"/>
  </r>
  <r>
    <n v="50000000049"/>
    <s v="DELTA MTL KTN CR RUS 1.00 KG"/>
    <s v="0000007639"/>
    <d v="2025-11-08T00:00:00"/>
    <s v="1328610"/>
    <s v=""/>
    <n v="2000"/>
    <n v="3000"/>
    <d v="2025-11-06T00:00:00"/>
    <x v="0"/>
    <n v="0"/>
    <s v="1001"/>
    <s v="KG"/>
    <s v=""/>
    <x v="7"/>
    <s v="REL  CNF  DLV  PRC  BASC BCRQ GMPS ILAS*"/>
    <s v="שלבי ביניים לא למדידה"/>
    <x v="2"/>
  </r>
  <r>
    <n v="50000000108"/>
    <s v="PROPAQUIZAFOP PRMX25 1000 KG"/>
    <s v="0000003521"/>
    <d v="2025-11-07T00:00:00"/>
    <s v="1329751"/>
    <s v=""/>
    <n v="8000"/>
    <n v="8000"/>
    <d v="2025-11-04T00:00:00"/>
    <x v="0"/>
    <n v="0"/>
    <s v="1001"/>
    <s v="KG"/>
    <s v=""/>
    <x v="8"/>
    <s v="REL  CNF  DLV  PRC  BASC BCRQ GMPS ILAS*"/>
    <s v="PROPAQUIZAFOP Premix"/>
    <x v="2"/>
  </r>
  <r>
    <n v="50000000108"/>
    <s v="PROPAQUIZAFOP PRMX25 1000 KG"/>
    <s v="0000003522"/>
    <d v="2025-11-07T00:00:00"/>
    <s v="1329752"/>
    <s v=""/>
    <n v="8000"/>
    <n v="7000"/>
    <d v="2025-11-04T00:00:00"/>
    <x v="0"/>
    <n v="0"/>
    <s v="1001"/>
    <s v="KG"/>
    <s v=""/>
    <x v="8"/>
    <s v="REL  CNF  PRC  BASC BCRQ GMPS ILAS MACM*"/>
    <s v="PROPAQUIZAFOP Premix"/>
    <x v="2"/>
  </r>
  <r>
    <n v="50000000072"/>
    <s v="KROVAR SLURRY .00 KG"/>
    <s v="0000008959"/>
    <d v="2025-11-04T00:00:00"/>
    <s v="1326664"/>
    <s v=""/>
    <n v="2100"/>
    <n v="2100"/>
    <d v="2025-10-26T00:00:00"/>
    <x v="0"/>
    <n v="2100"/>
    <s v="1001"/>
    <s v="KG"/>
    <s v=""/>
    <x v="9"/>
    <s v="REL  CNF  DLV  PRC  BASC BCRQ GMPS ILAS*"/>
    <s v="אותו קרובר כמו הבא אחריו לבחור רק אחד מהם"/>
    <x v="2"/>
  </r>
  <r>
    <n v="20000000778"/>
    <s v="QZLF50 EC QUIZALOFOP 5 EC SS 1000 L"/>
    <s v="0000001401"/>
    <d v="2025-11-01T00:00:00"/>
    <s v="1326233"/>
    <s v=""/>
    <n v="12000"/>
    <n v="11000"/>
    <d v="2025-11-14T00:00:00"/>
    <x v="0"/>
    <n v="11000"/>
    <s v="1001"/>
    <s v="L"/>
    <s v=""/>
    <x v="6"/>
    <s v="REL  CNF  PRC  BASC BCRQ GMPS MACM ORRQ*"/>
    <n v="23"/>
    <x v="6"/>
  </r>
  <r>
    <n v="10000011550"/>
    <s v="PINO100+THIEN8.3+MEF OD CAZADO 1000LT CA"/>
    <s v="0000000167"/>
    <d v="2025-11-01T00:00:00"/>
    <s v="1326601"/>
    <s v=""/>
    <n v="5000"/>
    <n v="1000"/>
    <d v="2025-11-14T00:00:00"/>
    <x v="0"/>
    <n v="1000"/>
    <s v="1001"/>
    <s v="L"/>
    <s v=""/>
    <x v="5"/>
    <s v="REL  CNF  PRC  BASC BCRQ GMPS ILAS MACM*"/>
    <s v="24F"/>
    <x v="4"/>
  </r>
  <r>
    <n v="10000011550"/>
    <s v="PINO100+THIEN8.3+MEF OD CAZADO 1000LT CA"/>
    <s v="0000000168"/>
    <d v="2025-11-01T00:00:00"/>
    <s v="1326602"/>
    <s v=""/>
    <n v="2770"/>
    <n v="2770"/>
    <d v="2025-11-14T00:00:00"/>
    <x v="0"/>
    <n v="0"/>
    <s v="1001"/>
    <s v="L"/>
    <s v=""/>
    <x v="5"/>
    <s v="REL  PCNF DLV  PRC  BASC BCRQ GMPS ILAS*"/>
    <s v="24F"/>
    <x v="4"/>
  </r>
  <r>
    <n v="10000002484"/>
    <s v="MTMN350+QNMC60 SC GOLTIX SILVER 10LT FR"/>
    <s v="0000319318"/>
    <d v="2025-11-01T00:00:00"/>
    <s v="1327391"/>
    <s v="211016259"/>
    <n v="12000"/>
    <n v="12000"/>
    <d v="2025-10-28T00:00:00"/>
    <x v="0"/>
    <n v="12000"/>
    <s v="1001"/>
    <s v="L"/>
    <s v=""/>
    <x v="10"/>
    <s v="REL  PRT  CNF  DLV  PRC  BASC BCRQ GMPS*"/>
    <n v="10"/>
    <x v="7"/>
  </r>
  <r>
    <n v="10000002484"/>
    <s v="MTMN350+QNMC60 SC GOLTIX SILVER 10LT FR"/>
    <s v="0000319319"/>
    <d v="2025-11-01T00:00:00"/>
    <s v="1327392"/>
    <s v="211016259"/>
    <n v="12000"/>
    <n v="12000"/>
    <d v="2025-10-28T00:00:00"/>
    <x v="0"/>
    <n v="12000"/>
    <s v="1001"/>
    <s v="L"/>
    <s v=""/>
    <x v="10"/>
    <s v="REL  PRT  CNF  DLV  PRC  BASC BCRQ GMPS*"/>
    <n v="10"/>
    <x v="7"/>
  </r>
  <r>
    <n v="10000000401"/>
    <s v="DRON540+HZNN67 WG JUMP 5KG BRASIL 5KG BR"/>
    <s v="0000016434"/>
    <d v="2025-10-31T00:00:00"/>
    <s v="1326835"/>
    <s v=""/>
    <n v="2880"/>
    <n v="2880"/>
    <d v="2025-11-13T00:00:00"/>
    <x v="0"/>
    <n v="0"/>
    <s v="1001"/>
    <s v="KG"/>
    <s v=""/>
    <x v="3"/>
    <s v="REL  CNF  DLV  PRC  BASC BCRQ GMPS ILAS*"/>
    <n v="19"/>
    <x v="8"/>
  </r>
  <r>
    <n v="10000000401"/>
    <s v="DRON540+HZNN67 WG JUMP 5KG BRASIL 5KG BR"/>
    <s v="0000016435"/>
    <d v="2025-10-31T00:00:00"/>
    <s v="1326836"/>
    <s v=""/>
    <n v="2880"/>
    <n v="2880"/>
    <d v="2025-11-13T00:00:00"/>
    <x v="0"/>
    <n v="0"/>
    <s v="1001"/>
    <s v="KG"/>
    <s v=""/>
    <x v="3"/>
    <s v="REL  CNF  DLV  PRC  BASC BCRQ GMPS ILAS*"/>
    <n v="19"/>
    <x v="8"/>
  </r>
  <r>
    <n v="10000000401"/>
    <s v="DRON540+HZNN67 WG JUMP 5KG BRASIL 5KG BR"/>
    <s v="0000016436"/>
    <d v="2025-10-31T00:00:00"/>
    <s v="1326837"/>
    <s v=""/>
    <n v="2880"/>
    <n v="2880"/>
    <d v="2025-11-14T00:00:00"/>
    <x v="0"/>
    <n v="0"/>
    <s v="1001"/>
    <s v="KG"/>
    <s v=""/>
    <x v="3"/>
    <s v="REL  CNF  DLV  PRC  BASC BCRQ GMPS ILAS*"/>
    <n v="19"/>
    <x v="8"/>
  </r>
  <r>
    <n v="10000000401"/>
    <s v="DRON540+HZNN67 WG JUMP 5KG BRASIL 5KG BR"/>
    <s v="0000016437"/>
    <d v="2025-10-31T00:00:00"/>
    <s v="1326838"/>
    <s v=""/>
    <n v="2880"/>
    <n v="2880"/>
    <d v="2025-11-14T00:00:00"/>
    <x v="0"/>
    <n v="0"/>
    <s v="1001"/>
    <s v="KG"/>
    <s v=""/>
    <x v="3"/>
    <s v="REL  CNF  DLV  PRC  BASC BCRQ GMPS ILAS*"/>
    <n v="19"/>
    <x v="8"/>
  </r>
  <r>
    <n v="10000000401"/>
    <s v="DRON540+HZNN67 WG JUMP 5KG BRASIL 5KG BR"/>
    <s v="0000016438"/>
    <d v="2025-10-31T00:00:00"/>
    <s v="1326839"/>
    <s v=""/>
    <n v="2880"/>
    <n v="2880"/>
    <d v="2025-11-14T00:00:00"/>
    <x v="0"/>
    <n v="0"/>
    <s v="1001"/>
    <s v="KG"/>
    <s v=""/>
    <x v="3"/>
    <s v="REL  PCNF DLV  PRC  BASC BCRQ GMPS ILAS*"/>
    <n v="19"/>
    <x v="8"/>
  </r>
  <r>
    <n v="10000000401"/>
    <s v="DRON540+HZNN67 WG JUMP 5KG BRASIL 5KG BR"/>
    <s v="0000016439"/>
    <d v="2025-10-31T00:00:00"/>
    <s v="1326840"/>
    <s v=""/>
    <n v="2880"/>
    <n v="2880"/>
    <d v="2025-11-14T00:00:00"/>
    <x v="0"/>
    <n v="0"/>
    <s v="1001"/>
    <s v="KG"/>
    <s v=""/>
    <x v="3"/>
    <s v="REL  DLV  PRC  BASC BCRQ GMPS ILAS MANC*"/>
    <n v="19"/>
    <x v="8"/>
  </r>
  <r>
    <n v="10000000401"/>
    <s v="DRON540+HZNN67 WG JUMP 5KG BRASIL 5KG BR"/>
    <s v="0000016440"/>
    <d v="2025-10-31T00:00:00"/>
    <s v="1326841"/>
    <s v=""/>
    <n v="2880"/>
    <n v="2880"/>
    <d v="2025-11-14T00:00:00"/>
    <x v="0"/>
    <n v="0"/>
    <s v="1001"/>
    <s v="KG"/>
    <s v=""/>
    <x v="3"/>
    <s v="REL  DLV  PRC  BASC BCRQ GMPS ILAS MANC*"/>
    <n v="19"/>
    <x v="8"/>
  </r>
  <r>
    <n v="50000001441"/>
    <s v="HEXENONE (1002) ISO NEW"/>
    <s v="0000279370"/>
    <d v="2025-09-01T00:00:00"/>
    <s v="1314532"/>
    <s v=""/>
    <n v="1800"/>
    <n v="1232"/>
    <d v="2025-11-03T00:00:00"/>
    <x v="0"/>
    <n v="0"/>
    <s v="1001"/>
    <s v="KG"/>
    <s v=""/>
    <x v="7"/>
    <s v="REL  CNF  PRC  BASC BCRQ GMPS ILAS MACM*"/>
    <s v="שלבי ביניים לא למדידה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e v="#N/A"/>
    <x v="2"/>
  </r>
  <r>
    <m/>
    <m/>
    <m/>
    <m/>
    <m/>
    <m/>
    <m/>
    <m/>
    <m/>
    <x v="1"/>
    <m/>
    <m/>
    <m/>
    <m/>
    <x v="11"/>
    <m/>
    <m/>
    <x v="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0">
  <r>
    <x v="0"/>
    <s v="CLTN500 SC TOLUREX 50 SC 1000LT"/>
    <s v="0000000231"/>
    <d v="2025-12-27T00:00:00"/>
    <s v="1331094"/>
    <s v=""/>
    <n v="7000"/>
    <n v="7000"/>
    <d v="2025-11-14T00:00:00"/>
    <x v="0"/>
    <n v="7000"/>
    <s v="1001"/>
    <s v="L"/>
    <s v=""/>
    <x v="0"/>
    <s v="REL  CNF  DLV  PRC  BASC BCRQ GMPS MACM*"/>
    <n v="28"/>
  </r>
  <r>
    <x v="1"/>
    <s v="PPQZ100 EC FALCON NMP FREE DUAL 5LT UK"/>
    <s v="0000005148"/>
    <d v="2025-12-02T00:00:00"/>
    <s v="1329351"/>
    <s v="211016243"/>
    <n v="9600"/>
    <n v="9600"/>
    <d v="2025-11-09T00:00:00"/>
    <x v="0"/>
    <n v="9600"/>
    <s v="1001"/>
    <s v="L"/>
    <s v=""/>
    <x v="1"/>
    <s v="REL  PRT  CNF  DLV  PRC  BASC BCRQ GMPS*"/>
    <n v="5"/>
  </r>
  <r>
    <x v="2"/>
    <s v="MTZC735 TC METAZACHLR T WT CRUD 600 KG"/>
    <s v="0000009024"/>
    <d v="2025-11-29T00:00:00"/>
    <s v="1330369"/>
    <s v=""/>
    <n v="2800"/>
    <n v="2515"/>
    <d v="2025-11-06T00:00:00"/>
    <x v="0"/>
    <n v="0"/>
    <s v="1001"/>
    <s v="KG"/>
    <s v=""/>
    <x v="2"/>
    <s v="REL  CNF  PRC  BASC BCRQ GMPS ILAS MACM*"/>
    <s v="METAZACHLOR"/>
  </r>
  <r>
    <x v="2"/>
    <s v="MTZC735 TC METAZACHLR T WT CRUD 600 KG"/>
    <s v="0000009025"/>
    <d v="2025-11-29T00:00:00"/>
    <s v="1330370"/>
    <s v=""/>
    <n v="2800"/>
    <n v="2600"/>
    <d v="2025-11-06T00:00:00"/>
    <x v="0"/>
    <n v="0"/>
    <s v="1001"/>
    <s v="KG"/>
    <s v=""/>
    <x v="2"/>
    <s v="REL  CNF  PRC  BASC BCRQ GMPS ILAS MACM*"/>
    <s v="METAZACHLOR"/>
  </r>
  <r>
    <x v="3"/>
    <s v="DRON800 WG DIUREX 80WG ID THAIL 500KG TH"/>
    <s v="0000017087"/>
    <d v="2025-11-24T00:00:00"/>
    <s v="1332097"/>
    <s v=""/>
    <n v="2500"/>
    <n v="2500"/>
    <d v="2025-11-14T00:00:00"/>
    <x v="0"/>
    <n v="2500"/>
    <s v="1001"/>
    <s v="KG"/>
    <s v=""/>
    <x v="3"/>
    <s v="REL  CNF  DLV  PRC  BASC BCRQ GMPS MANC*"/>
    <n v="19"/>
  </r>
  <r>
    <x v="3"/>
    <s v="DRON800 WG DIUREX 80WG ID THAIL 500KG TH"/>
    <s v="0000017088"/>
    <d v="2025-11-24T00:00:00"/>
    <s v="1332098"/>
    <s v=""/>
    <n v="2500"/>
    <n v="2500"/>
    <d v="2025-11-14T00:00:00"/>
    <x v="0"/>
    <n v="2500"/>
    <s v="1001"/>
    <s v="KG"/>
    <s v=""/>
    <x v="3"/>
    <s v="REL  CNF  DLV  PRC  BASC BCRQ GMPS MANC*"/>
    <n v="19"/>
  </r>
  <r>
    <x v="3"/>
    <s v="DRON800 WG DIUREX 80WG ID THAIL 500KG TH"/>
    <s v="0000017089"/>
    <d v="2025-11-24T00:00:00"/>
    <s v="1332099"/>
    <s v=""/>
    <n v="2500"/>
    <n v="2500"/>
    <d v="2025-11-15T00:00:00"/>
    <x v="0"/>
    <n v="2500"/>
    <s v="1001"/>
    <s v="KG"/>
    <s v=""/>
    <x v="3"/>
    <s v="REL  CNF  DLV  PRC  BASC BCRQ GMPS MANC*"/>
    <n v="19"/>
  </r>
  <r>
    <x v="3"/>
    <s v="DRON800 WG DIUREX 80WG ID THAIL 500KG TH"/>
    <s v="0000017090"/>
    <d v="2025-11-24T00:00:00"/>
    <s v="1332200"/>
    <s v=""/>
    <n v="2500"/>
    <n v="2500"/>
    <d v="2025-11-15T00:00:00"/>
    <x v="0"/>
    <n v="2500"/>
    <s v="1001"/>
    <s v="KG"/>
    <s v=""/>
    <x v="3"/>
    <s v="REL  CNF  DLV  PRC  BASC BCRQ GMPS MANC*"/>
    <n v="19"/>
  </r>
  <r>
    <x v="3"/>
    <s v="DRON800 WG DIUREX 80WG ID THAIL 500KG TH"/>
    <s v="0000017091"/>
    <d v="2025-11-24T00:00:00"/>
    <s v="1332201"/>
    <s v=""/>
    <n v="2500"/>
    <n v="2500"/>
    <d v="2025-11-15T00:00:00"/>
    <x v="0"/>
    <n v="2500"/>
    <s v="1001"/>
    <s v="KG"/>
    <s v=""/>
    <x v="3"/>
    <s v="REL  CNF  DLV  PRC  BASC BCRQ GMPS MANC*"/>
    <n v="19"/>
  </r>
  <r>
    <x v="3"/>
    <s v="DRON800 WG DIUREX 80WG ID THAIL 500KG TH"/>
    <s v="0000017092"/>
    <d v="2025-11-24T00:00:00"/>
    <s v="1332202"/>
    <s v=""/>
    <n v="2500"/>
    <n v="2500"/>
    <d v="2025-11-15T00:00:00"/>
    <x v="0"/>
    <n v="2500"/>
    <s v="1001"/>
    <s v="KG"/>
    <s v=""/>
    <x v="3"/>
    <s v="REL  CNF  DLV  PRC  BASC BCRQ GMPS MANC*"/>
    <n v="19"/>
  </r>
  <r>
    <x v="3"/>
    <s v="DRON800 WG DIUREX 80WG ID THAIL 500KG TH"/>
    <s v="0000017093"/>
    <d v="2025-11-24T00:00:00"/>
    <s v="1332203"/>
    <s v=""/>
    <n v="2500"/>
    <n v="2500"/>
    <d v="2025-11-15T00:00:00"/>
    <x v="0"/>
    <n v="2500"/>
    <s v="1001"/>
    <s v="KG"/>
    <s v=""/>
    <x v="3"/>
    <s v="REL  CNF  DLV  PRC  BASC BCRQ GMPS MANC*"/>
    <n v="19"/>
  </r>
  <r>
    <x v="3"/>
    <s v="DRON800 WG DIUREX 80WG ID THAIL 500KG TH"/>
    <s v="0000017094"/>
    <d v="2025-11-24T00:00:00"/>
    <s v="1332204"/>
    <s v=""/>
    <n v="2500"/>
    <n v="2500"/>
    <d v="2025-11-15T00:00:00"/>
    <x v="0"/>
    <n v="2500"/>
    <s v="1001"/>
    <s v="KG"/>
    <s v=""/>
    <x v="3"/>
    <s v="REL  CNF  DLV  PRC  BASC BCRQ GMPS MANC*"/>
    <n v="19"/>
  </r>
  <r>
    <x v="3"/>
    <s v="DRON800 WG DIUREX 80WG ID THAIL 500KG TH"/>
    <s v="0000017095"/>
    <d v="2025-11-24T00:00:00"/>
    <s v="1332205"/>
    <s v=""/>
    <n v="2500"/>
    <n v="2500"/>
    <d v="2025-11-15T00:00:00"/>
    <x v="0"/>
    <n v="2500"/>
    <s v="1001"/>
    <s v="KG"/>
    <s v=""/>
    <x v="3"/>
    <s v="REL  CNF  DLV  PRC  BASC BCRQ GMPS MANC*"/>
    <n v="19"/>
  </r>
  <r>
    <x v="3"/>
    <s v="DRON800 WG DIUREX 80WG ID THAIL 500KG TH"/>
    <s v="0000017096"/>
    <d v="2025-11-24T00:00:00"/>
    <s v="1332206"/>
    <s v=""/>
    <n v="2500"/>
    <n v="2500"/>
    <d v="2025-11-15T00:00:00"/>
    <x v="0"/>
    <n v="2500"/>
    <s v="1001"/>
    <s v="KG"/>
    <s v=""/>
    <x v="3"/>
    <s v="REL  CNF  DLV  PRC  BASC BCRQ GMPS MANC*"/>
    <n v="19"/>
  </r>
  <r>
    <x v="3"/>
    <s v="DRON800 WG DIUREX 80WG ID THAIL 500KG TH"/>
    <s v="0000017097"/>
    <d v="2025-11-24T00:00:00"/>
    <s v="1332207"/>
    <s v=""/>
    <n v="2500"/>
    <n v="2500"/>
    <d v="2025-11-15T00:00:00"/>
    <x v="0"/>
    <n v="2500"/>
    <s v="1001"/>
    <s v="KG"/>
    <s v=""/>
    <x v="3"/>
    <s v="REL  CNF  DLV  PRC  BASC BCRQ GMPS MANC*"/>
    <n v="19"/>
  </r>
  <r>
    <x v="3"/>
    <s v="DRON800 WG DIUREX 80WG ID THAIL 500KG TH"/>
    <s v="0000017098"/>
    <d v="2025-11-24T00:00:00"/>
    <s v="1332208"/>
    <s v=""/>
    <n v="2500"/>
    <n v="2500"/>
    <d v="2025-11-15T00:00:00"/>
    <x v="0"/>
    <n v="2500"/>
    <s v="1001"/>
    <s v="KG"/>
    <s v=""/>
    <x v="3"/>
    <s v="REL  CNF  DLV  PRC  BASC BCRQ GMPS MANC*"/>
    <n v="19"/>
  </r>
  <r>
    <x v="3"/>
    <s v="DRON800 WG DIUREX 80WG ID THAIL 500KG TH"/>
    <s v="0000017099"/>
    <d v="2025-11-24T00:00:00"/>
    <s v="1332209"/>
    <s v=""/>
    <n v="2500"/>
    <n v="2500"/>
    <d v="2025-11-15T00:00:00"/>
    <x v="0"/>
    <n v="2500"/>
    <s v="1001"/>
    <s v="KG"/>
    <s v=""/>
    <x v="3"/>
    <s v="REL  CNF  DLV  PRC  BASC BCRQ GMPS MANC*"/>
    <n v="19"/>
  </r>
  <r>
    <x v="3"/>
    <s v="DRON800 WG DIUREX 80WG ID THAIL 500KG TH"/>
    <s v="0000017100"/>
    <d v="2025-11-24T00:00:00"/>
    <s v="1332210"/>
    <s v=""/>
    <n v="2500"/>
    <n v="2500"/>
    <d v="2025-11-15T00:00:00"/>
    <x v="0"/>
    <n v="2500"/>
    <s v="1001"/>
    <s v="KG"/>
    <s v=""/>
    <x v="3"/>
    <s v="REL  CNF  DLV  PRC  BASC BCRQ GMPS MANC*"/>
    <n v="19"/>
  </r>
  <r>
    <x v="3"/>
    <s v="DRON800 WG DIUREX 80WG ID THAIL 500KG TH"/>
    <s v="0000017101"/>
    <d v="2025-11-24T00:00:00"/>
    <s v="1332211"/>
    <s v=""/>
    <n v="2500"/>
    <n v="2500"/>
    <d v="2025-11-15T00:00:00"/>
    <x v="0"/>
    <n v="2500"/>
    <s v="1001"/>
    <s v="KG"/>
    <s v=""/>
    <x v="3"/>
    <s v="REL  CNF  DLV  PRC  BASC BCRQ GMPS MANC*"/>
    <n v="19"/>
  </r>
  <r>
    <x v="3"/>
    <s v="DRON800 WG DIUREX 80WG ID THAIL 500KG TH"/>
    <s v="0000017102"/>
    <d v="2025-11-24T00:00:00"/>
    <s v="1332212"/>
    <s v=""/>
    <n v="2500"/>
    <n v="2500"/>
    <d v="2025-11-15T00:00:00"/>
    <x v="0"/>
    <n v="2500"/>
    <s v="1001"/>
    <s v="KG"/>
    <s v=""/>
    <x v="3"/>
    <s v="REL  CNF  DLV  PRC  BASC BCRQ GMPS MANC*"/>
    <n v="19"/>
  </r>
  <r>
    <x v="3"/>
    <s v="DRON800 WG DIUREX 80WG ID THAIL 500KG TH"/>
    <s v="0000017103"/>
    <d v="2025-11-24T00:00:00"/>
    <s v="1332213"/>
    <s v=""/>
    <n v="2500"/>
    <n v="2500"/>
    <d v="2025-11-15T00:00:00"/>
    <x v="0"/>
    <n v="2500"/>
    <s v="1001"/>
    <s v="KG"/>
    <s v=""/>
    <x v="3"/>
    <s v="REL  CNF  DLV  PRC  BASC BCRQ GMPS MANC*"/>
    <n v="19"/>
  </r>
  <r>
    <x v="3"/>
    <s v="DRON800 WG DIUREX 80WG ID THAIL 500KG TH"/>
    <s v="0000017104"/>
    <d v="2025-11-24T00:00:00"/>
    <s v="1332214"/>
    <s v=""/>
    <n v="2500"/>
    <n v="2500"/>
    <d v="2025-11-15T00:00:00"/>
    <x v="0"/>
    <n v="2500"/>
    <s v="1001"/>
    <s v="KG"/>
    <s v=""/>
    <x v="3"/>
    <s v="REL  CNF  DLV  PRC  BASC BCRQ GMPS MANC*"/>
    <n v="19"/>
  </r>
  <r>
    <x v="3"/>
    <s v="DRON800 WG DIUREX 80WG ID THAIL 500KG TH"/>
    <s v="0000017105"/>
    <d v="2025-11-24T00:00:00"/>
    <s v="1332215"/>
    <s v=""/>
    <n v="2500"/>
    <n v="2500"/>
    <d v="2025-11-15T00:00:00"/>
    <x v="0"/>
    <n v="2500"/>
    <s v="1001"/>
    <s v="KG"/>
    <s v=""/>
    <x v="3"/>
    <s v="REL  CNF  DLV  PRC  BASC BCRQ GMPS MANC*"/>
    <n v="19"/>
  </r>
  <r>
    <x v="4"/>
    <s v="DRON970 TC DIUREX TECH MILLED 550 KG"/>
    <s v="0000151717"/>
    <d v="2025-11-20T00:00:00"/>
    <s v="1331667"/>
    <s v=""/>
    <n v="3300"/>
    <n v="3300"/>
    <d v="2025-11-12T00:00:00"/>
    <x v="0"/>
    <n v="0"/>
    <s v="1001"/>
    <s v="KG"/>
    <s v=""/>
    <x v="4"/>
    <s v="REL  PCNF DLV  PRC  BASC BCRQ GMPS MACM*"/>
    <s v="DIURON"/>
  </r>
  <r>
    <x v="5"/>
    <s v="NANA 225.00 KG"/>
    <s v="0000136148"/>
    <d v="2025-11-18T00:00:00"/>
    <s v="1330420"/>
    <s v=""/>
    <n v="4500"/>
    <n v="3600"/>
    <d v="2025-11-13T00:00:00"/>
    <x v="0"/>
    <n v="0"/>
    <s v="1001"/>
    <s v="KG"/>
    <s v=""/>
    <x v="2"/>
    <s v="REL  PCNF PRC  BASC BCRQ GMPS ILAS MACM*"/>
    <s v="NANA"/>
  </r>
  <r>
    <x v="5"/>
    <s v="NANA 225.00 KG"/>
    <s v="0000136149"/>
    <d v="2025-11-18T00:00:00"/>
    <s v="1330421"/>
    <s v=""/>
    <n v="4500"/>
    <n v="3825"/>
    <d v="2025-11-13T00:00:00"/>
    <x v="0"/>
    <n v="3825"/>
    <s v="1001"/>
    <s v="KG"/>
    <s v=""/>
    <x v="2"/>
    <s v="REL  CNF  PRC  BASC BCRQ GMPS ILAS MACM*"/>
    <s v="NANA"/>
  </r>
  <r>
    <x v="4"/>
    <s v="DRON970 TC DIUREX TECH MILLED 550 KG"/>
    <s v="0000151719"/>
    <d v="2025-11-17T00:00:00"/>
    <s v="1331669"/>
    <s v=""/>
    <n v="3300"/>
    <n v="3300"/>
    <d v="2025-11-12T00:00:00"/>
    <x v="0"/>
    <n v="0"/>
    <s v="1001"/>
    <s v="KG"/>
    <s v=""/>
    <x v="4"/>
    <s v="REL  PCNF DLV  PRC  BASC BCRQ GMPS MACM*"/>
    <s v="DIURON"/>
  </r>
  <r>
    <x v="6"/>
    <s v="FRXP100FLSL3 SE 1000L"/>
    <s v="0000000432"/>
    <d v="2025-11-15T00:00:00"/>
    <s v="1330799"/>
    <s v=""/>
    <n v="8000"/>
    <n v="8000"/>
    <d v="2025-11-14T00:00:00"/>
    <x v="0"/>
    <n v="0"/>
    <s v="1001"/>
    <s v="L"/>
    <s v=""/>
    <x v="5"/>
    <s v="REL  CNF  DLV  PRC  BASC BCRQ GMPS MANC*"/>
    <s v="24F"/>
  </r>
  <r>
    <x v="7"/>
    <s v="ETFM200PNMP200SC PHEN200+ETHO200GL 1000L"/>
    <s v="0000438744"/>
    <d v="2025-11-14T00:00:00"/>
    <s v="1330940"/>
    <s v=""/>
    <n v="7000"/>
    <n v="7000"/>
    <d v="2025-11-14T00:00:00"/>
    <x v="0"/>
    <n v="7000"/>
    <s v="1001"/>
    <s v="L"/>
    <s v=""/>
    <x v="0"/>
    <s v="REL  CNF  DLV  PRC  BASC BCRQ GMPS MACM*"/>
    <n v="28"/>
  </r>
  <r>
    <x v="7"/>
    <s v="ETFM200PNMP200SC PHEN200+ETHO200GL 1000L"/>
    <s v="0000438745"/>
    <d v="2025-11-14T00:00:00"/>
    <s v="1330941"/>
    <s v=""/>
    <n v="7000"/>
    <n v="8000"/>
    <d v="2025-11-14T00:00:00"/>
    <x v="0"/>
    <n v="8000"/>
    <s v="1001"/>
    <s v="L"/>
    <s v=""/>
    <x v="0"/>
    <s v="REL  CNF  DLV  PRC  BASC BCRQ GMPS MACM*"/>
    <n v="28"/>
  </r>
  <r>
    <x v="0"/>
    <s v="CLTN500 SC TOLUREX 50 SC 1000LT"/>
    <s v="0000000232"/>
    <d v="2025-11-14T00:00:00"/>
    <s v="1331095"/>
    <s v=""/>
    <n v="8000"/>
    <n v="8000"/>
    <d v="2025-11-14T00:00:00"/>
    <x v="0"/>
    <n v="8000"/>
    <s v="1001"/>
    <s v="L"/>
    <s v=""/>
    <x v="0"/>
    <s v="REL  CNF  DLV  PRC  BASC BCRQ GMPS MANC*"/>
    <n v="28"/>
  </r>
  <r>
    <x v="8"/>
    <s v="SLCT173+TBAZ330 SC Terbutilazin 200LT IT"/>
    <s v="0000009890"/>
    <d v="2025-11-14T00:00:00"/>
    <s v="1332012"/>
    <s v=""/>
    <n v="6400"/>
    <n v="1400"/>
    <d v="2025-11-14T00:00:00"/>
    <x v="0"/>
    <n v="0"/>
    <s v="1001"/>
    <s v="L"/>
    <s v=""/>
    <x v="0"/>
    <s v="REL  CNF  PRC  BASC BCRQ GMPS ILAS MACM*"/>
    <s v="5 lIter"/>
  </r>
  <r>
    <x v="9"/>
    <s v="IMZX80 SL IMAZAMOX 80 SL 1000 L"/>
    <s v="0000000325"/>
    <d v="2025-11-13T00:00:00"/>
    <s v="1331090"/>
    <s v=""/>
    <n v="8000"/>
    <n v="8000"/>
    <d v="2025-11-12T00:00:00"/>
    <x v="0"/>
    <n v="0"/>
    <s v="1001"/>
    <s v="L"/>
    <s v=""/>
    <x v="6"/>
    <s v="REL  CNF  DLV  PRC  BASC BCRQ GMPS ILAS*"/>
    <n v="23"/>
  </r>
  <r>
    <x v="10"/>
    <s v="TBAZ330SLCT173 SC 200L"/>
    <s v="0000009219"/>
    <d v="2025-11-12T00:00:00"/>
    <s v="1331651"/>
    <s v=""/>
    <n v="7200"/>
    <n v="8700"/>
    <d v="2025-11-14T00:00:00"/>
    <x v="0"/>
    <n v="0"/>
    <s v="1001"/>
    <s v="L"/>
    <s v=""/>
    <x v="0"/>
    <s v="TECO CNF  DLV  PRC  BASC BCRQ GMPS ILAS*"/>
    <n v="28"/>
  </r>
  <r>
    <x v="11"/>
    <s v="CLTN950 TC TOLUREX TEC MILLED 550 KG"/>
    <s v="0000206784"/>
    <d v="2025-11-11T00:00:00"/>
    <s v="1330056"/>
    <s v=""/>
    <n v="3300"/>
    <n v="3300"/>
    <d v="2025-11-12T00:00:00"/>
    <x v="0"/>
    <n v="0"/>
    <s v="1001"/>
    <s v="KG"/>
    <s v=""/>
    <x v="4"/>
    <s v="REL  DLV  PRC  BASC BCRQ GMPS MACM ORRQ*"/>
    <s v="CHLOROTOLURON TOLUREX"/>
  </r>
  <r>
    <x v="11"/>
    <s v="CLTN950 TC TOLUREX TEC MILLED 550 KG"/>
    <s v="0000206785"/>
    <d v="2025-11-11T00:00:00"/>
    <s v="1330057"/>
    <s v=""/>
    <n v="3300"/>
    <n v="3300"/>
    <d v="2025-11-12T00:00:00"/>
    <x v="0"/>
    <n v="0"/>
    <s v="1001"/>
    <s v="KG"/>
    <s v=""/>
    <x v="4"/>
    <s v="REL  DLV  PRC  BASC BCRQ GMPS MACM ORRQ*"/>
    <s v="CHLOROTOLURON TOLUREX"/>
  </r>
  <r>
    <x v="11"/>
    <s v="CLTN950 TC TOLUREX TEC MILLED 550 KG"/>
    <s v="0000206786"/>
    <d v="2025-11-11T00:00:00"/>
    <s v="1330058"/>
    <s v=""/>
    <n v="3300"/>
    <n v="3300"/>
    <d v="2025-11-12T00:00:00"/>
    <x v="0"/>
    <n v="0"/>
    <s v="1001"/>
    <s v="KG"/>
    <s v=""/>
    <x v="4"/>
    <s v="REL  DLV  PRC  BASC BCRQ GMPS MACM ORRQ*"/>
    <s v="CHLOROTOLURON TOLUREX"/>
  </r>
  <r>
    <x v="12"/>
    <s v="NAA DIST ISO"/>
    <s v="0000021335"/>
    <d v="2025-11-10T00:00:00"/>
    <s v="1325383"/>
    <s v=""/>
    <n v="6000"/>
    <n v="8820"/>
    <d v="2025-11-10T00:00:00"/>
    <x v="0"/>
    <n v="0"/>
    <s v="1001"/>
    <s v="KG"/>
    <s v=""/>
    <x v="7"/>
    <s v="REL  CNF  DLV  PRC  BASC BCRQ GMPS ILAS*"/>
    <s v="שלבי ביניים לא למדידה"/>
  </r>
  <r>
    <x v="13"/>
    <s v="DRON510BRMC490 WP KROVAR TECH 500 KG"/>
    <s v="0000008198"/>
    <d v="2025-11-10T00:00:00"/>
    <s v="1327155"/>
    <s v=""/>
    <n v="2000"/>
    <n v="1500"/>
    <d v="2025-11-14T00:00:00"/>
    <x v="0"/>
    <n v="0"/>
    <s v="1001"/>
    <s v="KG"/>
    <s v=""/>
    <x v="4"/>
    <s v="REL  PRC  BASC BCRQ GMPS MACM ORRQ PDLV*"/>
    <s v="KROVAR"/>
  </r>
  <r>
    <x v="14"/>
    <s v="OXFF240 EC GALIGAN EC 240SP 200 L"/>
    <s v="0000061386"/>
    <d v="2025-11-10T00:00:00"/>
    <s v="1329320"/>
    <s v=""/>
    <n v="6000"/>
    <n v="6800"/>
    <d v="2025-11-03T00:00:00"/>
    <x v="0"/>
    <n v="0"/>
    <s v="1001"/>
    <s v="L"/>
    <s v=""/>
    <x v="8"/>
    <s v="REL  DLV  PRC  BASC BCRQ GMPS ILAS MACM*"/>
    <s v="EC 25"/>
  </r>
  <r>
    <x v="15"/>
    <s v="DELTA DAMASCON FLASH 1.00 KG"/>
    <s v="0000010328"/>
    <d v="2025-11-10T00:00:00"/>
    <s v="1330393"/>
    <s v=""/>
    <n v="1600"/>
    <n v="1740"/>
    <d v="2025-11-10T00:00:00"/>
    <x v="0"/>
    <n v="0"/>
    <s v="1001"/>
    <s v="KG"/>
    <s v=""/>
    <x v="7"/>
    <s v="REL  CNF  DLV  PRC  BASC BCRQ GMPS ILAS*"/>
    <s v="שלבי ביניים לא למדידה"/>
  </r>
  <r>
    <x v="16"/>
    <s v="DELTA MTL KTN CR RUS 1.00 KG"/>
    <s v="0000007639"/>
    <d v="2025-11-08T00:00:00"/>
    <s v="1328610"/>
    <s v=""/>
    <n v="2000"/>
    <n v="3000"/>
    <d v="2025-11-06T00:00:00"/>
    <x v="0"/>
    <n v="0"/>
    <s v="1001"/>
    <s v="KG"/>
    <s v=""/>
    <x v="7"/>
    <s v="REL  CNF  DLV  PRC  BASC BCRQ GMPS ILAS*"/>
    <s v="שלבי ביניים לא למדידה"/>
  </r>
  <r>
    <x v="17"/>
    <s v="PROPAQUIZAFOP PRMX25 1000 KG"/>
    <s v="0000003521"/>
    <d v="2025-11-07T00:00:00"/>
    <s v="1329751"/>
    <s v=""/>
    <n v="8000"/>
    <n v="8000"/>
    <d v="2025-11-04T00:00:00"/>
    <x v="0"/>
    <n v="0"/>
    <s v="1001"/>
    <s v="KG"/>
    <s v=""/>
    <x v="8"/>
    <s v="REL  CNF  DLV  PRC  BASC BCRQ GMPS ILAS*"/>
    <s v="PROPAQUIZAFOP Premix"/>
  </r>
  <r>
    <x v="17"/>
    <s v="PROPAQUIZAFOP PRMX25 1000 KG"/>
    <s v="0000003522"/>
    <d v="2025-11-07T00:00:00"/>
    <s v="1329752"/>
    <s v=""/>
    <n v="8000"/>
    <n v="7000"/>
    <d v="2025-11-04T00:00:00"/>
    <x v="0"/>
    <n v="0"/>
    <s v="1001"/>
    <s v="KG"/>
    <s v=""/>
    <x v="8"/>
    <s v="REL  CNF  PRC  BASC BCRQ GMPS ILAS MACM*"/>
    <s v="PROPAQUIZAFOP Premix"/>
  </r>
  <r>
    <x v="18"/>
    <s v="KROVAR SLURRY .00 KG"/>
    <s v="0000008959"/>
    <d v="2025-11-04T00:00:00"/>
    <s v="1326664"/>
    <s v=""/>
    <n v="2100"/>
    <n v="2100"/>
    <d v="2025-10-26T00:00:00"/>
    <x v="0"/>
    <n v="2100"/>
    <s v="1001"/>
    <s v="KG"/>
    <s v=""/>
    <x v="9"/>
    <s v="REL  CNF  DLV  PRC  BASC BCRQ GMPS ILAS*"/>
    <s v="אותו קרובר כמו הבא אחריו לבחור רק אחד מהם"/>
  </r>
  <r>
    <x v="19"/>
    <s v="QZLF50 EC QUIZALOFOP 5 EC SS 1000 L"/>
    <s v="0000001401"/>
    <d v="2025-11-01T00:00:00"/>
    <s v="1326233"/>
    <s v=""/>
    <n v="12000"/>
    <n v="11000"/>
    <d v="2025-11-14T00:00:00"/>
    <x v="0"/>
    <n v="11000"/>
    <s v="1001"/>
    <s v="L"/>
    <s v=""/>
    <x v="6"/>
    <s v="REL  CNF  PRC  BASC BCRQ GMPS MACM ORRQ*"/>
    <n v="23"/>
  </r>
  <r>
    <x v="20"/>
    <s v="PINO100+THIEN8.3+MEF OD CAZADO 1000LT CA"/>
    <s v="0000000167"/>
    <d v="2025-11-01T00:00:00"/>
    <s v="1326601"/>
    <s v=""/>
    <n v="5000"/>
    <n v="1000"/>
    <d v="2025-11-14T00:00:00"/>
    <x v="0"/>
    <n v="1000"/>
    <s v="1001"/>
    <s v="L"/>
    <s v=""/>
    <x v="5"/>
    <s v="REL  CNF  PRC  BASC BCRQ GMPS ILAS MACM*"/>
    <s v="24F"/>
  </r>
  <r>
    <x v="20"/>
    <s v="PINO100+THIEN8.3+MEF OD CAZADO 1000LT CA"/>
    <s v="0000000168"/>
    <d v="2025-11-01T00:00:00"/>
    <s v="1326602"/>
    <s v=""/>
    <n v="2770"/>
    <n v="2770"/>
    <d v="2025-11-14T00:00:00"/>
    <x v="0"/>
    <n v="0"/>
    <s v="1001"/>
    <s v="L"/>
    <s v=""/>
    <x v="5"/>
    <s v="REL  PCNF DLV  PRC  BASC BCRQ GMPS ILAS*"/>
    <s v="24F"/>
  </r>
  <r>
    <x v="21"/>
    <s v="MTMN350+QNMC60 SC GOLTIX SILVER 10LT FR"/>
    <s v="0000319318"/>
    <d v="2025-11-01T00:00:00"/>
    <s v="1327391"/>
    <s v="211016259"/>
    <n v="12000"/>
    <n v="12000"/>
    <d v="2025-10-28T00:00:00"/>
    <x v="0"/>
    <n v="12000"/>
    <s v="1001"/>
    <s v="L"/>
    <s v=""/>
    <x v="10"/>
    <s v="REL  PRT  CNF  DLV  PRC  BASC BCRQ GMPS*"/>
    <n v="10"/>
  </r>
  <r>
    <x v="21"/>
    <s v="MTMN350+QNMC60 SC GOLTIX SILVER 10LT FR"/>
    <s v="0000319319"/>
    <d v="2025-11-01T00:00:00"/>
    <s v="1327392"/>
    <s v="211016259"/>
    <n v="12000"/>
    <n v="12000"/>
    <d v="2025-10-28T00:00:00"/>
    <x v="0"/>
    <n v="12000"/>
    <s v="1001"/>
    <s v="L"/>
    <s v=""/>
    <x v="10"/>
    <s v="REL  PRT  CNF  DLV  PRC  BASC BCRQ GMPS*"/>
    <n v="10"/>
  </r>
  <r>
    <x v="22"/>
    <s v="DRON540+HZNN67 WG JUMP 5KG BRASIL 5KG BR"/>
    <s v="0000016434"/>
    <d v="2025-10-31T00:00:00"/>
    <s v="1326835"/>
    <s v=""/>
    <n v="2880"/>
    <n v="2880"/>
    <d v="2025-11-13T00:00:00"/>
    <x v="0"/>
    <n v="0"/>
    <s v="1001"/>
    <s v="KG"/>
    <s v=""/>
    <x v="3"/>
    <s v="REL  CNF  DLV  PRC  BASC BCRQ GMPS ILAS*"/>
    <n v="19"/>
  </r>
  <r>
    <x v="22"/>
    <s v="DRON540+HZNN67 WG JUMP 5KG BRASIL 5KG BR"/>
    <s v="0000016435"/>
    <d v="2025-10-31T00:00:00"/>
    <s v="1326836"/>
    <s v=""/>
    <n v="2880"/>
    <n v="2880"/>
    <d v="2025-11-13T00:00:00"/>
    <x v="0"/>
    <n v="0"/>
    <s v="1001"/>
    <s v="KG"/>
    <s v=""/>
    <x v="3"/>
    <s v="REL  CNF  DLV  PRC  BASC BCRQ GMPS ILAS*"/>
    <n v="19"/>
  </r>
  <r>
    <x v="22"/>
    <s v="DRON540+HZNN67 WG JUMP 5KG BRASIL 5KG BR"/>
    <s v="0000016436"/>
    <d v="2025-10-31T00:00:00"/>
    <s v="1326837"/>
    <s v=""/>
    <n v="2880"/>
    <n v="2880"/>
    <d v="2025-11-14T00:00:00"/>
    <x v="0"/>
    <n v="0"/>
    <s v="1001"/>
    <s v="KG"/>
    <s v=""/>
    <x v="3"/>
    <s v="REL  CNF  DLV  PRC  BASC BCRQ GMPS ILAS*"/>
    <n v="19"/>
  </r>
  <r>
    <x v="22"/>
    <s v="DRON540+HZNN67 WG JUMP 5KG BRASIL 5KG BR"/>
    <s v="0000016437"/>
    <d v="2025-10-31T00:00:00"/>
    <s v="1326838"/>
    <s v=""/>
    <n v="2880"/>
    <n v="2880"/>
    <d v="2025-11-14T00:00:00"/>
    <x v="0"/>
    <n v="0"/>
    <s v="1001"/>
    <s v="KG"/>
    <s v=""/>
    <x v="3"/>
    <s v="REL  CNF  DLV  PRC  BASC BCRQ GMPS ILAS*"/>
    <n v="19"/>
  </r>
  <r>
    <x v="22"/>
    <s v="DRON540+HZNN67 WG JUMP 5KG BRASIL 5KG BR"/>
    <s v="0000016438"/>
    <d v="2025-10-31T00:00:00"/>
    <s v="1326839"/>
    <s v=""/>
    <n v="2880"/>
    <n v="2880"/>
    <d v="2025-11-14T00:00:00"/>
    <x v="0"/>
    <n v="0"/>
    <s v="1001"/>
    <s v="KG"/>
    <s v=""/>
    <x v="3"/>
    <s v="REL  PCNF DLV  PRC  BASC BCRQ GMPS ILAS*"/>
    <n v="19"/>
  </r>
  <r>
    <x v="22"/>
    <s v="DRON540+HZNN67 WG JUMP 5KG BRASIL 5KG BR"/>
    <s v="0000016439"/>
    <d v="2025-10-31T00:00:00"/>
    <s v="1326840"/>
    <s v=""/>
    <n v="2880"/>
    <n v="2880"/>
    <d v="2025-11-14T00:00:00"/>
    <x v="0"/>
    <n v="0"/>
    <s v="1001"/>
    <s v="KG"/>
    <s v=""/>
    <x v="3"/>
    <s v="REL  DLV  PRC  BASC BCRQ GMPS ILAS MANC*"/>
    <n v="19"/>
  </r>
  <r>
    <x v="22"/>
    <s v="DRON540+HZNN67 WG JUMP 5KG BRASIL 5KG BR"/>
    <s v="0000016440"/>
    <d v="2025-10-31T00:00:00"/>
    <s v="1326841"/>
    <s v=""/>
    <n v="2880"/>
    <n v="2880"/>
    <d v="2025-11-14T00:00:00"/>
    <x v="0"/>
    <n v="0"/>
    <s v="1001"/>
    <s v="KG"/>
    <s v=""/>
    <x v="3"/>
    <s v="REL  DLV  PRC  BASC BCRQ GMPS ILAS MANC*"/>
    <n v="19"/>
  </r>
  <r>
    <x v="23"/>
    <s v="HEXENONE (1002) ISO NEW"/>
    <s v="0000279370"/>
    <d v="2025-09-01T00:00:00"/>
    <s v="1314532"/>
    <s v=""/>
    <n v="1800"/>
    <n v="1232"/>
    <d v="2025-11-03T00:00:00"/>
    <x v="0"/>
    <n v="0"/>
    <s v="1001"/>
    <s v="KG"/>
    <s v=""/>
    <x v="7"/>
    <s v="REL  CNF  PRC  BASC BCRQ GMPS ILAS MACM*"/>
    <s v="שלבי ביניים לא למדידה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  <r>
    <x v="24"/>
    <m/>
    <m/>
    <m/>
    <m/>
    <m/>
    <m/>
    <m/>
    <m/>
    <x v="1"/>
    <m/>
    <m/>
    <m/>
    <m/>
    <x v="11"/>
    <m/>
    <e v="#N/A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9">
  <r>
    <n v="50000000077"/>
    <s v="NAA DIST ISO"/>
    <s v="0000021329"/>
    <d v="2025-11-10T00:00:00"/>
    <s v="1325377"/>
    <s v=""/>
    <n v="6000"/>
    <n v="3935"/>
    <d v="2025-10-23T00:00:00"/>
    <x v="0"/>
    <n v="0"/>
    <s v="1001"/>
    <s v="KG"/>
    <s v=""/>
    <s v="1141"/>
    <s v="REL  CNF  PRC  BASC BCRQ GMPS ILAS MACM*"/>
    <x v="0"/>
    <e v="#N/A"/>
    <e v="#REF!"/>
    <e v="#REF!"/>
    <e v="#REF!"/>
  </r>
  <r>
    <n v="10000009864"/>
    <s v="QZLF50 EC LEOPARD 5 EC LT. 1_S IT"/>
    <s v="0000314608"/>
    <d v="2025-11-07T00:00:00"/>
    <s v="1327460"/>
    <s v="211015821"/>
    <n v="9216"/>
    <n v="9216"/>
    <d v="2025-10-29T00:00:00"/>
    <x v="0"/>
    <n v="0"/>
    <s v="1001"/>
    <s v="L"/>
    <s v=""/>
    <s v="1542"/>
    <s v="REL  DLV  PRC  BASC BCRQ GMPS MANC ORRQ*"/>
    <x v="1"/>
    <n v="1"/>
    <e v="#REF!"/>
    <e v="#REF!"/>
    <e v="#REF!"/>
  </r>
  <r>
    <n v="20000000722"/>
    <s v="PNDM400 CS PENDIMETHALINE 400CS 200 L"/>
    <s v="0000069435"/>
    <d v="2025-11-04T00:00:00"/>
    <s v="1327253"/>
    <s v=""/>
    <n v="3600"/>
    <n v="4400"/>
    <d v="2025-10-30T00:00:00"/>
    <x v="0"/>
    <n v="0"/>
    <s v="1001"/>
    <s v="L"/>
    <s v=""/>
    <s v="1525"/>
    <s v="REL  DLV  PRC  BASC BCRQ GMPS MACM ORRQ*"/>
    <x v="2"/>
    <e v="#N/A"/>
    <e v="#REF!"/>
    <e v="#REF!"/>
    <e v="#REF!"/>
  </r>
  <r>
    <n v="10000011550"/>
    <s v="PINO100+THIEN8.3+MEF OD CAZADO 1000LT CA"/>
    <s v="0000000162"/>
    <d v="2025-11-01T00:00:00"/>
    <s v="1324769"/>
    <s v=""/>
    <n v="5000"/>
    <n v="4000"/>
    <d v="2025-10-31T00:00:00"/>
    <x v="0"/>
    <n v="0"/>
    <s v="1001"/>
    <s v="L"/>
    <s v=""/>
    <s v="1524"/>
    <s v="REL  PCNF PRC  BASC BCRQ GMPS ILAS MACM*"/>
    <x v="3"/>
    <s v="24F"/>
    <e v="#REF!"/>
    <e v="#REF!"/>
    <e v="#REF!"/>
  </r>
  <r>
    <n v="50000000053"/>
    <s v="DELTA DAMASCONE CRUD 1.00 KG"/>
    <s v="0000012769"/>
    <d v="2025-11-01T00:00:00"/>
    <s v="1325362"/>
    <s v=""/>
    <n v="6000"/>
    <n v="6915"/>
    <d v="2025-10-27T00:00:00"/>
    <x v="0"/>
    <n v="0"/>
    <s v="1001"/>
    <s v="KG"/>
    <s v=""/>
    <s v="1141"/>
    <s v="REL  CNF  DLV  PRC  BASC BCRQ GMPS ILAS*"/>
    <x v="0"/>
    <e v="#N/A"/>
    <e v="#REF!"/>
    <e v="#REF!"/>
    <e v="#REF!"/>
  </r>
  <r>
    <n v="10000000288"/>
    <s v="CLDF80+CLQT20 EC LADDER ALL IN 1000LT CA"/>
    <s v="0000000635"/>
    <d v="2025-11-01T00:00:00"/>
    <s v="1326091"/>
    <s v=""/>
    <n v="8000"/>
    <n v="7000"/>
    <d v="2025-11-01T00:00:00"/>
    <x v="0"/>
    <n v="7000"/>
    <s v="1001"/>
    <s v="L"/>
    <s v=""/>
    <s v="1523"/>
    <s v="REL  CNF  PRC  BASC BCRQ GMPS MACM ORRQ*"/>
    <x v="4"/>
    <n v="23"/>
    <e v="#REF!"/>
    <e v="#REF!"/>
    <e v="#REF!"/>
  </r>
  <r>
    <n v="20000008007"/>
    <s v="PNMP320 SC PHENMEDIPHAM 320GL SC 1000LT"/>
    <s v="0000000101"/>
    <d v="2025-11-01T00:00:00"/>
    <s v="1326100"/>
    <s v=""/>
    <n v="7000"/>
    <n v="4000"/>
    <d v="2025-11-01T00:00:00"/>
    <x v="0"/>
    <n v="4000"/>
    <s v="1001"/>
    <s v="L"/>
    <s v=""/>
    <s v="1528"/>
    <s v="REL  CNF  PRC  BASC BCRQ GMPS MACM ORRQ*"/>
    <x v="5"/>
    <e v="#N/A"/>
    <e v="#REF!"/>
    <e v="#REF!"/>
    <e v="#REF!"/>
  </r>
  <r>
    <n v="50000002791"/>
    <s v="DEHYDRO ATRALONE ISO"/>
    <s v="0000000298"/>
    <d v="2025-11-01T00:00:00"/>
    <s v="1326254"/>
    <s v=""/>
    <n v="6500"/>
    <n v="6700"/>
    <d v="2025-10-30T00:00:00"/>
    <x v="0"/>
    <n v="6700"/>
    <s v="1001"/>
    <s v="KG"/>
    <s v=""/>
    <s v="1141"/>
    <s v="REL  CNF  DLV  PRC  BASC BCRQ GMPS ILAS*"/>
    <x v="6"/>
    <e v="#N/A"/>
    <e v="#REF!"/>
    <e v="#REF!"/>
    <e v="#REF!"/>
  </r>
  <r>
    <n v="50000000080"/>
    <s v="NANA 1.00 KG"/>
    <s v="0000136127"/>
    <d v="2025-11-01T00:00:00"/>
    <s v="1326267"/>
    <s v=""/>
    <n v="3900"/>
    <n v="3832"/>
    <d v="2025-10-27T00:00:00"/>
    <x v="0"/>
    <n v="0"/>
    <s v="1001"/>
    <s v="KG"/>
    <s v=""/>
    <s v="1141"/>
    <s v="REL  CNF  PRC  BASC BCRQ GMPS ILAS MACM*"/>
    <x v="7"/>
    <e v="#N/A"/>
    <e v="#REF!"/>
    <e v="#REF!"/>
    <e v="#REF!"/>
  </r>
  <r>
    <n v="50000000080"/>
    <s v="NANA 1.00 KG"/>
    <s v="0000136129"/>
    <d v="2025-11-01T00:00:00"/>
    <s v="1326269"/>
    <s v=""/>
    <n v="3900"/>
    <n v="0"/>
    <d v="2025-10-30T00:00:00"/>
    <x v="0"/>
    <n v="0"/>
    <s v="1001"/>
    <s v="KG"/>
    <s v=""/>
    <s v="1141"/>
    <s v="REL  PCNF DLV  PRC  BASC BCRQ GMPS ILAS*"/>
    <x v="7"/>
    <e v="#N/A"/>
    <e v="#REF!"/>
    <e v="#REF!"/>
    <e v="#REF!"/>
  </r>
  <r>
    <n v="20000005837"/>
    <s v="CLTN500 SC TOLUREX 50 SC 1000LT"/>
    <s v="0000000206"/>
    <d v="2025-11-01T00:00:00"/>
    <s v="1326556"/>
    <s v=""/>
    <n v="7000"/>
    <n v="7000"/>
    <d v="2025-10-30T00:00:00"/>
    <x v="0"/>
    <n v="7000"/>
    <s v="1001"/>
    <s v="L"/>
    <s v=""/>
    <s v="1528"/>
    <s v="REL  CNF  DLV  PRC  BASC BCRQ GMPS MACM*"/>
    <x v="5"/>
    <n v="28"/>
    <e v="#REF!"/>
    <e v="#REF!"/>
    <e v="#REF!"/>
  </r>
  <r>
    <n v="20000005837"/>
    <s v="CLTN500 SC TOLUREX 50 SC 1000LT"/>
    <s v="0000000207"/>
    <d v="2025-11-01T00:00:00"/>
    <s v="1326557"/>
    <s v=""/>
    <n v="7000"/>
    <n v="8000"/>
    <d v="2025-11-01T00:00:00"/>
    <x v="0"/>
    <n v="0"/>
    <s v="1001"/>
    <s v="L"/>
    <s v=""/>
    <s v="1528"/>
    <s v="REL  DLV  PRC  BASC BCRQ GMPS MACM ORRQ*"/>
    <x v="5"/>
    <n v="28"/>
    <e v="#REF!"/>
    <e v="#REF!"/>
    <e v="#REF!"/>
  </r>
  <r>
    <n v="10000000430"/>
    <s v="DRON468+HZNN132 WG HEXARON 5KG BR 5KG BR"/>
    <s v="0000042549"/>
    <d v="2025-11-01T00:00:00"/>
    <s v="1326674"/>
    <s v=""/>
    <n v="2880"/>
    <n v="2880"/>
    <d v="2025-11-01T00:00:00"/>
    <x v="0"/>
    <n v="0"/>
    <s v="1001"/>
    <s v="KG"/>
    <s v=""/>
    <s v="1519"/>
    <s v="REL  CNF  DLV  PRC  BASC BCRQ GMPS ILAS*"/>
    <x v="8"/>
    <n v="19"/>
    <e v="#REF!"/>
    <e v="#REF!"/>
    <e v="#REF!"/>
  </r>
  <r>
    <n v="10000000430"/>
    <s v="DRON468+HZNN132 WG HEXARON 5KG BR 5KG BR"/>
    <s v="0000042551"/>
    <d v="2025-11-01T00:00:00"/>
    <s v="1326676"/>
    <s v=""/>
    <n v="2880"/>
    <n v="2880"/>
    <d v="2025-11-01T00:00:00"/>
    <x v="0"/>
    <n v="0"/>
    <s v="1001"/>
    <s v="KG"/>
    <s v=""/>
    <s v="1519"/>
    <s v="REL  CNF  DLV  PRC  BASC BCRQ GMPS ILAS*"/>
    <x v="8"/>
    <n v="19"/>
    <e v="#REF!"/>
    <e v="#REF!"/>
    <e v="#REF!"/>
  </r>
  <r>
    <n v="10000010430"/>
    <s v="ATRL1000 ATRALONE 50KG GENERAL NEW"/>
    <s v="0000284774"/>
    <d v="2025-11-01T00:00:00"/>
    <s v="1327209"/>
    <s v=""/>
    <n v="1800"/>
    <n v="1700"/>
    <d v="2025-10-27T00:00:00"/>
    <x v="0"/>
    <n v="0"/>
    <s v="1001"/>
    <s v="KG"/>
    <s v=""/>
    <s v="1541"/>
    <s v="REL  CNF  PRC  BASC BCRQ GMPS ILAS MACM*"/>
    <x v="9"/>
    <e v="#N/A"/>
    <e v="#REF!"/>
    <e v="#REF!"/>
    <e v="#REF!"/>
  </r>
  <r>
    <n v="20000000394"/>
    <s v="24DA300FLSL6 SE 1000L"/>
    <s v="0000000819"/>
    <d v="2025-10-31T00:00:00"/>
    <s v="1327216"/>
    <s v=""/>
    <n v="7000"/>
    <n v="7920"/>
    <d v="2025-10-31T00:00:00"/>
    <x v="0"/>
    <n v="0"/>
    <s v="1001"/>
    <s v="L"/>
    <s v=""/>
    <s v="1524"/>
    <s v="REL  DLV  PRC  BASC BCRQ GMPS ILAS MACM*"/>
    <x v="3"/>
    <s v="24F"/>
    <e v="#REF!"/>
    <e v="#REF!"/>
    <e v="#REF!"/>
  </r>
  <r>
    <n v="20000000625"/>
    <s v="PPQZ100 EC PROPQUIZFOP 100 SSS 1000 L"/>
    <s v="0000003387"/>
    <d v="2025-10-31T00:00:00"/>
    <s v="1328759"/>
    <s v=""/>
    <n v="23000"/>
    <n v="23000"/>
    <d v="2025-10-31T00:00:00"/>
    <x v="0"/>
    <n v="0"/>
    <s v="1001"/>
    <s v="L"/>
    <s v=""/>
    <s v="1525"/>
    <s v="REL  DLV  PRC  BASC BCRQ GMPS MANC ORRQ*"/>
    <x v="10"/>
    <e v="#N/A"/>
    <e v="#REF!"/>
    <e v="#REF!"/>
    <e v="#REF!"/>
  </r>
  <r>
    <n v="50000000075"/>
    <s v="NAA CRUDE ISO"/>
    <s v="0000280114"/>
    <d v="2025-10-19T00:00:00"/>
    <s v="1325368"/>
    <s v=""/>
    <n v="4000"/>
    <n v="5226"/>
    <d v="2025-10-23T00:00:00"/>
    <x v="0"/>
    <n v="0"/>
    <s v="1001"/>
    <s v="KG"/>
    <s v=""/>
    <s v="1141"/>
    <s v="REL  CNF  DLV  PRC  BASC BCRQ GMPS ILAS*"/>
    <x v="11"/>
    <e v="#N/A"/>
    <e v="#REF!"/>
    <e v="#REF!"/>
    <e v="#REF!"/>
  </r>
  <r>
    <n v="10000011795"/>
    <s v="24DA306.1+FLSL6 SE ELEGANT 2FD 5LT BT"/>
    <s v="0000000101"/>
    <d v="2025-10-16T00:00:00"/>
    <s v="1325036"/>
    <s v="211016090"/>
    <n v="6000"/>
    <n v="6000"/>
    <d v="2025-10-19T00:00:00"/>
    <x v="0"/>
    <n v="0"/>
    <s v="1001"/>
    <s v="L"/>
    <s v=""/>
    <s v="1542"/>
    <s v="REL  DLV  PRC  BASC BCRQ GMPS MANC ORRQ*"/>
    <x v="12"/>
    <e v="#N/A"/>
    <e v="#REF!"/>
    <e v="#REF!"/>
    <e v="#REF!"/>
  </r>
  <r>
    <n v="10000012222"/>
    <s v="PNMP320 SC KYOSK 5LT SC FR"/>
    <s v="0000000106"/>
    <d v="2025-10-03T00:00:00"/>
    <s v="1318331"/>
    <s v="211015050"/>
    <n v="6000"/>
    <n v="6000"/>
    <d v="2025-10-20T00:00:00"/>
    <x v="0"/>
    <n v="6000"/>
    <s v="1001"/>
    <s v="L"/>
    <s v=""/>
    <s v="1543"/>
    <s v="REL  PRT  CNF  DLV  PRC  BASC BCRQ GMPS*"/>
    <x v="12"/>
    <e v="#N/A"/>
    <e v="#REF!"/>
    <e v="#REF!"/>
    <e v="#REF!"/>
  </r>
  <r>
    <n v="20000006122"/>
    <s v="OXFF240 EC GALIGAN 1000LT (FOR BR)"/>
    <s v="0000333987"/>
    <d v="2025-10-01T00:00:00"/>
    <s v="1325915"/>
    <s v=""/>
    <n v="7000"/>
    <n v="10000"/>
    <d v="2025-10-21T00:00:00"/>
    <x v="0"/>
    <n v="10000"/>
    <s v="1001"/>
    <s v="L"/>
    <s v=""/>
    <s v="1525"/>
    <s v="REL  CNF  DLV  PRC  BASC BCRQ GMPS ILAS*"/>
    <x v="10"/>
    <e v="#N/A"/>
    <e v="#REF!"/>
    <e v="#REF!"/>
    <e v="#REF!"/>
  </r>
  <r>
    <n v="20000006540"/>
    <s v="MTMN350QNMC60 SC MTM 350+QUIN 60 1000L"/>
    <s v="0000000119"/>
    <d v="2025-10-01T00:00:00"/>
    <s v="1327224"/>
    <s v=""/>
    <n v="7000"/>
    <n v="7000"/>
    <d v="2025-10-31T00:00:00"/>
    <x v="0"/>
    <n v="0"/>
    <s v="1001"/>
    <s v="L"/>
    <s v=""/>
    <s v="1528"/>
    <s v="REL  PCNF DLV  PRC  BASC BCRQ GMPS MACM*"/>
    <x v="5"/>
    <e v="#N/A"/>
    <e v="#REF!"/>
    <e v="#REF!"/>
    <e v="#REF!"/>
  </r>
  <r>
    <n v="20000006540"/>
    <s v="MTMN350QNMC60 SC MTM 350+QUIN 60 1000L"/>
    <s v="0000000120"/>
    <d v="2025-10-01T00:00:00"/>
    <s v="1327225"/>
    <s v=""/>
    <n v="7000"/>
    <n v="7000"/>
    <d v="2025-11-01T00:00:00"/>
    <x v="0"/>
    <n v="7000"/>
    <s v="1001"/>
    <s v="L"/>
    <s v=""/>
    <s v="1528"/>
    <s v="REL  CNF  DLV  PRC  BASC BCRQ GMPS MACM*"/>
    <x v="5"/>
    <e v="#N/A"/>
    <e v="#REF!"/>
    <e v="#REF!"/>
    <e v="#REF!"/>
  </r>
  <r>
    <n v="50000000113"/>
    <s v="PYRAZOLE SOL 1.00 KG"/>
    <s v="0000286375"/>
    <d v="2025-09-19T00:00:00"/>
    <s v="1317100"/>
    <s v=""/>
    <n v="12000"/>
    <n v="26500"/>
    <d v="2025-10-21T00:00:00"/>
    <x v="0"/>
    <n v="26500"/>
    <s v="1001"/>
    <s v="KG"/>
    <s v=""/>
    <s v="1141"/>
    <s v="REL  CNF  DLV  PRC  BASC BCRQ GMPS ILAS*"/>
    <x v="0"/>
    <e v="#N/A"/>
    <e v="#REF!"/>
    <e v="#REF!"/>
    <e v="#REF!"/>
  </r>
  <r>
    <n v="50000002339"/>
    <s v="ETHANOL RETURNED 800KG"/>
    <s v="0000335119"/>
    <d v="2025-09-01T00:00:00"/>
    <s v="1314903"/>
    <s v=""/>
    <n v="4800"/>
    <n v="4000"/>
    <d v="2025-08-24T00:00:00"/>
    <x v="0"/>
    <n v="0"/>
    <s v="1001"/>
    <s v="KG"/>
    <s v=""/>
    <s v="1525"/>
    <s v="REL  PRC  BASC BCRQ GMPS ILAS MACM ORRQ*"/>
    <x v="6"/>
    <e v="#N/A"/>
    <e v="#REF!"/>
    <e v="#REF!"/>
    <e v="#REF!"/>
  </r>
  <r>
    <n v="10000000771"/>
    <s v="MTMN150 SG BREVIS SG 1KG IT"/>
    <s v="0000002406"/>
    <d v="2025-09-01T00:00:00"/>
    <s v="1315687"/>
    <s v="211015102"/>
    <n v="2400"/>
    <n v="2400"/>
    <d v="2025-10-26T00:00:00"/>
    <x v="0"/>
    <n v="0"/>
    <s v="1001"/>
    <s v="KG"/>
    <s v=""/>
    <s v="1519"/>
    <s v="REL  DLV  PRC  BASC BCRQ GMPS ILAS MANC*"/>
    <x v="8"/>
    <s v="19P"/>
    <e v="#REF!"/>
    <e v="#REF!"/>
    <e v="#REF!"/>
  </r>
  <r>
    <n v="30000000097"/>
    <s v="MTZC735 TC METAZACHLR T WT CRUD 600 KG"/>
    <s v="0000009009"/>
    <d v="2025-09-01T00:00:00"/>
    <s v="1317085"/>
    <s v=""/>
    <n v="2800"/>
    <n v="2280"/>
    <d v="2025-10-23T00:00:00"/>
    <x v="0"/>
    <n v="0"/>
    <s v="1001"/>
    <s v="KG"/>
    <s v=""/>
    <s v="1541"/>
    <s v="REL  CNF  PRC  BASC BCRQ GMPS ILAS MACM*"/>
    <x v="13"/>
    <e v="#N/A"/>
    <e v="#REF!"/>
    <e v="#REF!"/>
    <e v="#REF!"/>
  </r>
  <r>
    <n v="30000000084"/>
    <s v="DRON510BRMC490 WP KROVAR TECH 500 KG"/>
    <s v="0000008195"/>
    <d v="2025-11-07T00:00:00"/>
    <s v="1327152"/>
    <s v=""/>
    <n v="2000"/>
    <n v="1500"/>
    <d v="2025-10-30T00:00:00"/>
    <x v="1"/>
    <n v="0"/>
    <s v="1001"/>
    <s v="KG"/>
    <s v=""/>
    <s v="1540"/>
    <s v="REL  PRC  BASC BCRQ GMPS MANC ORRQ PDLV*"/>
    <x v="14"/>
    <e v="#N/A"/>
    <e v="#REF!"/>
    <e v="#REF!"/>
    <e v="#REF!"/>
  </r>
  <r>
    <n v="50000000053"/>
    <s v="DELTA DAMASCONE CRUD 1.00 KG"/>
    <s v="0000012771"/>
    <d v="2025-11-05T00:00:00"/>
    <s v="1327410"/>
    <s v=""/>
    <n v="6000"/>
    <n v="6675"/>
    <d v="2025-10-30T00:00:00"/>
    <x v="1"/>
    <n v="0"/>
    <s v="1001"/>
    <s v="KG"/>
    <s v=""/>
    <s v="1141"/>
    <s v="REL  CNF  DLV  PRC  BASC BCRQ GMPS ILAS*"/>
    <x v="0"/>
    <e v="#N/A"/>
    <e v="#REF!"/>
    <e v="#REF!"/>
    <e v="#REF!"/>
  </r>
  <r>
    <n v="50000000091"/>
    <s v="GALIGAN IN TOLUENE ISO"/>
    <s v="0000009607"/>
    <d v="2025-11-04T00:00:00"/>
    <s v="1326090"/>
    <s v=""/>
    <n v="4800"/>
    <n v="4950"/>
    <d v="2025-10-29T00:00:00"/>
    <x v="1"/>
    <n v="0"/>
    <s v="1001"/>
    <s v="KG"/>
    <s v=""/>
    <s v="1125"/>
    <s v="REL  CNF  DLV  PRC  BASC BCRQ GMPS ILAS*"/>
    <x v="11"/>
    <e v="#N/A"/>
    <e v="#REF!"/>
    <e v="#REF!"/>
    <e v="#REF!"/>
  </r>
  <r>
    <n v="50000000072"/>
    <s v="KROVAR SLURRY .00 KG"/>
    <s v="0000008957"/>
    <d v="2025-11-04T00:00:00"/>
    <s v="1326662"/>
    <s v=""/>
    <n v="2100"/>
    <n v="2100"/>
    <d v="2025-10-26T00:00:00"/>
    <x v="1"/>
    <n v="2100"/>
    <s v="1001"/>
    <s v="KG"/>
    <s v=""/>
    <s v="1140"/>
    <s v="REL  CNF  DLV  PRC  BASC BCRQ GMPS ILAS*"/>
    <x v="15"/>
    <e v="#N/A"/>
    <e v="#REF!"/>
    <e v="#REF!"/>
    <e v="#REF!"/>
  </r>
  <r>
    <n v="30000000099"/>
    <s v="OXFF970 TC GALIGAN TECH 97% CRD  1000KG"/>
    <s v="0000002875"/>
    <d v="2025-11-04T00:00:00"/>
    <s v="1327073"/>
    <s v=""/>
    <n v="1650"/>
    <n v="1650"/>
    <d v="2025-10-27T00:00:00"/>
    <x v="1"/>
    <n v="0"/>
    <s v="1001"/>
    <s v="KG"/>
    <s v=""/>
    <s v="1125"/>
    <s v="REL  CNF  DLV  PRC  BASC BCRQ GMPS ILAS*"/>
    <x v="16"/>
    <e v="#N/A"/>
    <e v="#REF!"/>
    <e v="#REF!"/>
    <e v="#REF!"/>
  </r>
  <r>
    <n v="30000000099"/>
    <s v="OXFF970 TC GALIGAN TECH 97% CRD  1000KG"/>
    <s v="0000002876"/>
    <d v="2025-11-04T00:00:00"/>
    <s v="1327074"/>
    <s v=""/>
    <n v="1650"/>
    <n v="1650"/>
    <d v="2025-10-27T00:00:00"/>
    <x v="1"/>
    <n v="0"/>
    <s v="1001"/>
    <s v="KG"/>
    <s v=""/>
    <s v="1125"/>
    <s v="REL  CNF  DLV  PRC  BASC BCRQ GMPS ILAS*"/>
    <x v="16"/>
    <e v="#N/A"/>
    <e v="#REF!"/>
    <e v="#REF!"/>
    <e v="#REF!"/>
  </r>
  <r>
    <n v="20000000722"/>
    <s v="PNDM400 CS PENDIMETHALINE 400CS 200 L"/>
    <s v="0000069436"/>
    <d v="2025-11-04T00:00:00"/>
    <s v="1327254"/>
    <s v=""/>
    <n v="3600"/>
    <n v="3800"/>
    <d v="2025-10-30T00:00:00"/>
    <x v="1"/>
    <n v="3800"/>
    <s v="1001"/>
    <s v="L"/>
    <s v=""/>
    <s v="1525"/>
    <s v="REL  CNF  DLV  PRC  BASC BCRQ GMPS MACM*"/>
    <x v="2"/>
    <e v="#N/A"/>
    <e v="#REF!"/>
    <e v="#REF!"/>
    <e v="#REF!"/>
  </r>
  <r>
    <n v="20000000722"/>
    <s v="PNDM400 CS PENDIMETHALINE 400CS 200 L"/>
    <s v="0000069437"/>
    <d v="2025-11-04T00:00:00"/>
    <s v="1327255"/>
    <s v=""/>
    <n v="3600"/>
    <n v="3600"/>
    <d v="2025-10-30T00:00:00"/>
    <x v="1"/>
    <n v="3600"/>
    <s v="1001"/>
    <s v="L"/>
    <s v=""/>
    <s v="1525"/>
    <s v="REL  CNF  DLV  PRC  BASC BCRQ GMPS MACM*"/>
    <x v="2"/>
    <e v="#N/A"/>
    <e v="#REF!"/>
    <e v="#REF!"/>
    <e v="#REF!"/>
  </r>
  <r>
    <n v="50000000091"/>
    <s v="GALIGAN IN TOLUENE ISO"/>
    <s v="0000009608"/>
    <d v="2025-11-04T00:00:00"/>
    <s v="1328531"/>
    <s v=""/>
    <n v="4800"/>
    <n v="4858"/>
    <d v="2025-10-30T00:00:00"/>
    <x v="1"/>
    <n v="0"/>
    <s v="1001"/>
    <s v="KG"/>
    <s v=""/>
    <s v="1125"/>
    <s v="REL  CNF  DLV  PRC  BASC BCRQ GMPS ILAS*"/>
    <x v="11"/>
    <e v="#N/A"/>
    <e v="#REF!"/>
    <e v="#REF!"/>
    <e v="#REF!"/>
  </r>
  <r>
    <n v="50000000091"/>
    <s v="GALIGAN IN TOLUENE ISO"/>
    <s v="0000009609"/>
    <d v="2025-11-04T00:00:00"/>
    <s v="1328532"/>
    <s v=""/>
    <n v="4800"/>
    <n v="5054"/>
    <d v="2025-10-30T00:00:00"/>
    <x v="1"/>
    <n v="0"/>
    <s v="1001"/>
    <s v="KG"/>
    <s v=""/>
    <s v="1125"/>
    <s v="REL  CNF  DLV  PRC  BASC BCRQ GMPS ILAS*"/>
    <x v="11"/>
    <e v="#N/A"/>
    <e v="#REF!"/>
    <e v="#REF!"/>
    <e v="#REF!"/>
  </r>
  <r>
    <n v="10000001064"/>
    <s v="PNDM400 SC ANTHEM 2X10LIT UK 10LT UK"/>
    <s v="0000004512"/>
    <d v="2025-11-02T00:00:00"/>
    <s v="1327443"/>
    <s v="211016405"/>
    <n v="12000"/>
    <n v="10800"/>
    <d v="2025-10-28T00:00:00"/>
    <x v="1"/>
    <n v="12000"/>
    <s v="1001"/>
    <s v="L"/>
    <s v=""/>
    <s v="1542"/>
    <s v="REL  PRT  CNF  PRC  BASC BCRQ GMPS MANC*"/>
    <x v="17"/>
    <n v="10"/>
    <e v="#REF!"/>
    <e v="#REF!"/>
    <e v="#REF!"/>
  </r>
  <r>
    <n v="30000000077"/>
    <s v="DRON970 TC DIUREX TECH MILLED 600 KG"/>
    <s v="0000053659"/>
    <d v="2025-11-02T00:00:00"/>
    <s v="1328454"/>
    <s v=""/>
    <n v="3600"/>
    <n v="3600"/>
    <d v="2025-11-01T00:00:00"/>
    <x v="1"/>
    <n v="0"/>
    <s v="1001"/>
    <s v="KG"/>
    <s v=""/>
    <s v="1540"/>
    <s v="REL  DLV  PRC  BASC BCRQ GMPS MACM ORRQ*"/>
    <x v="18"/>
    <e v="#N/A"/>
    <e v="#REF!"/>
    <e v="#REF!"/>
    <e v="#REF!"/>
  </r>
  <r>
    <n v="10000011550"/>
    <s v="PINO100+THIEN8.3+MEF OD CAZADO 1000LT CA"/>
    <s v="0000000163"/>
    <d v="2025-11-01T00:00:00"/>
    <s v="1324770"/>
    <s v=""/>
    <n v="5000"/>
    <n v="4000"/>
    <d v="2025-11-01T00:00:00"/>
    <x v="1"/>
    <n v="0"/>
    <s v="1001"/>
    <s v="L"/>
    <s v=""/>
    <s v="1524"/>
    <s v="REL  PCNF PRC  BASC BCRQ GMPS ILAS MACM*"/>
    <x v="3"/>
    <s v="24F"/>
    <e v="#REF!"/>
    <e v="#REF!"/>
    <e v="#REF!"/>
  </r>
  <r>
    <n v="10000009747"/>
    <s v="BR20FR80+MCPA20EC FORCFIGHT ALL1000LT CA"/>
    <s v="0000000190"/>
    <d v="2025-11-01T00:00:00"/>
    <s v="1325047"/>
    <s v=""/>
    <n v="9000"/>
    <n v="9000"/>
    <d v="2025-11-01T00:00:00"/>
    <x v="1"/>
    <n v="9000"/>
    <s v="1001"/>
    <s v="L"/>
    <s v=""/>
    <s v="1523"/>
    <s v="REL  CNF  DLV  PRC  BASC BCRQ GMPS MANC*"/>
    <x v="4"/>
    <n v="23"/>
    <e v="#REF!"/>
    <e v="#REF!"/>
    <e v="#REF!"/>
  </r>
  <r>
    <n v="20000000778"/>
    <s v="QZLF50 EC QUIZALOFOP 5 EC SS 1000 L"/>
    <s v="0000001395"/>
    <d v="2025-11-01T00:00:00"/>
    <s v="1325052"/>
    <s v=""/>
    <n v="12000"/>
    <n v="12000"/>
    <d v="2025-11-01T00:00:00"/>
    <x v="1"/>
    <n v="12000"/>
    <s v="1001"/>
    <s v="L"/>
    <s v=""/>
    <s v="1523"/>
    <s v="REL  CNF  DLV  PRC  BASC BCRQ GMPS MACM*"/>
    <x v="4"/>
    <n v="23"/>
    <e v="#REF!"/>
    <e v="#REF!"/>
    <e v="#REF!"/>
  </r>
  <r>
    <n v="10000000288"/>
    <s v="CLDF80+CLQT20 EC LADDER ALL IN 1000LT CA"/>
    <s v="0000000634"/>
    <d v="2025-11-01T00:00:00"/>
    <s v="1326057"/>
    <s v=""/>
    <n v="8000"/>
    <n v="8000"/>
    <d v="2025-10-31T00:00:00"/>
    <x v="1"/>
    <n v="8000"/>
    <s v="1001"/>
    <s v="L"/>
    <s v=""/>
    <s v="1523"/>
    <s v="REL  CNF  DLV  PRC  BASC BCRQ GMPS MANC*"/>
    <x v="4"/>
    <n v="23"/>
    <e v="#REF!"/>
    <e v="#REF!"/>
    <e v="#REF!"/>
  </r>
  <r>
    <n v="10000000288"/>
    <s v="CLDF80+CLQT20 EC LADDER ALL IN 1000LT CA"/>
    <s v="0000000636"/>
    <d v="2025-11-01T00:00:00"/>
    <s v="1326092"/>
    <s v=""/>
    <n v="8000"/>
    <n v="8000"/>
    <d v="2025-11-01T00:00:00"/>
    <x v="1"/>
    <n v="8000"/>
    <s v="1001"/>
    <s v="L"/>
    <s v=""/>
    <s v="1523"/>
    <s v="TECO CNF  DLV  PRC  BASC BCRQ GMPS MACM*"/>
    <x v="4"/>
    <n v="23"/>
    <e v="#REF!"/>
    <e v="#REF!"/>
    <e v="#REF!"/>
  </r>
  <r>
    <n v="10000000288"/>
    <s v="CLDF80+CLQT20 EC LADDER ALL IN 1000LT CA"/>
    <s v="0000000637"/>
    <d v="2025-11-01T00:00:00"/>
    <s v="1326093"/>
    <s v=""/>
    <n v="8000"/>
    <n v="8000"/>
    <d v="2025-11-01T00:00:00"/>
    <x v="1"/>
    <n v="8000"/>
    <s v="1001"/>
    <s v="L"/>
    <s v=""/>
    <s v="1523"/>
    <s v="REL  CNF  DLV  PRC  BASC BCRQ GMPS MACM*"/>
    <x v="4"/>
    <n v="23"/>
    <e v="#REF!"/>
    <e v="#REF!"/>
    <e v="#REF!"/>
  </r>
  <r>
    <n v="20000008007"/>
    <s v="PNMP320 SC PHENMEDIPHAM 320GL SC 1000LT"/>
    <s v="0000000102"/>
    <d v="2025-11-01T00:00:00"/>
    <s v="1326101"/>
    <s v=""/>
    <n v="7000"/>
    <n v="4000"/>
    <d v="2025-11-01T00:00:00"/>
    <x v="1"/>
    <n v="4000"/>
    <s v="1001"/>
    <s v="L"/>
    <s v=""/>
    <s v="1528"/>
    <s v="TECO CNF  PRC  BASC BCRQ GMPS MACM ORRQ*"/>
    <x v="5"/>
    <e v="#N/A"/>
    <e v="#REF!"/>
    <e v="#REF!"/>
    <e v="#REF!"/>
  </r>
  <r>
    <n v="20000008007"/>
    <s v="PNMP320 SC PHENMEDIPHAM 320GL SC 1000LT"/>
    <s v="0000000103"/>
    <d v="2025-11-01T00:00:00"/>
    <s v="1326102"/>
    <s v=""/>
    <n v="7000"/>
    <n v="8000"/>
    <d v="2025-11-01T00:00:00"/>
    <x v="1"/>
    <n v="8000"/>
    <s v="1001"/>
    <s v="L"/>
    <s v=""/>
    <s v="1528"/>
    <s v="REL  CNF  DLV  PRC  BASC BCRQ GMPS MACM*"/>
    <x v="5"/>
    <e v="#N/A"/>
    <e v="#REF!"/>
    <e v="#REF!"/>
    <e v="#REF!"/>
  </r>
  <r>
    <n v="50000002791"/>
    <s v="DEHYDRO ATRALONE ISO"/>
    <s v="0000000299"/>
    <d v="2025-11-01T00:00:00"/>
    <s v="1326255"/>
    <s v=""/>
    <n v="6500"/>
    <n v="6700"/>
    <d v="2025-10-30T00:00:00"/>
    <x v="1"/>
    <n v="6700"/>
    <s v="1001"/>
    <s v="KG"/>
    <s v=""/>
    <s v="1141"/>
    <s v="REL  CNF  DLV  PRC  BASC BCRQ GMPS ILAS*"/>
    <x v="6"/>
    <e v="#N/A"/>
    <e v="#REF!"/>
    <e v="#REF!"/>
    <e v="#REF!"/>
  </r>
  <r>
    <n v="50000000056"/>
    <s v="DELTA DAMASCON FLASH 1.00 KG"/>
    <s v="0000010320"/>
    <d v="2025-11-01T00:00:00"/>
    <s v="1326261"/>
    <s v=""/>
    <n v="1600"/>
    <n v="2235"/>
    <d v="2025-10-23T00:00:00"/>
    <x v="1"/>
    <n v="0"/>
    <s v="1001"/>
    <s v="KG"/>
    <s v=""/>
    <s v="1141"/>
    <s v="REL  CNF  DLV  PRC  BASC BCRQ GMPS ILAS*"/>
    <x v="0"/>
    <e v="#N/A"/>
    <e v="#REF!"/>
    <e v="#REF!"/>
    <e v="#REF!"/>
  </r>
  <r>
    <n v="50000000080"/>
    <s v="NANA 1.00 KG"/>
    <s v="0000136128"/>
    <d v="2025-11-01T00:00:00"/>
    <s v="1326268"/>
    <s v=""/>
    <n v="3900"/>
    <n v="3410"/>
    <d v="2025-10-27T00:00:00"/>
    <x v="1"/>
    <n v="0"/>
    <s v="1001"/>
    <s v="KG"/>
    <s v=""/>
    <s v="1141"/>
    <s v="REL  CNF  PRC  BASC BCRQ GMPS ILAS MACM*"/>
    <x v="7"/>
    <e v="#N/A"/>
    <e v="#REF!"/>
    <e v="#REF!"/>
    <e v="#REF!"/>
  </r>
  <r>
    <n v="50000000080"/>
    <s v="NANA 1.00 KG"/>
    <s v="0000136129"/>
    <d v="2025-11-01T00:00:00"/>
    <s v="1326269"/>
    <s v=""/>
    <n v="3900"/>
    <n v="3774"/>
    <d v="2025-10-30T00:00:00"/>
    <x v="1"/>
    <n v="0"/>
    <s v="1001"/>
    <s v="KG"/>
    <s v=""/>
    <s v="1141"/>
    <s v="REL  CNF  PRC  BASC BCRQ GMPS ILAS MACM*"/>
    <x v="7"/>
    <e v="#N/A"/>
    <e v="#REF!"/>
    <e v="#REF!"/>
    <e v="#REF!"/>
  </r>
  <r>
    <n v="50000000080"/>
    <s v="NANA 1.00 KG"/>
    <s v="0000136130"/>
    <d v="2025-11-01T00:00:00"/>
    <s v="1326270"/>
    <s v=""/>
    <n v="3900"/>
    <n v="3986"/>
    <d v="2025-10-30T00:00:00"/>
    <x v="1"/>
    <n v="0"/>
    <s v="1001"/>
    <s v="KG"/>
    <s v=""/>
    <s v="1141"/>
    <s v="REL  CNF  DLV  PRC  BASC BCRQ GMPS ILAS*"/>
    <x v="7"/>
    <e v="#N/A"/>
    <e v="#REF!"/>
    <e v="#REF!"/>
    <e v="#REF!"/>
  </r>
  <r>
    <n v="20000005837"/>
    <s v="CLTN500 SC TOLUREX 50 SC 1000LT"/>
    <s v="0000000208"/>
    <d v="2025-11-01T00:00:00"/>
    <s v="1326558"/>
    <s v=""/>
    <n v="7000"/>
    <n v="7000"/>
    <d v="2025-11-01T00:00:00"/>
    <x v="1"/>
    <n v="7000"/>
    <s v="1001"/>
    <s v="L"/>
    <s v=""/>
    <s v="1528"/>
    <s v="TECO CNF  DLV  PRC  BASC BCRQ GMPS MACM*"/>
    <x v="5"/>
    <n v="28"/>
    <e v="#REF!"/>
    <e v="#REF!"/>
    <e v="#REF!"/>
  </r>
  <r>
    <n v="20000005837"/>
    <s v="CLTN500 SC TOLUREX 50 SC 1000LT"/>
    <s v="0000000209"/>
    <d v="2025-11-01T00:00:00"/>
    <s v="1326559"/>
    <s v=""/>
    <n v="7000"/>
    <n v="7000"/>
    <d v="2025-11-01T00:00:00"/>
    <x v="1"/>
    <n v="7000"/>
    <s v="1001"/>
    <s v="L"/>
    <s v=""/>
    <s v="1528"/>
    <s v="REL  CNF  DLV  PRC  BASC BCRQ GMPS MACM*"/>
    <x v="5"/>
    <n v="28"/>
    <e v="#REF!"/>
    <e v="#REF!"/>
    <e v="#REF!"/>
  </r>
  <r>
    <n v="10000000430"/>
    <s v="DRON468+HZNN132 WG HEXARON 5KG BR 5KG BR"/>
    <s v="0000042546"/>
    <d v="2025-11-01T00:00:00"/>
    <s v="1326671"/>
    <s v=""/>
    <n v="2880"/>
    <n v="2880"/>
    <d v="2025-11-01T00:00:00"/>
    <x v="1"/>
    <n v="0"/>
    <s v="1001"/>
    <s v="KG"/>
    <s v=""/>
    <s v="1519"/>
    <s v="REL  CNF  DLV  PRC  BASC BCRQ GMPS ILAS*"/>
    <x v="8"/>
    <n v="19"/>
    <e v="#REF!"/>
    <e v="#REF!"/>
    <e v="#REF!"/>
  </r>
  <r>
    <n v="10000000430"/>
    <s v="DRON468+HZNN132 WG HEXARON 5KG BR 5KG BR"/>
    <s v="0000042547"/>
    <d v="2025-11-01T00:00:00"/>
    <s v="1326672"/>
    <s v=""/>
    <n v="2880"/>
    <n v="2880"/>
    <d v="2025-11-01T00:00:00"/>
    <x v="1"/>
    <n v="0"/>
    <s v="1001"/>
    <s v="KG"/>
    <s v=""/>
    <s v="1519"/>
    <s v="REL  CNF  DLV  PRC  BASC BCRQ GMPS ILAS*"/>
    <x v="8"/>
    <n v="19"/>
    <e v="#REF!"/>
    <e v="#REF!"/>
    <e v="#REF!"/>
  </r>
  <r>
    <n v="10000000430"/>
    <s v="DRON468+HZNN132 WG HEXARON 5KG BR 5KG BR"/>
    <s v="0000042548"/>
    <d v="2025-11-01T00:00:00"/>
    <s v="1326673"/>
    <s v=""/>
    <n v="2880"/>
    <n v="2880"/>
    <d v="2025-11-01T00:00:00"/>
    <x v="1"/>
    <n v="0"/>
    <s v="1001"/>
    <s v="KG"/>
    <s v=""/>
    <s v="1519"/>
    <s v="REL  CNF  DLV  PRC  BASC BCRQ GMPS ILAS*"/>
    <x v="8"/>
    <n v="19"/>
    <e v="#REF!"/>
    <e v="#REF!"/>
    <e v="#REF!"/>
  </r>
  <r>
    <n v="10000000430"/>
    <s v="DRON468+HZNN132 WG HEXARON 5KG BR 5KG BR"/>
    <s v="0000042550"/>
    <d v="2025-11-01T00:00:00"/>
    <s v="1326675"/>
    <s v=""/>
    <n v="2880"/>
    <n v="2880"/>
    <d v="2025-11-01T00:00:00"/>
    <x v="1"/>
    <n v="0"/>
    <s v="1001"/>
    <s v="KG"/>
    <s v=""/>
    <s v="1519"/>
    <s v="REL  CNF  DLV  PRC  BASC BCRQ GMPS ILAS*"/>
    <x v="8"/>
    <n v="19"/>
    <e v="#REF!"/>
    <e v="#REF!"/>
    <e v="#REF!"/>
  </r>
  <r>
    <n v="10000000430"/>
    <s v="DRON468+HZNN132 WG HEXARON 5KG BR 5KG BR"/>
    <s v="0000042552"/>
    <d v="2025-11-01T00:00:00"/>
    <s v="1326677"/>
    <s v=""/>
    <n v="2880"/>
    <n v="2880"/>
    <d v="2025-11-01T00:00:00"/>
    <x v="1"/>
    <n v="0"/>
    <s v="1001"/>
    <s v="KG"/>
    <s v=""/>
    <s v="1519"/>
    <s v="REL  CNF  DLV  PRC  BASC BCRQ GMPS ILAS*"/>
    <x v="8"/>
    <n v="19"/>
    <e v="#REF!"/>
    <e v="#REF!"/>
    <e v="#REF!"/>
  </r>
  <r>
    <n v="10000000430"/>
    <s v="DRON468+HZNN132 WG HEXARON 5KG BR 5KG BR"/>
    <s v="0000042553"/>
    <d v="2025-11-01T00:00:00"/>
    <s v="1326678"/>
    <s v=""/>
    <n v="2880"/>
    <n v="2880"/>
    <d v="2025-11-01T00:00:00"/>
    <x v="1"/>
    <n v="0"/>
    <s v="1001"/>
    <s v="KG"/>
    <s v=""/>
    <s v="1519"/>
    <s v="REL  CNF  DLV  PRC  BASC BCRQ GMPS ILAS*"/>
    <x v="8"/>
    <n v="19"/>
    <e v="#REF!"/>
    <e v="#REF!"/>
    <e v="#REF!"/>
  </r>
  <r>
    <n v="10000000430"/>
    <s v="DRON468+HZNN132 WG HEXARON 5KG BR 5KG BR"/>
    <s v="0000042554"/>
    <d v="2025-11-01T00:00:00"/>
    <s v="1326679"/>
    <s v=""/>
    <n v="2880"/>
    <n v="2880"/>
    <d v="2025-11-01T00:00:00"/>
    <x v="1"/>
    <n v="0"/>
    <s v="1001"/>
    <s v="KG"/>
    <s v=""/>
    <s v="1519"/>
    <s v="REL  CNF  DLV  PRC  BASC BCRQ GMPS ILAS*"/>
    <x v="8"/>
    <n v="19"/>
    <e v="#REF!"/>
    <e v="#REF!"/>
    <e v="#REF!"/>
  </r>
  <r>
    <n v="10000000430"/>
    <s v="DRON468+HZNN132 WG HEXARON 5KG BR 5KG BR"/>
    <s v="0000042555"/>
    <d v="2025-11-01T00:00:00"/>
    <s v="1326680"/>
    <s v=""/>
    <n v="2880"/>
    <n v="480"/>
    <d v="2025-11-01T00:00:00"/>
    <x v="1"/>
    <n v="0"/>
    <s v="1001"/>
    <s v="KG"/>
    <s v=""/>
    <s v="1519"/>
    <s v="REL  CNF  PRC  BASC BCRQ GMPS ILAS MANC*"/>
    <x v="8"/>
    <n v="19"/>
    <e v="#REF!"/>
    <e v="#REF!"/>
    <e v="#REF!"/>
  </r>
  <r>
    <n v="30000000077"/>
    <s v="DRON970 TC DIUREX TECH MILLED 600 KG"/>
    <s v="0000053649"/>
    <d v="2025-11-01T00:00:00"/>
    <s v="1326953"/>
    <s v=""/>
    <n v="3600"/>
    <n v="3600"/>
    <d v="2025-10-30T00:00:00"/>
    <x v="1"/>
    <n v="0"/>
    <s v="1001"/>
    <s v="KG"/>
    <s v=""/>
    <s v="1540"/>
    <s v="REL  PCNF DLV  PRC  BASC BCRQ GMPS MACM*"/>
    <x v="18"/>
    <e v="#N/A"/>
    <e v="#REF!"/>
    <e v="#REF!"/>
    <e v="#REF!"/>
  </r>
  <r>
    <n v="30000000077"/>
    <s v="DRON970 TC DIUREX TECH MILLED 600 KG"/>
    <s v="0000053650"/>
    <d v="2025-11-01T00:00:00"/>
    <s v="1326954"/>
    <s v=""/>
    <n v="3600"/>
    <n v="3600"/>
    <d v="2025-10-30T00:00:00"/>
    <x v="1"/>
    <n v="0"/>
    <s v="1001"/>
    <s v="KG"/>
    <s v=""/>
    <s v="1540"/>
    <s v="REL  PCNF DLV  PRC  BASC BCRQ GMPS MACM*"/>
    <x v="18"/>
    <e v="#N/A"/>
    <e v="#REF!"/>
    <e v="#REF!"/>
    <e v="#REF!"/>
  </r>
  <r>
    <n v="30000000077"/>
    <s v="DRON970 TC DIUREX TECH MILLED 600 KG"/>
    <s v="0000053651"/>
    <d v="2025-11-01T00:00:00"/>
    <s v="1326955"/>
    <s v=""/>
    <n v="3600"/>
    <n v="3600"/>
    <d v="2025-10-30T00:00:00"/>
    <x v="1"/>
    <n v="0"/>
    <s v="1001"/>
    <s v="KG"/>
    <s v=""/>
    <s v="1540"/>
    <s v="REL  DLV  PRC  BASC BCRQ GMPS MACM ORRQ*"/>
    <x v="18"/>
    <e v="#N/A"/>
    <e v="#REF!"/>
    <e v="#REF!"/>
    <e v="#REF!"/>
  </r>
  <r>
    <n v="30000000077"/>
    <s v="DRON970 TC DIUREX TECH MILLED 600 KG"/>
    <s v="0000053652"/>
    <d v="2025-11-01T00:00:00"/>
    <s v="1326956"/>
    <s v=""/>
    <n v="3600"/>
    <n v="3600"/>
    <d v="2025-10-30T00:00:00"/>
    <x v="1"/>
    <n v="0"/>
    <s v="1001"/>
    <s v="KG"/>
    <s v=""/>
    <s v="1540"/>
    <s v="REL  DLV  PRC  BASC BCRQ GMPS MANC ORRQ*"/>
    <x v="18"/>
    <e v="#N/A"/>
    <e v="#REF!"/>
    <e v="#REF!"/>
    <e v="#REF!"/>
  </r>
  <r>
    <n v="30000000077"/>
    <s v="DRON970 TC DIUREX TECH MILLED 600 KG"/>
    <s v="0000053653"/>
    <d v="2025-11-01T00:00:00"/>
    <s v="1326957"/>
    <s v=""/>
    <n v="3600"/>
    <n v="3600"/>
    <d v="2025-11-01T00:00:00"/>
    <x v="1"/>
    <n v="0"/>
    <s v="1001"/>
    <s v="KG"/>
    <s v=""/>
    <s v="1540"/>
    <s v="REL  PCNF DLV  PRC  BASC BCRQ GMPS MACM*"/>
    <x v="18"/>
    <e v="#N/A"/>
    <e v="#REF!"/>
    <e v="#REF!"/>
    <e v="#REF!"/>
  </r>
  <r>
    <n v="30000000077"/>
    <s v="DRON970 TC DIUREX TECH MILLED 600 KG"/>
    <s v="0000053654"/>
    <d v="2025-11-01T00:00:00"/>
    <s v="1326959"/>
    <s v=""/>
    <n v="3600"/>
    <n v="3600"/>
    <d v="2025-11-01T00:00:00"/>
    <x v="1"/>
    <n v="0"/>
    <s v="1001"/>
    <s v="KG"/>
    <s v=""/>
    <s v="1540"/>
    <s v="REL  PCNF DLV  PRC  BASC BCRQ GMPS MACM*"/>
    <x v="18"/>
    <e v="#N/A"/>
    <e v="#REF!"/>
    <e v="#REF!"/>
    <e v="#REF!"/>
  </r>
  <r>
    <n v="30000000077"/>
    <s v="DRON970 TC DIUREX TECH MILLED 600 KG"/>
    <s v="0000053655"/>
    <d v="2025-11-01T00:00:00"/>
    <s v="1326980"/>
    <s v=""/>
    <n v="3600"/>
    <n v="3600"/>
    <d v="2025-11-01T00:00:00"/>
    <x v="1"/>
    <n v="0"/>
    <s v="1001"/>
    <s v="KG"/>
    <s v=""/>
    <s v="1540"/>
    <s v="REL  PCNF DLV  PRC  BASC BCRQ GMPS MACM*"/>
    <x v="18"/>
    <e v="#N/A"/>
    <e v="#REF!"/>
    <e v="#REF!"/>
    <e v="#REF!"/>
  </r>
  <r>
    <n v="30000000077"/>
    <s v="DRON970 TC DIUREX TECH MILLED 600 KG"/>
    <s v="0000053656"/>
    <d v="2025-11-01T00:00:00"/>
    <s v="1326981"/>
    <s v=""/>
    <n v="3600"/>
    <n v="3600"/>
    <d v="2025-11-01T00:00:00"/>
    <x v="1"/>
    <n v="0"/>
    <s v="1001"/>
    <s v="KG"/>
    <s v=""/>
    <s v="1540"/>
    <s v="REL  PCNF DLV  PRC  BASC BCRQ GMPS MACM*"/>
    <x v="18"/>
    <e v="#N/A"/>
    <e v="#REF!"/>
    <e v="#REF!"/>
    <e v="#REF!"/>
  </r>
  <r>
    <n v="30000000077"/>
    <s v="DRON970 TC DIUREX TECH MILLED 600 KG"/>
    <s v="0000053657"/>
    <d v="2025-11-01T00:00:00"/>
    <s v="1326982"/>
    <s v=""/>
    <n v="3600"/>
    <n v="3600"/>
    <d v="2025-11-01T00:00:00"/>
    <x v="1"/>
    <n v="0"/>
    <s v="1001"/>
    <s v="KG"/>
    <s v=""/>
    <s v="1540"/>
    <s v="REL  PCNF DLV  PRC  BASC BCRQ GMPS MACM*"/>
    <x v="18"/>
    <e v="#N/A"/>
    <e v="#REF!"/>
    <e v="#REF!"/>
    <e v="#REF!"/>
  </r>
  <r>
    <n v="30000000077"/>
    <s v="DRON970 TC DIUREX TECH MILLED 600 KG"/>
    <s v="0000053658"/>
    <d v="2025-11-01T00:00:00"/>
    <s v="1326984"/>
    <s v=""/>
    <n v="3600"/>
    <n v="3600"/>
    <d v="2025-11-01T00:00:00"/>
    <x v="1"/>
    <n v="0"/>
    <s v="1001"/>
    <s v="KG"/>
    <s v=""/>
    <s v="1540"/>
    <s v="REL  PCNF DLV  PRC  BASC BCRQ GMPS MACM*"/>
    <x v="18"/>
    <e v="#N/A"/>
    <e v="#REF!"/>
    <e v="#REF!"/>
    <e v="#REF!"/>
  </r>
  <r>
    <n v="30000000084"/>
    <s v="DRON510BRMC490 WP KROVAR TECH 500 KG"/>
    <s v="0000008194"/>
    <d v="2025-11-01T00:00:00"/>
    <s v="1327151"/>
    <s v=""/>
    <n v="2000"/>
    <n v="1500"/>
    <d v="2025-10-30T00:00:00"/>
    <x v="1"/>
    <n v="0"/>
    <s v="1001"/>
    <s v="KG"/>
    <s v=""/>
    <s v="1540"/>
    <s v="REL  PRC  BASC BCRQ GMPS MANC ORRQ PDLV*"/>
    <x v="14"/>
    <e v="#N/A"/>
    <e v="#REF!"/>
    <e v="#REF!"/>
    <e v="#REF!"/>
  </r>
  <r>
    <n v="10000010430"/>
    <s v="ATRL1000 ATRALONE 50KG GENERAL NEW"/>
    <s v="0000284775"/>
    <d v="2025-11-01T00:00:00"/>
    <s v="1327210"/>
    <s v=""/>
    <n v="1800"/>
    <n v="1600"/>
    <d v="2025-10-27T00:00:00"/>
    <x v="1"/>
    <n v="0"/>
    <s v="1001"/>
    <s v="KG"/>
    <s v=""/>
    <s v="1541"/>
    <s v="REL  CNF  PRC  BASC BCRQ GMPS ILAS MACM*"/>
    <x v="9"/>
    <e v="#N/A"/>
    <e v="#REF!"/>
    <e v="#REF!"/>
    <e v="#REF!"/>
  </r>
  <r>
    <n v="10000009747"/>
    <s v="BR20FR80+MCPA20EC FORCFIGHT ALL1000LT CA"/>
    <s v="0000000189"/>
    <d v="2025-10-31T00:00:00"/>
    <s v="1325046"/>
    <s v=""/>
    <n v="9000"/>
    <n v="9000"/>
    <d v="2025-10-31T00:00:00"/>
    <x v="1"/>
    <n v="9000"/>
    <s v="1001"/>
    <s v="L"/>
    <s v=""/>
    <s v="1523"/>
    <s v="REL  CNF  DLV  PRC  BASC BCRQ GMPS MANC*"/>
    <x v="4"/>
    <n v="23"/>
    <e v="#REF!"/>
    <e v="#REF!"/>
    <e v="#REF!"/>
  </r>
  <r>
    <n v="20000000625"/>
    <s v="PPQZ100 EC PROPQUIZFOP 100 SSS 1000 L"/>
    <s v="0000003388"/>
    <d v="2025-10-31T00:00:00"/>
    <s v="1328900"/>
    <s v=""/>
    <n v="23000"/>
    <n v="22650"/>
    <d v="2025-10-31T00:00:00"/>
    <x v="1"/>
    <n v="0"/>
    <s v="1001"/>
    <s v="L"/>
    <s v=""/>
    <s v="1525"/>
    <s v="REL  CNF  PRC  BASC BCRQ GMPS MANC ORRQ*"/>
    <x v="10"/>
    <e v="#N/A"/>
    <e v="#REF!"/>
    <e v="#REF!"/>
    <e v="#REF!"/>
  </r>
  <r>
    <n v="30000000076"/>
    <s v="DRON970 TC DIUREX TECH MILLED 550 KG"/>
    <s v="0000151696"/>
    <d v="2025-10-28T00:00:00"/>
    <s v="1326754"/>
    <s v=""/>
    <n v="3300"/>
    <n v="3300"/>
    <d v="2025-10-31T00:00:00"/>
    <x v="1"/>
    <n v="0"/>
    <s v="1001"/>
    <s v="KG"/>
    <s v=""/>
    <s v="1540"/>
    <s v="REL  PCNF DLV  PRC  BASC BCRQ GMPS MACM*"/>
    <x v="18"/>
    <e v="#N/A"/>
    <e v="#REF!"/>
    <e v="#REF!"/>
    <e v="#REF!"/>
  </r>
  <r>
    <n v="30000000076"/>
    <s v="DRON970 TC DIUREX TECH MILLED 550 KG"/>
    <s v="0000151697"/>
    <d v="2025-10-28T00:00:00"/>
    <s v="1326755"/>
    <s v=""/>
    <n v="3300"/>
    <n v="3300"/>
    <d v="2025-10-31T00:00:00"/>
    <x v="1"/>
    <n v="0"/>
    <s v="1001"/>
    <s v="KG"/>
    <s v=""/>
    <s v="1540"/>
    <s v="REL  PCNF DLV  PRC  BASC BCRQ GMPS MACM*"/>
    <x v="18"/>
    <e v="#N/A"/>
    <e v="#REF!"/>
    <e v="#REF!"/>
    <e v="#REF!"/>
  </r>
  <r>
    <n v="30000000076"/>
    <s v="DRON970 TC DIUREX TECH MILLED 550 KG"/>
    <s v="0000151698"/>
    <d v="2025-10-28T00:00:00"/>
    <s v="1326756"/>
    <s v=""/>
    <n v="3300"/>
    <n v="3300"/>
    <d v="2025-10-31T00:00:00"/>
    <x v="1"/>
    <n v="0"/>
    <s v="1001"/>
    <s v="KG"/>
    <s v=""/>
    <s v="1540"/>
    <s v="REL  DLV  PRC  BASC BCRQ GMPS MACM ORRQ*"/>
    <x v="18"/>
    <e v="#N/A"/>
    <e v="#REF!"/>
    <e v="#REF!"/>
    <e v="#REF!"/>
  </r>
  <r>
    <n v="30000000076"/>
    <s v="DRON970 TC DIUREX TECH MILLED 550 KG"/>
    <s v="0000151699"/>
    <d v="2025-10-28T00:00:00"/>
    <s v="1326757"/>
    <s v=""/>
    <n v="3300"/>
    <n v="3300"/>
    <d v="2025-11-01T00:00:00"/>
    <x v="1"/>
    <n v="0"/>
    <s v="1001"/>
    <s v="KG"/>
    <s v=""/>
    <s v="1540"/>
    <s v="REL  PCNF DLV  PRC  BASC BCRQ GMPS MACM*"/>
    <x v="18"/>
    <e v="#N/A"/>
    <e v="#REF!"/>
    <e v="#REF!"/>
    <e v="#REF!"/>
  </r>
  <r>
    <n v="30000000076"/>
    <s v="DRON970 TC DIUREX TECH MILLED 550 KG"/>
    <s v="0000151700"/>
    <d v="2025-10-28T00:00:00"/>
    <s v="1326758"/>
    <s v=""/>
    <n v="3300"/>
    <n v="3300"/>
    <d v="2025-11-01T00:00:00"/>
    <x v="1"/>
    <n v="0"/>
    <s v="1001"/>
    <s v="KG"/>
    <s v=""/>
    <s v="1540"/>
    <s v="REL  PCNF DLV  PRC  BASC BCRQ GMPS MACM*"/>
    <x v="18"/>
    <e v="#N/A"/>
    <e v="#REF!"/>
    <e v="#REF!"/>
    <e v="#REF!"/>
  </r>
  <r>
    <n v="30000000076"/>
    <s v="DRON970 TC DIUREX TECH MILLED 550 KG"/>
    <s v="0000151701"/>
    <d v="2025-10-28T00:00:00"/>
    <s v="1326759"/>
    <s v=""/>
    <n v="3300"/>
    <n v="3300"/>
    <d v="2025-11-02T00:00:00"/>
    <x v="1"/>
    <n v="0"/>
    <s v="1001"/>
    <s v="KG"/>
    <s v=""/>
    <s v="1540"/>
    <s v="REL  PCNF DLV  PRC  BASC BCRQ GMPS MACM*"/>
    <x v="18"/>
    <e v="#N/A"/>
    <e v="#REF!"/>
    <e v="#REF!"/>
    <e v="#REF!"/>
  </r>
  <r>
    <n v="10000008223"/>
    <s v="ETFM150+MTMN350 SC TORERO FLO 5LT FR"/>
    <s v="0000244486"/>
    <d v="2025-10-28T00:00:00"/>
    <s v="1327096"/>
    <s v="211015465"/>
    <n v="12000"/>
    <n v="12000"/>
    <d v="2025-10-27T00:00:00"/>
    <x v="1"/>
    <n v="12000"/>
    <s v="1001"/>
    <s v="L"/>
    <s v=""/>
    <s v="1543"/>
    <s v="REL  PRT  CNF  DLV  PRC  BASC BCRQ GMPS*"/>
    <x v="12"/>
    <n v="5"/>
    <e v="#REF!"/>
    <e v="#REF!"/>
    <e v="#REF!"/>
  </r>
  <r>
    <n v="10000001556"/>
    <s v="Sunny- Australia 5LT IL"/>
    <s v="0000011202"/>
    <d v="2025-10-27T00:00:00"/>
    <s v="1327166"/>
    <s v=""/>
    <n v="5000"/>
    <n v="5000"/>
    <d v="2025-10-27T00:00:00"/>
    <x v="1"/>
    <n v="0"/>
    <s v="1001"/>
    <s v="L"/>
    <s v=""/>
    <s v="1542"/>
    <s v="REL  DLV  PRC  BASC BCRQ GMPS MANC ORRQ*"/>
    <x v="12"/>
    <e v="#N/A"/>
    <e v="#REF!"/>
    <e v="#REF!"/>
    <e v="#REF!"/>
  </r>
  <r>
    <n v="10000001556"/>
    <s v="Sunny- Australia 5LT IL"/>
    <s v="0000011203"/>
    <d v="2025-10-27T00:00:00"/>
    <s v="1327167"/>
    <s v=""/>
    <n v="40"/>
    <n v="40"/>
    <d v="2025-10-27T00:00:00"/>
    <x v="1"/>
    <n v="0"/>
    <s v="1001"/>
    <s v="L"/>
    <s v=""/>
    <s v="1542"/>
    <s v="REL  DLV  PRC  BASC BCRQ GMPS MANC ORRQ*"/>
    <x v="12"/>
    <e v="#N/A"/>
    <e v="#REF!"/>
    <e v="#REF!"/>
    <e v="#REF!"/>
  </r>
  <r>
    <n v="50000000090"/>
    <s v="ETHOXY (GALIGAN) ISO"/>
    <s v="0000006070"/>
    <d v="2025-10-26T00:00:00"/>
    <s v="1324030"/>
    <s v=""/>
    <n v="1720"/>
    <n v="1748"/>
    <d v="2025-10-15T00:00:00"/>
    <x v="1"/>
    <n v="0"/>
    <s v="1001"/>
    <s v="KG"/>
    <s v=""/>
    <s v="1125"/>
    <s v="REL  CNF  DLV  PRC  BASC BCRQ GMPS ILAS*"/>
    <x v="11"/>
    <e v="#N/A"/>
    <e v="#REF!"/>
    <e v="#REF!"/>
    <e v="#REF!"/>
  </r>
  <r>
    <n v="50000000049"/>
    <s v="DELTA MTL KTN CR RUS 1.00 KG"/>
    <s v="0000007626"/>
    <d v="2025-10-24T00:00:00"/>
    <s v="1325349"/>
    <s v=""/>
    <n v="2000"/>
    <n v="2455"/>
    <d v="2025-10-23T00:00:00"/>
    <x v="1"/>
    <n v="0"/>
    <s v="1001"/>
    <s v="KG"/>
    <s v=""/>
    <s v="1141"/>
    <s v="REL  CNF  DLV  PRC  BASC BCRQ GMPS ILAS*"/>
    <x v="0"/>
    <e v="#N/A"/>
    <e v="#REF!"/>
    <e v="#REF!"/>
    <e v="#REF!"/>
  </r>
  <r>
    <n v="50000000049"/>
    <s v="DELTA MTL KTN CR RUS 1.00 KG"/>
    <s v="0000007627"/>
    <d v="2025-10-24T00:00:00"/>
    <s v="1325350"/>
    <s v=""/>
    <n v="2000"/>
    <n v="3000"/>
    <d v="2025-10-23T00:00:00"/>
    <x v="1"/>
    <n v="0"/>
    <s v="1001"/>
    <s v="KG"/>
    <s v=""/>
    <s v="1141"/>
    <s v="REL  CNF  DLV  PRC  BASC BCRQ GMPS ILAS*"/>
    <x v="0"/>
    <e v="#N/A"/>
    <e v="#REF!"/>
    <e v="#REF!"/>
    <e v="#REF!"/>
  </r>
  <r>
    <n v="50000000108"/>
    <s v="PROPAQUIZAFOP PRMX25 1000 KG"/>
    <s v="0000003499"/>
    <d v="2025-10-23T00:00:00"/>
    <s v="1325711"/>
    <s v=""/>
    <n v="7800"/>
    <n v="7616"/>
    <d v="2025-10-28T00:00:00"/>
    <x v="1"/>
    <n v="0"/>
    <s v="1001"/>
    <s v="KG"/>
    <s v=""/>
    <s v="1125"/>
    <s v="REL  CNF  PRC  BASC BCRQ GMPS ILAS MANC*"/>
    <x v="19"/>
    <e v="#N/A"/>
    <e v="#REF!"/>
    <e v="#REF!"/>
    <e v="#REF!"/>
  </r>
  <r>
    <n v="50000000108"/>
    <s v="PROPAQUIZAFOP PRMX25 1000 KG"/>
    <s v="0000003501"/>
    <d v="2025-10-23T00:00:00"/>
    <s v="1325713"/>
    <s v=""/>
    <n v="7800"/>
    <n v="7754"/>
    <d v="2025-10-28T00:00:00"/>
    <x v="1"/>
    <n v="0"/>
    <s v="1001"/>
    <s v="KG"/>
    <s v=""/>
    <s v="1125"/>
    <s v="REL  CNF  PRC  BASC BCRQ GMPS ILAS MANC*"/>
    <x v="19"/>
    <e v="#N/A"/>
    <e v="#REF!"/>
    <e v="#REF!"/>
    <e v="#REF!"/>
  </r>
  <r>
    <n v="50000000108"/>
    <s v="PROPAQUIZAFOP PRMX25 1000 KG"/>
    <s v="0000003502"/>
    <d v="2025-10-23T00:00:00"/>
    <s v="1325714"/>
    <s v=""/>
    <n v="7800"/>
    <n v="7770"/>
    <d v="2025-10-28T00:00:00"/>
    <x v="1"/>
    <n v="0"/>
    <s v="1001"/>
    <s v="KG"/>
    <s v=""/>
    <s v="1125"/>
    <s v="REL  CNF  PRC  BASC BCRQ GMPS ILAS MANC*"/>
    <x v="19"/>
    <e v="#N/A"/>
    <e v="#REF!"/>
    <e v="#REF!"/>
    <e v="#REF!"/>
  </r>
  <r>
    <n v="50000000108"/>
    <s v="PROPAQUIZAFOP PRMX25 1000 KG"/>
    <s v="0000003503"/>
    <d v="2025-10-20T00:00:00"/>
    <s v="1325715"/>
    <s v=""/>
    <n v="7800"/>
    <n v="7756"/>
    <d v="2025-10-28T00:00:00"/>
    <x v="1"/>
    <n v="0"/>
    <s v="1001"/>
    <s v="KG"/>
    <s v=""/>
    <s v="1125"/>
    <s v="REL  CNF  PRC  BASC BCRQ GMPS ILAS MANC*"/>
    <x v="19"/>
    <e v="#N/A"/>
    <e v="#REF!"/>
    <e v="#REF!"/>
    <e v="#REF!"/>
  </r>
  <r>
    <n v="50000000108"/>
    <s v="PROPAQUIZAFOP PRMX25 1000 KG"/>
    <s v="0000003504"/>
    <d v="2025-10-20T00:00:00"/>
    <s v="1325716"/>
    <s v=""/>
    <n v="8000"/>
    <n v="7000"/>
    <d v="2025-10-28T00:00:00"/>
    <x v="1"/>
    <n v="0"/>
    <s v="1001"/>
    <s v="KG"/>
    <s v=""/>
    <s v="1525"/>
    <s v="REL  CNF  PRC  BASC BCRQ GMPS ILAS MANC*"/>
    <x v="19"/>
    <e v="#N/A"/>
    <e v="#REF!"/>
    <e v="#REF!"/>
    <e v="#REF!"/>
  </r>
  <r>
    <n v="50000000075"/>
    <s v="NAA CRUDE ISO"/>
    <s v="0000280115"/>
    <d v="2025-10-19T00:00:00"/>
    <s v="1325369"/>
    <s v=""/>
    <n v="4000"/>
    <n v="5067"/>
    <d v="2025-10-30T00:00:00"/>
    <x v="1"/>
    <n v="0"/>
    <s v="1001"/>
    <s v="KG"/>
    <s v=""/>
    <s v="1141"/>
    <s v="REL  CNF  DLV  PRC  BASC BCRQ GMPS ILAS*"/>
    <x v="11"/>
    <e v="#N/A"/>
    <e v="#REF!"/>
    <e v="#REF!"/>
    <e v="#REF!"/>
  </r>
  <r>
    <n v="20000004926"/>
    <s v="FCDN250 EC FLUROCHLORIDON 25EC 190L(new)"/>
    <s v="0000331573"/>
    <d v="2025-10-15T00:00:00"/>
    <s v="1324736"/>
    <s v=""/>
    <n v="7200"/>
    <n v="6080"/>
    <d v="2025-11-01T00:00:00"/>
    <x v="1"/>
    <n v="6080"/>
    <s v="1001"/>
    <s v="L"/>
    <s v=""/>
    <s v="1523"/>
    <s v="TECO CNF  PRC  BASC BCRQ GMPS MACM ORRQ*"/>
    <x v="4"/>
    <n v="23"/>
    <e v="#REF!"/>
    <e v="#REF!"/>
    <e v="#REF!"/>
  </r>
  <r>
    <n v="50000000062"/>
    <s v="DIUREX SLURRY  KG"/>
    <s v="0000051605"/>
    <d v="2025-10-07T00:00:00"/>
    <s v="1317564"/>
    <s v=""/>
    <n v="33000"/>
    <n v="32425"/>
    <d v="2025-10-17T00:00:00"/>
    <x v="1"/>
    <n v="0"/>
    <s v="1001"/>
    <s v="KG"/>
    <s v=""/>
    <s v="1140"/>
    <s v="REL  CNF  PRC  BASC BCRQ GMPS ILAS MACM*"/>
    <x v="20"/>
    <e v="#N/A"/>
    <e v="#REF!"/>
    <e v="#REF!"/>
    <e v="#REF!"/>
  </r>
  <r>
    <n v="50000000062"/>
    <s v="DIUREX SLURRY  KG"/>
    <s v="0000051606"/>
    <d v="2025-10-07T00:00:00"/>
    <s v="1317565"/>
    <s v=""/>
    <n v="33000"/>
    <n v="32511"/>
    <d v="2025-10-17T00:00:00"/>
    <x v="1"/>
    <n v="0"/>
    <s v="1001"/>
    <s v="KG"/>
    <s v=""/>
    <s v="1140"/>
    <s v="REL  CNF  PRC  BASC BCRQ GMPS ILAS MACM*"/>
    <x v="20"/>
    <e v="#N/A"/>
    <e v="#REF!"/>
    <e v="#REF!"/>
    <e v="#REF!"/>
  </r>
  <r>
    <n v="20000006540"/>
    <s v="MTMN350QNMC60 SC MTM 350+QUIN 60 1000L"/>
    <s v="0000000121"/>
    <d v="2025-10-01T00:00:00"/>
    <s v="1327226"/>
    <s v=""/>
    <n v="7000"/>
    <n v="7000"/>
    <d v="2025-11-01T00:00:00"/>
    <x v="1"/>
    <n v="7000"/>
    <s v="1001"/>
    <s v="L"/>
    <s v=""/>
    <s v="1528"/>
    <s v="TECO CNF  DLV  PRC  BASC BCRQ GMPS MACM*"/>
    <x v="5"/>
    <e v="#N/A"/>
    <e v="#REF!"/>
    <e v="#REF!"/>
    <e v="#REF!"/>
  </r>
  <r>
    <n v="20000006540"/>
    <s v="MTMN350QNMC60 SC MTM 350+QUIN 60 1000L"/>
    <s v="0000000122"/>
    <d v="2025-10-01T00:00:00"/>
    <s v="1327227"/>
    <s v=""/>
    <n v="7000"/>
    <n v="7000"/>
    <d v="2025-11-01T00:00:00"/>
    <x v="1"/>
    <n v="7000"/>
    <s v="1001"/>
    <s v="L"/>
    <s v=""/>
    <s v="1528"/>
    <s v="REL  CNF  DLV  PRC  BASC BCRQ GMPS MACM*"/>
    <x v="5"/>
    <e v="#N/A"/>
    <e v="#REF!"/>
    <e v="#REF!"/>
    <e v="#REF!"/>
  </r>
  <r>
    <n v="50000000113"/>
    <s v="PYRAZOLE SOL 1.00 KG"/>
    <s v="0000286375"/>
    <d v="2025-09-19T00:00:00"/>
    <s v="1317100"/>
    <s v=""/>
    <n v="12000"/>
    <n v="26510"/>
    <d v="2025-10-21T00:00:00"/>
    <x v="1"/>
    <n v="10"/>
    <s v="1001"/>
    <s v="KG"/>
    <s v=""/>
    <s v="1141"/>
    <s v="REL  CNF  DLV  PRC  BASC BCRQ GMPS ILAS*"/>
    <x v="0"/>
    <e v="#N/A"/>
    <e v="#REF!"/>
    <e v="#REF!"/>
    <e v="#REF!"/>
  </r>
  <r>
    <n v="30000000097"/>
    <s v="MTZC735 TC METAZACHLR T WT CRUD 600 KG"/>
    <s v="0000009010"/>
    <d v="2025-09-01T00:00:00"/>
    <s v="1317086"/>
    <s v=""/>
    <n v="2800"/>
    <n v="2555"/>
    <d v="2025-10-23T00:00:00"/>
    <x v="1"/>
    <n v="0"/>
    <s v="1001"/>
    <s v="KG"/>
    <s v=""/>
    <s v="1541"/>
    <s v="REL  CNF  PRC  BASC BCRQ GMPS ILAS MACM*"/>
    <x v="13"/>
    <e v="#N/A"/>
    <e v="#REF!"/>
    <e v="#REF!"/>
    <e v="#REF!"/>
  </r>
  <r>
    <n v="50000000077"/>
    <s v="NAA DIST ISO"/>
    <s v="0000021330"/>
    <d v="2025-11-10T00:00:00"/>
    <s v="1325378"/>
    <s v=""/>
    <n v="6000"/>
    <n v="8641"/>
    <d v="2025-10-27T00:00:00"/>
    <x v="2"/>
    <n v="0"/>
    <s v="1001"/>
    <s v="KG"/>
    <s v=""/>
    <s v="1141"/>
    <s v="REL  CNF  DLV  PRC  BASC BCRQ GMPS ILAS*"/>
    <x v="0"/>
    <e v="#N/A"/>
    <e v="#REF!"/>
    <e v="#REF!"/>
    <e v="#REF!"/>
  </r>
  <r>
    <n v="30000000084"/>
    <s v="DRON510BRMC490 WP KROVAR TECH 500 KG"/>
    <s v="0000008197"/>
    <d v="2025-11-07T00:00:00"/>
    <s v="1327154"/>
    <s v=""/>
    <n v="2000"/>
    <n v="2000"/>
    <d v="2025-11-03T00:00:00"/>
    <x v="2"/>
    <n v="0"/>
    <s v="1001"/>
    <s v="KG"/>
    <s v=""/>
    <s v="1540"/>
    <s v="REL  DLV  PRC  BASC BCRQ GMPS MACM ORRQ*"/>
    <x v="14"/>
    <e v="#N/A"/>
    <e v="#REF!"/>
    <e v="#REF!"/>
    <e v="#REF!"/>
  </r>
  <r>
    <n v="20000000722"/>
    <s v="PNDM400 CS PENDIMETHALINE 400CS 200 L"/>
    <s v="0000069438"/>
    <d v="2025-11-07T00:00:00"/>
    <s v="1327256"/>
    <s v=""/>
    <n v="3600"/>
    <n v="4200"/>
    <d v="2025-10-30T00:00:00"/>
    <x v="2"/>
    <n v="4200"/>
    <s v="1001"/>
    <s v="L"/>
    <s v=""/>
    <s v="1525"/>
    <s v="REL  CNF  DLV  PRC  BASC BCRQ GMPS MACM*"/>
    <x v="2"/>
    <e v="#N/A"/>
    <e v="#REF!"/>
    <e v="#REF!"/>
    <e v="#REF!"/>
  </r>
  <r>
    <n v="20000000722"/>
    <s v="PNDM400 CS PENDIMETHALINE 400CS 200 L"/>
    <s v="0000069439"/>
    <d v="2025-11-07T00:00:00"/>
    <s v="1327257"/>
    <s v=""/>
    <n v="3600"/>
    <n v="4000"/>
    <d v="2025-10-30T00:00:00"/>
    <x v="2"/>
    <n v="4000"/>
    <s v="1001"/>
    <s v="L"/>
    <s v=""/>
    <s v="1525"/>
    <s v="REL  CNF  DLV  PRC  BASC BCRQ GMPS MACM*"/>
    <x v="2"/>
    <e v="#N/A"/>
    <e v="#REF!"/>
    <e v="#REF!"/>
    <e v="#REF!"/>
  </r>
  <r>
    <n v="50000000053"/>
    <s v="DELTA DAMASCONE CRUD 1.00 KG"/>
    <s v="0000012772"/>
    <d v="2025-11-05T00:00:00"/>
    <s v="1327411"/>
    <s v=""/>
    <n v="6000"/>
    <n v="6842"/>
    <d v="2025-10-30T00:00:00"/>
    <x v="2"/>
    <n v="0"/>
    <s v="1001"/>
    <s v="KG"/>
    <s v=""/>
    <s v="1141"/>
    <s v="REL  CNF  DLV  PRC  BASC BCRQ GMPS ILAS*"/>
    <x v="0"/>
    <e v="#N/A"/>
    <e v="#REF!"/>
    <e v="#REF!"/>
    <e v="#REF!"/>
  </r>
  <r>
    <n v="10000010720"/>
    <s v="24DA306.1+FLSL6SE PLAUSER SARABIA 5LT ES"/>
    <s v="0000243512"/>
    <d v="2025-11-05T00:00:00"/>
    <s v="1329121"/>
    <s v="211014821"/>
    <n v="6000"/>
    <n v="6000"/>
    <d v="2025-11-02T00:00:00"/>
    <x v="2"/>
    <n v="0"/>
    <s v="1001"/>
    <s v="L"/>
    <s v=""/>
    <s v="1542"/>
    <s v="REL  DLV  PRC  BASC BCRQ GMPS MANC ORRQ*"/>
    <x v="12"/>
    <s v="24P"/>
    <e v="#REF!"/>
    <e v="#REF!"/>
    <e v="#REF!"/>
  </r>
  <r>
    <n v="50000000072"/>
    <s v="KROVAR SLURRY .00 KG"/>
    <s v="0000008958"/>
    <d v="2025-11-04T00:00:00"/>
    <s v="1326663"/>
    <s v=""/>
    <n v="2100"/>
    <n v="2100"/>
    <d v="2025-10-26T00:00:00"/>
    <x v="2"/>
    <n v="2100"/>
    <s v="1001"/>
    <s v="KG"/>
    <s v=""/>
    <s v="1140"/>
    <s v="REL  CNF  DLV  PRC  BASC BCRQ GMPS ILAS*"/>
    <x v="15"/>
    <e v="#N/A"/>
    <e v="#REF!"/>
    <e v="#REF!"/>
    <e v="#REF!"/>
  </r>
  <r>
    <n v="10000000430"/>
    <s v="DRON468+HZNN132 WG HEXARON 5KG BR 5KG BR"/>
    <s v="0000042566"/>
    <d v="2025-11-04T00:00:00"/>
    <s v="1326691"/>
    <s v=""/>
    <n v="2880"/>
    <n v="2880"/>
    <d v="2025-11-02T00:00:00"/>
    <x v="2"/>
    <n v="0"/>
    <s v="1001"/>
    <s v="KG"/>
    <s v=""/>
    <s v="1519"/>
    <s v="TECO CNF  DLV  PRC  BASC BCRQ GMPS ILAS*"/>
    <x v="8"/>
    <n v="19"/>
    <e v="#REF!"/>
    <e v="#REF!"/>
    <e v="#REF!"/>
  </r>
  <r>
    <n v="10000000430"/>
    <s v="DRON468+HZNN132 WG HEXARON 5KG BR 5KG BR"/>
    <s v="0000042567"/>
    <d v="2025-11-04T00:00:00"/>
    <s v="1326692"/>
    <s v=""/>
    <n v="2880"/>
    <n v="2880"/>
    <d v="2025-11-02T00:00:00"/>
    <x v="2"/>
    <n v="0"/>
    <s v="1001"/>
    <s v="KG"/>
    <s v=""/>
    <s v="1519"/>
    <s v="TECO CNF  DLV  PRC  BASC BCRQ GMPS ILAS*"/>
    <x v="8"/>
    <n v="19"/>
    <e v="#REF!"/>
    <e v="#REF!"/>
    <e v="#REF!"/>
  </r>
  <r>
    <n v="10000000430"/>
    <s v="DRON468+HZNN132 WG HEXARON 5KG BR 5KG BR"/>
    <s v="0000042568"/>
    <d v="2025-11-04T00:00:00"/>
    <s v="1326693"/>
    <s v=""/>
    <n v="2880"/>
    <n v="2880"/>
    <d v="2025-11-02T00:00:00"/>
    <x v="2"/>
    <n v="0"/>
    <s v="1001"/>
    <s v="KG"/>
    <s v=""/>
    <s v="1519"/>
    <s v="TECO CNF  DLV  PRC  BASC BCRQ GMPS ILAS*"/>
    <x v="8"/>
    <n v="19"/>
    <e v="#REF!"/>
    <e v="#REF!"/>
    <e v="#REF!"/>
  </r>
  <r>
    <n v="10000000430"/>
    <s v="DRON468+HZNN132 WG HEXARON 5KG BR 5KG BR"/>
    <s v="0000042569"/>
    <d v="2025-11-04T00:00:00"/>
    <s v="1326694"/>
    <s v=""/>
    <n v="2880"/>
    <n v="2880"/>
    <d v="2025-11-02T00:00:00"/>
    <x v="2"/>
    <n v="0"/>
    <s v="1001"/>
    <s v="KG"/>
    <s v=""/>
    <s v="1519"/>
    <s v="TECO CNF  DLV  PRC  BASC BCRQ GMPS ILAS*"/>
    <x v="8"/>
    <n v="19"/>
    <e v="#REF!"/>
    <e v="#REF!"/>
    <e v="#REF!"/>
  </r>
  <r>
    <n v="10000000430"/>
    <s v="DRON468+HZNN132 WG HEXARON 5KG BR 5KG BR"/>
    <s v="0000042570"/>
    <d v="2025-11-04T00:00:00"/>
    <s v="1326695"/>
    <s v=""/>
    <n v="2880"/>
    <n v="2880"/>
    <d v="2025-11-02T00:00:00"/>
    <x v="2"/>
    <n v="0"/>
    <s v="1001"/>
    <s v="KG"/>
    <s v=""/>
    <s v="1519"/>
    <s v="TECO CNF  DLV  PRC  BASC BCRQ GMPS ILAS*"/>
    <x v="8"/>
    <n v="19"/>
    <e v="#REF!"/>
    <e v="#REF!"/>
    <e v="#REF!"/>
  </r>
  <r>
    <n v="10000000430"/>
    <s v="DRON468+HZNN132 WG HEXARON 5KG BR 5KG BR"/>
    <s v="0000042571"/>
    <d v="2025-11-04T00:00:00"/>
    <s v="1326696"/>
    <s v=""/>
    <n v="2880"/>
    <n v="2880"/>
    <d v="2025-11-02T00:00:00"/>
    <x v="2"/>
    <n v="0"/>
    <s v="1001"/>
    <s v="KG"/>
    <s v=""/>
    <s v="1519"/>
    <s v="REL  CNF  DLV  PRC  BASC BCRQ GMPS ILAS*"/>
    <x v="8"/>
    <n v="19"/>
    <e v="#REF!"/>
    <e v="#REF!"/>
    <e v="#REF!"/>
  </r>
  <r>
    <n v="10000000430"/>
    <s v="DRON468+HZNN132 WG HEXARON 5KG BR 5KG BR"/>
    <s v="0000042572"/>
    <d v="2025-11-04T00:00:00"/>
    <s v="1326697"/>
    <s v=""/>
    <n v="2880"/>
    <n v="2880"/>
    <d v="2025-11-02T00:00:00"/>
    <x v="2"/>
    <n v="0"/>
    <s v="1001"/>
    <s v="KG"/>
    <s v=""/>
    <s v="1519"/>
    <s v="REL  CNF  DLV  PRC  BASC BCRQ GMPS ILAS*"/>
    <x v="8"/>
    <n v="19"/>
    <e v="#REF!"/>
    <e v="#REF!"/>
    <e v="#REF!"/>
  </r>
  <r>
    <n v="10000000430"/>
    <s v="DRON468+HZNN132 WG HEXARON 5KG BR 5KG BR"/>
    <s v="0000042573"/>
    <d v="2025-11-04T00:00:00"/>
    <s v="1326698"/>
    <s v=""/>
    <n v="2880"/>
    <n v="2880"/>
    <d v="2025-11-02T00:00:00"/>
    <x v="2"/>
    <n v="0"/>
    <s v="1001"/>
    <s v="KG"/>
    <s v=""/>
    <s v="1519"/>
    <s v="REL  CNF  DLV  PRC  BASC BCRQ GMPS ILAS*"/>
    <x v="8"/>
    <n v="19"/>
    <e v="#REF!"/>
    <e v="#REF!"/>
    <e v="#REF!"/>
  </r>
  <r>
    <n v="10000000430"/>
    <s v="DRON468+HZNN132 WG HEXARON 5KG BR 5KG BR"/>
    <s v="0000042574"/>
    <d v="2025-11-04T00:00:00"/>
    <s v="1326699"/>
    <s v=""/>
    <n v="2880"/>
    <n v="2880"/>
    <d v="2025-11-02T00:00:00"/>
    <x v="2"/>
    <n v="0"/>
    <s v="1001"/>
    <s v="KG"/>
    <s v=""/>
    <s v="1519"/>
    <s v="REL  CNF  DLV  PRC  BASC BCRQ GMPS ILAS*"/>
    <x v="8"/>
    <n v="19"/>
    <e v="#REF!"/>
    <e v="#REF!"/>
    <e v="#REF!"/>
  </r>
  <r>
    <n v="10000000430"/>
    <s v="DRON468+HZNN132 WG HEXARON 5KG BR 5KG BR"/>
    <s v="0000042575"/>
    <d v="2025-11-04T00:00:00"/>
    <s v="1326700"/>
    <s v=""/>
    <n v="2880"/>
    <n v="2880"/>
    <d v="2025-11-02T00:00:00"/>
    <x v="2"/>
    <n v="0"/>
    <s v="1001"/>
    <s v="KG"/>
    <s v=""/>
    <s v="1519"/>
    <s v="REL  CNF  DLV  PRC  BASC BCRQ GMPS ILAS*"/>
    <x v="8"/>
    <n v="19"/>
    <e v="#REF!"/>
    <e v="#REF!"/>
    <e v="#REF!"/>
  </r>
  <r>
    <n v="10000000430"/>
    <s v="DRON468+HZNN132 WG HEXARON 5KG BR 5KG BR"/>
    <s v="0000042576"/>
    <d v="2025-11-04T00:00:00"/>
    <s v="1326701"/>
    <s v=""/>
    <n v="2880"/>
    <n v="2880"/>
    <d v="2025-11-02T00:00:00"/>
    <x v="2"/>
    <n v="0"/>
    <s v="1001"/>
    <s v="KG"/>
    <s v=""/>
    <s v="1519"/>
    <s v="REL  DLV  PRC  BASC BCRQ GMPS ILAS MANC*"/>
    <x v="8"/>
    <n v="19"/>
    <e v="#REF!"/>
    <e v="#REF!"/>
    <e v="#REF!"/>
  </r>
  <r>
    <n v="10000000430"/>
    <s v="DRON468+HZNN132 WG HEXARON 5KG BR 5KG BR"/>
    <s v="0000042577"/>
    <d v="2025-11-04T00:00:00"/>
    <s v="1326702"/>
    <s v=""/>
    <n v="2880"/>
    <n v="2880"/>
    <d v="2025-11-02T00:00:00"/>
    <x v="2"/>
    <n v="0"/>
    <s v="1001"/>
    <s v="KG"/>
    <s v=""/>
    <s v="1519"/>
    <s v="REL  DLV  PRC  BASC BCRQ GMPS ILAS MANC*"/>
    <x v="8"/>
    <n v="19"/>
    <e v="#REF!"/>
    <e v="#REF!"/>
    <e v="#REF!"/>
  </r>
  <r>
    <n v="50000000091"/>
    <s v="GALIGAN IN TOLUENE ISO"/>
    <s v="0000009610"/>
    <d v="2025-11-04T00:00:00"/>
    <s v="1328533"/>
    <s v=""/>
    <n v="4800"/>
    <n v="4790"/>
    <d v="2025-10-30T00:00:00"/>
    <x v="2"/>
    <n v="0"/>
    <s v="1001"/>
    <s v="KG"/>
    <s v=""/>
    <s v="1125"/>
    <s v="REL  CNF  PRC  BASC BCRQ GMPS ILAS MACM*"/>
    <x v="11"/>
    <e v="#N/A"/>
    <e v="#REF!"/>
    <e v="#REF!"/>
    <e v="#REF!"/>
  </r>
  <r>
    <n v="50000000091"/>
    <s v="GALIGAN IN TOLUENE ISO"/>
    <s v="0000009611"/>
    <d v="2025-11-04T00:00:00"/>
    <s v="1328534"/>
    <s v=""/>
    <n v="4800"/>
    <n v="4924"/>
    <d v="2025-10-30T00:00:00"/>
    <x v="2"/>
    <n v="0"/>
    <s v="1001"/>
    <s v="KG"/>
    <s v=""/>
    <s v="1125"/>
    <s v="REL  CNF  DLV  PRC  BASC BCRQ GMPS ILAS*"/>
    <x v="11"/>
    <e v="#N/A"/>
    <e v="#REF!"/>
    <e v="#REF!"/>
    <e v="#REF!"/>
  </r>
  <r>
    <n v="10000010720"/>
    <s v="24DA306.1+FLSL6SE PLAUSER SARABIA 5LT ES"/>
    <s v="0000243510"/>
    <d v="2025-11-03T00:00:00"/>
    <s v="1318345"/>
    <s v="211015555"/>
    <n v="12000"/>
    <n v="12000"/>
    <d v="2025-10-15T00:00:00"/>
    <x v="2"/>
    <n v="12000"/>
    <s v="1001"/>
    <s v="L"/>
    <s v=""/>
    <s v="1542"/>
    <s v="REL  PRT  CNF  DLV  PRC  BASC BCRQ GMPS*"/>
    <x v="12"/>
    <s v="24P"/>
    <e v="#REF!"/>
    <e v="#REF!"/>
    <e v="#REF!"/>
  </r>
  <r>
    <n v="10000010720"/>
    <s v="24DA306.1+FLSL6SE PLAUSER SARABIA 5LT ES"/>
    <s v="0000243511"/>
    <d v="2025-11-03T00:00:00"/>
    <s v="1318346"/>
    <s v="211015555"/>
    <n v="1200"/>
    <n v="1200"/>
    <d v="2025-10-15T00:00:00"/>
    <x v="2"/>
    <n v="1200"/>
    <s v="1001"/>
    <s v="L"/>
    <s v=""/>
    <s v="1542"/>
    <s v="REL  PRT  CNF  DLV  PRC  BASC BCRQ GMPS*"/>
    <x v="12"/>
    <s v="24P"/>
    <e v="#REF!"/>
    <e v="#REF!"/>
    <e v="#REF!"/>
  </r>
  <r>
    <n v="30000000077"/>
    <s v="DRON970 TC DIUREX TECH MILLED 600 KG"/>
    <s v="0000053660"/>
    <d v="2025-11-02T00:00:00"/>
    <s v="1328455"/>
    <s v=""/>
    <n v="3600"/>
    <n v="3600"/>
    <d v="2025-11-02T00:00:00"/>
    <x v="2"/>
    <n v="3600"/>
    <s v="1001"/>
    <s v="KG"/>
    <s v=""/>
    <s v="1540"/>
    <s v="REL  CNF  DLV  PRC  BASC BCRQ GMPS MACM*"/>
    <x v="18"/>
    <e v="#N/A"/>
    <e v="#REF!"/>
    <e v="#REF!"/>
    <e v="#REF!"/>
  </r>
  <r>
    <n v="30000000077"/>
    <s v="DRON970 TC DIUREX TECH MILLED 600 KG"/>
    <s v="0000053661"/>
    <d v="2025-11-02T00:00:00"/>
    <s v="1328456"/>
    <s v=""/>
    <n v="3600"/>
    <n v="3600"/>
    <d v="2025-11-02T00:00:00"/>
    <x v="2"/>
    <n v="3600"/>
    <s v="1001"/>
    <s v="KG"/>
    <s v=""/>
    <s v="1540"/>
    <s v="REL  CNF  DLV  PRC  BASC BCRQ GMPS MACM*"/>
    <x v="18"/>
    <e v="#N/A"/>
    <e v="#REF!"/>
    <e v="#REF!"/>
    <e v="#REF!"/>
  </r>
  <r>
    <n v="30000000077"/>
    <s v="DRON970 TC DIUREX TECH MILLED 600 KG"/>
    <s v="0000053662"/>
    <d v="2025-11-02T00:00:00"/>
    <s v="1328457"/>
    <s v=""/>
    <n v="3600"/>
    <n v="3600"/>
    <d v="2025-11-03T00:00:00"/>
    <x v="2"/>
    <n v="3600"/>
    <s v="1001"/>
    <s v="KG"/>
    <s v=""/>
    <s v="1540"/>
    <s v="REL  CNF  DLV  PRC  BASC BCRQ GMPS MACM*"/>
    <x v="18"/>
    <e v="#N/A"/>
    <e v="#REF!"/>
    <e v="#REF!"/>
    <e v="#REF!"/>
  </r>
  <r>
    <n v="30000000077"/>
    <s v="DRON970 TC DIUREX TECH MILLED 600 KG"/>
    <s v="0000053663"/>
    <d v="2025-11-02T00:00:00"/>
    <s v="1328458"/>
    <s v=""/>
    <n v="3600"/>
    <n v="3600"/>
    <d v="2025-11-03T00:00:00"/>
    <x v="2"/>
    <n v="0"/>
    <s v="1001"/>
    <s v="KG"/>
    <s v=""/>
    <s v="1540"/>
    <s v="REL  PCNF DLV  PRC  BASC BCRQ GMPS MACM*"/>
    <x v="18"/>
    <e v="#N/A"/>
    <e v="#REF!"/>
    <e v="#REF!"/>
    <e v="#REF!"/>
  </r>
  <r>
    <n v="20000000778"/>
    <s v="QZLF50 EC QUIZALOFOP 5 EC SS 1000 L"/>
    <s v="0000001396"/>
    <d v="2025-11-01T00:00:00"/>
    <s v="1325053"/>
    <s v=""/>
    <n v="13000"/>
    <n v="13000"/>
    <d v="2025-11-02T00:00:00"/>
    <x v="2"/>
    <n v="13000"/>
    <s v="1001"/>
    <s v="L"/>
    <s v=""/>
    <s v="1523"/>
    <s v="REL  CNF  DLV  PRC  BASC BCRQ GMPS MANC*"/>
    <x v="4"/>
    <n v="23"/>
    <e v="#REF!"/>
    <e v="#REF!"/>
    <e v="#REF!"/>
  </r>
  <r>
    <n v="50000000053"/>
    <s v="DELTA DAMASCONE CRUD 1.00 KG"/>
    <s v="0000012770"/>
    <d v="2025-11-01T00:00:00"/>
    <s v="1325363"/>
    <s v=""/>
    <n v="6000"/>
    <n v="6610"/>
    <d v="2025-10-27T00:00:00"/>
    <x v="2"/>
    <n v="0"/>
    <s v="1001"/>
    <s v="KG"/>
    <s v=""/>
    <s v="1141"/>
    <s v="REL  CNF  DLV  PRC  BASC BCRQ GMPS ILAS*"/>
    <x v="0"/>
    <e v="#N/A"/>
    <e v="#REF!"/>
    <e v="#REF!"/>
    <e v="#REF!"/>
  </r>
  <r>
    <n v="50000000056"/>
    <s v="DELTA DAMASCON FLASH 1.00 KG"/>
    <s v="0000010321"/>
    <d v="2025-11-01T00:00:00"/>
    <s v="1326262"/>
    <s v=""/>
    <n v="1600"/>
    <n v="2841"/>
    <d v="2025-10-27T00:00:00"/>
    <x v="2"/>
    <n v="0"/>
    <s v="1001"/>
    <s v="KG"/>
    <s v=""/>
    <s v="1141"/>
    <s v="REL  CNF  DLV  PRC  BASC BCRQ GMPS ILAS*"/>
    <x v="0"/>
    <e v="#N/A"/>
    <e v="#REF!"/>
    <e v="#REF!"/>
    <e v="#REF!"/>
  </r>
  <r>
    <n v="50000000080"/>
    <s v="NANA 1.00 KG"/>
    <s v="0000136131"/>
    <d v="2025-11-01T00:00:00"/>
    <s v="1326271"/>
    <s v=""/>
    <n v="3900"/>
    <n v="3951"/>
    <d v="2025-10-30T00:00:00"/>
    <x v="2"/>
    <n v="0"/>
    <s v="1001"/>
    <s v="KG"/>
    <s v=""/>
    <s v="1141"/>
    <s v="REL  CNF  DLV  PRC  BASC BCRQ GMPS ILAS*"/>
    <x v="7"/>
    <e v="#N/A"/>
    <e v="#REF!"/>
    <e v="#REF!"/>
    <e v="#REF!"/>
  </r>
  <r>
    <n v="10000000288"/>
    <s v="CLDF80+CLQT20 EC LADDER ALL IN 1000LT CA"/>
    <s v="0000000638"/>
    <d v="2025-11-01T00:00:00"/>
    <s v="1326352"/>
    <s v=""/>
    <n v="8000"/>
    <n v="8000"/>
    <d v="2025-11-02T00:00:00"/>
    <x v="2"/>
    <n v="8000"/>
    <s v="1001"/>
    <s v="L"/>
    <s v=""/>
    <s v="1523"/>
    <s v="REL  CNF  DLV  PRC  BASC BCRQ GMPS MACM*"/>
    <x v="4"/>
    <n v="23"/>
    <e v="#REF!"/>
    <e v="#REF!"/>
    <e v="#REF!"/>
  </r>
  <r>
    <n v="20000005837"/>
    <s v="CLTN500 SC TOLUREX 50 SC 1000LT"/>
    <s v="0000000210"/>
    <d v="2025-11-01T00:00:00"/>
    <s v="1326600"/>
    <s v=""/>
    <n v="7000"/>
    <n v="7000"/>
    <d v="2025-11-01T00:00:00"/>
    <x v="2"/>
    <n v="7000"/>
    <s v="1001"/>
    <s v="L"/>
    <s v=""/>
    <s v="1528"/>
    <s v="TECO CNF  DLV  PRC  BASC BCRQ GMPS MANC*"/>
    <x v="5"/>
    <n v="28"/>
    <e v="#REF!"/>
    <e v="#REF!"/>
    <e v="#REF!"/>
  </r>
  <r>
    <n v="10000000430"/>
    <s v="DRON468+HZNN132 WG HEXARON 5KG BR 5KG BR"/>
    <s v="0000042555"/>
    <d v="2025-11-01T00:00:00"/>
    <s v="1326680"/>
    <s v=""/>
    <n v="2880"/>
    <n v="2880"/>
    <d v="2025-11-01T00:00:00"/>
    <x v="2"/>
    <n v="0"/>
    <s v="1001"/>
    <s v="KG"/>
    <s v=""/>
    <s v="1519"/>
    <s v="TECO CNF  DLV  PRC  BASC BCRQ GMPS ILAS*"/>
    <x v="8"/>
    <n v="19"/>
    <e v="#REF!"/>
    <e v="#REF!"/>
    <e v="#REF!"/>
  </r>
  <r>
    <n v="10000000430"/>
    <s v="DRON468+HZNN132 WG HEXARON 5KG BR 5KG BR"/>
    <s v="0000042556"/>
    <d v="2025-11-01T00:00:00"/>
    <s v="1326681"/>
    <s v=""/>
    <n v="2880"/>
    <n v="2880"/>
    <d v="2025-11-02T00:00:00"/>
    <x v="2"/>
    <n v="0"/>
    <s v="1001"/>
    <s v="KG"/>
    <s v=""/>
    <s v="1519"/>
    <s v="TECO CNF  DLV  PRC  BASC BCRQ GMPS ILAS*"/>
    <x v="8"/>
    <n v="19"/>
    <e v="#REF!"/>
    <e v="#REF!"/>
    <e v="#REF!"/>
  </r>
  <r>
    <n v="10000000430"/>
    <s v="DRON468+HZNN132 WG HEXARON 5KG BR 5KG BR"/>
    <s v="0000042557"/>
    <d v="2025-11-01T00:00:00"/>
    <s v="1326682"/>
    <s v=""/>
    <n v="2880"/>
    <n v="2880"/>
    <d v="2025-11-02T00:00:00"/>
    <x v="2"/>
    <n v="0"/>
    <s v="1001"/>
    <s v="KG"/>
    <s v=""/>
    <s v="1519"/>
    <s v="TECO CNF  DLV  PRC  BASC BCRQ GMPS ILAS*"/>
    <x v="8"/>
    <n v="19"/>
    <e v="#REF!"/>
    <e v="#REF!"/>
    <e v="#REF!"/>
  </r>
  <r>
    <n v="10000000430"/>
    <s v="DRON468+HZNN132 WG HEXARON 5KG BR 5KG BR"/>
    <s v="0000042558"/>
    <d v="2025-11-01T00:00:00"/>
    <s v="1326683"/>
    <s v=""/>
    <n v="2880"/>
    <n v="2880"/>
    <d v="2025-11-02T00:00:00"/>
    <x v="2"/>
    <n v="0"/>
    <s v="1001"/>
    <s v="KG"/>
    <s v=""/>
    <s v="1519"/>
    <s v="TECO CNF  DLV  PRC  BASC BCRQ GMPS ILAS*"/>
    <x v="8"/>
    <n v="19"/>
    <e v="#REF!"/>
    <e v="#REF!"/>
    <e v="#REF!"/>
  </r>
  <r>
    <n v="10000000430"/>
    <s v="DRON468+HZNN132 WG HEXARON 5KG BR 5KG BR"/>
    <s v="0000042559"/>
    <d v="2025-11-01T00:00:00"/>
    <s v="1326684"/>
    <s v=""/>
    <n v="2880"/>
    <n v="2880"/>
    <d v="2025-11-02T00:00:00"/>
    <x v="2"/>
    <n v="0"/>
    <s v="1001"/>
    <s v="KG"/>
    <s v=""/>
    <s v="1519"/>
    <s v="TECO CNF  DLV  PRC  BASC BCRQ GMPS ILAS*"/>
    <x v="8"/>
    <n v="19"/>
    <e v="#REF!"/>
    <e v="#REF!"/>
    <e v="#REF!"/>
  </r>
  <r>
    <n v="10000000430"/>
    <s v="DRON468+HZNN132 WG HEXARON 5KG BR 5KG BR"/>
    <s v="0000042560"/>
    <d v="2025-11-01T00:00:00"/>
    <s v="1326685"/>
    <s v=""/>
    <n v="2880"/>
    <n v="2880"/>
    <d v="2025-11-02T00:00:00"/>
    <x v="2"/>
    <n v="0"/>
    <s v="1001"/>
    <s v="KG"/>
    <s v=""/>
    <s v="1519"/>
    <s v="TECO CNF  DLV  PRC  BASC BCRQ GMPS ILAS*"/>
    <x v="8"/>
    <n v="19"/>
    <e v="#REF!"/>
    <e v="#REF!"/>
    <e v="#REF!"/>
  </r>
  <r>
    <n v="10000000430"/>
    <s v="DRON468+HZNN132 WG HEXARON 5KG BR 5KG BR"/>
    <s v="0000042561"/>
    <d v="2025-11-01T00:00:00"/>
    <s v="1326686"/>
    <s v=""/>
    <n v="2880"/>
    <n v="2880"/>
    <d v="2025-11-02T00:00:00"/>
    <x v="2"/>
    <n v="0"/>
    <s v="1001"/>
    <s v="KG"/>
    <s v=""/>
    <s v="1519"/>
    <s v="TECO CNF  DLV  PRC  BASC BCRQ GMPS ILAS*"/>
    <x v="8"/>
    <n v="19"/>
    <e v="#REF!"/>
    <e v="#REF!"/>
    <e v="#REF!"/>
  </r>
  <r>
    <n v="10000000430"/>
    <s v="DRON468+HZNN132 WG HEXARON 5KG BR 5KG BR"/>
    <s v="0000042562"/>
    <d v="2025-11-01T00:00:00"/>
    <s v="1326687"/>
    <s v=""/>
    <n v="2880"/>
    <n v="2880"/>
    <d v="2025-11-02T00:00:00"/>
    <x v="2"/>
    <n v="0"/>
    <s v="1001"/>
    <s v="KG"/>
    <s v=""/>
    <s v="1519"/>
    <s v="TECO CNF  DLV  PRC  BASC BCRQ GMPS ILAS*"/>
    <x v="8"/>
    <n v="19"/>
    <e v="#REF!"/>
    <e v="#REF!"/>
    <e v="#REF!"/>
  </r>
  <r>
    <n v="10000000430"/>
    <s v="DRON468+HZNN132 WG HEXARON 5KG BR 5KG BR"/>
    <s v="0000042563"/>
    <d v="2025-11-01T00:00:00"/>
    <s v="1326688"/>
    <s v=""/>
    <n v="2880"/>
    <n v="2880"/>
    <d v="2025-11-02T00:00:00"/>
    <x v="2"/>
    <n v="0"/>
    <s v="1001"/>
    <s v="KG"/>
    <s v=""/>
    <s v="1519"/>
    <s v="TECO CNF  DLV  PRC  BASC BCRQ GMPS ILAS*"/>
    <x v="8"/>
    <n v="19"/>
    <e v="#REF!"/>
    <e v="#REF!"/>
    <e v="#REF!"/>
  </r>
  <r>
    <n v="10000000430"/>
    <s v="DRON468+HZNN132 WG HEXARON 5KG BR 5KG BR"/>
    <s v="0000042564"/>
    <d v="2025-11-01T00:00:00"/>
    <s v="1326689"/>
    <s v=""/>
    <n v="2880"/>
    <n v="2880"/>
    <d v="2025-11-02T00:00:00"/>
    <x v="2"/>
    <n v="0"/>
    <s v="1001"/>
    <s v="KG"/>
    <s v=""/>
    <s v="1519"/>
    <s v="TECO CNF  DLV  PRC  BASC BCRQ GMPS ILAS*"/>
    <x v="8"/>
    <n v="19"/>
    <e v="#REF!"/>
    <e v="#REF!"/>
    <e v="#REF!"/>
  </r>
  <r>
    <n v="10000000430"/>
    <s v="DRON468+HZNN132 WG HEXARON 5KG BR 5KG BR"/>
    <s v="0000042565"/>
    <d v="2025-11-01T00:00:00"/>
    <s v="1326690"/>
    <s v=""/>
    <n v="2880"/>
    <n v="2880"/>
    <d v="2025-11-02T00:00:00"/>
    <x v="2"/>
    <n v="0"/>
    <s v="1001"/>
    <s v="KG"/>
    <s v=""/>
    <s v="1519"/>
    <s v="TECO CNF  DLV  PRC  BASC BCRQ GMPS ILAS*"/>
    <x v="8"/>
    <n v="19"/>
    <e v="#REF!"/>
    <e v="#REF!"/>
    <e v="#REF!"/>
  </r>
  <r>
    <n v="10000010430"/>
    <s v="ATRL1000 ATRALONE 50KG GENERAL NEW"/>
    <s v="0000284776"/>
    <d v="2025-11-01T00:00:00"/>
    <s v="1327211"/>
    <s v=""/>
    <n v="1800"/>
    <n v="1600"/>
    <d v="2025-10-27T00:00:00"/>
    <x v="2"/>
    <n v="0"/>
    <s v="1001"/>
    <s v="KG"/>
    <s v=""/>
    <s v="1541"/>
    <s v="REL  CNF  PRC  BASC BCRQ GMPS ILAS MACM*"/>
    <x v="9"/>
    <e v="#N/A"/>
    <e v="#REF!"/>
    <e v="#REF!"/>
    <e v="#REF!"/>
  </r>
  <r>
    <n v="20000000394"/>
    <s v="24DA300FLSL6 SE 1000L"/>
    <s v="0000000820"/>
    <d v="2025-11-01T00:00:00"/>
    <s v="1327217"/>
    <s v=""/>
    <n v="8000"/>
    <n v="8000"/>
    <d v="2025-11-01T00:00:00"/>
    <x v="2"/>
    <n v="0"/>
    <s v="1001"/>
    <s v="L"/>
    <s v=""/>
    <s v="1524"/>
    <s v="REL  PCNF DLV  PRC  BASC BCRQ GMPS ILAS*"/>
    <x v="3"/>
    <s v="24F"/>
    <e v="#REF!"/>
    <e v="#REF!"/>
    <e v="#REF!"/>
  </r>
  <r>
    <n v="30000000076"/>
    <s v="DRON970 TC DIUREX TECH MILLED 550 KG"/>
    <s v="0000151702"/>
    <d v="2025-10-28T00:00:00"/>
    <s v="1326760"/>
    <s v=""/>
    <n v="3300"/>
    <n v="3300"/>
    <d v="2025-11-02T00:00:00"/>
    <x v="2"/>
    <n v="0"/>
    <s v="1001"/>
    <s v="KG"/>
    <s v=""/>
    <s v="1540"/>
    <s v="REL  CNF  DLV  PRC  BASC BCRQ GMPS MACM*"/>
    <x v="18"/>
    <e v="#N/A"/>
    <e v="#REF!"/>
    <e v="#REF!"/>
    <e v="#REF!"/>
  </r>
  <r>
    <n v="30000000076"/>
    <s v="DRON970 TC DIUREX TECH MILLED 550 KG"/>
    <s v="0000151704"/>
    <d v="2025-10-28T00:00:00"/>
    <s v="1326762"/>
    <s v=""/>
    <n v="3300"/>
    <n v="3300"/>
    <d v="2025-11-03T00:00:00"/>
    <x v="2"/>
    <n v="0"/>
    <s v="1001"/>
    <s v="KG"/>
    <s v=""/>
    <s v="1540"/>
    <s v="REL  PCNF DLV  PRC  BASC BCRQ GMPS MACM*"/>
    <x v="18"/>
    <e v="#N/A"/>
    <e v="#REF!"/>
    <e v="#REF!"/>
    <e v="#REF!"/>
  </r>
  <r>
    <n v="10000008223"/>
    <s v="ETFM150+MTMN350 SC TORERO FLO 5LT FR"/>
    <s v="0000244487"/>
    <d v="2025-10-28T00:00:00"/>
    <s v="1327097"/>
    <s v="211015465"/>
    <n v="12000"/>
    <n v="12000"/>
    <d v="2025-10-27T00:00:00"/>
    <x v="2"/>
    <n v="12000"/>
    <s v="1001"/>
    <s v="L"/>
    <s v=""/>
    <s v="1543"/>
    <s v="REL  PRT  CNF  DLV  PRC  BASC BCRQ GMPS*"/>
    <x v="12"/>
    <n v="5"/>
    <e v="#REF!"/>
    <e v="#REF!"/>
    <e v="#REF!"/>
  </r>
  <r>
    <n v="30000000655"/>
    <s v="DRON970 TC DIURON 500KG JP"/>
    <s v="0000315392"/>
    <d v="2025-10-24T00:00:00"/>
    <s v="1326404"/>
    <s v=""/>
    <n v="3000"/>
    <n v="500"/>
    <d v="2025-10-24T00:00:00"/>
    <x v="2"/>
    <n v="0"/>
    <s v="1001"/>
    <s v="KG"/>
    <s v=""/>
    <s v="1540"/>
    <s v="REL  PRC  BASC BCRQ GMPS MANC ORRQ PDLV*"/>
    <x v="18"/>
    <e v="#N/A"/>
    <e v="#REF!"/>
    <e v="#REF!"/>
    <e v="#REF!"/>
  </r>
  <r>
    <n v="50000000090"/>
    <s v="ETHOXY (GALIGAN) ISO"/>
    <s v="0000006072"/>
    <d v="2025-10-23T00:00:00"/>
    <s v="1324032"/>
    <s v=""/>
    <n v="1720"/>
    <n v="1760"/>
    <d v="2025-10-15T00:00:00"/>
    <x v="2"/>
    <n v="0"/>
    <s v="1001"/>
    <s v="KG"/>
    <s v=""/>
    <s v="1125"/>
    <s v="REL  CNF  DLV  PRC  BASC BCRQ GMPS ILAS*"/>
    <x v="11"/>
    <e v="#N/A"/>
    <e v="#REF!"/>
    <e v="#REF!"/>
    <e v="#REF!"/>
  </r>
  <r>
    <n v="50000000108"/>
    <s v="PROPAQUIZAFOP PRMX25 1000 KG"/>
    <s v="0000003505"/>
    <d v="2025-10-20T00:00:00"/>
    <s v="1325717"/>
    <s v=""/>
    <n v="8000"/>
    <n v="8000"/>
    <d v="2025-10-28T00:00:00"/>
    <x v="2"/>
    <n v="0"/>
    <s v="1001"/>
    <s v="KG"/>
    <s v=""/>
    <s v="1525"/>
    <s v="REL  CNF  DLV  PRC  BASC BCRQ GMPS ILAS*"/>
    <x v="19"/>
    <e v="#N/A"/>
    <e v="#REF!"/>
    <e v="#REF!"/>
    <e v="#REF!"/>
  </r>
  <r>
    <n v="50000000108"/>
    <s v="PROPAQUIZAFOP PRMX25 1000 KG"/>
    <s v="0000003506"/>
    <d v="2025-10-20T00:00:00"/>
    <s v="1325718"/>
    <s v=""/>
    <n v="8000"/>
    <n v="8000"/>
    <d v="2025-10-28T00:00:00"/>
    <x v="2"/>
    <n v="0"/>
    <s v="1001"/>
    <s v="KG"/>
    <s v=""/>
    <s v="1525"/>
    <s v="REL  CNF  DLV  PRC  BASC BCRQ GMPS ILAS*"/>
    <x v="19"/>
    <e v="#N/A"/>
    <e v="#REF!"/>
    <e v="#REF!"/>
    <e v="#REF!"/>
  </r>
  <r>
    <n v="30000000095"/>
    <s v="LINURON TECH MIL. CH 600.00 KG"/>
    <s v="0000000881"/>
    <d v="2025-10-18T00:00:00"/>
    <s v="1325113"/>
    <s v=""/>
    <n v="3600"/>
    <n v="3600"/>
    <d v="2025-11-01T00:00:00"/>
    <x v="2"/>
    <n v="0"/>
    <s v="1001"/>
    <s v="KG"/>
    <s v=""/>
    <s v="1540"/>
    <s v="REL  DLV  PRC  BASC BCRQ GMPS MACM ORRQ*"/>
    <x v="21"/>
    <e v="#N/A"/>
    <e v="#REF!"/>
    <e v="#REF!"/>
    <e v="#REF!"/>
  </r>
  <r>
    <n v="50000000062"/>
    <s v="DIUREX SLURRY  KG"/>
    <s v="0000051607"/>
    <d v="2025-10-07T00:00:00"/>
    <s v="1317566"/>
    <s v=""/>
    <n v="33000"/>
    <n v="30689"/>
    <d v="2025-10-17T00:00:00"/>
    <x v="2"/>
    <n v="0"/>
    <s v="1001"/>
    <s v="KG"/>
    <s v=""/>
    <s v="1140"/>
    <s v="REL  CNF  PRC  BASC BCRQ GMPS ILAS MACM*"/>
    <x v="20"/>
    <e v="#N/A"/>
    <e v="#REF!"/>
    <e v="#REF!"/>
    <e v="#REF!"/>
  </r>
  <r>
    <n v="10000009747"/>
    <s v="BR20FR80+MCPA20EC FORCFIGHT ALL1000LT CA"/>
    <s v="0000000178"/>
    <d v="2025-10-01T00:00:00"/>
    <s v="1324887"/>
    <s v=""/>
    <n v="12000"/>
    <n v="12000"/>
    <d v="2025-11-02T00:00:00"/>
    <x v="2"/>
    <n v="12000"/>
    <s v="1001"/>
    <s v="L"/>
    <s v=""/>
    <s v="1523"/>
    <s v="REL  CNF  DLV  PRC  BASC BCRQ GMPS MANC*"/>
    <x v="4"/>
    <n v="23"/>
    <e v="#REF!"/>
    <e v="#REF!"/>
    <e v="#REF!"/>
  </r>
  <r>
    <n v="20000006122"/>
    <s v="OXFF240 EC GALIGAN 1000LT (FOR BR)"/>
    <s v="0000333988"/>
    <d v="2025-10-01T00:00:00"/>
    <s v="1325916"/>
    <s v=""/>
    <n v="7000"/>
    <n v="8000"/>
    <d v="2025-10-21T00:00:00"/>
    <x v="2"/>
    <n v="0"/>
    <s v="1001"/>
    <s v="L"/>
    <s v=""/>
    <s v="1525"/>
    <s v="REL  DLV  PRC  BASC BCRQ GMPS ILAS MANC*"/>
    <x v="10"/>
    <e v="#N/A"/>
    <e v="#REF!"/>
    <e v="#REF!"/>
    <e v="#REF!"/>
  </r>
  <r>
    <n v="20000006540"/>
    <s v="MTMN350QNMC60 SC MTM 350+QUIN 60 1000L"/>
    <s v="0000000123"/>
    <d v="2025-10-01T00:00:00"/>
    <s v="1327228"/>
    <s v=""/>
    <n v="7000"/>
    <n v="7000"/>
    <d v="2025-11-01T00:00:00"/>
    <x v="2"/>
    <n v="7000"/>
    <s v="1001"/>
    <s v="L"/>
    <s v=""/>
    <s v="1528"/>
    <s v="TECO CNF  DLV  PRC  BASC BCRQ GMPS MANC*"/>
    <x v="5"/>
    <e v="#N/A"/>
    <e v="#REF!"/>
    <e v="#REF!"/>
    <e v="#REF!"/>
  </r>
  <r>
    <n v="50000000064"/>
    <s v="FLUROCHLORIDONE44.5C 200.00 KG"/>
    <s v="0000002857"/>
    <d v="2025-08-04T00:00:00"/>
    <s v="1307814"/>
    <s v=""/>
    <n v="7200"/>
    <n v="6100"/>
    <d v="2025-07-25T00:00:00"/>
    <x v="2"/>
    <n v="0"/>
    <s v="1001"/>
    <s v="KG"/>
    <s v=""/>
    <n v="1125"/>
    <s v="REL  CNF  PRC  BASC BCRQ GMPS ILAS MACM*"/>
    <x v="22"/>
    <e v="#N/A"/>
    <e v="#REF!"/>
    <e v="#REF!"/>
    <e v="#REF!"/>
  </r>
  <r>
    <n v="20000000822"/>
    <s v="TBAZ500 SC TYLLANEX 50 SC 200 L"/>
    <s v="0000008752"/>
    <d v="2025-11-20T00:00:00"/>
    <s v="1329022"/>
    <s v=""/>
    <n v="7200"/>
    <n v="3200"/>
    <d v="2025-11-03T00:00:00"/>
    <x v="3"/>
    <n v="3200"/>
    <s v="1001"/>
    <s v="L"/>
    <s v=""/>
    <s v="1528"/>
    <s v="TECO CNF  PRC  BASC BCRQ GMPS MACM ORRQ*"/>
    <x v="5"/>
    <n v="28"/>
    <e v="#REF!"/>
    <e v="#REF!"/>
    <e v="#REF!"/>
  </r>
  <r>
    <n v="20000000822"/>
    <s v="TBAZ500 SC TYLLANEX 50 SC 200 L"/>
    <s v="0000008753"/>
    <d v="2025-11-20T00:00:00"/>
    <s v="1329023"/>
    <s v=""/>
    <n v="7200"/>
    <n v="3200"/>
    <d v="2025-11-03T00:00:00"/>
    <x v="3"/>
    <n v="3200"/>
    <s v="1001"/>
    <s v="L"/>
    <s v=""/>
    <s v="1528"/>
    <s v="TECO CNF  PRC  BASC BCRQ GMPS MACM ORRQ*"/>
    <x v="5"/>
    <n v="28"/>
    <e v="#REF!"/>
    <e v="#REF!"/>
    <e v="#REF!"/>
  </r>
  <r>
    <n v="20000005837"/>
    <s v="CLTN500 SC TOLUREX 50 SC 1000LT"/>
    <s v="0000000202"/>
    <d v="2025-11-18T00:00:00"/>
    <s v="1325949"/>
    <s v=""/>
    <n v="7000"/>
    <n v="8000"/>
    <d v="2025-10-27T00:00:00"/>
    <x v="3"/>
    <n v="8000"/>
    <s v="1001"/>
    <s v="L"/>
    <s v=""/>
    <s v="1528"/>
    <s v="TECO CNF  DLV  PRC  BASC BCRQ GMPS MACM*"/>
    <x v="5"/>
    <n v="28"/>
    <e v="#REF!"/>
    <e v="#REF!"/>
    <e v="#REF!"/>
  </r>
  <r>
    <n v="20000005837"/>
    <s v="CLTN500 SC TOLUREX 50 SC 1000LT"/>
    <s v="0000000203"/>
    <d v="2025-11-18T00:00:00"/>
    <s v="1325950"/>
    <s v=""/>
    <n v="7000"/>
    <n v="7000"/>
    <d v="2025-10-27T00:00:00"/>
    <x v="3"/>
    <n v="7000"/>
    <s v="1001"/>
    <s v="L"/>
    <s v=""/>
    <s v="1528"/>
    <s v="TECO CNF  DLV  PRC  BASC BCRQ GMPS MACM*"/>
    <x v="5"/>
    <n v="28"/>
    <e v="#REF!"/>
    <e v="#REF!"/>
    <e v="#REF!"/>
  </r>
  <r>
    <n v="20000005837"/>
    <s v="CLTN500 SC TOLUREX 50 SC 1000LT"/>
    <s v="0000000211"/>
    <d v="2025-11-13T00:00:00"/>
    <s v="1329062"/>
    <s v=""/>
    <n v="7000"/>
    <n v="7000"/>
    <d v="2025-11-02T00:00:00"/>
    <x v="3"/>
    <n v="7000"/>
    <s v="1001"/>
    <s v="L"/>
    <s v=""/>
    <s v="1528"/>
    <s v="TECO CNF  DLV  PRC  BASC BCRQ GMPS MANC*"/>
    <x v="5"/>
    <n v="28"/>
    <e v="#REF!"/>
    <e v="#REF!"/>
    <e v="#REF!"/>
  </r>
  <r>
    <n v="20000005837"/>
    <s v="CLTN500 SC TOLUREX 50 SC 1000LT"/>
    <s v="0000000212"/>
    <d v="2025-11-13T00:00:00"/>
    <s v="1329063"/>
    <s v=""/>
    <n v="7000"/>
    <n v="7000"/>
    <d v="2025-11-03T00:00:00"/>
    <x v="3"/>
    <n v="7000"/>
    <s v="1001"/>
    <s v="L"/>
    <s v=""/>
    <s v="1528"/>
    <s v="TECO CNF  DLV  PRC  BASC BCRQ GMPS MANC*"/>
    <x v="5"/>
    <n v="28"/>
    <e v="#REF!"/>
    <e v="#REF!"/>
    <e v="#REF!"/>
  </r>
  <r>
    <n v="20000005837"/>
    <s v="CLTN500 SC TOLUREX 50 SC 1000LT"/>
    <s v="0000000213"/>
    <d v="2025-11-13T00:00:00"/>
    <s v="1329064"/>
    <s v=""/>
    <n v="7000"/>
    <n v="7000"/>
    <d v="2025-11-03T00:00:00"/>
    <x v="3"/>
    <n v="7000"/>
    <s v="1001"/>
    <s v="L"/>
    <s v=""/>
    <s v="1528"/>
    <s v="TECO CNF  DLV  PRC  BASC BCRQ GMPS MACM*"/>
    <x v="5"/>
    <n v="28"/>
    <e v="#REF!"/>
    <e v="#REF!"/>
    <e v="#REF!"/>
  </r>
  <r>
    <n v="50000000053"/>
    <s v="DELTA DAMASCONE CRUD 1.00 KG"/>
    <s v="0000012773"/>
    <d v="2025-11-08T00:00:00"/>
    <s v="1327412"/>
    <s v=""/>
    <n v="6000"/>
    <n v="6524"/>
    <d v="2025-10-30T00:00:00"/>
    <x v="3"/>
    <n v="0"/>
    <s v="1001"/>
    <s v="KG"/>
    <s v=""/>
    <s v="1141"/>
    <s v="REL  CNF  DLV  PRC  BASC BCRQ GMPS ILAS*"/>
    <x v="0"/>
    <e v="#N/A"/>
    <e v="#REF!"/>
    <e v="#REF!"/>
    <e v="#REF!"/>
  </r>
  <r>
    <n v="30000000084"/>
    <s v="DRON510BRMC490 WP KROVAR TECH 500 KG"/>
    <s v="0000008196"/>
    <d v="2025-11-07T00:00:00"/>
    <s v="1327153"/>
    <s v=""/>
    <n v="2000"/>
    <n v="1500"/>
    <d v="2025-11-01T00:00:00"/>
    <x v="3"/>
    <n v="0"/>
    <s v="1001"/>
    <s v="KG"/>
    <s v=""/>
    <s v="1540"/>
    <s v="REL  PRC  BASC BCRQ GMPS MACM ORRQ PDLV*"/>
    <x v="14"/>
    <e v="#N/A"/>
    <e v="#REF!"/>
    <e v="#REF!"/>
    <e v="#REF!"/>
  </r>
  <r>
    <n v="20000000722"/>
    <s v="PNDM400 CS PENDIMETHALINE 400CS 200 L"/>
    <s v="0000069440"/>
    <d v="2025-11-07T00:00:00"/>
    <s v="1327258"/>
    <s v=""/>
    <n v="3600"/>
    <n v="3800"/>
    <d v="2025-10-30T00:00:00"/>
    <x v="3"/>
    <n v="3800"/>
    <s v="1001"/>
    <s v="L"/>
    <s v=""/>
    <s v="1525"/>
    <s v="REL  CNF  DLV  PRC  BASC BCRQ GMPS MACM*"/>
    <x v="2"/>
    <e v="#N/A"/>
    <e v="#REF!"/>
    <e v="#REF!"/>
    <e v="#REF!"/>
  </r>
  <r>
    <n v="50000000091"/>
    <s v="GALIGAN IN TOLUENE ISO"/>
    <s v="0000009613"/>
    <d v="2025-11-07T00:00:00"/>
    <s v="1328536"/>
    <s v=""/>
    <n v="4800"/>
    <n v="5028"/>
    <d v="2025-10-30T00:00:00"/>
    <x v="3"/>
    <n v="0"/>
    <s v="1001"/>
    <s v="KG"/>
    <s v=""/>
    <s v="1125"/>
    <s v="REL  CNF  DLV  PRC  BASC BCRQ GMPS ILAS*"/>
    <x v="11"/>
    <e v="#N/A"/>
    <e v="#REF!"/>
    <e v="#REF!"/>
    <e v="#REF!"/>
  </r>
  <r>
    <n v="10000000430"/>
    <s v="DRON468+HZNN132 WG HEXARON 5KG BR 5KG BR"/>
    <s v="0000042578"/>
    <d v="2025-11-04T00:00:00"/>
    <s v="1326703"/>
    <s v=""/>
    <n v="2880"/>
    <n v="2880"/>
    <d v="2025-11-02T00:00:00"/>
    <x v="3"/>
    <n v="0"/>
    <s v="1001"/>
    <s v="KG"/>
    <s v=""/>
    <s v="1519"/>
    <s v="REL  DLV  PRC  BASC BCRQ GMPS ILAS MANC*"/>
    <x v="8"/>
    <n v="19"/>
    <e v="#REF!"/>
    <e v="#REF!"/>
    <e v="#REF!"/>
  </r>
  <r>
    <n v="10000000430"/>
    <s v="DRON468+HZNN132 WG HEXARON 5KG BR 5KG BR"/>
    <s v="0000042579"/>
    <d v="2025-11-04T00:00:00"/>
    <s v="1326704"/>
    <s v=""/>
    <n v="2880"/>
    <n v="2880"/>
    <d v="2025-11-02T00:00:00"/>
    <x v="3"/>
    <n v="0"/>
    <s v="1001"/>
    <s v="KG"/>
    <s v=""/>
    <s v="1519"/>
    <s v="REL  CNF  DLV  PRC  BASC BCRQ GMPS ILAS*"/>
    <x v="8"/>
    <n v="19"/>
    <e v="#REF!"/>
    <e v="#REF!"/>
    <e v="#REF!"/>
  </r>
  <r>
    <n v="10000000430"/>
    <s v="DRON468+HZNN132 WG HEXARON 5KG BR 5KG BR"/>
    <s v="0000042580"/>
    <d v="2025-11-04T00:00:00"/>
    <s v="1326705"/>
    <s v=""/>
    <n v="2880"/>
    <n v="2880"/>
    <d v="2025-11-02T00:00:00"/>
    <x v="3"/>
    <n v="0"/>
    <s v="1001"/>
    <s v="KG"/>
    <s v=""/>
    <s v="1519"/>
    <s v="REL  CNF  DLV  PRC  BASC BCRQ GMPS ILAS*"/>
    <x v="8"/>
    <n v="19"/>
    <e v="#REF!"/>
    <e v="#REF!"/>
    <e v="#REF!"/>
  </r>
  <r>
    <n v="10000000430"/>
    <s v="DRON468+HZNN132 WG HEXARON 5KG BR 5KG BR"/>
    <s v="0000042581"/>
    <d v="2025-11-04T00:00:00"/>
    <s v="1326706"/>
    <s v=""/>
    <n v="2880"/>
    <n v="2880"/>
    <d v="2025-11-03T00:00:00"/>
    <x v="3"/>
    <n v="0"/>
    <s v="1001"/>
    <s v="KG"/>
    <s v=""/>
    <s v="1519"/>
    <s v="REL  CNF  DLV  PRC  BASC BCRQ GMPS ILAS*"/>
    <x v="8"/>
    <n v="19"/>
    <e v="#REF!"/>
    <e v="#REF!"/>
    <e v="#REF!"/>
  </r>
  <r>
    <n v="10000000430"/>
    <s v="DRON468+HZNN132 WG HEXARON 5KG BR 5KG BR"/>
    <s v="0000042582"/>
    <d v="2025-11-04T00:00:00"/>
    <s v="1326707"/>
    <s v=""/>
    <n v="2880"/>
    <n v="2880"/>
    <d v="2025-11-03T00:00:00"/>
    <x v="3"/>
    <n v="0"/>
    <s v="1001"/>
    <s v="KG"/>
    <s v=""/>
    <s v="1519"/>
    <s v="REL  CNF  DLV  PRC  BASC BCRQ GMPS ILAS*"/>
    <x v="8"/>
    <n v="19"/>
    <e v="#REF!"/>
    <e v="#REF!"/>
    <e v="#REF!"/>
  </r>
  <r>
    <n v="10000000521"/>
    <s v="24DA306.1+FLSL6 SE DICOTON  - 5 L 5LT RO"/>
    <s v="0000002424"/>
    <d v="2025-11-03T00:00:00"/>
    <s v="1327471"/>
    <s v="211016140"/>
    <n v="4800"/>
    <n v="4800"/>
    <d v="2025-10-29T00:00:00"/>
    <x v="3"/>
    <n v="0"/>
    <s v="1001"/>
    <s v="L"/>
    <s v=""/>
    <s v="1542"/>
    <s v="REL  DLV  PRC  BASC BCRQ GMPS MANC ORRQ*"/>
    <x v="23"/>
    <s v="1 liter "/>
    <e v="#REF!"/>
    <e v="#REF!"/>
    <e v="#REF!"/>
  </r>
  <r>
    <n v="30000000097"/>
    <s v="MTZC735 TC METAZACHLR T WT CRUD 600 KG"/>
    <s v="0000009011"/>
    <d v="2025-11-02T00:00:00"/>
    <s v="1327159"/>
    <s v=""/>
    <n v="2800"/>
    <n v="2750"/>
    <d v="2025-10-27T00:00:00"/>
    <x v="3"/>
    <n v="0"/>
    <s v="1001"/>
    <s v="KG"/>
    <s v=""/>
    <s v="1541"/>
    <s v="REL  CNF  PRC  BASC BCRQ GMPS ILAS MACM*"/>
    <x v="13"/>
    <e v="#N/A"/>
    <e v="#REF!"/>
    <e v="#REF!"/>
    <e v="#REF!"/>
  </r>
  <r>
    <n v="30000000097"/>
    <s v="MTZC735 TC METAZACHLR T WT CRUD 600 KG"/>
    <s v="0000009012"/>
    <d v="2025-11-02T00:00:00"/>
    <s v="1327200"/>
    <s v=""/>
    <n v="2800"/>
    <n v="2708"/>
    <d v="2025-10-27T00:00:00"/>
    <x v="3"/>
    <n v="0"/>
    <s v="1001"/>
    <s v="KG"/>
    <s v=""/>
    <s v="1541"/>
    <s v="REL  CNF  DLV  PRC  BASC BCRQ GMPS ILAS*"/>
    <x v="13"/>
    <e v="#N/A"/>
    <e v="#REF!"/>
    <e v="#REF!"/>
    <e v="#REF!"/>
  </r>
  <r>
    <n v="30000000077"/>
    <s v="DRON970 TC DIUREX TECH MILLED 600 KG"/>
    <s v="0000053664"/>
    <d v="2025-11-02T00:00:00"/>
    <s v="1328459"/>
    <s v=""/>
    <n v="3600"/>
    <n v="3600"/>
    <d v="2025-11-03T00:00:00"/>
    <x v="3"/>
    <n v="0"/>
    <s v="1001"/>
    <s v="KG"/>
    <s v=""/>
    <s v="1540"/>
    <s v="REL  PCNF DLV  PRC  BASC BCRQ GMPS MACM*"/>
    <x v="18"/>
    <e v="#N/A"/>
    <e v="#REF!"/>
    <e v="#REF!"/>
    <e v="#REF!"/>
  </r>
  <r>
    <n v="30000000077"/>
    <s v="DRON970 TC DIUREX TECH MILLED 600 KG"/>
    <s v="0000053665"/>
    <d v="2025-11-02T00:00:00"/>
    <s v="1328460"/>
    <s v=""/>
    <n v="3600"/>
    <n v="3600"/>
    <d v="2025-11-03T00:00:00"/>
    <x v="3"/>
    <n v="0"/>
    <s v="1001"/>
    <s v="KG"/>
    <s v=""/>
    <s v="1540"/>
    <s v="REL  PCNF DLV  PRC  BASC BCRQ GMPS MACM*"/>
    <x v="18"/>
    <e v="#N/A"/>
    <e v="#REF!"/>
    <e v="#REF!"/>
    <e v="#REF!"/>
  </r>
  <r>
    <n v="30000000077"/>
    <s v="DRON970 TC DIUREX TECH MILLED 600 KG"/>
    <s v="0000053666"/>
    <d v="2025-11-02T00:00:00"/>
    <s v="1328461"/>
    <s v=""/>
    <n v="3600"/>
    <n v="3600"/>
    <d v="2025-11-04T00:00:00"/>
    <x v="3"/>
    <n v="0"/>
    <s v="1001"/>
    <s v="KG"/>
    <s v=""/>
    <s v="1540"/>
    <s v="REL  PCNF DLV  PRC  BASC BCRQ GMPS MACM*"/>
    <x v="18"/>
    <e v="#N/A"/>
    <e v="#REF!"/>
    <e v="#REF!"/>
    <e v="#REF!"/>
  </r>
  <r>
    <n v="10000011614"/>
    <s v="BFNX480 SC SONAVIO 5LT IT"/>
    <s v="0000279206"/>
    <d v="2025-11-01T00:00:00"/>
    <s v="1318307"/>
    <s v="211015868"/>
    <n v="5400"/>
    <n v="600"/>
    <d v="2025-10-20T00:00:00"/>
    <x v="3"/>
    <n v="5400"/>
    <s v="1001"/>
    <s v="L"/>
    <s v=""/>
    <s v="1543"/>
    <s v="REL  PRT  CNF  PRC  BASC BCRQ GMPS MANC*"/>
    <x v="12"/>
    <n v="5"/>
    <e v="#REF!"/>
    <e v="#REF!"/>
    <e v="#REF!"/>
  </r>
  <r>
    <n v="10000001434"/>
    <s v="DELTA DAMASCONE 180KG"/>
    <s v="0000010179"/>
    <d v="2025-11-01T00:00:00"/>
    <s v="1323541"/>
    <s v=""/>
    <n v="7200"/>
    <n v="7920"/>
    <d v="2025-10-23T00:00:00"/>
    <x v="3"/>
    <n v="0"/>
    <s v="1001"/>
    <s v="KG"/>
    <s v=""/>
    <s v="1541"/>
    <s v="REL  CNF  DLV  PRC  BASC BCRQ GMPS ILAS*"/>
    <x v="24"/>
    <e v="#N/A"/>
    <e v="#REF!"/>
    <e v="#REF!"/>
    <e v="#REF!"/>
  </r>
  <r>
    <n v="10000009747"/>
    <s v="BR20FR80+MCPA20EC FORCFIGHT ALL1000LT CA"/>
    <s v="0000000191"/>
    <d v="2025-11-01T00:00:00"/>
    <s v="1325048"/>
    <s v=""/>
    <n v="10000"/>
    <n v="10000"/>
    <d v="2025-11-04T00:00:00"/>
    <x v="3"/>
    <n v="10000"/>
    <s v="1001"/>
    <s v="L"/>
    <s v=""/>
    <s v="1523"/>
    <s v="REL  CNF  DLV  PRC  BASC BCRQ GMPS MANC*"/>
    <x v="4"/>
    <n v="23"/>
    <e v="#REF!"/>
    <e v="#REF!"/>
    <e v="#REF!"/>
  </r>
  <r>
    <n v="20000008007"/>
    <s v="PNMP320 SC PHENMEDIPHAM 320GL SC 1000LT"/>
    <s v="0000000104"/>
    <d v="2025-11-01T00:00:00"/>
    <s v="1326103"/>
    <s v=""/>
    <n v="7000"/>
    <n v="7000"/>
    <d v="2025-11-01T00:00:00"/>
    <x v="3"/>
    <n v="7000"/>
    <s v="1001"/>
    <s v="L"/>
    <s v=""/>
    <s v="1528"/>
    <s v="TECO CNF  DLV  PRC  BASC BCRQ GMPS MANC*"/>
    <x v="5"/>
    <e v="#N/A"/>
    <e v="#REF!"/>
    <e v="#REF!"/>
    <e v="#REF!"/>
  </r>
  <r>
    <n v="20000008007"/>
    <s v="PNMP320 SC PHENMEDIPHAM 320GL SC 1000LT"/>
    <s v="0000000105"/>
    <d v="2025-11-01T00:00:00"/>
    <s v="1326104"/>
    <s v=""/>
    <n v="7000"/>
    <n v="7000"/>
    <d v="2025-11-01T00:00:00"/>
    <x v="3"/>
    <n v="7000"/>
    <s v="1001"/>
    <s v="L"/>
    <s v=""/>
    <s v="1528"/>
    <s v="TECO CNF  DLV  PRC  BASC BCRQ GMPS MACM*"/>
    <x v="5"/>
    <e v="#N/A"/>
    <e v="#REF!"/>
    <e v="#REF!"/>
    <e v="#REF!"/>
  </r>
  <r>
    <n v="20000008007"/>
    <s v="PNMP320 SC PHENMEDIPHAM 320GL SC 1000LT"/>
    <s v="0000000106"/>
    <d v="2025-11-01T00:00:00"/>
    <s v="1326105"/>
    <s v=""/>
    <n v="7000"/>
    <n v="7000"/>
    <d v="2025-11-01T00:00:00"/>
    <x v="3"/>
    <n v="0"/>
    <s v="1001"/>
    <s v="L"/>
    <s v=""/>
    <s v="1528"/>
    <s v="REL  CNF  DLV  PRC  BASC BCRQ GMPS MACM*"/>
    <x v="5"/>
    <e v="#N/A"/>
    <e v="#REF!"/>
    <e v="#REF!"/>
    <e v="#REF!"/>
  </r>
  <r>
    <n v="50000000080"/>
    <s v="NANA 1.00 KG"/>
    <s v="0000136132"/>
    <d v="2025-11-01T00:00:00"/>
    <s v="1326272"/>
    <s v=""/>
    <n v="3900"/>
    <n v="3878"/>
    <d v="2025-10-30T00:00:00"/>
    <x v="3"/>
    <n v="0"/>
    <s v="1001"/>
    <s v="KG"/>
    <s v=""/>
    <s v="1141"/>
    <s v="REL  CNF  PRC  BASC BCRQ GMPS ILAS MACM*"/>
    <x v="7"/>
    <e v="#N/A"/>
    <e v="#REF!"/>
    <e v="#REF!"/>
    <e v="#REF!"/>
  </r>
  <r>
    <n v="10000010430"/>
    <s v="ATRL1000 ATRALONE 50KG GENERAL NEW"/>
    <s v="0000284777"/>
    <d v="2025-11-01T00:00:00"/>
    <s v="1327212"/>
    <s v=""/>
    <n v="1800"/>
    <n v="1650"/>
    <d v="2025-10-27T00:00:00"/>
    <x v="3"/>
    <n v="0"/>
    <s v="1001"/>
    <s v="KG"/>
    <s v=""/>
    <s v="1541"/>
    <s v="REL  CNF  PRC  BASC BCRQ GMPS ILAS MACM*"/>
    <x v="9"/>
    <e v="#N/A"/>
    <e v="#REF!"/>
    <e v="#REF!"/>
    <e v="#REF!"/>
  </r>
  <r>
    <n v="10000000521"/>
    <s v="24DA306.1+FLSL6 SE DICOTON  - 5 L 5LT RO"/>
    <s v="0000002423"/>
    <d v="2025-10-29T00:00:00"/>
    <s v="1327470"/>
    <s v="211015109"/>
    <n v="5400"/>
    <n v="5400"/>
    <d v="2025-10-29T00:00:00"/>
    <x v="3"/>
    <n v="0"/>
    <s v="1001"/>
    <s v="L"/>
    <s v=""/>
    <s v="1542"/>
    <s v="REL  DLV  PRC  BASC BCRQ GMPS MANC ORRQ*"/>
    <x v="23"/>
    <s v="1 liter "/>
    <e v="#REF!"/>
    <e v="#REF!"/>
    <e v="#REF!"/>
  </r>
  <r>
    <n v="10000000513"/>
    <s v="24DA306.1+FLSL6 SE CONCORDIA 306  5LT RO"/>
    <s v="0000001734"/>
    <d v="2025-10-29T00:00:00"/>
    <s v="1327472"/>
    <s v="211016007"/>
    <n v="7200"/>
    <n v="7200"/>
    <d v="2025-10-29T00:00:00"/>
    <x v="3"/>
    <n v="0"/>
    <s v="1001"/>
    <s v="L"/>
    <s v=""/>
    <s v="1542"/>
    <s v="REL  DLV  PRC  BASC BCRQ GMPS MANC ORRQ*"/>
    <x v="12"/>
    <s v="24P"/>
    <e v="#REF!"/>
    <e v="#REF!"/>
    <e v="#REF!"/>
  </r>
  <r>
    <n v="30000000076"/>
    <s v="DRON970 TC DIUREX TECH MILLED 550 KG"/>
    <s v="0000151703"/>
    <d v="2025-10-28T00:00:00"/>
    <s v="1326761"/>
    <s v=""/>
    <n v="3300"/>
    <n v="3300"/>
    <d v="2025-11-02T00:00:00"/>
    <x v="3"/>
    <n v="0"/>
    <s v="1001"/>
    <s v="KG"/>
    <s v=""/>
    <s v="1540"/>
    <s v="REL  PCNF DLV  PRC  BASC BCRQ GMPS MACM*"/>
    <x v="18"/>
    <e v="#N/A"/>
    <e v="#REF!"/>
    <e v="#REF!"/>
    <e v="#REF!"/>
  </r>
  <r>
    <n v="50000000049"/>
    <s v="DELTA MTL KTN CR RUS 1.00 KG"/>
    <s v="0000007628"/>
    <d v="2025-10-24T00:00:00"/>
    <s v="1325351"/>
    <s v=""/>
    <n v="2000"/>
    <n v="2220"/>
    <d v="2025-10-27T00:00:00"/>
    <x v="3"/>
    <n v="0"/>
    <s v="1001"/>
    <s v="KG"/>
    <s v=""/>
    <s v="1141"/>
    <s v="REL  CNF  DLV  PRC  BASC BCRQ GMPS ILAS*"/>
    <x v="0"/>
    <e v="#N/A"/>
    <e v="#REF!"/>
    <e v="#REF!"/>
    <e v="#REF!"/>
  </r>
  <r>
    <n v="50000000108"/>
    <s v="PROPAQUIZAFOP PRMX25 1000 KG"/>
    <s v="0000003507"/>
    <d v="2025-10-20T00:00:00"/>
    <s v="1325719"/>
    <s v=""/>
    <n v="8000"/>
    <n v="8000"/>
    <d v="2025-10-28T00:00:00"/>
    <x v="3"/>
    <n v="0"/>
    <s v="1001"/>
    <s v="KG"/>
    <s v=""/>
    <s v="1525"/>
    <s v="REL  PCNF DLV  PRC  BASC BCRQ GMPS ILAS*"/>
    <x v="19"/>
    <e v="#N/A"/>
    <e v="#REF!"/>
    <e v="#REF!"/>
    <e v="#REF!"/>
  </r>
  <r>
    <n v="20000004926"/>
    <s v="FCDN250 EC FLUROCHLORIDON 25EC 190L(new)"/>
    <s v="0000331574"/>
    <d v="2025-10-15T00:00:00"/>
    <s v="1324737"/>
    <s v=""/>
    <n v="7200"/>
    <n v="6840"/>
    <d v="2025-11-04T00:00:00"/>
    <x v="3"/>
    <n v="6840"/>
    <s v="1001"/>
    <s v="L"/>
    <s v=""/>
    <s v="1523"/>
    <s v="REL  CNF  PRC  BASC BCRQ GMPS MACM ORRQ*"/>
    <x v="4"/>
    <n v="23"/>
    <e v="#REF!"/>
    <e v="#REF!"/>
    <e v="#REF!"/>
  </r>
  <r>
    <n v="10000014513"/>
    <s v="BFNX480 SC FOX 480 SC 5LT UK"/>
    <s v="0000000101"/>
    <d v="2025-10-05T00:00:00"/>
    <s v="1318309"/>
    <s v="211015389"/>
    <n v="5400"/>
    <n v="5400"/>
    <d v="2025-10-20T00:00:00"/>
    <x v="3"/>
    <n v="5400"/>
    <s v="1001"/>
    <s v="L"/>
    <s v=""/>
    <s v="1543"/>
    <s v="REL  PRT  CNF  DLV  PRC  BASC BCRQ GMPS*"/>
    <x v="12"/>
    <e v="#N/A"/>
    <e v="#REF!"/>
    <e v="#REF!"/>
    <e v="#REF!"/>
  </r>
  <r>
    <n v="50000000064"/>
    <s v="FLUROCHLORIDONE44.5C 200.00 KG"/>
    <s v="0000002858"/>
    <d v="2025-10-01T00:00:00"/>
    <s v="1317532"/>
    <s v=""/>
    <n v="7200"/>
    <n v="6380"/>
    <d v="2025-10-28T00:00:00"/>
    <x v="3"/>
    <n v="0"/>
    <s v="1001"/>
    <s v="KG"/>
    <s v=""/>
    <n v="1125"/>
    <s v="REL  CNF  PRC  BASC BCRQ GMPS ILAS MACM*"/>
    <x v="22"/>
    <e v="#N/A"/>
    <e v="#REF!"/>
    <e v="#REF!"/>
    <e v="#REF!"/>
  </r>
  <r>
    <n v="20000006540"/>
    <s v="MTMN350QNMC60 SC MTM 350+QUIN 60 1000L"/>
    <s v="0000000125"/>
    <d v="2025-10-01T00:00:00"/>
    <s v="1327230"/>
    <s v=""/>
    <n v="7000"/>
    <n v="7000"/>
    <d v="2025-11-01T00:00:00"/>
    <x v="3"/>
    <n v="7000"/>
    <s v="1001"/>
    <s v="L"/>
    <s v=""/>
    <s v="1528"/>
    <s v="REL  CNF  DLV  PRC  BASC BCRQ GMPS MACM*"/>
    <x v="5"/>
    <e v="#N/A"/>
    <e v="#REF!"/>
    <e v="#REF!"/>
    <e v="#REF!"/>
  </r>
  <r>
    <n v="50000002339"/>
    <s v="ETHANOL RETURNED 800KG"/>
    <s v="0000335120"/>
    <d v="2025-09-01T00:00:00"/>
    <s v="1314904"/>
    <s v=""/>
    <n v="4800"/>
    <n v="4600"/>
    <d v="2025-08-24T00:00:00"/>
    <x v="3"/>
    <n v="0"/>
    <s v="1001"/>
    <s v="KG"/>
    <s v=""/>
    <s v="1525"/>
    <s v="REL  CNF  PRC  BASC BCRQ GMPS ILAS MACM*"/>
    <x v="6"/>
    <e v="#N/A"/>
    <e v="#REF!"/>
    <e v="#REF!"/>
    <e v="#REF!"/>
  </r>
  <r>
    <n v="10000000771"/>
    <s v="MTMN150 SG BREVIS SG 1KG IT"/>
    <s v="0000002407"/>
    <d v="2025-09-01T00:00:00"/>
    <s v="1315688"/>
    <s v="211015102"/>
    <n v="2160"/>
    <n v="240"/>
    <d v="2025-10-26T00:00:00"/>
    <x v="3"/>
    <n v="0"/>
    <s v="1001"/>
    <s v="KG"/>
    <s v=""/>
    <s v="1519"/>
    <s v="REL  PRC  BASC BCRQ GMPS ILAS MANC ORRQ*"/>
    <x v="8"/>
    <s v="19P"/>
    <e v="#REF!"/>
    <e v="#REF!"/>
    <e v="#REF!"/>
  </r>
  <r>
    <n v="20000000822"/>
    <s v="TBAZ500 SC TYLLANEX 50 SC 200 L"/>
    <n v="8754"/>
    <d v="2025-11-20T00:00:00"/>
    <n v="1329024"/>
    <m/>
    <n v="7200"/>
    <n v="6400"/>
    <d v="2025-11-04T00:00:00"/>
    <x v="4"/>
    <n v="6400"/>
    <n v="1001"/>
    <s v="L"/>
    <m/>
    <n v="1528"/>
    <s v="TECO CNF  PRC  BASC BCRQ GMPS MACM ORRQ*"/>
    <x v="5"/>
    <n v="28"/>
    <e v="#REF!"/>
    <e v="#REF!"/>
    <e v="#REF!"/>
  </r>
  <r>
    <n v="20000000822"/>
    <s v="TBAZ500 SC TYLLANEX 50 SC 200 L"/>
    <n v="8755"/>
    <d v="2025-11-20T00:00:00"/>
    <n v="1329025"/>
    <m/>
    <n v="7200"/>
    <n v="7200"/>
    <d v="2025-11-04T00:00:00"/>
    <x v="4"/>
    <n v="7200"/>
    <n v="1001"/>
    <s v="L"/>
    <m/>
    <n v="1528"/>
    <s v="REL  CNF  DLV  PRC  BASC BCRQ GMPS MACM*"/>
    <x v="5"/>
    <n v="28"/>
    <e v="#REF!"/>
    <e v="#REF!"/>
    <e v="#REF!"/>
  </r>
  <r>
    <n v="50000000090"/>
    <s v="ETHOXY (GALIGAN) ISO"/>
    <n v="6075"/>
    <d v="2025-11-16T00:00:00"/>
    <n v="1329732"/>
    <m/>
    <n v="1720"/>
    <n v="1756"/>
    <d v="2025-11-04T00:00:00"/>
    <x v="4"/>
    <n v="0"/>
    <n v="1001"/>
    <s v="KG"/>
    <m/>
    <n v="1125"/>
    <s v="REL  CNF  DLV  PRC  BASC BCRQ GMPS ILAS*"/>
    <x v="11"/>
    <e v="#N/A"/>
    <e v="#REF!"/>
    <e v="#REF!"/>
    <e v="#REF!"/>
  </r>
  <r>
    <n v="20000005837"/>
    <s v="CLTN500 SC TOLUREX 50 SC 1000LT"/>
    <n v="214"/>
    <d v="2025-11-13T00:00:00"/>
    <n v="1329065"/>
    <m/>
    <n v="7000"/>
    <n v="8000"/>
    <d v="2025-11-04T00:00:00"/>
    <x v="4"/>
    <n v="8000"/>
    <n v="1001"/>
    <s v="L"/>
    <m/>
    <n v="1528"/>
    <s v="TECO CNF  DLV  PRC  BASC BCRQ GMPS MANC*"/>
    <x v="5"/>
    <n v="28"/>
    <e v="#REF!"/>
    <e v="#REF!"/>
    <e v="#REF!"/>
  </r>
  <r>
    <n v="50000000053"/>
    <s v="DELTA DAMASCONE CRUD 1.00 KG"/>
    <n v="12774"/>
    <d v="2025-11-08T00:00:00"/>
    <n v="1327413"/>
    <m/>
    <n v="6000"/>
    <n v="6558"/>
    <d v="2025-10-30T00:00:00"/>
    <x v="4"/>
    <n v="0"/>
    <n v="1001"/>
    <s v="KG"/>
    <m/>
    <n v="1141"/>
    <s v="REL  CNF  DLV  PRC  BASC BCRQ GMPS ILAS*"/>
    <x v="0"/>
    <e v="#N/A"/>
    <e v="#REF!"/>
    <e v="#REF!"/>
    <e v="#REF!"/>
  </r>
  <r>
    <n v="10000000430"/>
    <s v="DRON468+HZNN132 WG HEXARON 5KG BR 5KG BR"/>
    <n v="42589"/>
    <d v="2025-11-07T00:00:00"/>
    <n v="1326714"/>
    <m/>
    <n v="2880"/>
    <n v="2880"/>
    <d v="2025-11-04T00:00:00"/>
    <x v="4"/>
    <n v="0"/>
    <n v="1001"/>
    <s v="KG"/>
    <m/>
    <n v="1519"/>
    <s v="REL  CNF  DLV  PRC  BASC BCRQ GMPS ILAS*"/>
    <x v="8"/>
    <n v="19"/>
    <e v="#REF!"/>
    <e v="#REF!"/>
    <e v="#REF!"/>
  </r>
  <r>
    <n v="10000000430"/>
    <s v="DRON468+HZNN132 WG HEXARON 5KG BR 5KG BR"/>
    <n v="42591"/>
    <d v="2025-11-07T00:00:00"/>
    <n v="1326716"/>
    <m/>
    <n v="2880"/>
    <n v="2880"/>
    <d v="2025-11-05T00:00:00"/>
    <x v="4"/>
    <n v="0"/>
    <n v="1001"/>
    <s v="KG"/>
    <m/>
    <n v="1519"/>
    <s v="REL  CNF  DLV  PRC  BASC BCRQ GMPS ILAS*"/>
    <x v="8"/>
    <n v="19"/>
    <e v="#REF!"/>
    <e v="#REF!"/>
    <e v="#REF!"/>
  </r>
  <r>
    <n v="10000000430"/>
    <s v="DRON468+HZNN132 WG HEXARON 5KG BR 5KG BR"/>
    <n v="42593"/>
    <d v="2025-11-07T00:00:00"/>
    <n v="1326718"/>
    <m/>
    <n v="2880"/>
    <n v="2880"/>
    <d v="2025-11-05T00:00:00"/>
    <x v="4"/>
    <n v="0"/>
    <n v="1001"/>
    <s v="KG"/>
    <m/>
    <n v="1519"/>
    <s v="REL  CNF  DLV  PRC  BASC BCRQ GMPS ILAS*"/>
    <x v="8"/>
    <n v="19"/>
    <e v="#REF!"/>
    <e v="#REF!"/>
    <e v="#REF!"/>
  </r>
  <r>
    <n v="10000000430"/>
    <s v="DRON468+HZNN132 WG HEXARON 5KG BR 5KG BR"/>
    <n v="42595"/>
    <d v="2025-11-07T00:00:00"/>
    <n v="1326720"/>
    <m/>
    <n v="2880"/>
    <n v="2880"/>
    <d v="2025-11-05T00:00:00"/>
    <x v="4"/>
    <n v="0"/>
    <n v="1001"/>
    <s v="KG"/>
    <m/>
    <n v="1519"/>
    <s v="REL  DLV  PRC  BASC BCRQ GMPS ILAS MANC*"/>
    <x v="8"/>
    <n v="19"/>
    <e v="#REF!"/>
    <e v="#REF!"/>
    <e v="#REF!"/>
  </r>
  <r>
    <n v="30000000099"/>
    <s v="OXFF970 TC GALIGAN TECH 97% CRD  1000KG"/>
    <n v="2877"/>
    <d v="2025-11-07T00:00:00"/>
    <n v="1327075"/>
    <m/>
    <n v="1650"/>
    <n v="1650"/>
    <d v="2025-10-27T00:00:00"/>
    <x v="4"/>
    <n v="0"/>
    <n v="1001"/>
    <s v="KG"/>
    <m/>
    <n v="1125"/>
    <s v="REL  CNF  DLV  PRC  BASC BCRQ GMPS ILAS*"/>
    <x v="16"/>
    <e v="#N/A"/>
    <e v="#REF!"/>
    <e v="#REF!"/>
    <e v="#REF!"/>
  </r>
  <r>
    <n v="20000000722"/>
    <s v="PNDM400 CS PENDIMETHALINE 400CS 200 L"/>
    <n v="69441"/>
    <d v="2025-11-07T00:00:00"/>
    <n v="1327259"/>
    <m/>
    <n v="3600"/>
    <n v="3800"/>
    <d v="2025-10-30T00:00:00"/>
    <x v="4"/>
    <n v="3800"/>
    <n v="1001"/>
    <s v="L"/>
    <m/>
    <n v="1525"/>
    <s v="REL  CNF  DLV  PRC  BASC BCRQ GMPS MACM*"/>
    <x v="2"/>
    <e v="#N/A"/>
    <e v="#REF!"/>
    <e v="#REF!"/>
    <e v="#REF!"/>
  </r>
  <r>
    <n v="50000000091"/>
    <s v="GALIGAN IN TOLUENE ISO"/>
    <n v="9614"/>
    <d v="2025-11-07T00:00:00"/>
    <n v="1328537"/>
    <m/>
    <n v="4800"/>
    <n v="5092"/>
    <d v="2025-10-30T00:00:00"/>
    <x v="4"/>
    <n v="0"/>
    <n v="1001"/>
    <s v="KG"/>
    <m/>
    <n v="1125"/>
    <s v="REL  CNF  DLV  PRC  BASC BCRQ GMPS ILAS*"/>
    <x v="11"/>
    <e v="#N/A"/>
    <e v="#REF!"/>
    <e v="#REF!"/>
    <e v="#REF!"/>
  </r>
  <r>
    <n v="50000000058"/>
    <s v="DMK DIST RUS 1.00 KG"/>
    <n v="277608"/>
    <d v="2025-11-04T00:00:00"/>
    <n v="1326279"/>
    <m/>
    <n v="7500"/>
    <n v="7256"/>
    <d v="2025-10-27T00:00:00"/>
    <x v="4"/>
    <n v="0"/>
    <n v="1001"/>
    <s v="KG"/>
    <m/>
    <n v="1141"/>
    <s v="REL  CNF  PRC  BASC BCRQ GMPS ILAS MACM*"/>
    <x v="11"/>
    <e v="#N/A"/>
    <e v="#REF!"/>
    <e v="#REF!"/>
    <e v="#REF!"/>
  </r>
  <r>
    <n v="10000000430"/>
    <s v="DRON468+HZNN132 WG HEXARON 5KG BR 5KG BR"/>
    <n v="42583"/>
    <d v="2025-11-04T00:00:00"/>
    <n v="1326708"/>
    <m/>
    <n v="2880"/>
    <n v="2880"/>
    <d v="2025-11-04T00:00:00"/>
    <x v="4"/>
    <n v="0"/>
    <n v="1001"/>
    <s v="KG"/>
    <m/>
    <n v="1519"/>
    <s v="REL  CNF  DLV  PRC  BASC BCRQ GMPS ILAS*"/>
    <x v="8"/>
    <n v="19"/>
    <e v="#REF!"/>
    <e v="#REF!"/>
    <e v="#REF!"/>
  </r>
  <r>
    <n v="10000000430"/>
    <s v="DRON468+HZNN132 WG HEXARON 5KG BR 5KG BR"/>
    <n v="42584"/>
    <d v="2025-11-04T00:00:00"/>
    <n v="1326709"/>
    <m/>
    <n v="2880"/>
    <n v="2880"/>
    <d v="2025-11-04T00:00:00"/>
    <x v="4"/>
    <n v="0"/>
    <n v="1001"/>
    <s v="KG"/>
    <m/>
    <n v="1519"/>
    <s v="REL  DLV  PRC  BASC BCRQ GMPS ILAS MANC*"/>
    <x v="8"/>
    <n v="19"/>
    <e v="#REF!"/>
    <e v="#REF!"/>
    <e v="#REF!"/>
  </r>
  <r>
    <n v="10000000430"/>
    <s v="DRON468+HZNN132 WG HEXARON 5KG BR 5KG BR"/>
    <n v="42585"/>
    <d v="2025-11-04T00:00:00"/>
    <n v="1326710"/>
    <m/>
    <n v="2880"/>
    <n v="2880"/>
    <d v="2025-11-04T00:00:00"/>
    <x v="4"/>
    <n v="0"/>
    <n v="1001"/>
    <s v="KG"/>
    <m/>
    <n v="1519"/>
    <s v="REL  DLV  PRC  BASC BCRQ GMPS ILAS MANC*"/>
    <x v="8"/>
    <n v="19"/>
    <e v="#REF!"/>
    <e v="#REF!"/>
    <e v="#REF!"/>
  </r>
  <r>
    <n v="10000000430"/>
    <s v="DRON468+HZNN132 WG HEXARON 5KG BR 5KG BR"/>
    <n v="42586"/>
    <d v="2025-11-04T00:00:00"/>
    <n v="1326711"/>
    <m/>
    <n v="2880"/>
    <n v="2880"/>
    <d v="2025-11-04T00:00:00"/>
    <x v="4"/>
    <n v="0"/>
    <n v="1001"/>
    <s v="KG"/>
    <m/>
    <n v="1519"/>
    <s v="REL  DLV  PRC  BASC BCRQ GMPS ILAS MANC*"/>
    <x v="8"/>
    <n v="19"/>
    <e v="#REF!"/>
    <e v="#REF!"/>
    <e v="#REF!"/>
  </r>
  <r>
    <n v="10000000430"/>
    <s v="DRON468+HZNN132 WG HEXARON 5KG BR 5KG BR"/>
    <n v="42587"/>
    <d v="2025-11-04T00:00:00"/>
    <n v="1326712"/>
    <m/>
    <n v="2880"/>
    <n v="2880"/>
    <d v="2025-11-04T00:00:00"/>
    <x v="4"/>
    <n v="0"/>
    <n v="1001"/>
    <s v="KG"/>
    <m/>
    <n v="1519"/>
    <s v="REL  CNF  DLV  PRC  BASC BCRQ GMPS ILAS*"/>
    <x v="8"/>
    <n v="19"/>
    <e v="#REF!"/>
    <e v="#REF!"/>
    <e v="#REF!"/>
  </r>
  <r>
    <n v="10000000430"/>
    <s v="DRON468+HZNN132 WG HEXARON 5KG BR 5KG BR"/>
    <n v="42588"/>
    <d v="2025-11-04T00:00:00"/>
    <n v="1326713"/>
    <m/>
    <n v="2880"/>
    <n v="2880"/>
    <d v="2025-11-04T00:00:00"/>
    <x v="4"/>
    <n v="0"/>
    <n v="1001"/>
    <s v="KG"/>
    <m/>
    <n v="1519"/>
    <s v="REL  CNF  DLV  PRC  BASC BCRQ GMPS ILAS*"/>
    <x v="8"/>
    <n v="19"/>
    <e v="#REF!"/>
    <e v="#REF!"/>
    <e v="#REF!"/>
  </r>
  <r>
    <n v="10000000430"/>
    <s v="DRON468+HZNN132 WG HEXARON 5KG BR 5KG BR"/>
    <n v="42590"/>
    <d v="2025-11-04T00:00:00"/>
    <n v="1326715"/>
    <m/>
    <n v="2880"/>
    <n v="2880"/>
    <d v="2025-11-04T00:00:00"/>
    <x v="4"/>
    <n v="0"/>
    <n v="1001"/>
    <s v="KG"/>
    <m/>
    <n v="1519"/>
    <s v="REL  CNF  DLV  PRC  BASC BCRQ GMPS ILAS*"/>
    <x v="8"/>
    <n v="19"/>
    <e v="#REF!"/>
    <e v="#REF!"/>
    <e v="#REF!"/>
  </r>
  <r>
    <n v="10000000430"/>
    <s v="DRON468+HZNN132 WG HEXARON 5KG BR 5KG BR"/>
    <n v="42592"/>
    <d v="2025-11-04T00:00:00"/>
    <n v="1326717"/>
    <m/>
    <n v="2880"/>
    <n v="2880"/>
    <d v="2025-11-05T00:00:00"/>
    <x v="4"/>
    <n v="0"/>
    <n v="1001"/>
    <s v="KG"/>
    <m/>
    <n v="1519"/>
    <s v="REL  CNF  DLV  PRC  BASC BCRQ GMPS ILAS*"/>
    <x v="8"/>
    <n v="19"/>
    <e v="#REF!"/>
    <e v="#REF!"/>
    <e v="#REF!"/>
  </r>
  <r>
    <n v="10000000430"/>
    <s v="DRON468+HZNN132 WG HEXARON 5KG BR 5KG BR"/>
    <n v="42594"/>
    <d v="2025-11-04T00:00:00"/>
    <n v="1326719"/>
    <m/>
    <n v="2880"/>
    <n v="2880"/>
    <d v="2025-11-05T00:00:00"/>
    <x v="4"/>
    <n v="0"/>
    <n v="1001"/>
    <s v="KG"/>
    <m/>
    <n v="1519"/>
    <s v="REL  DLV  PRC  BASC BCRQ GMPS ILAS MANC*"/>
    <x v="8"/>
    <n v="19"/>
    <e v="#REF!"/>
    <e v="#REF!"/>
    <e v="#REF!"/>
  </r>
  <r>
    <n v="10000000513"/>
    <s v="24DA306.1+FLSL6 SE CONCORDIA 306  5LT RO"/>
    <n v="1736"/>
    <d v="2025-11-04T00:00:00"/>
    <n v="1327474"/>
    <n v="211016007"/>
    <n v="7200"/>
    <n v="7200"/>
    <d v="2025-10-29T00:00:00"/>
    <x v="4"/>
    <n v="0"/>
    <n v="1001"/>
    <s v="L"/>
    <m/>
    <n v="1542"/>
    <s v="REL  DLV  PRC  BASC BCRQ GMPS MANC ORRQ*"/>
    <x v="12"/>
    <s v="24P"/>
    <e v="#REF!"/>
    <e v="#REF!"/>
    <e v="#REF!"/>
  </r>
  <r>
    <n v="10000000513"/>
    <s v="24DA306.1+FLSL6 SE CONCORDIA 306  5LT RO"/>
    <n v="1737"/>
    <d v="2025-11-04T00:00:00"/>
    <n v="1327475"/>
    <n v="211016007"/>
    <n v="3400"/>
    <n v="3400"/>
    <d v="2025-10-29T00:00:00"/>
    <x v="4"/>
    <n v="0"/>
    <n v="1001"/>
    <s v="L"/>
    <m/>
    <n v="1542"/>
    <s v="REL  DLV  PRC  BASC BCRQ GMPS MANC ORRQ*"/>
    <x v="12"/>
    <s v="24P"/>
    <e v="#REF!"/>
    <e v="#REF!"/>
    <e v="#REF!"/>
  </r>
  <r>
    <n v="50000000091"/>
    <s v="GALIGAN IN TOLUENE ISO"/>
    <n v="9612"/>
    <d v="2025-11-04T00:00:00"/>
    <n v="1328535"/>
    <m/>
    <n v="4800"/>
    <n v="4900"/>
    <d v="2025-10-30T00:00:00"/>
    <x v="4"/>
    <n v="0"/>
    <n v="1001"/>
    <s v="KG"/>
    <m/>
    <n v="1125"/>
    <s v="REL  CNF  DLV  PRC  BASC BCRQ GMPS ILAS*"/>
    <x v="11"/>
    <e v="#N/A"/>
    <e v="#REF!"/>
    <e v="#REF!"/>
    <e v="#REF!"/>
  </r>
  <r>
    <n v="20000000822"/>
    <s v="TBAZ500 SC TYLLANEX 50 SC 200 L"/>
    <n v="8756"/>
    <d v="2025-11-04T00:00:00"/>
    <n v="1329026"/>
    <m/>
    <n v="7200"/>
    <n v="7200"/>
    <d v="2025-11-04T00:00:00"/>
    <x v="4"/>
    <n v="7200"/>
    <n v="1001"/>
    <s v="L"/>
    <m/>
    <n v="1528"/>
    <s v="REL  CNF  DLV  PRC  BASC BCRQ GMPS MANC*"/>
    <x v="5"/>
    <n v="28"/>
    <e v="#REF!"/>
    <e v="#REF!"/>
    <e v="#REF!"/>
  </r>
  <r>
    <n v="30000000097"/>
    <s v="MTZC735 TC METAZACHLR T WT CRUD 600 KG"/>
    <n v="9013"/>
    <d v="2025-11-02T00:00:00"/>
    <n v="1327201"/>
    <m/>
    <n v="2800"/>
    <n v="2455"/>
    <d v="2025-10-27T00:00:00"/>
    <x v="4"/>
    <n v="0"/>
    <n v="1001"/>
    <s v="KG"/>
    <m/>
    <n v="1541"/>
    <s v="REL  CNF  PRC  BASC BCRQ GMPS ILAS MACM*"/>
    <x v="13"/>
    <e v="#N/A"/>
    <e v="#REF!"/>
    <e v="#REF!"/>
    <e v="#REF!"/>
  </r>
  <r>
    <n v="30000000077"/>
    <s v="DRON970 TC DIUREX TECH MILLED 600 KG"/>
    <n v="53667"/>
    <d v="2025-11-02T00:00:00"/>
    <n v="1328462"/>
    <m/>
    <n v="3600"/>
    <n v="3600"/>
    <d v="2025-11-04T00:00:00"/>
    <x v="4"/>
    <n v="0"/>
    <n v="1001"/>
    <s v="KG"/>
    <m/>
    <n v="1540"/>
    <s v="REL  PCNF DLV  PRC  BASC BCRQ GMPS MACM*"/>
    <x v="18"/>
    <e v="#N/A"/>
    <e v="#REF!"/>
    <e v="#REF!"/>
    <e v="#REF!"/>
  </r>
  <r>
    <n v="30000000077"/>
    <s v="DRON970 TC DIUREX TECH MILLED 600 KG"/>
    <n v="53668"/>
    <d v="2025-11-02T00:00:00"/>
    <n v="1328463"/>
    <m/>
    <n v="3600"/>
    <n v="3600"/>
    <d v="2025-11-04T00:00:00"/>
    <x v="4"/>
    <n v="0"/>
    <n v="1001"/>
    <s v="KG"/>
    <m/>
    <n v="1540"/>
    <s v="REL  PCNF DLV  PRC  BASC BCRQ GMPS MACM*"/>
    <x v="18"/>
    <e v="#N/A"/>
    <e v="#REF!"/>
    <e v="#REF!"/>
    <e v="#REF!"/>
  </r>
  <r>
    <n v="30000000077"/>
    <s v="DRON970 TC DIUREX TECH MILLED 600 KG"/>
    <n v="53669"/>
    <d v="2025-11-02T00:00:00"/>
    <n v="1328464"/>
    <m/>
    <n v="3600"/>
    <n v="3600"/>
    <d v="2025-11-04T00:00:00"/>
    <x v="4"/>
    <n v="0"/>
    <n v="1001"/>
    <s v="KG"/>
    <m/>
    <n v="1540"/>
    <s v="REL  PCNF DLV  PRC  BASC BCRQ GMPS MACM*"/>
    <x v="18"/>
    <e v="#N/A"/>
    <e v="#REF!"/>
    <e v="#REF!"/>
    <e v="#REF!"/>
  </r>
  <r>
    <n v="30000000077"/>
    <s v="DRON970 TC DIUREX TECH MILLED 600 KG"/>
    <n v="53670"/>
    <d v="2025-11-02T00:00:00"/>
    <n v="1328465"/>
    <m/>
    <n v="3600"/>
    <n v="3600"/>
    <d v="2025-11-05T00:00:00"/>
    <x v="4"/>
    <n v="0"/>
    <n v="1001"/>
    <s v="KG"/>
    <m/>
    <n v="1540"/>
    <s v="REL  PCNF DLV  PRC  BASC BCRQ GMPS MACM*"/>
    <x v="18"/>
    <e v="#N/A"/>
    <e v="#REF!"/>
    <e v="#REF!"/>
    <e v="#REF!"/>
  </r>
  <r>
    <n v="30000000077"/>
    <s v="DRON970 TC DIUREX TECH MILLED 600 KG"/>
    <n v="53671"/>
    <d v="2025-11-02T00:00:00"/>
    <n v="1328466"/>
    <m/>
    <n v="3600"/>
    <n v="3600"/>
    <d v="2025-11-05T00:00:00"/>
    <x v="4"/>
    <n v="0"/>
    <n v="1001"/>
    <s v="KG"/>
    <m/>
    <n v="1540"/>
    <s v="REL  PCNF DLV  PRC  BASC BCRQ GMPS MACM*"/>
    <x v="18"/>
    <e v="#N/A"/>
    <e v="#REF!"/>
    <e v="#REF!"/>
    <e v="#REF!"/>
  </r>
  <r>
    <n v="10000011614"/>
    <s v="BFNX480 SC SONAVIO 5LT IT"/>
    <n v="279206"/>
    <d v="2025-11-01T00:00:00"/>
    <n v="1318307"/>
    <n v="211015868"/>
    <n v="5400"/>
    <n v="5400"/>
    <d v="2025-10-20T00:00:00"/>
    <x v="4"/>
    <n v="5400"/>
    <n v="1001"/>
    <s v="L"/>
    <m/>
    <n v="1543"/>
    <s v="REL  PRT  CNF  DLV  PRC  BASC BCRQ GMPS*"/>
    <x v="12"/>
    <n v="5"/>
    <e v="#REF!"/>
    <e v="#REF!"/>
    <e v="#REF!"/>
  </r>
  <r>
    <n v="10000014513"/>
    <s v="BFNX480 SC FOX 480 SC 5LT UK"/>
    <n v="102"/>
    <d v="2025-11-01T00:00:00"/>
    <n v="1318310"/>
    <n v="211015583"/>
    <n v="4800"/>
    <n v="4800"/>
    <d v="2025-10-20T00:00:00"/>
    <x v="4"/>
    <n v="4800"/>
    <n v="1001"/>
    <s v="L"/>
    <m/>
    <n v="1543"/>
    <s v="REL  PRT  CNF  DLV  PRC  BASC BCRQ GMPS*"/>
    <x v="12"/>
    <e v="#N/A"/>
    <e v="#REF!"/>
    <e v="#REF!"/>
    <e v="#REF!"/>
  </r>
  <r>
    <n v="10000009747"/>
    <s v="BR20FR80+MCPA20EC FORCFIGHT ALL1000LT CA"/>
    <n v="192"/>
    <d v="2025-11-01T00:00:00"/>
    <n v="1325049"/>
    <m/>
    <n v="10000"/>
    <n v="10000"/>
    <d v="2025-11-04T00:00:00"/>
    <x v="4"/>
    <n v="0"/>
    <n v="1001"/>
    <s v="L"/>
    <m/>
    <n v="1523"/>
    <s v="REL  PCNF DLV  PRC  BASC BCRQ GMPS MANC*"/>
    <x v="4"/>
    <n v="23"/>
    <e v="#REF!"/>
    <e v="#REF!"/>
    <e v="#REF!"/>
  </r>
  <r>
    <n v="20000008007"/>
    <s v="PNMP320 SC PHENMEDIPHAM 320GL SC 1000LT"/>
    <n v="107"/>
    <d v="2025-11-01T00:00:00"/>
    <n v="1326106"/>
    <m/>
    <n v="7000"/>
    <n v="8000"/>
    <d v="2025-11-01T00:00:00"/>
    <x v="4"/>
    <n v="8000"/>
    <n v="1001"/>
    <s v="L"/>
    <m/>
    <n v="1528"/>
    <s v="TECO CNF  DLV  PRC  BASC BCRQ GMPS MANC*"/>
    <x v="5"/>
    <e v="#N/A"/>
    <e v="#REF!"/>
    <e v="#REF!"/>
    <e v="#REF!"/>
  </r>
  <r>
    <n v="20000008007"/>
    <s v="PNMP320 SC PHENMEDIPHAM 320GL SC 1000LT"/>
    <n v="108"/>
    <d v="2025-11-01T00:00:00"/>
    <n v="1326107"/>
    <m/>
    <n v="1000"/>
    <n v="7000"/>
    <d v="2025-11-01T00:00:00"/>
    <x v="4"/>
    <n v="7000"/>
    <n v="1001"/>
    <s v="L"/>
    <m/>
    <n v="1528"/>
    <s v="REL  CNF  DLV  PRC  BASC BCRQ GMPS MACM*"/>
    <x v="5"/>
    <e v="#N/A"/>
    <e v="#REF!"/>
    <e v="#REF!"/>
    <e v="#REF!"/>
  </r>
  <r>
    <n v="50000002791"/>
    <s v="DEHYDRO ATRALONE ISO"/>
    <n v="300"/>
    <d v="2025-11-01T00:00:00"/>
    <n v="1326256"/>
    <m/>
    <n v="6500"/>
    <n v="6700"/>
    <d v="2025-10-30T00:00:00"/>
    <x v="4"/>
    <n v="6700"/>
    <n v="1001"/>
    <s v="KG"/>
    <m/>
    <n v="1141"/>
    <s v="REL  CNF  DLV  PRC  BASC BCRQ GMPS ILAS*"/>
    <x v="6"/>
    <e v="#N/A"/>
    <e v="#REF!"/>
    <e v="#REF!"/>
    <e v="#REF!"/>
  </r>
  <r>
    <n v="50000000056"/>
    <s v="DELTA DAMASCON FLASH 1.00 KG"/>
    <n v="10322"/>
    <d v="2025-11-01T00:00:00"/>
    <n v="1326263"/>
    <m/>
    <n v="1600"/>
    <n v="2604"/>
    <d v="2025-10-30T00:00:00"/>
    <x v="4"/>
    <n v="0"/>
    <n v="1001"/>
    <s v="KG"/>
    <m/>
    <n v="1141"/>
    <s v="REL  CNF  DLV  PRC  BASC BCRQ GMPS ILAS*"/>
    <x v="0"/>
    <e v="#N/A"/>
    <e v="#REF!"/>
    <e v="#REF!"/>
    <e v="#REF!"/>
  </r>
  <r>
    <n v="10000000288"/>
    <s v="CLDF80+CLQT20 EC LADDER ALL IN 1000LT CA"/>
    <n v="639"/>
    <d v="2025-11-01T00:00:00"/>
    <n v="1326353"/>
    <m/>
    <n v="8000"/>
    <n v="7000"/>
    <d v="2025-11-03T00:00:00"/>
    <x v="4"/>
    <n v="7000"/>
    <n v="1001"/>
    <s v="L"/>
    <m/>
    <n v="1523"/>
    <s v="REL  CNF  PRC  BASC BCRQ GMPS MANC ORRQ*"/>
    <x v="4"/>
    <n v="23"/>
    <e v="#REF!"/>
    <e v="#REF!"/>
    <e v="#REF!"/>
  </r>
  <r>
    <n v="10000010430"/>
    <s v="ATRL1000 ATRALONE 50KG GENERAL NEW"/>
    <n v="284778"/>
    <d v="2025-11-01T00:00:00"/>
    <n v="1327213"/>
    <m/>
    <n v="1800"/>
    <n v="1600"/>
    <d v="2025-10-27T00:00:00"/>
    <x v="4"/>
    <n v="0"/>
    <n v="1001"/>
    <s v="KG"/>
    <m/>
    <n v="1541"/>
    <s v="REL  CNF  PRC  BASC BCRQ GMPS ILAS MACM*"/>
    <x v="9"/>
    <e v="#N/A"/>
    <e v="#REF!"/>
    <e v="#REF!"/>
    <e v="#REF!"/>
  </r>
  <r>
    <n v="20000000394"/>
    <s v="24DA300FLSL6 SE 1000L"/>
    <n v="821"/>
    <d v="2025-11-01T00:00:00"/>
    <n v="1327218"/>
    <m/>
    <n v="8000"/>
    <n v="8000"/>
    <d v="2025-11-03T00:00:00"/>
    <x v="4"/>
    <n v="0"/>
    <n v="1001"/>
    <s v="L"/>
    <m/>
    <n v="1524"/>
    <s v="REL  PCNF DLV  PRC  BASC BCRQ GMPS ILAS*"/>
    <x v="3"/>
    <s v="24F"/>
    <e v="#REF!"/>
    <e v="#REF!"/>
    <e v="#REF!"/>
  </r>
  <r>
    <n v="10000000508"/>
    <s v="24DA306.1+FLSL6 SE CAMARO 5 LT PO 5LT PL"/>
    <n v="1120"/>
    <d v="2025-11-01T00:00:00"/>
    <n v="1327479"/>
    <n v="211016381"/>
    <n v="7200"/>
    <n v="7200"/>
    <d v="2025-10-29T00:00:00"/>
    <x v="4"/>
    <n v="0"/>
    <n v="1001"/>
    <s v="L"/>
    <m/>
    <n v="1542"/>
    <s v="REL  DLV  PRC  BASC BCRQ GMPS MANC ORRQ*"/>
    <x v="25"/>
    <s v="5 lIter"/>
    <e v="#REF!"/>
    <e v="#REF!"/>
    <e v="#REF!"/>
  </r>
  <r>
    <n v="10000000508"/>
    <s v="24DA306.1+FLSL6 SE CAMARO 5 LT PO 5LT PL"/>
    <n v="1121"/>
    <d v="2025-11-01T00:00:00"/>
    <n v="1327500"/>
    <n v="211016381"/>
    <n v="4200"/>
    <n v="4200"/>
    <d v="2025-10-29T00:00:00"/>
    <x v="4"/>
    <n v="0"/>
    <n v="1001"/>
    <s v="L"/>
    <m/>
    <n v="1542"/>
    <s v="REL  DLV  PRC  BASC BCRQ GMPS MANC ORRQ*"/>
    <x v="25"/>
    <s v="5 lIter"/>
    <e v="#REF!"/>
    <e v="#REF!"/>
    <e v="#REF!"/>
  </r>
  <r>
    <n v="10000011942"/>
    <s v="OXFF240 EC GALIGAN 240 ISO 24000LT BR"/>
    <n v="127"/>
    <d v="2025-10-31T00:00:00"/>
    <n v="1327383"/>
    <n v="211015536"/>
    <n v="24000"/>
    <n v="23168"/>
    <d v="2025-11-03T00:00:00"/>
    <x v="4"/>
    <n v="0"/>
    <n v="1001"/>
    <s v="L"/>
    <m/>
    <n v="1142"/>
    <s v="REL  CNF  PRC  BASC BCRQ GMPS MANC ORRQ*"/>
    <x v="26"/>
    <s v="Galigan  iso (42)"/>
    <e v="#REF!"/>
    <e v="#REF!"/>
    <e v="#REF!"/>
  </r>
  <r>
    <n v="10000000513"/>
    <s v="24DA306.1+FLSL6 SE CONCORDIA 306  5LT RO"/>
    <n v="1735"/>
    <d v="2025-10-29T00:00:00"/>
    <n v="1327473"/>
    <n v="211016007"/>
    <n v="6900"/>
    <n v="6900"/>
    <d v="2025-10-29T00:00:00"/>
    <x v="4"/>
    <n v="0"/>
    <n v="1001"/>
    <s v="L"/>
    <m/>
    <n v="1542"/>
    <s v="REL  DLV  PRC  BASC BCRQ GMPS MANC ORRQ*"/>
    <x v="12"/>
    <s v="24P"/>
    <e v="#REF!"/>
    <e v="#REF!"/>
    <e v="#REF!"/>
  </r>
  <r>
    <n v="30000000076"/>
    <s v="DRON970 TC DIUREX TECH MILLED 550 KG"/>
    <n v="151705"/>
    <d v="2025-10-28T00:00:00"/>
    <n v="1326763"/>
    <m/>
    <n v="3300"/>
    <n v="3300"/>
    <d v="2025-11-04T00:00:00"/>
    <x v="4"/>
    <n v="0"/>
    <n v="1001"/>
    <s v="KG"/>
    <m/>
    <n v="1540"/>
    <s v="REL  PCNF DLV  PRC  BASC BCRQ GMPS MACM*"/>
    <x v="18"/>
    <e v="#N/A"/>
    <e v="#REF!"/>
    <e v="#REF!"/>
    <e v="#REF!"/>
  </r>
  <r>
    <n v="30000000076"/>
    <s v="DRON970 TC DIUREX TECH MILLED 550 KG"/>
    <n v="151706"/>
    <d v="2025-10-28T00:00:00"/>
    <n v="1326764"/>
    <m/>
    <n v="3300"/>
    <n v="3300"/>
    <d v="2025-11-04T00:00:00"/>
    <x v="4"/>
    <n v="0"/>
    <n v="1001"/>
    <s v="KG"/>
    <m/>
    <n v="1540"/>
    <s v="REL  PCNF DLV  PRC  BASC BCRQ GMPS MACM*"/>
    <x v="18"/>
    <e v="#N/A"/>
    <e v="#REF!"/>
    <e v="#REF!"/>
    <e v="#REF!"/>
  </r>
  <r>
    <n v="30000000076"/>
    <s v="DRON970 TC DIUREX TECH MILLED 550 KG"/>
    <n v="151707"/>
    <d v="2025-10-28T00:00:00"/>
    <n v="1326765"/>
    <m/>
    <n v="3300"/>
    <n v="3300"/>
    <d v="2025-11-05T00:00:00"/>
    <x v="4"/>
    <n v="0"/>
    <n v="1001"/>
    <s v="KG"/>
    <m/>
    <n v="1540"/>
    <s v="REL  PCNF DLV  PRC  BASC BCRQ GMPS MACM*"/>
    <x v="18"/>
    <e v="#N/A"/>
    <e v="#REF!"/>
    <e v="#REF!"/>
    <e v="#REF!"/>
  </r>
  <r>
    <n v="50000000090"/>
    <s v="ETHOXY (GALIGAN) ISO"/>
    <n v="6071"/>
    <d v="2025-10-26T00:00:00"/>
    <n v="1324031"/>
    <m/>
    <n v="1720"/>
    <n v="1768"/>
    <d v="2025-10-15T00:00:00"/>
    <x v="4"/>
    <n v="0"/>
    <n v="1001"/>
    <s v="KG"/>
    <m/>
    <n v="1125"/>
    <s v="REL  CNF  DLV  PRC  BASC BCRQ GMPS ILAS*"/>
    <x v="11"/>
    <e v="#N/A"/>
    <e v="#REF!"/>
    <e v="#REF!"/>
    <e v="#REF!"/>
  </r>
  <r>
    <n v="50000000090"/>
    <s v="ETHOXY (GALIGAN) ISO"/>
    <n v="6073"/>
    <d v="2025-10-23T00:00:00"/>
    <n v="1324033"/>
    <m/>
    <n v="1720"/>
    <n v="1756"/>
    <d v="2025-10-15T00:00:00"/>
    <x v="4"/>
    <n v="0"/>
    <n v="1001"/>
    <s v="KG"/>
    <m/>
    <n v="1125"/>
    <s v="REL  CNF  DLV  PRC  BASC BCRQ GMPS ILAS*"/>
    <x v="11"/>
    <e v="#N/A"/>
    <e v="#REF!"/>
    <e v="#REF!"/>
    <e v="#REF!"/>
  </r>
  <r>
    <n v="50000000090"/>
    <s v="ETHOXY (GALIGAN) ISO"/>
    <n v="6074"/>
    <d v="2025-10-23T00:00:00"/>
    <n v="1324034"/>
    <m/>
    <n v="1720"/>
    <n v="1760"/>
    <d v="2025-10-15T00:00:00"/>
    <x v="4"/>
    <n v="0"/>
    <n v="1001"/>
    <s v="KG"/>
    <m/>
    <n v="1125"/>
    <s v="REL  CNF  DLV  PRC  BASC BCRQ GMPS ILAS*"/>
    <x v="11"/>
    <e v="#N/A"/>
    <e v="#REF!"/>
    <e v="#REF!"/>
    <e v="#REF!"/>
  </r>
  <r>
    <n v="50000000080"/>
    <s v="NANA 1.00 KG"/>
    <n v="136133"/>
    <d v="2025-10-23T00:00:00"/>
    <n v="1326273"/>
    <m/>
    <n v="3900"/>
    <n v="3888"/>
    <d v="2025-10-30T00:00:00"/>
    <x v="4"/>
    <n v="0"/>
    <n v="1001"/>
    <s v="KG"/>
    <m/>
    <n v="1141"/>
    <s v="REL  CNF  PRC  BASC BCRQ GMPS ILAS MACM*"/>
    <x v="7"/>
    <e v="#N/A"/>
    <e v="#REF!"/>
    <e v="#REF!"/>
    <e v="#REF!"/>
  </r>
  <r>
    <n v="50000000075"/>
    <s v="NAA CRUDE ISO"/>
    <n v="280116"/>
    <d v="2025-10-19T00:00:00"/>
    <n v="1325370"/>
    <m/>
    <n v="4000"/>
    <n v="5049"/>
    <d v="2025-10-30T00:00:00"/>
    <x v="4"/>
    <n v="0"/>
    <n v="1001"/>
    <s v="KG"/>
    <m/>
    <n v="1141"/>
    <s v="REL  CNF  DLV  PRC  BASC BCRQ GMPS ILAS*"/>
    <x v="11"/>
    <e v="#N/A"/>
    <e v="#REF!"/>
    <e v="#REF!"/>
    <e v="#REF!"/>
  </r>
  <r>
    <n v="50000000062"/>
    <s v="DIUREX SLURRY  KG"/>
    <n v="51608"/>
    <d v="2025-10-10T00:00:00"/>
    <n v="1317567"/>
    <m/>
    <n v="33000"/>
    <n v="30935"/>
    <d v="2025-10-17T00:00:00"/>
    <x v="4"/>
    <n v="0"/>
    <n v="1001"/>
    <s v="KG"/>
    <m/>
    <n v="1140"/>
    <s v="REL  CNF  PRC  BASC BCRQ GMPS ILAS MACM*"/>
    <x v="20"/>
    <e v="#N/A"/>
    <e v="#REF!"/>
    <e v="#REF!"/>
    <e v="#REF!"/>
  </r>
  <r>
    <n v="10000011614"/>
    <s v="BFNX480 SC SONAVIO 5LT IT"/>
    <n v="279207"/>
    <d v="2025-10-05T00:00:00"/>
    <n v="1318308"/>
    <n v="211015822"/>
    <n v="4200"/>
    <n v="4200"/>
    <d v="2025-10-20T00:00:00"/>
    <x v="4"/>
    <n v="4200"/>
    <n v="1001"/>
    <s v="L"/>
    <m/>
    <n v="1543"/>
    <s v="REL  PRT  CNF  DLV  PRC  BASC BCRQ GMPS*"/>
    <x v="12"/>
    <n v="5"/>
    <e v="#REF!"/>
    <e v="#REF!"/>
    <e v="#REF!"/>
  </r>
  <r>
    <n v="20000006122"/>
    <s v="OXFF240 EC GALIGAN 1000LT (FOR BR)"/>
    <n v="333989"/>
    <d v="2025-10-01T00:00:00"/>
    <n v="1325917"/>
    <m/>
    <n v="7000"/>
    <n v="9600"/>
    <d v="2025-10-28T00:00:00"/>
    <x v="4"/>
    <n v="9600"/>
    <n v="1001"/>
    <s v="L"/>
    <m/>
    <n v="1525"/>
    <s v="REL  CNF  DLV  PRC  BASC BCRQ GMPS ILAS*"/>
    <x v="10"/>
    <e v="#N/A"/>
    <e v="#REF!"/>
    <e v="#REF!"/>
    <e v="#REF!"/>
  </r>
  <r>
    <n v="20000006540"/>
    <s v="MTMN350QNMC60 SC MTM 350+QUIN 60 1000L"/>
    <n v="126"/>
    <d v="2025-10-01T00:00:00"/>
    <n v="1327231"/>
    <m/>
    <n v="7000"/>
    <n v="7000"/>
    <d v="2025-11-01T00:00:00"/>
    <x v="4"/>
    <n v="7000"/>
    <n v="1001"/>
    <s v="L"/>
    <m/>
    <n v="1528"/>
    <s v="REL  CNF  DLV  PRC  BASC BCRQ GMPS MANC*"/>
    <x v="5"/>
    <e v="#N/A"/>
    <e v="#REF!"/>
    <e v="#REF!"/>
    <e v="#REF!"/>
  </r>
  <r>
    <n v="20000006540"/>
    <s v="MTMN350QNMC60 SC MTM 350+QUIN 60 1000L"/>
    <n v="127"/>
    <d v="2025-10-01T00:00:00"/>
    <n v="1327232"/>
    <m/>
    <n v="7000"/>
    <n v="7000"/>
    <d v="2025-11-01T00:00:00"/>
    <x v="4"/>
    <n v="7000"/>
    <n v="1001"/>
    <s v="L"/>
    <m/>
    <n v="1528"/>
    <s v="REL  CNF  DLV  PRC  BASC BCRQ GMPS MACM*"/>
    <x v="5"/>
    <e v="#N/A"/>
    <e v="#REF!"/>
    <e v="#REF!"/>
    <e v="#REF!"/>
  </r>
  <r>
    <n v="50000000071"/>
    <s v="KOH SOLU IN ETHN22.5 1.00 KG"/>
    <n v="5136"/>
    <d v="2025-08-05T00:00:00"/>
    <n v="1307789"/>
    <m/>
    <n v="3600"/>
    <n v="3600"/>
    <d v="2025-07-25T00:00:00"/>
    <x v="4"/>
    <n v="0"/>
    <n v="1001"/>
    <s v="KG"/>
    <m/>
    <n v="1125"/>
    <s v="REL  CNF  DLV  PRC  BASC BCRQ GMPS ILAS*"/>
    <x v="11"/>
    <e v="#N/A"/>
    <e v="#REF!"/>
    <e v="#REF!"/>
    <e v="#REF!"/>
  </r>
  <r>
    <n v="50000000114"/>
    <s v="TOLUREX SLURRY  KG"/>
    <n v="272199"/>
    <d v="2025-07-18T00:00:00"/>
    <n v="1304870"/>
    <m/>
    <n v="33000"/>
    <n v="28521"/>
    <d v="2025-11-04T00:00:00"/>
    <x v="4"/>
    <n v="0"/>
    <n v="1001"/>
    <s v="KG"/>
    <m/>
    <n v="1140"/>
    <s v="REL  CNF  PRC  BASC BCRQ GMPS ILAS MACM*"/>
    <x v="27"/>
    <e v="#N/A"/>
    <e v="#REF!"/>
    <e v="#REF!"/>
    <e v="#REF!"/>
  </r>
  <r>
    <n v="20000005837"/>
    <s v="CLTN500 SC TOLUREX 50 SC 1000LT"/>
    <s v="0000000217"/>
    <d v="2025-12-16T00:00:00"/>
    <s v="1330176"/>
    <s v=""/>
    <n v="7000"/>
    <n v="7000"/>
    <d v="2025-11-06T00:00:00"/>
    <x v="5"/>
    <n v="0"/>
    <s v="1001"/>
    <s v="L"/>
    <s v=""/>
    <s v="1528"/>
    <s v="REL  PCNF DLV  PRC  BASC BCRQ GMPS MACM*"/>
    <x v="5"/>
    <n v="28"/>
    <e v="#REF!"/>
    <e v="#REF!"/>
    <e v="#REF!"/>
  </r>
  <r>
    <n v="50000000090"/>
    <s v="ETHOXY (GALIGAN) ISO"/>
    <s v="0000006076"/>
    <d v="2025-11-16T00:00:00"/>
    <s v="1329733"/>
    <s v=""/>
    <n v="1720"/>
    <n v="1748"/>
    <d v="2025-11-04T00:00:00"/>
    <x v="5"/>
    <n v="0"/>
    <s v="1001"/>
    <s v="KG"/>
    <s v=""/>
    <s v="1125"/>
    <s v="REL  CNF  DLV  PRC  BASC BCRQ GMPS ILAS*"/>
    <x v="11"/>
    <e v="#N/A"/>
    <e v="#REF!"/>
    <e v="#REF!"/>
    <e v="#REF!"/>
  </r>
  <r>
    <n v="50000000053"/>
    <s v="DELTA DAMASCONE CRUD 1.00 KG"/>
    <s v="0000012775"/>
    <d v="2025-11-11T00:00:00"/>
    <s v="1327414"/>
    <s v=""/>
    <n v="6000"/>
    <n v="7674"/>
    <d v="2025-11-03T00:00:00"/>
    <x v="5"/>
    <n v="0"/>
    <s v="1001"/>
    <s v="KG"/>
    <s v=""/>
    <s v="1141"/>
    <s v="REL  CNF  DLV  PRC  BASC BCRQ GMPS ILAS*"/>
    <x v="0"/>
    <e v="#N/A"/>
    <e v="#REF!"/>
    <e v="#REF!"/>
    <e v="#REF!"/>
  </r>
  <r>
    <n v="50000000077"/>
    <s v="NAA DIST ISO"/>
    <s v="0000021331"/>
    <d v="2025-11-10T00:00:00"/>
    <s v="1325379"/>
    <s v=""/>
    <n v="6000"/>
    <n v="7799"/>
    <d v="2025-11-03T00:00:00"/>
    <x v="5"/>
    <n v="0"/>
    <s v="1001"/>
    <s v="KG"/>
    <s v=""/>
    <s v="1141"/>
    <s v="REL  CNF  DLV  PRC  BASC BCRQ GMPS ILAS*"/>
    <x v="0"/>
    <e v="#N/A"/>
    <e v="#REF!"/>
    <e v="#REF!"/>
    <e v="#REF!"/>
  </r>
  <r>
    <n v="10000000430"/>
    <s v="DRON468+HZNN132 WG HEXARON 5KG BR 5KG BR"/>
    <s v="0000042597"/>
    <d v="2025-11-07T00:00:00"/>
    <s v="1326722"/>
    <s v=""/>
    <n v="2880"/>
    <n v="2880"/>
    <d v="2025-11-06T00:00:00"/>
    <x v="5"/>
    <n v="0"/>
    <s v="1001"/>
    <s v="KG"/>
    <s v=""/>
    <s v="1519"/>
    <s v="REL  CNF  DLV  PRC  BASC BCRQ GMPS ILAS*"/>
    <x v="8"/>
    <n v="19"/>
    <e v="#REF!"/>
    <e v="#REF!"/>
    <e v="#REF!"/>
  </r>
  <r>
    <n v="10000000430"/>
    <s v="DRON468+HZNN132 WG HEXARON 5KG BR 5KG BR"/>
    <s v="0000042598"/>
    <d v="2025-11-07T00:00:00"/>
    <s v="1326723"/>
    <s v=""/>
    <n v="2880"/>
    <n v="2880"/>
    <d v="2025-11-06T00:00:00"/>
    <x v="5"/>
    <n v="0"/>
    <s v="1001"/>
    <s v="KG"/>
    <s v=""/>
    <s v="1519"/>
    <s v="REL  CNF  DLV  PRC  BASC BCRQ GMPS ILAS*"/>
    <x v="8"/>
    <n v="19"/>
    <e v="#REF!"/>
    <e v="#REF!"/>
    <e v="#REF!"/>
  </r>
  <r>
    <n v="30000000099"/>
    <s v="OXFF970 TC GALIGAN TECH 97% CRD  1000KG"/>
    <s v="0000002878"/>
    <d v="2025-11-07T00:00:00"/>
    <s v="1327076"/>
    <s v=""/>
    <n v="1650"/>
    <n v="1650"/>
    <d v="2025-10-27T00:00:00"/>
    <x v="5"/>
    <n v="0"/>
    <s v="1001"/>
    <s v="KG"/>
    <s v=""/>
    <s v="1125"/>
    <s v="REL  CNF  DLV  PRC  BASC BCRQ GMPS ILAS*"/>
    <x v="16"/>
    <e v="#N/A"/>
    <e v="#REF!"/>
    <e v="#REF!"/>
    <e v="#REF!"/>
  </r>
  <r>
    <n v="20000000722"/>
    <s v="PNDM400 CS PENDIMETHALINE 400CS 200 L"/>
    <s v="0000069442"/>
    <d v="2025-11-07T00:00:00"/>
    <s v="1327400"/>
    <s v=""/>
    <n v="3600"/>
    <n v="3800"/>
    <d v="2025-10-30T00:00:00"/>
    <x v="5"/>
    <n v="3800"/>
    <s v="1001"/>
    <s v="L"/>
    <s v=""/>
    <s v="1525"/>
    <s v="REL  CNF  DLV  PRC  BASC BCRQ GMPS MACM*"/>
    <x v="2"/>
    <e v="#N/A"/>
    <e v="#REF!"/>
    <e v="#REF!"/>
    <e v="#REF!"/>
  </r>
  <r>
    <n v="30000000077"/>
    <s v="DRON970 TC DIUREX TECH MILLED 600 KG"/>
    <s v="0000053673"/>
    <d v="2025-11-07T00:00:00"/>
    <s v="1329989"/>
    <s v=""/>
    <n v="3600"/>
    <n v="3600"/>
    <d v="2025-11-05T00:00:00"/>
    <x v="5"/>
    <n v="0"/>
    <s v="1001"/>
    <s v="KG"/>
    <s v=""/>
    <s v="1540"/>
    <s v="REL  DLV  PRC  BASC BCRQ GMPS MACM ORRQ*"/>
    <x v="18"/>
    <e v="#N/A"/>
    <e v="#REF!"/>
    <e v="#REF!"/>
    <e v="#REF!"/>
  </r>
  <r>
    <n v="30000000077"/>
    <s v="DRON970 TC DIUREX TECH MILLED 600 KG"/>
    <s v="0000053674"/>
    <d v="2025-11-07T00:00:00"/>
    <s v="1329990"/>
    <s v=""/>
    <n v="3600"/>
    <n v="3600"/>
    <d v="2025-11-05T00:00:00"/>
    <x v="5"/>
    <n v="0"/>
    <s v="1001"/>
    <s v="KG"/>
    <s v=""/>
    <s v="1540"/>
    <s v="REL  DLV  PRC  BASC BCRQ GMPS MACM ORRQ*"/>
    <x v="18"/>
    <e v="#N/A"/>
    <e v="#REF!"/>
    <e v="#REF!"/>
    <e v="#REF!"/>
  </r>
  <r>
    <n v="30000000077"/>
    <s v="DRON970 TC DIUREX TECH MILLED 600 KG"/>
    <s v="0000053675"/>
    <d v="2025-11-07T00:00:00"/>
    <s v="1329991"/>
    <s v=""/>
    <n v="3600"/>
    <n v="3600"/>
    <d v="2025-11-06T00:00:00"/>
    <x v="5"/>
    <n v="0"/>
    <s v="1001"/>
    <s v="KG"/>
    <s v=""/>
    <s v="1540"/>
    <s v="REL  PCNF DLV  PRC  BASC BCRQ GMPS MACM*"/>
    <x v="18"/>
    <e v="#N/A"/>
    <e v="#REF!"/>
    <e v="#REF!"/>
    <e v="#REF!"/>
  </r>
  <r>
    <n v="10000000390"/>
    <s v="DRON800 SC Adama Essentials DIURE 5LT AR"/>
    <s v="0000009625"/>
    <d v="2025-11-06T00:00:00"/>
    <s v="1327449"/>
    <s v="211016037"/>
    <n v="12000"/>
    <n v="12000"/>
    <d v="2025-10-29T00:00:00"/>
    <x v="5"/>
    <n v="12000"/>
    <s v="1001"/>
    <s v="L"/>
    <s v=""/>
    <s v="1543"/>
    <s v="REL  PRT  CNF  DLV  PRC  BASC BCRQ GMPS*"/>
    <x v="12"/>
    <e v="#N/A"/>
    <e v="#REF!"/>
    <e v="#REF!"/>
    <e v="#REF!"/>
  </r>
  <r>
    <n v="50000000108"/>
    <s v="PROPAQUIZAFOP PRMX25 1000 KG"/>
    <s v="0000003508"/>
    <d v="2025-11-06T00:00:00"/>
    <s v="1328445"/>
    <s v=""/>
    <n v="8000"/>
    <n v="7000"/>
    <d v="2025-11-02T00:00:00"/>
    <x v="5"/>
    <n v="0"/>
    <s v="1001"/>
    <s v="KG"/>
    <s v=""/>
    <s v="1525"/>
    <s v="REL  CNF  PRC  BASC BCRQ GMPS ILAS MANC*"/>
    <x v="19"/>
    <e v="#N/A"/>
    <e v="#REF!"/>
    <e v="#REF!"/>
    <e v="#REF!"/>
  </r>
  <r>
    <n v="50000000108"/>
    <s v="PROPAQUIZAFOP PRMX25 1000 KG"/>
    <s v="0000003509"/>
    <d v="2025-11-06T00:00:00"/>
    <s v="1328446"/>
    <s v=""/>
    <n v="8000"/>
    <n v="8000"/>
    <d v="2025-11-02T00:00:00"/>
    <x v="5"/>
    <n v="0"/>
    <s v="1001"/>
    <s v="KG"/>
    <s v=""/>
    <s v="1525"/>
    <s v="REL  CNF  DLV  PRC  BASC BCRQ GMPS ILAS*"/>
    <x v="19"/>
    <e v="#N/A"/>
    <e v="#REF!"/>
    <e v="#REF!"/>
    <e v="#REF!"/>
  </r>
  <r>
    <n v="40000000055"/>
    <s v="SODIUM HYDROXD 45.5% ISO"/>
    <s v=""/>
    <d v="2025-11-06T00:00:00"/>
    <s v="1330474"/>
    <s v=""/>
    <n v="10350"/>
    <n v="109126"/>
    <d v="2025-11-06T00:00:00"/>
    <x v="5"/>
    <n v="109126"/>
    <s v="1001"/>
    <s v="KG"/>
    <s v=""/>
    <s v="1125"/>
    <s v="REL  CNF  DLV  PRC  GMPS MACM ORRQ SETC"/>
    <x v="11"/>
    <e v="#N/A"/>
    <e v="#REF!"/>
    <e v="#REF!"/>
    <e v="#REF!"/>
  </r>
  <r>
    <n v="20000000822"/>
    <s v="TBAZ500 SC TYLLANEX 50 SC 200 L"/>
    <s v="0000008757"/>
    <d v="2025-11-05T00:00:00"/>
    <s v="1330208"/>
    <s v=""/>
    <n v="7200"/>
    <n v="7200"/>
    <d v="2025-11-05T00:00:00"/>
    <x v="5"/>
    <n v="10327"/>
    <s v="1001"/>
    <s v="L"/>
    <s v=""/>
    <s v="1528"/>
    <s v="TECO CNF  DLV  PRC  BASC BCRQ GMPS MACM*"/>
    <x v="5"/>
    <n v="28"/>
    <e v="#REF!"/>
    <e v="#REF!"/>
    <e v="#REF!"/>
  </r>
  <r>
    <n v="10000000430"/>
    <s v="DRON468+HZNN132 WG HEXARON 5KG BR 5KG BR"/>
    <s v="0000042596"/>
    <d v="2025-11-04T00:00:00"/>
    <s v="1326721"/>
    <s v=""/>
    <n v="2880"/>
    <n v="2880"/>
    <d v="2025-11-06T00:00:00"/>
    <x v="5"/>
    <n v="0"/>
    <s v="1001"/>
    <s v="KG"/>
    <s v=""/>
    <s v="1519"/>
    <s v="REL  CNF  DLV  PRC  BASC BCRQ GMPS ILAS*"/>
    <x v="8"/>
    <n v="19"/>
    <e v="#REF!"/>
    <e v="#REF!"/>
    <e v="#REF!"/>
  </r>
  <r>
    <n v="10000011795"/>
    <s v="24DA306.1+FLSL6 SE ELEGANT 2FD 5LT BT"/>
    <s v="0000000103"/>
    <d v="2025-11-04T00:00:00"/>
    <s v="1327502"/>
    <s v="211016091"/>
    <n v="7200"/>
    <n v="7200"/>
    <d v="2025-10-30T00:00:00"/>
    <x v="5"/>
    <n v="0"/>
    <s v="1001"/>
    <s v="L"/>
    <s v=""/>
    <s v="1542"/>
    <s v="REL  DLV  PRC  BASC BCRQ GMPS MANC ORRQ*"/>
    <x v="12"/>
    <e v="#N/A"/>
    <e v="#REF!"/>
    <e v="#REF!"/>
    <e v="#REF!"/>
  </r>
  <r>
    <n v="20000000367"/>
    <s v="FCDN250 EC FLURCHLRDN 25 EC UKR 200 L"/>
    <s v="0000008417"/>
    <d v="2025-11-04T00:00:00"/>
    <s v="1329806"/>
    <s v=""/>
    <n v="6840"/>
    <n v="6840"/>
    <d v="2025-11-04T00:00:00"/>
    <x v="5"/>
    <n v="6840"/>
    <s v="1001"/>
    <s v="L"/>
    <s v=""/>
    <s v="1523"/>
    <s v="REL  CNF  DLV  PRC  BASC BCRQ GMPS MACM*"/>
    <x v="4"/>
    <n v="23"/>
    <e v="#REF!"/>
    <e v="#REF!"/>
    <e v="#REF!"/>
  </r>
  <r>
    <n v="20000000394"/>
    <s v="24DA300FLSL6 SE 1000L"/>
    <s v="0000000824"/>
    <d v="2025-11-04T00:00:00"/>
    <s v="1329877"/>
    <s v=""/>
    <n v="7000"/>
    <n v="7000"/>
    <d v="2025-11-05T00:00:00"/>
    <x v="5"/>
    <n v="0"/>
    <s v="1001"/>
    <s v="L"/>
    <s v=""/>
    <s v="1524"/>
    <s v="REL  PCNF DLV  PRC  BASC BCRQ GMPS ILAS*"/>
    <x v="3"/>
    <s v="24F"/>
    <e v="#REF!"/>
    <e v="#REF!"/>
    <e v="#REF!"/>
  </r>
  <r>
    <n v="10000000508"/>
    <s v="24DA306.1+FLSL6 SE CAMARO 5 LT PO 5LT PL"/>
    <s v="0000001117"/>
    <d v="2025-11-03T00:00:00"/>
    <s v="1327476"/>
    <s v="211016518"/>
    <n v="3000"/>
    <n v="3000"/>
    <d v="2025-10-29T00:00:00"/>
    <x v="5"/>
    <n v="0"/>
    <s v="1001"/>
    <s v="L"/>
    <s v=""/>
    <s v="1542"/>
    <s v="REL  DLV  PRC  BASC BCRQ GMPS MANC ORRQ*"/>
    <x v="25"/>
    <s v="5 lIter"/>
    <e v="#REF!"/>
    <e v="#REF!"/>
    <e v="#REF!"/>
  </r>
  <r>
    <n v="10000000511"/>
    <s v="24DA306.1+FLSL6 SE Elegant 2 FD 5 5LT CZ"/>
    <s v="0000001407"/>
    <d v="2025-11-03T00:00:00"/>
    <s v="1327501"/>
    <s v="211016473"/>
    <n v="2000"/>
    <n v="1800"/>
    <d v="2025-10-30T00:00:00"/>
    <x v="5"/>
    <n v="0"/>
    <s v="1001"/>
    <s v="L"/>
    <s v=""/>
    <s v="1542"/>
    <s v="REL  PRC  BASC BCRQ GMPS MANC ORRQ PDLV*"/>
    <x v="12"/>
    <s v="24P"/>
    <e v="#REF!"/>
    <e v="#REF!"/>
    <e v="#REF!"/>
  </r>
  <r>
    <n v="20000008007"/>
    <s v="PNMP320 SC PHENMEDIPHAM 320GL SC 1000LT"/>
    <s v="0000000109"/>
    <d v="2025-11-03T00:00:00"/>
    <s v="1329263"/>
    <s v=""/>
    <n v="7000"/>
    <n v="7000"/>
    <d v="2025-11-06T00:00:00"/>
    <x v="5"/>
    <n v="7000"/>
    <s v="1001"/>
    <s v="L"/>
    <s v=""/>
    <s v="1528"/>
    <s v="REL  CNF  DLV  PRC  BASC BCRQ GMPS MACM*"/>
    <x v="5"/>
    <e v="#N/A"/>
    <e v="#REF!"/>
    <e v="#REF!"/>
    <e v="#REF!"/>
  </r>
  <r>
    <n v="20000000671"/>
    <s v="OXFF240 EC GALIGAN EC 240 SSS 1022 L"/>
    <s v="0000069830"/>
    <d v="2025-11-03T00:00:00"/>
    <s v="1329277"/>
    <s v=""/>
    <n v="6000"/>
    <n v="8000"/>
    <d v="2025-11-03T00:00:00"/>
    <x v="5"/>
    <n v="0"/>
    <s v="1001"/>
    <s v="L"/>
    <s v=""/>
    <s v="1525"/>
    <s v="REL  CNF  DLV  PRC  BASC BCRQ GMPS ILAS*"/>
    <x v="10"/>
    <e v="#N/A"/>
    <e v="#REF!"/>
    <e v="#REF!"/>
    <e v="#REF!"/>
  </r>
  <r>
    <n v="20000005837"/>
    <s v="CLTN500 SC TOLUREX 50 SC 1000LT"/>
    <s v="0000000216"/>
    <d v="2025-11-03T00:00:00"/>
    <s v="1329339"/>
    <s v=""/>
    <n v="7000"/>
    <n v="7000"/>
    <d v="2025-11-06T00:00:00"/>
    <x v="5"/>
    <n v="7000"/>
    <s v="1001"/>
    <s v="L"/>
    <s v=""/>
    <s v="1528"/>
    <s v="REL  CNF  DLV  PRC  BASC BCRQ GMPS MACM*"/>
    <x v="5"/>
    <n v="28"/>
    <e v="#REF!"/>
    <e v="#REF!"/>
    <e v="#REF!"/>
  </r>
  <r>
    <n v="30000000097"/>
    <s v="MTZC735 TC METAZACHLR T WT CRUD 600 KG"/>
    <s v="0000009014"/>
    <d v="2025-11-02T00:00:00"/>
    <s v="1327202"/>
    <s v=""/>
    <n v="2800"/>
    <n v="1160"/>
    <d v="2025-10-30T00:00:00"/>
    <x v="5"/>
    <n v="0"/>
    <s v="1001"/>
    <s v="KG"/>
    <s v=""/>
    <s v="1541"/>
    <s v="REL  CNF  PRC  BASC BCRQ GMPS ILAS MACM*"/>
    <x v="13"/>
    <e v="#N/A"/>
    <e v="#REF!"/>
    <e v="#REF!"/>
    <e v="#REF!"/>
  </r>
  <r>
    <n v="30000000097"/>
    <s v="MTZC735 TC METAZACHLR T WT CRUD 600 KG"/>
    <s v="0000009015"/>
    <d v="2025-11-02T00:00:00"/>
    <s v="1327203"/>
    <s v=""/>
    <n v="2800"/>
    <n v="2740"/>
    <d v="2025-10-30T00:00:00"/>
    <x v="5"/>
    <n v="0"/>
    <s v="1001"/>
    <s v="KG"/>
    <s v=""/>
    <s v="1541"/>
    <s v="REL  CNF  DLV  PRC  BASC BCRQ GMPS ILAS*"/>
    <x v="13"/>
    <e v="#N/A"/>
    <e v="#REF!"/>
    <e v="#REF!"/>
    <e v="#REF!"/>
  </r>
  <r>
    <n v="30000000077"/>
    <s v="DRON970 TC DIUREX TECH MILLED 600 KG"/>
    <s v="0000053672"/>
    <d v="2025-11-02T00:00:00"/>
    <s v="1328467"/>
    <s v=""/>
    <n v="3600"/>
    <n v="3600"/>
    <d v="2025-11-05T00:00:00"/>
    <x v="5"/>
    <n v="0"/>
    <s v="1001"/>
    <s v="KG"/>
    <s v=""/>
    <s v="1540"/>
    <s v="REL  PCNF DLV  PRC  BASC BCRQ GMPS MACM*"/>
    <x v="18"/>
    <e v="#N/A"/>
    <e v="#REF!"/>
    <e v="#REF!"/>
    <e v="#REF!"/>
  </r>
  <r>
    <n v="10000000288"/>
    <s v="CLDF80+CLQT20 EC LADDER ALL IN 1000LT CA"/>
    <s v="0000000640"/>
    <d v="2025-11-02T00:00:00"/>
    <s v="1329140"/>
    <s v=""/>
    <n v="8000"/>
    <n v="8000"/>
    <d v="2025-11-05T00:00:00"/>
    <x v="5"/>
    <n v="0"/>
    <s v="1001"/>
    <s v="L"/>
    <s v=""/>
    <s v="1523"/>
    <s v="REL  DLV  PRC  BASC BCRQ GMPS MACM ORRQ*"/>
    <x v="4"/>
    <n v="23"/>
    <e v="#REF!"/>
    <e v="#REF!"/>
    <e v="#REF!"/>
  </r>
  <r>
    <n v="10000010430"/>
    <s v="ATRL1000 ATRALONE 50KG GENERAL NEW"/>
    <s v="0000284779"/>
    <d v="2025-11-01T00:00:00"/>
    <s v="1327214"/>
    <s v=""/>
    <n v="1800"/>
    <n v="1650"/>
    <d v="2025-10-30T00:00:00"/>
    <x v="5"/>
    <n v="0"/>
    <s v="1001"/>
    <s v="KG"/>
    <s v=""/>
    <s v="1541"/>
    <s v="REL  CNF  DLV  PRC  BASC BCRQ GMPS ILAS*"/>
    <x v="9"/>
    <e v="#N/A"/>
    <e v="#REF!"/>
    <e v="#REF!"/>
    <e v="#REF!"/>
  </r>
  <r>
    <n v="10000000508"/>
    <s v="24DA306.1+FLSL6 SE CAMARO 5 LT PO 5LT PL"/>
    <s v="0000001118"/>
    <d v="2025-11-01T00:00:00"/>
    <s v="1327477"/>
    <s v="211016381"/>
    <n v="7200"/>
    <n v="7200"/>
    <d v="2025-10-29T00:00:00"/>
    <x v="5"/>
    <n v="0"/>
    <s v="1001"/>
    <s v="L"/>
    <s v=""/>
    <s v="1542"/>
    <s v="REL  DLV  PRC  BASC BCRQ GMPS MANC ORRQ*"/>
    <x v="25"/>
    <s v="5 lIter"/>
    <e v="#REF!"/>
    <e v="#REF!"/>
    <e v="#REF!"/>
  </r>
  <r>
    <n v="10000000508"/>
    <s v="24DA306.1+FLSL6 SE CAMARO 5 LT PO 5LT PL"/>
    <s v="0000001119"/>
    <d v="2025-11-01T00:00:00"/>
    <s v="1327478"/>
    <s v="211016381"/>
    <n v="7200"/>
    <n v="7200"/>
    <d v="2025-10-29T00:00:00"/>
    <x v="5"/>
    <n v="0"/>
    <s v="1001"/>
    <s v="L"/>
    <s v=""/>
    <s v="1542"/>
    <s v="REL  DLV  PRC  BASC BCRQ GMPS MANC ORRQ*"/>
    <x v="25"/>
    <s v="5 lIter"/>
    <e v="#REF!"/>
    <e v="#REF!"/>
    <e v="#REF!"/>
  </r>
  <r>
    <n v="30000000076"/>
    <s v="DRON970 TC DIUREX TECH MILLED 550 KG"/>
    <s v="0000151708"/>
    <d v="2025-10-28T00:00:00"/>
    <s v="1326766"/>
    <s v=""/>
    <n v="3300"/>
    <n v="3300"/>
    <d v="2025-11-05T00:00:00"/>
    <x v="5"/>
    <n v="0"/>
    <s v="1001"/>
    <s v="KG"/>
    <s v=""/>
    <s v="1540"/>
    <s v="REL  PCNF DLV  PRC  BASC BCRQ GMPS MACM*"/>
    <x v="18"/>
    <e v="#N/A"/>
    <e v="#REF!"/>
    <e v="#REF!"/>
    <e v="#REF!"/>
  </r>
  <r>
    <n v="30000000076"/>
    <s v="DRON970 TC DIUREX TECH MILLED 550 KG"/>
    <s v="0000151709"/>
    <d v="2025-10-28T00:00:00"/>
    <s v="1326767"/>
    <s v=""/>
    <n v="3300"/>
    <n v="3300"/>
    <d v="2025-11-05T00:00:00"/>
    <x v="5"/>
    <n v="0"/>
    <s v="1001"/>
    <s v="KG"/>
    <s v=""/>
    <s v="1540"/>
    <s v="REL  DLV  PRC  BASC BCRQ GMPS MACM ORRQ*"/>
    <x v="18"/>
    <e v="#N/A"/>
    <e v="#REF!"/>
    <e v="#REF!"/>
    <e v="#REF!"/>
  </r>
  <r>
    <n v="50000000080"/>
    <s v="NANA 1.00 KG"/>
    <s v="0000136135"/>
    <d v="2025-10-23T00:00:00"/>
    <s v="1326275"/>
    <s v=""/>
    <n v="3900"/>
    <n v="4222"/>
    <d v="2025-11-03T00:00:00"/>
    <x v="5"/>
    <n v="0"/>
    <s v="1001"/>
    <s v="KG"/>
    <s v=""/>
    <s v="1141"/>
    <s v="REL  CNF  DLV  PRC  BASC BCRQ GMPS ILAS*"/>
    <x v="7"/>
    <e v="#N/A"/>
    <e v="#REF!"/>
    <e v="#REF!"/>
    <e v="#REF!"/>
  </r>
  <r>
    <n v="50000000080"/>
    <s v="NANA 1.00 KG"/>
    <s v="0000136136"/>
    <d v="2025-10-23T00:00:00"/>
    <s v="1326276"/>
    <s v=""/>
    <n v="3900"/>
    <n v="3873"/>
    <d v="2025-11-03T00:00:00"/>
    <x v="5"/>
    <n v="0"/>
    <s v="1001"/>
    <s v="KG"/>
    <s v=""/>
    <s v="1141"/>
    <s v="REL  CNF  DLV  PRC  BASC BCRQ GMPS ILAS*"/>
    <x v="7"/>
    <e v="#N/A"/>
    <e v="#REF!"/>
    <e v="#REF!"/>
    <e v="#REF!"/>
  </r>
  <r>
    <n v="50000000075"/>
    <s v="NAA CRUDE ISO"/>
    <s v="0000280117"/>
    <d v="2025-10-19T00:00:00"/>
    <s v="1325371"/>
    <s v=""/>
    <n v="4000"/>
    <n v="5100"/>
    <d v="2025-10-30T00:00:00"/>
    <x v="5"/>
    <n v="0"/>
    <s v="1001"/>
    <s v="KG"/>
    <s v=""/>
    <s v="1141"/>
    <s v="REL  CNF  DLV  PRC  BASC BCRQ GMPS ILAS*"/>
    <x v="11"/>
    <e v="#N/A"/>
    <e v="#REF!"/>
    <e v="#REF!"/>
    <e v="#REF!"/>
  </r>
  <r>
    <n v="50000000062"/>
    <s v="DIUREX SLURRY  KG"/>
    <s v="0000051609"/>
    <d v="2025-10-10T00:00:00"/>
    <s v="1317568"/>
    <s v=""/>
    <n v="33000"/>
    <n v="30640"/>
    <d v="2025-10-17T00:00:00"/>
    <x v="5"/>
    <n v="0"/>
    <s v="1001"/>
    <s v="KG"/>
    <s v=""/>
    <s v="1140"/>
    <s v="REL  CNF  PRC  BASC BCRQ GMPS ILAS MACM*"/>
    <x v="20"/>
    <e v="#N/A"/>
    <e v="#REF!"/>
    <e v="#REF!"/>
    <e v="#REF!"/>
  </r>
  <r>
    <n v="50000000064"/>
    <s v="FLUROCHLORIDONE44.5C 200.00 KG"/>
    <s v="0000002859"/>
    <d v="2025-10-01T00:00:00"/>
    <s v="1317533"/>
    <s v=""/>
    <n v="7200"/>
    <n v="6524"/>
    <d v="2025-10-31T00:00:00"/>
    <x v="5"/>
    <n v="0"/>
    <s v="1001"/>
    <s v="KG"/>
    <s v=""/>
    <n v="1125"/>
    <s v="REL  CNF  PRC  BASC BCRQ GMPS ILAS MACM*"/>
    <x v="22"/>
    <e v="#N/A"/>
    <e v="#REF!"/>
    <e v="#REF!"/>
    <e v="#REF!"/>
  </r>
  <r>
    <n v="20000006540"/>
    <s v="MTMN350QNMC60 SC MTM 350+QUIN 60 1000L"/>
    <s v="0000000128"/>
    <d v="2025-10-01T00:00:00"/>
    <s v="1327233"/>
    <s v=""/>
    <n v="7000"/>
    <n v="7000"/>
    <d v="2025-11-01T00:00:00"/>
    <x v="5"/>
    <n v="7000"/>
    <s v="1001"/>
    <s v="L"/>
    <s v=""/>
    <s v="1528"/>
    <s v="REL  CNF  DLV  PRC  BASC BCRQ GMPS MACM*"/>
    <x v="5"/>
    <e v="#N/A"/>
    <e v="#REF!"/>
    <e v="#REF!"/>
    <e v="#REF!"/>
  </r>
  <r>
    <n v="10000000771"/>
    <s v="MTMN150 SG BREVIS SG 1KG IT"/>
    <s v="0000002407"/>
    <d v="2025-09-01T00:00:00"/>
    <s v="1315688"/>
    <s v="211015102"/>
    <n v="2160"/>
    <n v="2160"/>
    <d v="2025-10-26T00:00:00"/>
    <x v="5"/>
    <n v="0"/>
    <s v="1001"/>
    <s v="KG"/>
    <s v=""/>
    <s v="1519"/>
    <s v="REL  DLV  PRC  BASC BCRQ GMPS ILAS MANC*"/>
    <x v="8"/>
    <s v="19P"/>
    <e v="#REF!"/>
    <e v="#REF!"/>
    <e v="#REF!"/>
  </r>
  <r>
    <n v="50000000114"/>
    <s v="TOLUREX SLURRY  KG"/>
    <s v="0000272200"/>
    <d v="2025-07-18T00:00:00"/>
    <s v="1304871"/>
    <s v=""/>
    <n v="33000"/>
    <n v="28999"/>
    <d v="2025-11-04T00:00:00"/>
    <x v="5"/>
    <n v="0"/>
    <s v="1001"/>
    <s v="KG"/>
    <s v=""/>
    <s v="1140"/>
    <s v="REL  CNF  PRC  BASC BCRQ GMPS ILAS MACM*"/>
    <x v="27"/>
    <e v="#N/A"/>
    <e v="#REF!"/>
    <e v="#REF!"/>
    <e v="#REF!"/>
  </r>
  <r>
    <n v="20000005837"/>
    <s v="CLTN500 SC TOLUREX 50 SC 1000LT"/>
    <s v="0000000218"/>
    <d v="2025-12-16T00:00:00"/>
    <s v="1330177"/>
    <s v=""/>
    <n v="7000"/>
    <n v="7000"/>
    <d v="2025-11-06T00:00:00"/>
    <x v="6"/>
    <n v="7000"/>
    <s v="1001"/>
    <s v="L"/>
    <s v=""/>
    <s v="1528"/>
    <s v="REL  CNF  DLV  PRC  BASC BCRQ GMPS MACM*"/>
    <x v="5"/>
    <n v="28"/>
    <e v="#REF!"/>
    <e v="#REF!"/>
    <e v="#REF!"/>
  </r>
  <r>
    <n v="20000005837"/>
    <s v="CLTN500 SC TOLUREX 50 SC 1000LT"/>
    <s v="0000000219"/>
    <d v="2025-12-16T00:00:00"/>
    <s v="1330178"/>
    <s v=""/>
    <n v="7000"/>
    <n v="7000"/>
    <d v="2025-11-06T00:00:00"/>
    <x v="6"/>
    <n v="7000"/>
    <s v="1001"/>
    <s v="L"/>
    <s v=""/>
    <s v="1128"/>
    <s v="REL  CNF  DLV  PRC  BASC BCRQ GMPS MACM*"/>
    <x v="5"/>
    <n v="28"/>
    <e v="#REF!"/>
    <e v="#REF!"/>
    <e v="#REF!"/>
  </r>
  <r>
    <n v="20000000805"/>
    <s v="TBAZ330SLCT173 SC 200L"/>
    <s v="0000009204"/>
    <d v="2025-11-23T00:00:00"/>
    <s v="1328500"/>
    <s v=""/>
    <n v="7200"/>
    <n v="4000"/>
    <d v="2025-11-06T00:00:00"/>
    <x v="6"/>
    <n v="0"/>
    <s v="1001"/>
    <s v="L"/>
    <s v=""/>
    <s v="1528"/>
    <s v="REL  PCNF PRC  BASC BCRQ GMPS ILAS MACM*"/>
    <x v="5"/>
    <n v="28"/>
    <e v="#REF!"/>
    <e v="#REF!"/>
    <e v="#REF!"/>
  </r>
  <r>
    <n v="20000000805"/>
    <s v="TBAZ330SLCT173 SC 200L"/>
    <s v="0000009205"/>
    <d v="2025-11-23T00:00:00"/>
    <s v="1328501"/>
    <s v=""/>
    <n v="7200"/>
    <n v="7200"/>
    <d v="2025-11-06T00:00:00"/>
    <x v="6"/>
    <n v="0"/>
    <s v="1001"/>
    <s v="L"/>
    <s v=""/>
    <s v="1528"/>
    <s v="REL  CNF  DLV  PRC  BASC BCRQ GMPS ILAS*"/>
    <x v="5"/>
    <n v="28"/>
    <e v="#REF!"/>
    <e v="#REF!"/>
    <e v="#REF!"/>
  </r>
  <r>
    <n v="20000000805"/>
    <s v="TBAZ330SLCT173 SC 200L"/>
    <s v="0000009206"/>
    <d v="2025-11-23T00:00:00"/>
    <s v="1328502"/>
    <s v=""/>
    <n v="7200"/>
    <n v="7200"/>
    <d v="2025-11-07T00:00:00"/>
    <x v="6"/>
    <n v="0"/>
    <s v="1001"/>
    <s v="L"/>
    <s v=""/>
    <s v="1528"/>
    <s v="REL  CNF  DLV  PRC  BASC BCRQ GMPS ILAS*"/>
    <x v="5"/>
    <n v="28"/>
    <e v="#REF!"/>
    <e v="#REF!"/>
    <e v="#REF!"/>
  </r>
  <r>
    <n v="50000000053"/>
    <s v="DELTA DAMASCONE CRUD 1.00 KG"/>
    <s v="0000012776"/>
    <d v="2025-11-11T00:00:00"/>
    <s v="1327415"/>
    <s v=""/>
    <n v="6000"/>
    <n v="6718"/>
    <d v="2025-11-03T00:00:00"/>
    <x v="6"/>
    <n v="0"/>
    <s v="1001"/>
    <s v="KG"/>
    <s v=""/>
    <s v="1141"/>
    <s v="REL  CNF  DLV  PRC  BASC BCRQ GMPS ILAS*"/>
    <x v="0"/>
    <e v="#N/A"/>
    <e v="#REF!"/>
    <e v="#REF!"/>
    <e v="#REF!"/>
  </r>
  <r>
    <n v="10000000430"/>
    <s v="DRON468+HZNN132 WG HEXARON 5KG BR 5KG BR"/>
    <s v="0000042599"/>
    <d v="2025-11-07T00:00:00"/>
    <s v="1326724"/>
    <s v=""/>
    <n v="2880"/>
    <n v="2880"/>
    <d v="2025-11-06T00:00:00"/>
    <x v="6"/>
    <n v="0"/>
    <s v="1001"/>
    <s v="KG"/>
    <s v=""/>
    <s v="1519"/>
    <s v="REL  CNF  DLV  PRC  BASC BCRQ GMPS ILAS*"/>
    <x v="8"/>
    <n v="19"/>
    <e v="#REF!"/>
    <e v="#REF!"/>
    <e v="#REF!"/>
  </r>
  <r>
    <n v="30000000099"/>
    <s v="OXFF970 TC GALIGAN TECH 97% CRD  1000KG"/>
    <s v="0000002879"/>
    <d v="2025-11-07T00:00:00"/>
    <s v="1327077"/>
    <s v=""/>
    <n v="1650"/>
    <n v="1650"/>
    <d v="2025-10-27T00:00:00"/>
    <x v="6"/>
    <n v="0"/>
    <s v="1001"/>
    <s v="KG"/>
    <s v=""/>
    <s v="1125"/>
    <s v="REL  CNF  DLV  PRC  BASC BCRQ GMPS ILAS*"/>
    <x v="16"/>
    <e v="#N/A"/>
    <e v="#REF!"/>
    <e v="#REF!"/>
    <e v="#REF!"/>
  </r>
  <r>
    <n v="50000000091"/>
    <s v="GALIGAN IN TOLUENE ISO"/>
    <s v="0000009615"/>
    <d v="2025-11-07T00:00:00"/>
    <s v="1328538"/>
    <s v=""/>
    <n v="4800"/>
    <n v="4664"/>
    <d v="2025-10-30T00:00:00"/>
    <x v="6"/>
    <n v="0"/>
    <s v="1001"/>
    <s v="KG"/>
    <s v=""/>
    <s v="1125"/>
    <s v="REL  CNF  PRC  BASC BCRQ GMPS ILAS MACM*"/>
    <x v="11"/>
    <e v="#N/A"/>
    <e v="#REF!"/>
    <e v="#REF!"/>
    <e v="#REF!"/>
  </r>
  <r>
    <n v="50000000091"/>
    <s v="GALIGAN IN TOLUENE ISO"/>
    <s v="0000009616"/>
    <d v="2025-11-07T00:00:00"/>
    <s v="1328539"/>
    <s v=""/>
    <n v="4800"/>
    <n v="4996"/>
    <d v="2025-10-30T00:00:00"/>
    <x v="6"/>
    <n v="0"/>
    <s v="1001"/>
    <s v="KG"/>
    <s v=""/>
    <s v="1125"/>
    <s v="REL  CNF  DLV  PRC  BASC BCRQ GMPS ILAS*"/>
    <x v="11"/>
    <e v="#N/A"/>
    <e v="#REF!"/>
    <e v="#REF!"/>
    <e v="#REF!"/>
  </r>
  <r>
    <n v="20000008007"/>
    <s v="PNMP320 SC PHENMEDIPHAM 320GL SC 1000LT"/>
    <s v="0000000110"/>
    <d v="2025-11-07T00:00:00"/>
    <s v="1330625"/>
    <s v=""/>
    <n v="7000"/>
    <n v="7000"/>
    <d v="2025-11-07T00:00:00"/>
    <x v="6"/>
    <n v="7000"/>
    <s v="1001"/>
    <s v="L"/>
    <s v=""/>
    <s v="1528"/>
    <s v="REL  CNF  DLV  PRC  BASC BCRQ GMPS MACM*"/>
    <x v="5"/>
    <e v="#N/A"/>
    <e v="#REF!"/>
    <e v="#REF!"/>
    <e v="#REF!"/>
  </r>
  <r>
    <n v="20000008007"/>
    <s v="PNMP320 SC PHENMEDIPHAM 320GL SC 1000LT"/>
    <s v="0000000111"/>
    <d v="2025-11-07T00:00:00"/>
    <s v="1330626"/>
    <s v=""/>
    <n v="7000"/>
    <n v="6682"/>
    <d v="2025-11-07T00:00:00"/>
    <x v="6"/>
    <n v="6682"/>
    <s v="1001"/>
    <s v="L"/>
    <s v=""/>
    <s v="1528"/>
    <s v="REL  CNF  PRC  BASC BCRQ GMPS MACM ORRQ*"/>
    <x v="5"/>
    <e v="#N/A"/>
    <e v="#REF!"/>
    <e v="#REF!"/>
    <e v="#REF!"/>
  </r>
  <r>
    <n v="10000012414"/>
    <s v="MSL12+PND60+MFP35 OD EDAPTIS 5LT IT"/>
    <s v="0000000106"/>
    <d v="2025-11-06T00:00:00"/>
    <s v="1327516"/>
    <s v="211016510"/>
    <n v="12000"/>
    <n v="600"/>
    <d v="2025-11-06T00:00:00"/>
    <x v="6"/>
    <n v="0"/>
    <s v="1001"/>
    <s v="L"/>
    <s v=""/>
    <s v="1542"/>
    <s v="REL  PRC  BASC BCRQ GMPS MANC ORRQ PDLV*"/>
    <x v="12"/>
    <s v="24P"/>
    <e v="#REF!"/>
    <e v="#REF!"/>
    <e v="#REF!"/>
  </r>
  <r>
    <n v="50000000108"/>
    <s v="PROPAQUIZAFOP PRMX25 1000 KG"/>
    <s v="0000003510"/>
    <d v="2025-11-06T00:00:00"/>
    <s v="1328447"/>
    <s v=""/>
    <n v="8000"/>
    <n v="8000"/>
    <d v="2025-11-02T00:00:00"/>
    <x v="6"/>
    <n v="0"/>
    <s v="1001"/>
    <s v="KG"/>
    <s v=""/>
    <s v="1525"/>
    <s v="REL  DLV  PRC  BASC BCRQ GMPS ILAS MANC*"/>
    <x v="19"/>
    <e v="#N/A"/>
    <e v="#REF!"/>
    <e v="#REF!"/>
    <e v="#REF!"/>
  </r>
  <r>
    <n v="50000000080"/>
    <s v="NANA 1.00 KG"/>
    <s v="0000136137"/>
    <d v="2025-11-06T00:00:00"/>
    <s v="1330415"/>
    <s v=""/>
    <n v="3900"/>
    <n v="3906"/>
    <d v="2025-11-06T00:00:00"/>
    <x v="6"/>
    <n v="0"/>
    <s v="1001"/>
    <s v="KG"/>
    <s v=""/>
    <s v="1141"/>
    <s v="REL  CNF  DLV  PRC  BASC BCRQ GMPS ILAS*"/>
    <x v="7"/>
    <e v="#N/A"/>
    <e v="#REF!"/>
    <e v="#REF!"/>
    <e v="#REF!"/>
  </r>
  <r>
    <n v="10000000390"/>
    <s v="DRON800 SC Adama Essentials DIURE 5LT AR"/>
    <s v="0000009626"/>
    <d v="2025-11-05T00:00:00"/>
    <s v="1327450"/>
    <s v="211016037"/>
    <n v="12000"/>
    <n v="11400"/>
    <d v="2025-10-29T00:00:00"/>
    <x v="6"/>
    <n v="12000"/>
    <s v="1001"/>
    <s v="L"/>
    <s v=""/>
    <s v="1543"/>
    <s v="REL  PRT  CNF  PRC  BASC BCRQ GMPS ILAS*"/>
    <x v="12"/>
    <e v="#N/A"/>
    <e v="#REF!"/>
    <e v="#REF!"/>
    <e v="#REF!"/>
  </r>
  <r>
    <n v="50000000049"/>
    <s v="DELTA MTL KTN CR RUS 1.00 KG"/>
    <s v="0000007631"/>
    <d v="2025-11-05T00:00:00"/>
    <s v="1328602"/>
    <s v=""/>
    <n v="2000"/>
    <n v="3000"/>
    <d v="2025-11-03T00:00:00"/>
    <x v="6"/>
    <n v="0"/>
    <s v="1001"/>
    <s v="KG"/>
    <s v=""/>
    <s v="1141"/>
    <s v="REL  CNF  DLV  PRC  BASC BCRQ GMPS ILAS*"/>
    <x v="0"/>
    <e v="#N/A"/>
    <e v="#REF!"/>
    <e v="#REF!"/>
    <e v="#REF!"/>
  </r>
  <r>
    <n v="10000011795"/>
    <s v="24DA306.1+FLSL6 SE ELEGANT 2FD 5LT BT"/>
    <s v="0000000104"/>
    <d v="2025-11-04T00:00:00"/>
    <s v="1327503"/>
    <s v="211016091"/>
    <n v="7200"/>
    <n v="7200"/>
    <d v="2025-10-30T00:00:00"/>
    <x v="6"/>
    <n v="0"/>
    <s v="1001"/>
    <s v="L"/>
    <s v=""/>
    <s v="1542"/>
    <s v="REL  DLV  PRC  BASC BCRQ GMPS MANC ORRQ*"/>
    <x v="12"/>
    <e v="#N/A"/>
    <e v="#REF!"/>
    <e v="#REF!"/>
    <e v="#REF!"/>
  </r>
  <r>
    <n v="10000011795"/>
    <s v="24DA306.1+FLSL6 SE ELEGANT 2FD 5LT BT"/>
    <s v="0000000105"/>
    <d v="2025-11-04T00:00:00"/>
    <s v="1327504"/>
    <s v="211016091"/>
    <n v="7200"/>
    <n v="7200"/>
    <d v="2025-10-30T00:00:00"/>
    <x v="6"/>
    <n v="0"/>
    <s v="1001"/>
    <s v="L"/>
    <s v=""/>
    <s v="1542"/>
    <s v="REL  DLV  PRC  BASC BCRQ GMPS MANC ORRQ*"/>
    <x v="12"/>
    <e v="#N/A"/>
    <e v="#REF!"/>
    <e v="#REF!"/>
    <e v="#REF!"/>
  </r>
  <r>
    <n v="10000011795"/>
    <s v="24DA306.1+FLSL6 SE ELEGANT 2FD 5LT BT"/>
    <s v="0000000106"/>
    <d v="2025-11-04T00:00:00"/>
    <s v="1327505"/>
    <s v="211016091"/>
    <n v="7200"/>
    <n v="7200"/>
    <d v="2025-10-30T00:00:00"/>
    <x v="6"/>
    <n v="0"/>
    <s v="1001"/>
    <s v="L"/>
    <s v=""/>
    <s v="1542"/>
    <s v="REL  PRT  DLV  PRC  BASC BCRQ GMPS MANC*"/>
    <x v="12"/>
    <e v="#N/A"/>
    <e v="#REF!"/>
    <e v="#REF!"/>
    <e v="#REF!"/>
  </r>
  <r>
    <n v="10000011795"/>
    <s v="24DA306.1+FLSL6 SE ELEGANT 2FD 5LT BT"/>
    <s v="0000000107"/>
    <d v="2025-11-04T00:00:00"/>
    <s v="1327506"/>
    <s v="211016091"/>
    <n v="7200"/>
    <n v="7200"/>
    <d v="2025-10-30T00:00:00"/>
    <x v="6"/>
    <n v="7200"/>
    <s v="1001"/>
    <s v="L"/>
    <s v=""/>
    <s v="1542"/>
    <s v="REL  PRT  CNF  DLV  PRC  BASC BCRQ GMPS*"/>
    <x v="12"/>
    <e v="#N/A"/>
    <e v="#REF!"/>
    <e v="#REF!"/>
    <e v="#REF!"/>
  </r>
  <r>
    <n v="10000011795"/>
    <s v="24DA306.1+FLSL6 SE ELEGANT 2FD 5LT BT"/>
    <s v="0000000108"/>
    <d v="2025-11-04T00:00:00"/>
    <s v="1327507"/>
    <s v="211016091"/>
    <n v="7200"/>
    <n v="7200"/>
    <d v="2025-10-30T00:00:00"/>
    <x v="6"/>
    <n v="7200"/>
    <s v="1001"/>
    <s v="L"/>
    <s v=""/>
    <s v="1542"/>
    <s v="REL  PRT  CNF  DLV  PRC  BASC BCRQ GMPS*"/>
    <x v="12"/>
    <e v="#N/A"/>
    <e v="#REF!"/>
    <e v="#REF!"/>
    <e v="#REF!"/>
  </r>
  <r>
    <n v="10000000771"/>
    <s v="MTMN150 SG BREVIS SG 1KG IT"/>
    <s v="0000002408"/>
    <d v="2025-11-03T00:00:00"/>
    <s v="1328956"/>
    <s v="211016323"/>
    <n v="2160"/>
    <n v="2160"/>
    <d v="2025-11-04T00:00:00"/>
    <x v="6"/>
    <n v="0"/>
    <s v="1001"/>
    <s v="KG"/>
    <s v=""/>
    <s v="1519"/>
    <s v="REL  DLV  PRC  BASC BCRQ GMPS ILAS MANC*"/>
    <x v="8"/>
    <s v="19P"/>
    <e v="#REF!"/>
    <e v="#REF!"/>
    <e v="#REF!"/>
  </r>
  <r>
    <n v="30000000097"/>
    <s v="MTZC735 TC METAZACHLR T WT CRUD 600 KG"/>
    <s v="0000009016"/>
    <d v="2025-11-02T00:00:00"/>
    <s v="1327204"/>
    <s v=""/>
    <n v="2800"/>
    <n v="2445"/>
    <d v="2025-10-30T00:00:00"/>
    <x v="6"/>
    <n v="0"/>
    <s v="1001"/>
    <s v="KG"/>
    <s v=""/>
    <s v="1541"/>
    <s v="REL  CNF  PRC  BASC BCRQ GMPS ILAS MACM*"/>
    <x v="13"/>
    <e v="#N/A"/>
    <e v="#REF!"/>
    <e v="#REF!"/>
    <e v="#REF!"/>
  </r>
  <r>
    <n v="10000011550"/>
    <s v="PINO100+THIEN8.3+MEF OD CAZADO 1000LT CA"/>
    <s v="0000000171"/>
    <d v="2025-11-01T00:00:00"/>
    <s v="1326605"/>
    <s v=""/>
    <n v="5000"/>
    <n v="5000"/>
    <d v="2025-11-06T00:00:00"/>
    <x v="6"/>
    <n v="5000"/>
    <s v="1001"/>
    <s v="L"/>
    <s v=""/>
    <s v="1524"/>
    <s v="REL  CNF  DLV  PRC  BASC BCRQ GMPS ILAS*"/>
    <x v="3"/>
    <s v="24F"/>
    <e v="#REF!"/>
    <e v="#REF!"/>
    <e v="#REF!"/>
  </r>
  <r>
    <n v="10000010430"/>
    <s v="ATRL1000 ATRALONE 50KG GENERAL NEW"/>
    <s v="0000284780"/>
    <d v="2025-11-01T00:00:00"/>
    <s v="1327215"/>
    <s v=""/>
    <n v="1800"/>
    <n v="1700"/>
    <d v="2025-10-30T00:00:00"/>
    <x v="6"/>
    <n v="0"/>
    <s v="1001"/>
    <s v="KG"/>
    <s v=""/>
    <s v="1541"/>
    <s v="REL  CNF  PRC  BASC BCRQ GMPS ILAS MACM*"/>
    <x v="9"/>
    <e v="#N/A"/>
    <e v="#REF!"/>
    <e v="#REF!"/>
    <e v="#REF!"/>
  </r>
  <r>
    <n v="20000000722"/>
    <s v="PNDM400 CS PENDIMETHALINE 400CS 200 L"/>
    <s v="0000069443"/>
    <d v="2025-11-01T00:00:00"/>
    <s v="1327401"/>
    <s v=""/>
    <n v="3600"/>
    <n v="4000"/>
    <d v="2025-10-30T00:00:00"/>
    <x v="6"/>
    <n v="4000"/>
    <s v="1001"/>
    <s v="L"/>
    <s v=""/>
    <s v="1525"/>
    <s v="REL  CNF  DLV  PRC  BASC BCRQ GMPS MACM*"/>
    <x v="2"/>
    <e v="#N/A"/>
    <e v="#REF!"/>
    <e v="#REF!"/>
    <e v="#REF!"/>
  </r>
  <r>
    <n v="20000007709"/>
    <s v="CLTD240 EC CLETHODIM 240SS EUR EC 1000LT"/>
    <s v="0000000128"/>
    <d v="2025-11-01T00:00:00"/>
    <s v="1328957"/>
    <s v=""/>
    <n v="7000"/>
    <n v="10000"/>
    <d v="2025-11-06T00:00:00"/>
    <x v="6"/>
    <n v="0"/>
    <s v="1001"/>
    <s v="L"/>
    <s v=""/>
    <s v="1523"/>
    <s v="REL  DLV  PRC  BASC BCRQ GMPS MACM ORRQ*"/>
    <x v="4"/>
    <e v="#N/A"/>
    <e v="#REF!"/>
    <e v="#REF!"/>
    <e v="#REF!"/>
  </r>
  <r>
    <n v="20000004929"/>
    <s v="FRXP250 EC FLUROXYPYR 250 S 200 L (NEW)"/>
    <s v="0000328286"/>
    <d v="2025-11-01T00:00:00"/>
    <s v="1329369"/>
    <s v=""/>
    <n v="15000"/>
    <n v="14400"/>
    <d v="2025-11-04T00:00:00"/>
    <x v="6"/>
    <n v="14400"/>
    <s v="1001"/>
    <s v="L"/>
    <s v=""/>
    <s v="1525"/>
    <s v="REL  CNF  PRC  BASC BCRQ GMPS MANC ORRQ*"/>
    <x v="4"/>
    <n v="23"/>
    <e v="#REF!"/>
    <e v="#REF!"/>
    <e v="#REF!"/>
  </r>
  <r>
    <n v="50000000049"/>
    <s v="DELTA MTL KTN CR RUS 1.00 KG"/>
    <s v="0000007630"/>
    <d v="2025-10-24T00:00:00"/>
    <s v="1325353"/>
    <s v=""/>
    <n v="2000"/>
    <n v="2528"/>
    <d v="2025-10-30T00:00:00"/>
    <x v="6"/>
    <n v="0"/>
    <s v="1001"/>
    <s v="KG"/>
    <s v=""/>
    <s v="1141"/>
    <s v="REL  CNF  DLV  PRC  BASC BCRQ GMPS ILAS*"/>
    <x v="0"/>
    <e v="#N/A"/>
    <e v="#REF!"/>
    <e v="#REF!"/>
    <e v="#REF!"/>
  </r>
  <r>
    <n v="50000000062"/>
    <s v="DIUREX SLURRY  KG"/>
    <s v="0000051610"/>
    <d v="2025-10-10T00:00:00"/>
    <s v="1317569"/>
    <s v=""/>
    <n v="33000"/>
    <n v="30603"/>
    <d v="2025-10-17T00:00:00"/>
    <x v="6"/>
    <n v="0"/>
    <s v="1001"/>
    <s v="KG"/>
    <s v=""/>
    <s v="1140"/>
    <s v="REL  CNF  PRC  BASC BCRQ GMPS ILAS MACM*"/>
    <x v="20"/>
    <e v="#N/A"/>
    <e v="#REF!"/>
    <e v="#REF!"/>
    <e v="#REF!"/>
  </r>
  <r>
    <n v="20000006540"/>
    <s v="MTMN350QNMC60 SC MTM 350+QUIN 60 1000L"/>
    <s v="0000000129"/>
    <d v="2025-10-01T00:00:00"/>
    <s v="1327234"/>
    <s v=""/>
    <n v="7000"/>
    <n v="7000"/>
    <d v="2025-11-01T00:00:00"/>
    <x v="6"/>
    <n v="0"/>
    <s v="1001"/>
    <s v="L"/>
    <s v=""/>
    <s v="1528"/>
    <s v="REL  PCNF DLV  PRC  BASC BCRQ GMPS MACM*"/>
    <x v="5"/>
    <e v="#N/A"/>
    <e v="#REF!"/>
    <e v="#REF!"/>
    <e v="#REF!"/>
  </r>
  <r>
    <n v="20000006540"/>
    <s v="MTMN350QNMC60 SC MTM 350+QUIN 60 1000L"/>
    <s v="0000000130"/>
    <d v="2025-10-01T00:00:00"/>
    <s v="1327235"/>
    <s v=""/>
    <n v="10000"/>
    <n v="9550"/>
    <d v="2025-11-01T00:00:00"/>
    <x v="6"/>
    <n v="9500"/>
    <s v="1001"/>
    <s v="L"/>
    <s v=""/>
    <s v="1528"/>
    <s v="REL  CNF  PRC  BASC BCRQ GMPS MANC ORRQ*"/>
    <x v="5"/>
    <e v="#N/A"/>
    <e v="#REF!"/>
    <e v="#REF!"/>
    <e v="#REF!"/>
  </r>
  <r>
    <n v="50000002339"/>
    <s v="ETHANOL RETURNED 800KG"/>
    <s v="0000335121"/>
    <d v="2025-09-01T00:00:00"/>
    <s v="1314905"/>
    <s v=""/>
    <n v="4800"/>
    <n v="4000"/>
    <d v="2025-08-24T00:00:00"/>
    <x v="6"/>
    <n v="0"/>
    <s v="1001"/>
    <s v="KG"/>
    <s v=""/>
    <s v="1525"/>
    <s v="REL  CNF  PRC  BASC BCRQ GMPS ILAS MACM*"/>
    <x v="6"/>
    <e v="#N/A"/>
    <e v="#REF!"/>
    <e v="#REF!"/>
    <e v="#REF!"/>
  </r>
  <r>
    <n v="20000005837"/>
    <s v="CLTN500 SC TOLUREX 50 SC 1000LT"/>
    <s v="0000000220"/>
    <d v="2025-12-16T00:00:00"/>
    <s v="1330179"/>
    <s v=""/>
    <n v="7000"/>
    <n v="8000"/>
    <d v="2025-11-06T00:00:00"/>
    <x v="7"/>
    <n v="8000"/>
    <s v="1001"/>
    <s v="L"/>
    <s v=""/>
    <s v="1128"/>
    <s v="REL  CNF  DLV  PRC  BASC BCRQ GMPS MACM*"/>
    <x v="5"/>
    <n v="28"/>
    <e v="#REF!"/>
    <e v="#REF!"/>
    <e v="#REF!"/>
  </r>
  <r>
    <n v="20000005837"/>
    <s v="CLTN500 SC TOLUREX 50 SC 1000LT"/>
    <s v="0000000221"/>
    <d v="2025-12-16T00:00:00"/>
    <s v="1330200"/>
    <s v=""/>
    <n v="7000"/>
    <n v="8000"/>
    <d v="2025-11-08T00:00:00"/>
    <x v="7"/>
    <n v="8000"/>
    <s v="1001"/>
    <s v="L"/>
    <s v=""/>
    <s v="1528"/>
    <s v="REL  CNF  DLV  PRC  BASC BCRQ GMPS MACM*"/>
    <x v="5"/>
    <n v="28"/>
    <e v="#REF!"/>
    <e v="#REF!"/>
    <e v="#REF!"/>
  </r>
  <r>
    <n v="20000000805"/>
    <s v="TBAZ330SLCT173 SC 200L"/>
    <s v="0000009207"/>
    <d v="2025-11-23T00:00:00"/>
    <s v="1328503"/>
    <s v=""/>
    <n v="7200"/>
    <n v="7200"/>
    <d v="2025-11-07T00:00:00"/>
    <x v="7"/>
    <n v="0"/>
    <s v="1001"/>
    <s v="L"/>
    <s v=""/>
    <s v="1528"/>
    <s v="REL  CNF  DLV  PRC  BASC BCRQ GMPS ILAS*"/>
    <x v="5"/>
    <n v="28"/>
    <e v="#REF!"/>
    <e v="#REF!"/>
    <e v="#REF!"/>
  </r>
  <r>
    <n v="20000000805"/>
    <s v="TBAZ330SLCT173 SC 200L"/>
    <s v="0000009208"/>
    <d v="2025-11-23T00:00:00"/>
    <s v="1328504"/>
    <s v=""/>
    <n v="7200"/>
    <n v="7200"/>
    <d v="2025-11-07T00:00:00"/>
    <x v="7"/>
    <n v="0"/>
    <s v="1001"/>
    <s v="L"/>
    <s v=""/>
    <s v="1528"/>
    <s v="REL  CNF  DLV  PRC  BASC BCRQ GMPS ILAS*"/>
    <x v="5"/>
    <n v="28"/>
    <e v="#REF!"/>
    <e v="#REF!"/>
    <e v="#REF!"/>
  </r>
  <r>
    <n v="20000000805"/>
    <s v="TBAZ330SLCT173 SC 200L"/>
    <s v="0000009209"/>
    <d v="2025-11-23T00:00:00"/>
    <s v="1328505"/>
    <s v=""/>
    <n v="7200"/>
    <n v="7200"/>
    <d v="2025-11-08T00:00:00"/>
    <x v="7"/>
    <n v="0"/>
    <s v="1001"/>
    <s v="L"/>
    <s v=""/>
    <s v="1528"/>
    <s v="REL  CNF  DLV  PRC  BASC BCRQ GMPS ILAS*"/>
    <x v="5"/>
    <n v="28"/>
    <e v="#REF!"/>
    <e v="#REF!"/>
    <e v="#REF!"/>
  </r>
  <r>
    <n v="50000000108"/>
    <s v="PROPAQUIZAFOP PRMX25 1000 KG"/>
    <s v="0000003511"/>
    <d v="2025-11-09T00:00:00"/>
    <s v="1328448"/>
    <s v=""/>
    <n v="8000"/>
    <n v="7000"/>
    <d v="2025-11-02T00:00:00"/>
    <x v="7"/>
    <n v="0"/>
    <s v="1001"/>
    <s v="KG"/>
    <s v=""/>
    <s v="1525"/>
    <s v="REL  PCNF PRC  BASC BCRQ GMPS ILAS MANC*"/>
    <x v="19"/>
    <e v="#N/A"/>
    <e v="#REF!"/>
    <e v="#REF!"/>
    <e v="#REF!"/>
  </r>
  <r>
    <n v="50000000108"/>
    <s v="PROPAQUIZAFOP PRMX25 1000 KG"/>
    <s v="0000003512"/>
    <d v="2025-11-09T00:00:00"/>
    <s v="1328449"/>
    <s v=""/>
    <n v="8000"/>
    <n v="8000"/>
    <d v="2025-11-02T00:00:00"/>
    <x v="7"/>
    <n v="0"/>
    <s v="1001"/>
    <s v="KG"/>
    <s v=""/>
    <s v="1525"/>
    <s v="REL  PCNF DLV  PRC  BASC BCRQ GMPS ILAS*"/>
    <x v="19"/>
    <e v="#N/A"/>
    <e v="#REF!"/>
    <e v="#REF!"/>
    <e v="#REF!"/>
  </r>
  <r>
    <n v="20000006541"/>
    <s v="ETFM200PNMP200SC PHEN200+ETHO200GL 1000L"/>
    <s v="0000437500"/>
    <d v="2025-11-06T00:00:00"/>
    <s v="1329932"/>
    <s v=""/>
    <n v="7000"/>
    <n v="7000"/>
    <d v="2025-11-08T00:00:00"/>
    <x v="7"/>
    <n v="7000"/>
    <s v="1001"/>
    <s v="L"/>
    <s v=""/>
    <s v="1528"/>
    <s v="REL  CNF  DLV  PRC  BASC BCRQ GMPS MACM*"/>
    <x v="5"/>
    <n v="28"/>
    <e v="#REF!"/>
    <e v="#REF!"/>
    <e v="#REF!"/>
  </r>
  <r>
    <n v="50000000080"/>
    <s v="NANA 1.00 KG"/>
    <s v="0000136138"/>
    <d v="2025-11-06T00:00:00"/>
    <s v="1330416"/>
    <s v=""/>
    <n v="3900"/>
    <n v="4077"/>
    <d v="2025-11-06T00:00:00"/>
    <x v="7"/>
    <n v="0"/>
    <s v="1001"/>
    <s v="KG"/>
    <s v=""/>
    <s v="1141"/>
    <s v="REL  CNF  DLV  PRC  BASC BCRQ GMPS ILAS*"/>
    <x v="7"/>
    <e v="#N/A"/>
    <e v="#REF!"/>
    <e v="#REF!"/>
    <e v="#REF!"/>
  </r>
  <r>
    <n v="50000000080"/>
    <s v="NANA 1.00 KG"/>
    <s v="0000136139"/>
    <d v="2025-11-06T00:00:00"/>
    <s v="1330417"/>
    <s v=""/>
    <n v="3900"/>
    <n v="3860"/>
    <d v="2025-11-06T00:00:00"/>
    <x v="7"/>
    <n v="0"/>
    <s v="1001"/>
    <s v="KG"/>
    <s v=""/>
    <s v="1141"/>
    <s v="REL  CNF  PRC  BASC BCRQ GMPS ILAS MACM*"/>
    <x v="7"/>
    <e v="#N/A"/>
    <e v="#REF!"/>
    <e v="#REF!"/>
    <e v="#REF!"/>
  </r>
  <r>
    <n v="20000000394"/>
    <s v="24DA300FLSL6 SE 1000L"/>
    <s v="0000000827"/>
    <d v="2025-11-06T00:00:00"/>
    <s v="1330465"/>
    <s v=""/>
    <n v="7000"/>
    <n v="1450"/>
    <d v="2025-11-06T00:00:00"/>
    <x v="7"/>
    <n v="0"/>
    <s v="1001"/>
    <s v="L"/>
    <s v=""/>
    <s v="1524"/>
    <s v="REL  CNF  PRC  BASC BCRQ GMPS ILAS MACM*"/>
    <x v="3"/>
    <s v="24F"/>
    <e v="#REF!"/>
    <e v="#REF!"/>
    <e v="#REF!"/>
  </r>
  <r>
    <n v="10000011795"/>
    <s v="24DA306.1+FLSL6 SE ELEGANT 2FD 5LT BT"/>
    <s v="0000000110"/>
    <d v="2025-11-05T00:00:00"/>
    <s v="1327509"/>
    <s v="211016220"/>
    <n v="7200"/>
    <n v="7200"/>
    <d v="2025-10-30T00:00:00"/>
    <x v="7"/>
    <n v="7200"/>
    <s v="1001"/>
    <s v="L"/>
    <s v=""/>
    <s v="1542"/>
    <s v="REL  PRT  CNF  DLV  PRC  BASC BCRQ GMPS*"/>
    <x v="12"/>
    <e v="#N/A"/>
    <e v="#REF!"/>
    <e v="#REF!"/>
    <e v="#REF!"/>
  </r>
  <r>
    <n v="50000000049"/>
    <s v="DELTA MTL KTN CR RUS 1.00 KG"/>
    <s v="0000007633"/>
    <d v="2025-11-05T00:00:00"/>
    <s v="1328604"/>
    <s v=""/>
    <n v="2000"/>
    <n v="3000"/>
    <d v="2025-11-03T00:00:00"/>
    <x v="7"/>
    <n v="0"/>
    <s v="1001"/>
    <s v="KG"/>
    <s v=""/>
    <s v="1141"/>
    <s v="REL  CNF  DLV  PRC  BASC BCRQ GMPS ILAS*"/>
    <x v="0"/>
    <e v="#N/A"/>
    <e v="#REF!"/>
    <e v="#REF!"/>
    <e v="#REF!"/>
  </r>
  <r>
    <n v="10000000516"/>
    <s v="24DA306.1+FLSL6 SE Pegas 306 SE 5 5LT PL"/>
    <s v="0000001904"/>
    <d v="2025-11-05T00:00:00"/>
    <s v="1329099"/>
    <s v="211016382"/>
    <n v="5400"/>
    <n v="5400"/>
    <d v="2025-11-06T00:00:00"/>
    <x v="7"/>
    <n v="5400"/>
    <s v="1001"/>
    <s v="L"/>
    <s v=""/>
    <s v="1542"/>
    <s v="REL  MSPT PRT  CNF  DLV  PRC  BASC BCRQ*"/>
    <x v="12"/>
    <s v="24P"/>
    <e v="#REF!"/>
    <e v="#REF!"/>
    <e v="#REF!"/>
  </r>
  <r>
    <n v="50000000056"/>
    <s v="DELTA DAMASCON FLASH 1.00 KG"/>
    <s v="0000010324"/>
    <d v="2025-11-04T00:00:00"/>
    <s v="1326265"/>
    <s v=""/>
    <n v="1600"/>
    <n v="2489"/>
    <d v="2025-10-30T00:00:00"/>
    <x v="7"/>
    <n v="0"/>
    <s v="1001"/>
    <s v="KG"/>
    <s v=""/>
    <s v="1141"/>
    <s v="REL  CNF  DLV  PRC  BASC BCRQ GMPS ILAS*"/>
    <x v="0"/>
    <e v="#N/A"/>
    <e v="#REF!"/>
    <e v="#REF!"/>
    <e v="#REF!"/>
  </r>
  <r>
    <n v="10000011795"/>
    <s v="24DA306.1+FLSL6 SE ELEGANT 2FD 5LT BT"/>
    <s v="0000000109"/>
    <d v="2025-11-04T00:00:00"/>
    <s v="1327508"/>
    <s v="211016091"/>
    <n v="1100"/>
    <n v="1100"/>
    <d v="2025-10-30T00:00:00"/>
    <x v="7"/>
    <n v="1100"/>
    <s v="1001"/>
    <s v="L"/>
    <s v=""/>
    <s v="1542"/>
    <s v="REL  PRT  CNF  DLV  PRC  BASC BCRQ GMPS*"/>
    <x v="12"/>
    <e v="#N/A"/>
    <e v="#REF!"/>
    <e v="#REF!"/>
    <e v="#REF!"/>
  </r>
  <r>
    <n v="20000000367"/>
    <s v="FCDN250 EC FLURCHLRDN 25 EC UKR 200 L"/>
    <s v="0000008418"/>
    <d v="2025-11-04T00:00:00"/>
    <s v="1329807"/>
    <s v=""/>
    <n v="7600"/>
    <n v="8000"/>
    <d v="2025-11-04T00:00:00"/>
    <x v="7"/>
    <n v="7600"/>
    <s v="1001"/>
    <s v="L"/>
    <s v=""/>
    <s v="1523"/>
    <s v="REL  CNF  DLV  PRC  BASC BCRQ GMPS MANC*"/>
    <x v="4"/>
    <n v="23"/>
    <e v="#REF!"/>
    <e v="#REF!"/>
    <e v="#REF!"/>
  </r>
  <r>
    <n v="20000000671"/>
    <s v="OXFF240 EC GALIGAN EC 240 SSS 1022 L"/>
    <s v="0000069831"/>
    <d v="2025-11-03T00:00:00"/>
    <s v="1329278"/>
    <s v=""/>
    <n v="6000"/>
    <n v="7000"/>
    <d v="2025-11-03T00:00:00"/>
    <x v="7"/>
    <n v="0"/>
    <s v="1001"/>
    <s v="L"/>
    <s v=""/>
    <s v="1525"/>
    <s v="REL  CNF  DLV  PRC  BASC BCRQ GMPS ILAS*"/>
    <x v="10"/>
    <e v="#N/A"/>
    <e v="#REF!"/>
    <e v="#REF!"/>
    <e v="#REF!"/>
  </r>
  <r>
    <n v="10000001064"/>
    <s v="PNDM400 SC ANTHEM 2X10LIT UK 10LT UK"/>
    <s v="0000004512"/>
    <d v="2025-11-02T00:00:00"/>
    <s v="1327443"/>
    <s v="211016405"/>
    <n v="12000"/>
    <n v="12000"/>
    <d v="2025-10-28T00:00:00"/>
    <x v="7"/>
    <n v="12000"/>
    <s v="1001"/>
    <s v="L"/>
    <s v=""/>
    <s v="1542"/>
    <s v="TECO PRT  CNF  DLV  PRC  BASC BCRQ GMPS*"/>
    <x v="17"/>
    <n v="10"/>
    <e v="#REF!"/>
    <e v="#REF!"/>
    <e v="#REF!"/>
  </r>
  <r>
    <n v="10000001064"/>
    <s v="PNDM400 SC ANTHEM 2X10LIT UK 10LT UK"/>
    <s v="0000004513"/>
    <d v="2025-11-02T00:00:00"/>
    <s v="1327444"/>
    <s v="211016405"/>
    <n v="9000"/>
    <n v="9000"/>
    <d v="2025-10-28T00:00:00"/>
    <x v="7"/>
    <n v="9000"/>
    <s v="1001"/>
    <s v="L"/>
    <s v=""/>
    <s v="1542"/>
    <s v="REL  PRT  CNF  DLV  PRC  BASC BCRQ GMPS*"/>
    <x v="17"/>
    <n v="10"/>
    <e v="#REF!"/>
    <e v="#REF!"/>
    <e v="#REF!"/>
  </r>
  <r>
    <n v="10000000288"/>
    <s v="CLDF80+CLQT20 EC LADDER ALL IN 1000LT CA"/>
    <s v="0000000641"/>
    <d v="2025-11-02T00:00:00"/>
    <s v="1329141"/>
    <s v=""/>
    <n v="8000"/>
    <n v="8000"/>
    <d v="2025-11-05T00:00:00"/>
    <x v="7"/>
    <n v="8000"/>
    <s v="1001"/>
    <s v="L"/>
    <s v=""/>
    <s v="1523"/>
    <s v="REL  CNF  DLV  PRC  BASC BCRQ GMPS MACM*"/>
    <x v="4"/>
    <n v="23"/>
    <e v="#REF!"/>
    <e v="#REF!"/>
    <e v="#REF!"/>
  </r>
  <r>
    <n v="10000011550"/>
    <s v="PINO100+THIEN8.3+MEF OD CAZADO 1000LT CA"/>
    <s v="0000000172"/>
    <d v="2025-11-01T00:00:00"/>
    <s v="1326606"/>
    <s v=""/>
    <n v="5000"/>
    <n v="5000"/>
    <d v="2025-11-08T00:00:00"/>
    <x v="7"/>
    <n v="5000"/>
    <s v="1001"/>
    <s v="L"/>
    <s v=""/>
    <s v="1524"/>
    <s v="REL  CNF  DLV  PRC  BASC BCRQ GMPS ILAS*"/>
    <x v="3"/>
    <s v="24F"/>
    <e v="#REF!"/>
    <e v="#REF!"/>
    <e v="#REF!"/>
  </r>
  <r>
    <n v="10000010432"/>
    <s v="ATRL1000 ATRALONE 20KG General NEW"/>
    <s v="0000284781"/>
    <d v="2025-11-01T00:00:00"/>
    <s v="1328612"/>
    <s v=""/>
    <n v="1800"/>
    <n v="1540"/>
    <d v="2025-11-03T00:00:00"/>
    <x v="7"/>
    <n v="0"/>
    <s v="1001"/>
    <s v="KG"/>
    <s v=""/>
    <s v="1541"/>
    <s v="REL  CNF  PRC  BASC BCRQ GMPS ILAS MACM*"/>
    <x v="9"/>
    <e v="#N/A"/>
    <e v="#REF!"/>
    <e v="#REF!"/>
    <e v="#REF!"/>
  </r>
  <r>
    <n v="20000007709"/>
    <s v="CLTD240 EC CLETHODIM 240SS EUR EC 1000LT"/>
    <s v="0000000129"/>
    <d v="2025-11-01T00:00:00"/>
    <s v="1328958"/>
    <s v=""/>
    <n v="10000"/>
    <n v="10000"/>
    <d v="2025-11-07T00:00:00"/>
    <x v="7"/>
    <n v="10000"/>
    <s v="1001"/>
    <s v="L"/>
    <s v=""/>
    <s v="1523"/>
    <s v="REL  CNF  DLV  PRC  BASC BCRQ GMPS MANC*"/>
    <x v="4"/>
    <e v="#N/A"/>
    <e v="#REF!"/>
    <e v="#REF!"/>
    <e v="#REF!"/>
  </r>
  <r>
    <n v="20000004929"/>
    <s v="FRXP250 EC FLUROXYPYR 250 S 200 L (NEW)"/>
    <s v="0000328287"/>
    <d v="2025-11-01T00:00:00"/>
    <s v="1329370"/>
    <s v=""/>
    <n v="15000"/>
    <n v="14400"/>
    <d v="2025-11-04T00:00:00"/>
    <x v="7"/>
    <n v="0"/>
    <s v="1001"/>
    <s v="L"/>
    <s v=""/>
    <s v="1525"/>
    <s v="REL  PRC  BASC BCRQ GMPS MANC ORRQ PDLV*"/>
    <x v="4"/>
    <n v="23"/>
    <e v="#REF!"/>
    <e v="#REF!"/>
    <e v="#REF!"/>
  </r>
  <r>
    <n v="20000000609"/>
    <s v="MTMN525QNMC40 SC MTM 525+QUIN 40 1000 L"/>
    <s v="0000000927"/>
    <d v="2025-10-15T00:00:00"/>
    <s v="1324581"/>
    <s v=""/>
    <n v="7000"/>
    <n v="7000"/>
    <d v="2025-11-07T00:00:00"/>
    <x v="7"/>
    <n v="0"/>
    <s v="1001"/>
    <s v="L"/>
    <s v=""/>
    <s v="1528"/>
    <s v="REL  CNF  DLV  PRC  BASC BCRQ GMPS MACM*"/>
    <x v="5"/>
    <e v="#N/A"/>
    <e v="#REF!"/>
    <e v="#REF!"/>
    <e v="#REF!"/>
  </r>
  <r>
    <n v="10000009747"/>
    <s v="BR20FR80+MCPA20EC FORCFIGHT ALL1000LT CA"/>
    <s v="0000000179"/>
    <d v="2025-10-01T00:00:00"/>
    <s v="1324888"/>
    <s v=""/>
    <n v="13000"/>
    <n v="13000"/>
    <d v="2025-11-07T00:00:00"/>
    <x v="7"/>
    <n v="13000"/>
    <s v="1001"/>
    <s v="L"/>
    <s v=""/>
    <s v="1523"/>
    <s v="REL  CNF  DLV  PRC  BASC BCRQ GMPS MANC*"/>
    <x v="4"/>
    <n v="23"/>
    <e v="#REF!"/>
    <e v="#REF!"/>
    <e v="#REF!"/>
  </r>
  <r>
    <n v="10000000401"/>
    <s v="DRON540+HZNN67 WG JUMP 5KG BRASIL 5KG BR"/>
    <s v="0000016393"/>
    <d v="2025-10-01T00:00:00"/>
    <s v="1326794"/>
    <s v=""/>
    <n v="2880"/>
    <n v="2880"/>
    <d v="2025-10-30T00:00:00"/>
    <x v="7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394"/>
    <d v="2025-10-01T00:00:00"/>
    <s v="1326795"/>
    <s v=""/>
    <n v="2880"/>
    <n v="2880"/>
    <d v="2025-10-30T00:00:00"/>
    <x v="7"/>
    <n v="0"/>
    <s v="1001"/>
    <s v="KG"/>
    <s v=""/>
    <s v="1519"/>
    <s v="REL  CNF  DLV  PRC  BASC BCRQ GMPS ILAS*"/>
    <x v="8"/>
    <s v="19P"/>
    <e v="#REF!"/>
    <e v="#REF!"/>
    <e v="#REF!"/>
  </r>
  <r>
    <n v="10000000229"/>
    <s v="BRXL240 EC Bromotril  5 L 5LT IL"/>
    <s v="0000008351"/>
    <d v="2025-09-07T00:00:00"/>
    <s v="1317841"/>
    <s v=""/>
    <n v="12000"/>
    <n v="12000"/>
    <d v="2025-10-20T00:00:00"/>
    <x v="7"/>
    <n v="12000"/>
    <s v="1001"/>
    <s v="L"/>
    <s v=""/>
    <s v="1543"/>
    <s v="REL  PRT  CNF  DLV  PRC  BASC BCRQ GMPS*"/>
    <x v="12"/>
    <n v="5"/>
    <e v="#REF!"/>
    <e v="#REF!"/>
    <e v="#REF!"/>
  </r>
  <r>
    <n v="10000000229"/>
    <s v="BRXL240 EC Bromotril  5 L 5LT IL"/>
    <s v="0000008352"/>
    <d v="2025-09-07T00:00:00"/>
    <s v="1317842"/>
    <s v=""/>
    <n v="1000"/>
    <n v="1000"/>
    <d v="2025-10-20T00:00:00"/>
    <x v="7"/>
    <n v="1000"/>
    <s v="1001"/>
    <s v="L"/>
    <s v=""/>
    <s v="1543"/>
    <s v="REL  PRT  CNF  DLV  PRC  BASC BCRQ GMPS*"/>
    <x v="12"/>
    <n v="5"/>
    <e v="#REF!"/>
    <e v="#REF!"/>
    <e v="#REF!"/>
  </r>
  <r>
    <n v="20000005837"/>
    <s v="CLTN500 SC TOLUREX 50 SC 1000LT"/>
    <s v="0000000223"/>
    <d v="2025-12-19T00:00:00"/>
    <s v="1330202"/>
    <s v=""/>
    <n v="7000"/>
    <n v="7000"/>
    <d v="2025-11-09T00:00:00"/>
    <x v="8"/>
    <n v="7000"/>
    <s v="1001"/>
    <s v="L"/>
    <s v=""/>
    <s v="1528"/>
    <s v="REL  CNF  DLV  PRC  BASC BCRQ GMPS MACM*"/>
    <x v="5"/>
    <n v="28"/>
    <e v="#REF!"/>
    <e v="#REF!"/>
    <e v="#REF!"/>
  </r>
  <r>
    <n v="20000005837"/>
    <s v="CLTN500 SC TOLUREX 50 SC 1000LT"/>
    <s v="0000000224"/>
    <d v="2025-12-19T00:00:00"/>
    <s v="1330203"/>
    <s v=""/>
    <n v="7000"/>
    <n v="7000"/>
    <d v="2025-11-09T00:00:00"/>
    <x v="8"/>
    <n v="7000"/>
    <s v="1001"/>
    <s v="L"/>
    <s v=""/>
    <s v="1128"/>
    <s v="REL  CNF  DLV  PRC  BASC BCRQ GMPS MACM*"/>
    <x v="5"/>
    <n v="28"/>
    <e v="#REF!"/>
    <e v="#REF!"/>
    <e v="#REF!"/>
  </r>
  <r>
    <n v="20000005837"/>
    <s v="CLTN500 SC TOLUREX 50 SC 1000LT"/>
    <s v="0000000222"/>
    <d v="2025-12-16T00:00:00"/>
    <s v="1330201"/>
    <s v=""/>
    <n v="7000"/>
    <n v="7000"/>
    <d v="2025-11-08T00:00:00"/>
    <x v="8"/>
    <n v="0"/>
    <s v="1001"/>
    <s v="L"/>
    <s v=""/>
    <s v="1528"/>
    <s v="TECO CNF  DLV  PRC  BASC BCRQ GMPS MANC*"/>
    <x v="5"/>
    <n v="28"/>
    <e v="#REF!"/>
    <e v="#REF!"/>
    <e v="#REF!"/>
  </r>
  <r>
    <n v="20000000805"/>
    <s v="TBAZ330SLCT173 SC 200L"/>
    <s v="0000009203"/>
    <d v="2025-11-23T00:00:00"/>
    <s v="1328499"/>
    <s v=""/>
    <n v="7200"/>
    <n v="3200"/>
    <d v="2025-11-06T00:00:00"/>
    <x v="8"/>
    <n v="0"/>
    <s v="1001"/>
    <s v="L"/>
    <s v=""/>
    <s v="1128"/>
    <s v="TECO CNF  PRC  BASC BCRQ GMPS ILAS MACM*"/>
    <x v="5"/>
    <n v="28"/>
    <e v="#REF!"/>
    <e v="#REF!"/>
    <e v="#REF!"/>
  </r>
  <r>
    <n v="20000000805"/>
    <s v="TBAZ330SLCT173 SC 200L"/>
    <s v="0000009210"/>
    <d v="2025-11-23T00:00:00"/>
    <s v="1328506"/>
    <s v=""/>
    <n v="7200"/>
    <n v="7200"/>
    <d v="2025-11-08T00:00:00"/>
    <x v="8"/>
    <n v="0"/>
    <s v="1001"/>
    <s v="L"/>
    <s v=""/>
    <s v="1528"/>
    <s v="TECO CNF  DLV  PRC  BASC BCRQ GMPS ILAS*"/>
    <x v="5"/>
    <n v="28"/>
    <e v="#REF!"/>
    <e v="#REF!"/>
    <e v="#REF!"/>
  </r>
  <r>
    <n v="50000000090"/>
    <s v="ETHOXY (GALIGAN) ISO"/>
    <s v="0000006078"/>
    <d v="2025-11-18T00:00:00"/>
    <s v="1329735"/>
    <s v=""/>
    <n v="1720"/>
    <n v="1748"/>
    <d v="2025-11-04T00:00:00"/>
    <x v="8"/>
    <n v="0"/>
    <s v="1001"/>
    <s v="KG"/>
    <s v=""/>
    <s v="1125"/>
    <s v="REL  CNF  DLV  PRC  BASC BCRQ GMPS ILAS*"/>
    <x v="11"/>
    <e v="#N/A"/>
    <e v="#REF!"/>
    <e v="#REF!"/>
    <e v="#REF!"/>
  </r>
  <r>
    <n v="50000000090"/>
    <s v="ETHOXY (GALIGAN) ISO"/>
    <s v="0000006079"/>
    <d v="2025-11-18T00:00:00"/>
    <s v="1329736"/>
    <s v=""/>
    <n v="1720"/>
    <n v="1740"/>
    <d v="2025-11-04T00:00:00"/>
    <x v="8"/>
    <n v="0"/>
    <s v="1001"/>
    <s v="KG"/>
    <s v=""/>
    <s v="1125"/>
    <s v="REL  CNF  DLV  PRC  BASC BCRQ GMPS ILAS*"/>
    <x v="11"/>
    <e v="#N/A"/>
    <e v="#REF!"/>
    <e v="#REF!"/>
    <e v="#REF!"/>
  </r>
  <r>
    <n v="50000000090"/>
    <s v="ETHOXY (GALIGAN) ISO"/>
    <s v="0000006077"/>
    <d v="2025-11-16T00:00:00"/>
    <s v="1329734"/>
    <s v=""/>
    <n v="1720"/>
    <n v="1776"/>
    <d v="2025-11-04T00:00:00"/>
    <x v="8"/>
    <n v="0"/>
    <s v="1001"/>
    <s v="KG"/>
    <s v=""/>
    <s v="1125"/>
    <s v="REL  CNF  DLV  PRC  BASC BCRQ GMPS ILAS*"/>
    <x v="11"/>
    <e v="#N/A"/>
    <e v="#REF!"/>
    <e v="#REF!"/>
    <e v="#REF!"/>
  </r>
  <r>
    <n v="10000001406"/>
    <s v="CLTD120 EC ARROW-ALL-IN 1000LT 1000LT CA"/>
    <s v="0000000882"/>
    <d v="2025-11-14T00:00:00"/>
    <s v="1327815"/>
    <s v=""/>
    <n v="12000"/>
    <n v="12000"/>
    <d v="2025-11-05T00:00:00"/>
    <x v="8"/>
    <n v="12000"/>
    <s v="1001"/>
    <s v="L"/>
    <s v=""/>
    <s v="1542"/>
    <s v="REL  PRT  CNF  DLV  PRC  BASC BCRQ GMPS*"/>
    <x v="4"/>
    <n v="23"/>
    <e v="#REF!"/>
    <e v="#REF!"/>
    <e v="#REF!"/>
  </r>
  <r>
    <n v="20000005837"/>
    <s v="CLTN500 SC TOLUREX 50 SC 1000LT"/>
    <s v="0000000215"/>
    <d v="2025-11-13T00:00:00"/>
    <s v="1329066"/>
    <s v=""/>
    <n v="7000"/>
    <n v="8000"/>
    <d v="2025-11-04T00:00:00"/>
    <x v="8"/>
    <n v="8000"/>
    <s v="1001"/>
    <s v="L"/>
    <s v=""/>
    <s v="1128"/>
    <s v="TECO CNF  DLV  PRC  BASC BCRQ GMPS MANC*"/>
    <x v="5"/>
    <n v="28"/>
    <e v="#REF!"/>
    <e v="#REF!"/>
    <e v="#REF!"/>
  </r>
  <r>
    <n v="50000000053"/>
    <s v="DELTA DAMASCONE CRUD 1.00 KG"/>
    <s v="0000012777"/>
    <d v="2025-11-13T00:00:00"/>
    <s v="1330399"/>
    <s v=""/>
    <n v="6000"/>
    <n v="6668"/>
    <d v="2025-11-06T00:00:00"/>
    <x v="8"/>
    <n v="0"/>
    <s v="1001"/>
    <s v="KG"/>
    <s v=""/>
    <s v="1141"/>
    <s v="REL  CNF  DLV  PRC  BASC BCRQ GMPS ILAS*"/>
    <x v="0"/>
    <e v="#N/A"/>
    <e v="#REF!"/>
    <e v="#REF!"/>
    <e v="#REF!"/>
  </r>
  <r>
    <n v="50000000091"/>
    <s v="GALIGAN IN TOLUENE ISO"/>
    <s v="0000009620"/>
    <d v="2025-11-12T00:00:00"/>
    <s v="1329559"/>
    <s v=""/>
    <n v="4800"/>
    <n v="4894"/>
    <d v="2025-11-04T00:00:00"/>
    <x v="8"/>
    <n v="0"/>
    <s v="1001"/>
    <s v="KG"/>
    <s v=""/>
    <s v="1125"/>
    <s v="REL  CNF  DLV  PRC  BASC BCRQ GMPS ILAS*"/>
    <x v="11"/>
    <e v="#N/A"/>
    <e v="#REF!"/>
    <e v="#REF!"/>
    <e v="#REF!"/>
  </r>
  <r>
    <n v="50000000091"/>
    <s v="GALIGAN IN TOLUENE ISO"/>
    <s v="0000009621"/>
    <d v="2025-11-12T00:00:00"/>
    <s v="1329720"/>
    <s v=""/>
    <n v="4800"/>
    <n v="4784"/>
    <d v="2025-11-04T00:00:00"/>
    <x v="8"/>
    <n v="0"/>
    <s v="1001"/>
    <s v="KG"/>
    <s v=""/>
    <s v="1125"/>
    <s v="REL  CNF  PRC  BASC BCRQ GMPS ILAS MACM*"/>
    <x v="11"/>
    <e v="#N/A"/>
    <e v="#REF!"/>
    <e v="#REF!"/>
    <e v="#REF!"/>
  </r>
  <r>
    <n v="20000000805"/>
    <s v="TBAZ330SLCT173 SC 200L"/>
    <s v="0000009211"/>
    <d v="2025-11-12T00:00:00"/>
    <s v="1330652"/>
    <s v=""/>
    <n v="7200"/>
    <n v="6400"/>
    <d v="2025-11-08T00:00:00"/>
    <x v="8"/>
    <n v="0"/>
    <s v="1001"/>
    <s v="L"/>
    <s v=""/>
    <s v="1528"/>
    <s v="TECO CNF  PRC  BASC BCRQ GMPS ILAS MACM*"/>
    <x v="5"/>
    <n v="28"/>
    <e v="#REF!"/>
    <e v="#REF!"/>
    <e v="#REF!"/>
  </r>
  <r>
    <n v="50000000053"/>
    <s v="DELTA DAMASCONE CRUD 1.00 KG"/>
    <s v="0000012775"/>
    <d v="2025-11-11T00:00:00"/>
    <s v="1327414"/>
    <s v=""/>
    <n v="6000"/>
    <n v="6688"/>
    <d v="2025-11-03T00:00:00"/>
    <x v="8"/>
    <n v="0"/>
    <s v="1001"/>
    <s v="KG"/>
    <s v=""/>
    <s v="1141"/>
    <s v="REL  CNF  DLV  PRC  BASC BCRQ GMPS ILAS*"/>
    <x v="0"/>
    <e v="#N/A"/>
    <e v="#REF!"/>
    <e v="#REF!"/>
    <e v="#REF!"/>
  </r>
  <r>
    <n v="50000000091"/>
    <s v="GALIGAN IN TOLUENE ISO"/>
    <s v="0000009618"/>
    <d v="2025-11-10T00:00:00"/>
    <s v="1328541"/>
    <s v=""/>
    <n v="4800"/>
    <n v="4900"/>
    <d v="2025-10-30T00:00:00"/>
    <x v="8"/>
    <n v="0"/>
    <s v="1001"/>
    <s v="KG"/>
    <s v=""/>
    <s v="1125"/>
    <s v="REL  CNF  DLV  PRC  BASC BCRQ GMPS ILAS*"/>
    <x v="11"/>
    <e v="#N/A"/>
    <e v="#REF!"/>
    <e v="#REF!"/>
    <e v="#REF!"/>
  </r>
  <r>
    <n v="50000000091"/>
    <s v="GALIGAN IN TOLUENE ISO"/>
    <s v="0000009619"/>
    <d v="2025-11-10T00:00:00"/>
    <s v="1328542"/>
    <s v=""/>
    <n v="4800"/>
    <n v="4670"/>
    <d v="2025-10-30T00:00:00"/>
    <x v="8"/>
    <n v="0"/>
    <s v="1001"/>
    <s v="KG"/>
    <s v=""/>
    <s v="1125"/>
    <s v="REL  CNF  PRC  BASC BCRQ GMPS ILAS MACM*"/>
    <x v="11"/>
    <e v="#N/A"/>
    <e v="#REF!"/>
    <e v="#REF!"/>
    <e v="#REF!"/>
  </r>
  <r>
    <n v="30000000077"/>
    <s v="DRON970 TC DIUREX TECH MILLED 600 KG"/>
    <s v="0000053685"/>
    <d v="2025-11-10T00:00:00"/>
    <s v="1330021"/>
    <s v=""/>
    <n v="3600"/>
    <n v="3600"/>
    <d v="2025-11-08T00:00:00"/>
    <x v="8"/>
    <n v="0"/>
    <s v="1001"/>
    <s v="KG"/>
    <s v=""/>
    <s v="1540"/>
    <s v="REL  PCNF DLV  PRC  BASC BCRQ GMPS MACM*"/>
    <x v="18"/>
    <e v="#N/A"/>
    <e v="#REF!"/>
    <e v="#REF!"/>
    <e v="#REF!"/>
  </r>
  <r>
    <n v="30000000077"/>
    <s v="DRON970 TC DIUREX TECH MILLED 600 KG"/>
    <s v="0000053690"/>
    <d v="2025-11-10T00:00:00"/>
    <s v="1330026"/>
    <s v=""/>
    <n v="3600"/>
    <n v="3600"/>
    <d v="2025-11-09T00:00:00"/>
    <x v="8"/>
    <n v="0"/>
    <s v="1001"/>
    <s v="KG"/>
    <s v=""/>
    <s v="1540"/>
    <s v="REL  PCNF DLV  PRC  BASC BCRQ GMPS MACM*"/>
    <x v="18"/>
    <e v="#N/A"/>
    <e v="#REF!"/>
    <e v="#REF!"/>
    <e v="#REF!"/>
  </r>
  <r>
    <n v="30000000077"/>
    <s v="DRON970 TC DIUREX TECH MILLED 600 KG"/>
    <s v="0000053691"/>
    <d v="2025-11-10T00:00:00"/>
    <s v="1330027"/>
    <s v=""/>
    <n v="3600"/>
    <n v="3600"/>
    <d v="2025-11-09T00:00:00"/>
    <x v="8"/>
    <n v="0"/>
    <s v="1001"/>
    <s v="KG"/>
    <s v=""/>
    <s v="1540"/>
    <s v="REL  PCNF DLV  PRC  BASC BCRQ GMPS MACM*"/>
    <x v="18"/>
    <e v="#N/A"/>
    <e v="#REF!"/>
    <e v="#REF!"/>
    <e v="#REF!"/>
  </r>
  <r>
    <n v="50000000108"/>
    <s v="PROPAQUIZAFOP PRMX25 1000 KG"/>
    <s v="0000003513"/>
    <d v="2025-11-09T00:00:00"/>
    <s v="1328450"/>
    <s v=""/>
    <n v="8000"/>
    <n v="7000"/>
    <d v="2025-11-02T00:00:00"/>
    <x v="8"/>
    <n v="0"/>
    <s v="1001"/>
    <s v="KG"/>
    <s v=""/>
    <s v="1525"/>
    <s v="REL  CNF  PRC  BASC BCRQ GMPS ILAS MANC*"/>
    <x v="19"/>
    <e v="#N/A"/>
    <e v="#REF!"/>
    <e v="#REF!"/>
    <e v="#REF!"/>
  </r>
  <r>
    <n v="50000000091"/>
    <s v="GALIGAN IN TOLUENE ISO"/>
    <s v="0000009617"/>
    <d v="2025-11-07T00:00:00"/>
    <s v="1328540"/>
    <s v=""/>
    <n v="4800"/>
    <n v="4772"/>
    <d v="2025-10-30T00:00:00"/>
    <x v="8"/>
    <n v="0"/>
    <s v="1001"/>
    <s v="KG"/>
    <s v=""/>
    <s v="1125"/>
    <s v="REL  CNF  PRC  BASC BCRQ GMPS ILAS MACM*"/>
    <x v="11"/>
    <e v="#N/A"/>
    <e v="#REF!"/>
    <e v="#REF!"/>
    <e v="#REF!"/>
  </r>
  <r>
    <n v="30000000077"/>
    <s v="DRON970 TC DIUREX TECH MILLED 600 KG"/>
    <s v="0000053676"/>
    <d v="2025-11-07T00:00:00"/>
    <s v="1329992"/>
    <s v=""/>
    <n v="3600"/>
    <n v="3600"/>
    <d v="2025-11-06T00:00:00"/>
    <x v="8"/>
    <n v="0"/>
    <s v="1001"/>
    <s v="KG"/>
    <s v=""/>
    <s v="1540"/>
    <s v="REL  PCNF DLV  PRC  BASC BCRQ GMPS MACM*"/>
    <x v="18"/>
    <e v="#N/A"/>
    <e v="#REF!"/>
    <e v="#REF!"/>
    <e v="#REF!"/>
  </r>
  <r>
    <n v="30000000077"/>
    <s v="DRON970 TC DIUREX TECH MILLED 600 KG"/>
    <s v="0000053677"/>
    <d v="2025-11-07T00:00:00"/>
    <s v="1329993"/>
    <s v=""/>
    <n v="3600"/>
    <n v="3600"/>
    <d v="2025-11-06T00:00:00"/>
    <x v="8"/>
    <n v="0"/>
    <s v="1001"/>
    <s v="KG"/>
    <s v=""/>
    <s v="1540"/>
    <s v="REL  PCNF DLV  PRC  BASC BCRQ GMPS MACM*"/>
    <x v="18"/>
    <e v="#N/A"/>
    <e v="#REF!"/>
    <e v="#REF!"/>
    <e v="#REF!"/>
  </r>
  <r>
    <n v="30000000077"/>
    <s v="DRON970 TC DIUREX TECH MILLED 600 KG"/>
    <s v="0000053678"/>
    <d v="2025-11-07T00:00:00"/>
    <s v="1329994"/>
    <s v=""/>
    <n v="3600"/>
    <n v="3600"/>
    <d v="2025-11-06T00:00:00"/>
    <x v="8"/>
    <n v="0"/>
    <s v="1001"/>
    <s v="KG"/>
    <s v=""/>
    <s v="1540"/>
    <s v="REL  PCNF DLV  PRC  BASC BCRQ GMPS MACM*"/>
    <x v="18"/>
    <e v="#N/A"/>
    <e v="#REF!"/>
    <e v="#REF!"/>
    <e v="#REF!"/>
  </r>
  <r>
    <n v="30000000077"/>
    <s v="DRON970 TC DIUREX TECH MILLED 600 KG"/>
    <s v="0000053679"/>
    <d v="2025-11-07T00:00:00"/>
    <s v="1329995"/>
    <s v=""/>
    <n v="3600"/>
    <n v="3600"/>
    <d v="2025-11-07T00:00:00"/>
    <x v="8"/>
    <n v="0"/>
    <s v="1001"/>
    <s v="KG"/>
    <s v=""/>
    <s v="1540"/>
    <s v="REL  DLV  PRC  BASC BCRQ GMPS MACM ORRQ*"/>
    <x v="18"/>
    <e v="#N/A"/>
    <e v="#REF!"/>
    <e v="#REF!"/>
    <e v="#REF!"/>
  </r>
  <r>
    <n v="30000000077"/>
    <s v="DRON970 TC DIUREX TECH MILLED 600 KG"/>
    <s v="0000053680"/>
    <d v="2025-11-07T00:00:00"/>
    <s v="1329996"/>
    <s v=""/>
    <n v="3600"/>
    <n v="3600"/>
    <d v="2025-11-07T00:00:00"/>
    <x v="8"/>
    <n v="0"/>
    <s v="1001"/>
    <s v="KG"/>
    <s v=""/>
    <s v="1540"/>
    <s v="REL  PCNF DLV  PRC  BASC BCRQ GMPS MACM*"/>
    <x v="18"/>
    <e v="#N/A"/>
    <e v="#REF!"/>
    <e v="#REF!"/>
    <e v="#REF!"/>
  </r>
  <r>
    <n v="30000000077"/>
    <s v="DRON970 TC DIUREX TECH MILLED 600 KG"/>
    <s v="0000053681"/>
    <d v="2025-11-07T00:00:00"/>
    <s v="1329997"/>
    <s v=""/>
    <n v="3600"/>
    <n v="3600"/>
    <d v="2025-11-07T00:00:00"/>
    <x v="8"/>
    <n v="0"/>
    <s v="1001"/>
    <s v="KG"/>
    <s v=""/>
    <s v="1540"/>
    <s v="REL  PCNF DLV  PRC  BASC BCRQ GMPS MACM*"/>
    <x v="18"/>
    <e v="#N/A"/>
    <e v="#REF!"/>
    <e v="#REF!"/>
    <e v="#REF!"/>
  </r>
  <r>
    <n v="30000000077"/>
    <s v="DRON970 TC DIUREX TECH MILLED 600 KG"/>
    <s v="0000053682"/>
    <d v="2025-11-07T00:00:00"/>
    <s v="1329998"/>
    <s v=""/>
    <n v="3600"/>
    <n v="3600"/>
    <d v="2025-11-07T00:00:00"/>
    <x v="8"/>
    <n v="0"/>
    <s v="1001"/>
    <s v="KG"/>
    <s v=""/>
    <s v="1540"/>
    <s v="REL  PCNF DLV  PRC  BASC BCRQ GMPS MACM*"/>
    <x v="18"/>
    <e v="#N/A"/>
    <e v="#REF!"/>
    <e v="#REF!"/>
    <e v="#REF!"/>
  </r>
  <r>
    <n v="30000000077"/>
    <s v="DRON970 TC DIUREX TECH MILLED 600 KG"/>
    <s v="0000053683"/>
    <d v="2025-11-07T00:00:00"/>
    <s v="1329999"/>
    <s v=""/>
    <n v="3600"/>
    <n v="3600"/>
    <d v="2025-11-07T00:00:00"/>
    <x v="8"/>
    <n v="0"/>
    <s v="1001"/>
    <s v="KG"/>
    <s v=""/>
    <s v="1540"/>
    <s v="REL  PCNF DLV  PRC  BASC BCRQ GMPS MACM*"/>
    <x v="18"/>
    <e v="#N/A"/>
    <e v="#REF!"/>
    <e v="#REF!"/>
    <e v="#REF!"/>
  </r>
  <r>
    <n v="30000000077"/>
    <s v="DRON970 TC DIUREX TECH MILLED 600 KG"/>
    <s v="0000053684"/>
    <d v="2025-11-07T00:00:00"/>
    <s v="1330020"/>
    <s v=""/>
    <n v="3600"/>
    <n v="3600"/>
    <d v="2025-11-08T00:00:00"/>
    <x v="8"/>
    <n v="0"/>
    <s v="1001"/>
    <s v="KG"/>
    <s v=""/>
    <s v="1540"/>
    <s v="REL  PCNF DLV  PRC  BASC BCRQ GMPS MACM*"/>
    <x v="18"/>
    <e v="#N/A"/>
    <e v="#REF!"/>
    <e v="#REF!"/>
    <e v="#REF!"/>
  </r>
  <r>
    <n v="20000006541"/>
    <s v="ETFM200PNMP200SC PHEN200+ETHO200GL 1000L"/>
    <s v="0000437501"/>
    <d v="2025-11-06T00:00:00"/>
    <s v="1329933"/>
    <s v=""/>
    <n v="7000"/>
    <n v="7000"/>
    <d v="2025-11-08T00:00:00"/>
    <x v="8"/>
    <n v="7000"/>
    <s v="1001"/>
    <s v="L"/>
    <s v=""/>
    <s v="1528"/>
    <s v="REL  CNF  DLV  PRC  BASC BCRQ GMPS MACM*"/>
    <x v="5"/>
    <n v="28"/>
    <e v="#REF!"/>
    <e v="#REF!"/>
    <e v="#REF!"/>
  </r>
  <r>
    <n v="50000000080"/>
    <s v="NANA 1.00 KG"/>
    <s v="0000136140"/>
    <d v="2025-11-06T00:00:00"/>
    <s v="1330418"/>
    <s v=""/>
    <n v="3900"/>
    <n v="4881"/>
    <d v="2025-11-06T00:00:00"/>
    <x v="8"/>
    <n v="0"/>
    <s v="1001"/>
    <s v="KG"/>
    <s v=""/>
    <s v="1141"/>
    <s v="REL  CNF  DLV  PRC  BASC BCRQ GMPS ILAS*"/>
    <x v="7"/>
    <e v="#N/A"/>
    <e v="#REF!"/>
    <e v="#REF!"/>
    <e v="#REF!"/>
  </r>
  <r>
    <n v="10000000390"/>
    <s v="DRON800 SC Adama Essentials DIURE 5LT AR"/>
    <s v="0000009626"/>
    <d v="2025-11-05T00:00:00"/>
    <s v="1327450"/>
    <s v="211016037"/>
    <n v="12000"/>
    <n v="11400"/>
    <d v="2025-10-29T00:00:00"/>
    <x v="8"/>
    <n v="12000"/>
    <s v="1001"/>
    <s v="L"/>
    <s v=""/>
    <s v="1543"/>
    <s v="TECO PRT  CNF  PRC  BASC BCRQ GMPS ILAS*"/>
    <x v="12"/>
    <e v="#N/A"/>
    <e v="#REF!"/>
    <e v="#REF!"/>
    <e v="#REF!"/>
  </r>
  <r>
    <n v="50000000049"/>
    <s v="DELTA MTL KTN CR RUS 1.00 KG"/>
    <s v="0000007632"/>
    <d v="2025-11-05T00:00:00"/>
    <s v="1328603"/>
    <s v=""/>
    <n v="2000"/>
    <n v="2224"/>
    <d v="2025-11-03T00:00:00"/>
    <x v="8"/>
    <n v="0"/>
    <s v="1001"/>
    <s v="KG"/>
    <s v=""/>
    <s v="1141"/>
    <s v="REL  CNF  DLV  PRC  BASC BCRQ GMPS ILAS*"/>
    <x v="0"/>
    <e v="#N/A"/>
    <e v="#REF!"/>
    <e v="#REF!"/>
    <e v="#REF!"/>
  </r>
  <r>
    <n v="50000000056"/>
    <s v="DELTA DAMASCON FLASH 1.00 KG"/>
    <s v="0000010323"/>
    <d v="2025-11-04T00:00:00"/>
    <s v="1326264"/>
    <s v=""/>
    <n v="1600"/>
    <n v="2775"/>
    <d v="2025-10-30T00:00:00"/>
    <x v="8"/>
    <n v="0"/>
    <s v="1001"/>
    <s v="KG"/>
    <s v=""/>
    <s v="1141"/>
    <s v="REL  CNF  DLV  PRC  BASC BCRQ GMPS ILAS*"/>
    <x v="0"/>
    <e v="#N/A"/>
    <e v="#REF!"/>
    <e v="#REF!"/>
    <e v="#REF!"/>
  </r>
  <r>
    <n v="50000000056"/>
    <s v="DELTA DAMASCON FLASH 1.00 KG"/>
    <s v="0000010325"/>
    <d v="2025-11-04T00:00:00"/>
    <s v="1326266"/>
    <s v=""/>
    <n v="1600"/>
    <n v="2704"/>
    <d v="2025-11-04T00:00:00"/>
    <x v="8"/>
    <n v="0"/>
    <s v="1001"/>
    <s v="KG"/>
    <s v=""/>
    <s v="1141"/>
    <s v="REL  CNF  DLV  PRC  BASC BCRQ GMPS ILAS*"/>
    <x v="0"/>
    <e v="#N/A"/>
    <e v="#REF!"/>
    <e v="#REF!"/>
    <e v="#REF!"/>
  </r>
  <r>
    <n v="20000000671"/>
    <s v="OXFF240 EC GALIGAN EC 240 SSS 1022 L"/>
    <s v="0000069832"/>
    <d v="2025-11-04T00:00:00"/>
    <s v="1329976"/>
    <s v=""/>
    <n v="6000"/>
    <n v="7500"/>
    <d v="2025-11-05T00:00:00"/>
    <x v="8"/>
    <n v="0"/>
    <s v="1001"/>
    <s v="L"/>
    <s v=""/>
    <s v="1525"/>
    <s v="REL  CNF  DLV  PRC  BASC BCRQ GMPS ILAS*"/>
    <x v="10"/>
    <e v="#N/A"/>
    <e v="#REF!"/>
    <e v="#REF!"/>
    <e v="#REF!"/>
  </r>
  <r>
    <n v="30000000097"/>
    <s v="MTZC735 TC METAZACHLR T WT CRUD 600 KG"/>
    <s v="0000009017"/>
    <d v="2025-11-02T00:00:00"/>
    <s v="1327205"/>
    <s v=""/>
    <n v="3200"/>
    <n v="2630"/>
    <d v="2025-10-30T00:00:00"/>
    <x v="8"/>
    <n v="0"/>
    <s v="1001"/>
    <s v="KG"/>
    <s v=""/>
    <s v="1541"/>
    <s v="REL  CNF  PRC  BASC BCRQ GMPS ILAS MANC*"/>
    <x v="13"/>
    <e v="#N/A"/>
    <e v="#REF!"/>
    <e v="#REF!"/>
    <e v="#REF!"/>
  </r>
  <r>
    <n v="10000000288"/>
    <s v="CLDF80+CLQT20 EC LADDER ALL IN 1000LT CA"/>
    <s v="0000000642"/>
    <d v="2025-11-02T00:00:00"/>
    <s v="1329142"/>
    <s v=""/>
    <n v="8000"/>
    <n v="4850"/>
    <d v="2025-11-06T00:00:00"/>
    <x v="8"/>
    <n v="4850"/>
    <s v="1001"/>
    <s v="L"/>
    <s v=""/>
    <s v="1523"/>
    <s v="REL  CNF  PRC  BASC BCRQ GMPS MACM ORRQ*"/>
    <x v="4"/>
    <n v="23"/>
    <e v="#REF!"/>
    <e v="#REF!"/>
    <e v="#REF!"/>
  </r>
  <r>
    <n v="10000001434"/>
    <s v="DELTA DAMASCONE 180KG"/>
    <s v="0000010180"/>
    <d v="2025-11-01T00:00:00"/>
    <s v="1323542"/>
    <s v=""/>
    <n v="7200"/>
    <n v="3600"/>
    <d v="2025-11-02T00:00:00"/>
    <x v="8"/>
    <n v="0"/>
    <s v="1001"/>
    <s v="KG"/>
    <s v=""/>
    <s v="1541"/>
    <s v="REL  CNF  PRC  BASC BCRQ GMPS ILAS MACM*"/>
    <x v="24"/>
    <e v="#N/A"/>
    <e v="#REF!"/>
    <e v="#REF!"/>
    <e v="#REF!"/>
  </r>
  <r>
    <n v="10000009747"/>
    <s v="BR20FR80+MCPA20EC FORCFIGHT ALL1000LT CA"/>
    <s v="0000000193"/>
    <d v="2025-11-01T00:00:00"/>
    <s v="1325050"/>
    <s v=""/>
    <n v="10000"/>
    <n v="10000"/>
    <d v="2025-11-09T00:00:00"/>
    <x v="8"/>
    <n v="10000"/>
    <s v="1001"/>
    <s v="L"/>
    <s v=""/>
    <s v="1523"/>
    <s v="REL  CNF  DLV  PRC  BASC BCRQ GMPS MANC*"/>
    <x v="4"/>
    <n v="23"/>
    <e v="#REF!"/>
    <e v="#REF!"/>
    <e v="#REF!"/>
  </r>
  <r>
    <n v="20000000778"/>
    <s v="QZLF50 EC QUIZALOFOP 5 EC SS 1000 L"/>
    <s v="0000001397"/>
    <d v="2025-11-01T00:00:00"/>
    <s v="1326094"/>
    <s v=""/>
    <n v="12000"/>
    <n v="11000"/>
    <d v="2025-11-08T00:00:00"/>
    <x v="8"/>
    <n v="11000"/>
    <s v="1001"/>
    <s v="L"/>
    <s v=""/>
    <s v="1523"/>
    <s v="REL  CNF  PRC  BASC BCRQ GMPS MACM ORRQ*"/>
    <x v="4"/>
    <n v="23"/>
    <e v="#REF!"/>
    <e v="#REF!"/>
    <e v="#REF!"/>
  </r>
  <r>
    <n v="30000000099"/>
    <s v="OXFF970 TC GALIGAN TECH 97% CRD  1000KG"/>
    <s v="0000002880"/>
    <d v="2025-11-01T00:00:00"/>
    <s v="1327078"/>
    <s v=""/>
    <n v="1650"/>
    <n v="1650"/>
    <d v="2025-10-27T00:00:00"/>
    <x v="8"/>
    <n v="0"/>
    <s v="1001"/>
    <s v="KG"/>
    <s v=""/>
    <s v="1125"/>
    <s v="REL  CNF  DLV  PRC  BASC BCRQ GMPS ILAS*"/>
    <x v="16"/>
    <e v="#N/A"/>
    <e v="#REF!"/>
    <e v="#REF!"/>
    <e v="#REF!"/>
  </r>
  <r>
    <n v="20000000722"/>
    <s v="PNDM400 CS PENDIMETHALINE 400CS 200 L"/>
    <s v="0000069444"/>
    <d v="2025-11-01T00:00:00"/>
    <s v="1327402"/>
    <s v=""/>
    <n v="3600"/>
    <n v="4000"/>
    <d v="2025-10-30T00:00:00"/>
    <x v="8"/>
    <n v="0"/>
    <s v="1001"/>
    <s v="L"/>
    <s v=""/>
    <s v="1525"/>
    <s v="REL  DLV  PRC  BASC BCRQ GMPS MACM ORRQ*"/>
    <x v="2"/>
    <e v="#N/A"/>
    <e v="#REF!"/>
    <e v="#REF!"/>
    <e v="#REF!"/>
  </r>
  <r>
    <n v="10000001110"/>
    <s v="QZLF50 EC LEOPARD 5EC SS 4x5L 5LT IT"/>
    <s v="0000001032"/>
    <d v="2025-11-01T00:00:00"/>
    <s v="1327453"/>
    <s v="211016320"/>
    <n v="12000"/>
    <n v="12000"/>
    <d v="2025-11-08T00:00:00"/>
    <x v="8"/>
    <n v="0"/>
    <s v="1001"/>
    <s v="L"/>
    <s v=""/>
    <s v="1543"/>
    <s v="REL  DLV  PRC  BASC BCRQ GMPS MANC ORRQ*"/>
    <x v="12"/>
    <n v="5"/>
    <e v="#REF!"/>
    <e v="#REF!"/>
    <e v="#REF!"/>
  </r>
  <r>
    <n v="10000001110"/>
    <s v="QZLF50 EC LEOPARD 5EC SS 4x5L 5LT IT"/>
    <s v="0000001033"/>
    <d v="2025-11-01T00:00:00"/>
    <s v="1327454"/>
    <s v="211015824"/>
    <n v="12000"/>
    <n v="12000"/>
    <d v="2025-11-08T00:00:00"/>
    <x v="8"/>
    <n v="0"/>
    <s v="1001"/>
    <s v="L"/>
    <s v=""/>
    <s v="1543"/>
    <s v="REL  DLV  PRC  BASC BCRQ GMPS MANC ORRQ*"/>
    <x v="12"/>
    <n v="5"/>
    <e v="#REF!"/>
    <e v="#REF!"/>
    <e v="#REF!"/>
  </r>
  <r>
    <n v="20000007709"/>
    <s v="CLTD240 EC CLETHODIM 240SS EUR EC 1000LT"/>
    <s v="0000000130"/>
    <d v="2025-11-01T00:00:00"/>
    <s v="1328959"/>
    <s v=""/>
    <n v="9700"/>
    <n v="9700"/>
    <d v="2025-11-08T00:00:00"/>
    <x v="8"/>
    <n v="9700"/>
    <s v="1001"/>
    <s v="L"/>
    <s v=""/>
    <s v="1523"/>
    <s v="REL  CNF  DLV  PRC  BASC BCRQ GMPS MANC*"/>
    <x v="4"/>
    <e v="#N/A"/>
    <e v="#REF!"/>
    <e v="#REF!"/>
    <e v="#REF!"/>
  </r>
  <r>
    <n v="50000000049"/>
    <s v="DELTA MTL KTN CR RUS 1.00 KG"/>
    <s v="0000007629"/>
    <d v="2025-10-24T00:00:00"/>
    <s v="1325352"/>
    <s v=""/>
    <n v="2000"/>
    <n v="3000"/>
    <d v="2025-10-30T00:00:00"/>
    <x v="8"/>
    <n v="0"/>
    <s v="1001"/>
    <s v="KG"/>
    <s v=""/>
    <s v="1141"/>
    <s v="REL  CNF  DLV  PRC  BASC BCRQ GMPS ILAS*"/>
    <x v="0"/>
    <e v="#N/A"/>
    <e v="#REF!"/>
    <e v="#REF!"/>
    <e v="#REF!"/>
  </r>
  <r>
    <n v="50000000075"/>
    <s v="NAA CRUDE ISO"/>
    <s v="0000280119"/>
    <d v="2025-10-19T00:00:00"/>
    <s v="1325373"/>
    <s v=""/>
    <n v="4000"/>
    <n v="5073"/>
    <d v="2025-11-03T00:00:00"/>
    <x v="8"/>
    <n v="0"/>
    <s v="1001"/>
    <s v="KG"/>
    <s v=""/>
    <s v="1141"/>
    <s v="REL  CNF  DLV  PRC  BASC BCRQ GMPS ILAS*"/>
    <x v="11"/>
    <e v="#N/A"/>
    <e v="#REF!"/>
    <e v="#REF!"/>
    <e v="#REF!"/>
  </r>
  <r>
    <n v="20000000609"/>
    <s v="MTMN525QNMC40 SC MTM 525+QUIN 40 1000 L"/>
    <s v="0000000928"/>
    <d v="2025-10-15T00:00:00"/>
    <s v="1324582"/>
    <s v=""/>
    <n v="7000"/>
    <n v="7000"/>
    <d v="2025-11-07T00:00:00"/>
    <x v="8"/>
    <n v="0"/>
    <s v="1001"/>
    <s v="L"/>
    <s v=""/>
    <s v="1528"/>
    <s v="TECO CNF  DLV  PRC  BASC BCRQ GMPS MACM*"/>
    <x v="5"/>
    <e v="#N/A"/>
    <e v="#REF!"/>
    <e v="#REF!"/>
    <e v="#REF!"/>
  </r>
  <r>
    <n v="20000000609"/>
    <s v="MTMN525QNMC40 SC MTM 525+QUIN 40 1000 L"/>
    <s v="0000000929"/>
    <d v="2025-10-15T00:00:00"/>
    <s v="1324583"/>
    <s v=""/>
    <n v="7000"/>
    <n v="7000"/>
    <d v="2025-11-08T00:00:00"/>
    <x v="8"/>
    <n v="0"/>
    <s v="1001"/>
    <s v="L"/>
    <s v=""/>
    <s v="1528"/>
    <s v="REL  CNF  DLV  PRC  BASC BCRQ GMPS MACM*"/>
    <x v="5"/>
    <e v="#N/A"/>
    <e v="#REF!"/>
    <e v="#REF!"/>
    <e v="#REF!"/>
  </r>
  <r>
    <n v="50000000062"/>
    <s v="DIUREX SLURRY  KG"/>
    <s v="0000051611"/>
    <d v="2025-10-10T00:00:00"/>
    <s v="1317570"/>
    <s v=""/>
    <n v="33000"/>
    <n v="31957"/>
    <d v="2025-10-17T00:00:00"/>
    <x v="8"/>
    <n v="0"/>
    <s v="1001"/>
    <s v="KG"/>
    <s v=""/>
    <s v="1140"/>
    <s v="REL  CNF  PRC  BASC BCRQ GMPS ILAS MACM*"/>
    <x v="20"/>
    <e v="#N/A"/>
    <e v="#REF!"/>
    <e v="#REF!"/>
    <e v="#REF!"/>
  </r>
  <r>
    <n v="50000000064"/>
    <s v="FLUROCHLORIDONE44.5C 200.00 KG"/>
    <s v="0000002860"/>
    <d v="2025-10-01T00:00:00"/>
    <s v="1317534"/>
    <s v=""/>
    <n v="7200"/>
    <n v="5822"/>
    <d v="2025-11-02T00:00:00"/>
    <x v="8"/>
    <n v="0"/>
    <s v="1001"/>
    <s v="KG"/>
    <s v=""/>
    <n v="1125"/>
    <s v="REL  CNF  PRC  BASC BCRQ GMPS ILAS MACM*"/>
    <x v="22"/>
    <e v="#N/A"/>
    <e v="#REF!"/>
    <e v="#REF!"/>
    <e v="#REF!"/>
  </r>
  <r>
    <n v="10000000401"/>
    <s v="DRON540+HZNN67 WG JUMP 5KG BRASIL 5KG BR"/>
    <s v="0000016395"/>
    <d v="2025-10-01T00:00:00"/>
    <s v="1326796"/>
    <s v=""/>
    <n v="2880"/>
    <n v="2880"/>
    <d v="2025-10-30T00:00:00"/>
    <x v="8"/>
    <n v="0"/>
    <s v="1001"/>
    <s v="KG"/>
    <s v=""/>
    <s v="1519"/>
    <s v="TECO PCNF DLV  PRC  BASC BCRQ GMPS ILAS*"/>
    <x v="8"/>
    <s v="19P"/>
    <e v="#REF!"/>
    <e v="#REF!"/>
    <e v="#REF!"/>
  </r>
  <r>
    <n v="10000000401"/>
    <s v="DRON540+HZNN67 WG JUMP 5KG BRASIL 5KG BR"/>
    <s v="0000016396"/>
    <d v="2025-10-01T00:00:00"/>
    <s v="1326797"/>
    <s v=""/>
    <n v="2880"/>
    <n v="2880"/>
    <d v="2025-11-08T00:00:00"/>
    <x v="8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397"/>
    <d v="2025-10-01T00:00:00"/>
    <s v="1326798"/>
    <s v=""/>
    <n v="2880"/>
    <n v="2880"/>
    <d v="2025-11-08T00:00:00"/>
    <x v="8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398"/>
    <d v="2025-10-01T00:00:00"/>
    <s v="1326799"/>
    <s v=""/>
    <n v="2880"/>
    <n v="2880"/>
    <d v="2025-11-08T00:00:00"/>
    <x v="8"/>
    <n v="0"/>
    <s v="1001"/>
    <s v="KG"/>
    <s v=""/>
    <s v="1519"/>
    <s v="REL  CNF  DLV  PRC  BASC BCRQ GMPS ILAS*"/>
    <x v="8"/>
    <s v="19P"/>
    <e v="#REF!"/>
    <e v="#REF!"/>
    <e v="#REF!"/>
  </r>
  <r>
    <n v="20000006540"/>
    <s v="MTMN350QNMC60 SC MTM 350+QUIN 60 1000L"/>
    <s v="0000000124"/>
    <d v="2025-10-01T00:00:00"/>
    <s v="1327229"/>
    <s v=""/>
    <n v="7000"/>
    <n v="7000"/>
    <d v="2025-11-01T00:00:00"/>
    <x v="8"/>
    <n v="7000"/>
    <s v="1001"/>
    <s v="L"/>
    <s v=""/>
    <s v="1528"/>
    <s v="TECO CNF  DLV  PRC  BASC BCRQ GMPS MACM*"/>
    <x v="5"/>
    <e v="#N/A"/>
    <e v="#REF!"/>
    <e v="#REF!"/>
    <e v="#REF!"/>
  </r>
  <r>
    <n v="50000000113"/>
    <s v="PYRAZOLE SOL 1.00 KG"/>
    <s v="0000286376"/>
    <d v="2025-09-19T00:00:00"/>
    <s v="1317101"/>
    <s v=""/>
    <n v="12000"/>
    <n v="24200"/>
    <d v="2025-10-27T00:00:00"/>
    <x v="8"/>
    <n v="24200"/>
    <s v="1001"/>
    <s v="KG"/>
    <s v=""/>
    <s v="1141"/>
    <s v="REL  CNF  DLV  PRC  BASC BCRQ GMPS ILAS*"/>
    <x v="0"/>
    <e v="#N/A"/>
    <e v="#REF!"/>
    <e v="#REF!"/>
    <e v="#REF!"/>
  </r>
  <r>
    <n v="30000000071"/>
    <s v="DRON970 TC DIURON TECH Paint In 500KG IN"/>
    <s v="0000051239"/>
    <d v="2025-09-04T00:00:00"/>
    <s v="1317948"/>
    <s v=""/>
    <n v="3000"/>
    <n v="3000"/>
    <d v="2025-11-07T00:00:00"/>
    <x v="8"/>
    <n v="0"/>
    <s v="1001"/>
    <s v="KG"/>
    <s v=""/>
    <s v="1540"/>
    <s v="REL  PCNF DLV  PRC  BASC BCRQ GMPS MACM*"/>
    <x v="18"/>
    <e v="#N/A"/>
    <e v="#REF!"/>
    <e v="#REF!"/>
    <e v="#REF!"/>
  </r>
  <r>
    <n v="30000000071"/>
    <s v="DRON970 TC DIURON TECH Paint In 500KG IN"/>
    <s v="0000051240"/>
    <d v="2025-09-04T00:00:00"/>
    <s v="1317949"/>
    <s v=""/>
    <n v="3000"/>
    <n v="3000"/>
    <d v="2025-11-07T00:00:00"/>
    <x v="8"/>
    <n v="0"/>
    <s v="1001"/>
    <s v="KG"/>
    <s v=""/>
    <s v="1540"/>
    <s v="REL  PCNF DLV  PRC  BASC BCRQ GMPS MACM*"/>
    <x v="18"/>
    <e v="#N/A"/>
    <e v="#REF!"/>
    <e v="#REF!"/>
    <e v="#REF!"/>
  </r>
  <r>
    <n v="30000000071"/>
    <s v="DRON970 TC DIURON TECH Paint In 500KG IN"/>
    <s v="0000051241"/>
    <d v="2025-09-04T00:00:00"/>
    <s v="1317950"/>
    <s v=""/>
    <n v="3000"/>
    <n v="3000"/>
    <d v="2025-11-08T00:00:00"/>
    <x v="8"/>
    <n v="0"/>
    <s v="1001"/>
    <s v="KG"/>
    <s v=""/>
    <s v="1540"/>
    <s v="REL  PCNF DLV  PRC  BASC BCRQ GMPS MACM*"/>
    <x v="18"/>
    <e v="#N/A"/>
    <e v="#REF!"/>
    <e v="#REF!"/>
    <e v="#REF!"/>
  </r>
  <r>
    <n v="30000000071"/>
    <s v="DRON970 TC DIURON TECH Paint In 500KG IN"/>
    <s v="0000051242"/>
    <d v="2025-09-04T00:00:00"/>
    <s v="1317951"/>
    <s v=""/>
    <n v="3000"/>
    <n v="3000"/>
    <d v="2025-11-08T00:00:00"/>
    <x v="8"/>
    <n v="0"/>
    <s v="1001"/>
    <s v="KG"/>
    <s v=""/>
    <s v="1540"/>
    <s v="REL  PCNF DLV  PRC  BASC BCRQ GMPS MACM*"/>
    <x v="18"/>
    <e v="#N/A"/>
    <e v="#REF!"/>
    <e v="#REF!"/>
    <e v="#REF!"/>
  </r>
  <r>
    <n v="30000000071"/>
    <s v="DRON970 TC DIURON TECH Paint In 500KG IN"/>
    <s v="0000051243"/>
    <d v="2025-09-04T00:00:00"/>
    <s v="1317952"/>
    <s v=""/>
    <n v="3000"/>
    <n v="3000"/>
    <d v="2025-11-09T00:00:00"/>
    <x v="8"/>
    <n v="0"/>
    <s v="1001"/>
    <s v="KG"/>
    <s v=""/>
    <s v="1540"/>
    <s v="REL  PCNF DLV  PRC  BASC BCRQ GMPS MACM*"/>
    <x v="18"/>
    <e v="#N/A"/>
    <e v="#REF!"/>
    <e v="#REF!"/>
    <e v="#REF!"/>
  </r>
  <r>
    <n v="50000001441"/>
    <s v="HEXENONE (1002) ISO NEW"/>
    <s v="0000279367"/>
    <d v="2025-09-01T00:00:00"/>
    <s v="1314529"/>
    <s v=""/>
    <n v="1800"/>
    <n v="1212"/>
    <d v="2025-08-28T00:00:00"/>
    <x v="8"/>
    <n v="0"/>
    <s v="1001"/>
    <s v="KG"/>
    <s v=""/>
    <s v="1141"/>
    <s v="REL  CNF  PRC  BASC BCRQ GMPS ILAS MACM*"/>
    <x v="0"/>
    <e v="#N/A"/>
    <e v="#REF!"/>
    <e v="#REF!"/>
    <e v="#REF!"/>
  </r>
  <r>
    <n v="10000011006"/>
    <s v="FLSL 200 SC FLORASULAM 200 SC 1000LT CA"/>
    <s v="0000331156"/>
    <d v="2025-08-30T00:00:00"/>
    <s v="1312375"/>
    <s v=""/>
    <n v="2000"/>
    <n v="2000"/>
    <d v="2025-11-09T00:00:00"/>
    <x v="8"/>
    <n v="0"/>
    <s v="1001"/>
    <s v="L"/>
    <s v=""/>
    <s v="1124"/>
    <s v="REL  DLV  PRC  BASC BCRQ GMPS MACM ORRQ*"/>
    <x v="3"/>
    <s v="24F"/>
    <e v="#REF!"/>
    <e v="#REF!"/>
    <e v="#REF!"/>
  </r>
  <r>
    <n v="50000000071"/>
    <s v="KOH SOLU IN ETHN22.5 1.00 KG"/>
    <s v="0000005137"/>
    <d v="2025-08-05T00:00:00"/>
    <s v="1307790"/>
    <s v=""/>
    <n v="3600"/>
    <n v="3600"/>
    <d v="2025-07-25T00:00:00"/>
    <x v="8"/>
    <n v="0"/>
    <s v="1001"/>
    <s v="KG"/>
    <s v=""/>
    <s v="1125"/>
    <s v="REL  CNF  DLV  PRC  BASC BCRQ GMPS ILAS*"/>
    <x v="11"/>
    <e v="#N/A"/>
    <e v="#REF!"/>
    <e v="#REF!"/>
    <e v="#REF!"/>
  </r>
  <r>
    <n v="20000005837"/>
    <s v="CLTN500 SC TOLUREX 50 SC 1000LT"/>
    <s v="0000000224"/>
    <d v="2025-12-19T00:00:00"/>
    <s v="1330203"/>
    <s v=""/>
    <n v="7000"/>
    <n v="7000"/>
    <d v="2025-11-09T00:00:00"/>
    <x v="9"/>
    <n v="7000"/>
    <s v="1001"/>
    <s v="L"/>
    <s v=""/>
    <s v="1128"/>
    <s v="TECO CNF  DLV  PRC  BASC BCRQ GMPS MANC*"/>
    <x v="5"/>
    <n v="28"/>
    <e v="#REF!"/>
    <e v="#REF!"/>
    <e v="#REF!"/>
  </r>
  <r>
    <n v="20000005837"/>
    <s v="CLTN500 SC TOLUREX 50 SC 1000LT"/>
    <s v="0000000225"/>
    <d v="2025-12-19T00:00:00"/>
    <s v="1330204"/>
    <s v=""/>
    <n v="7000"/>
    <n v="7000"/>
    <d v="2025-11-10T00:00:00"/>
    <x v="9"/>
    <n v="7000"/>
    <s v="1001"/>
    <s v="L"/>
    <s v=""/>
    <s v="1528"/>
    <s v="REL  CNF  DLV  PRC  BASC BCRQ GMPS MANC*"/>
    <x v="5"/>
    <n v="28"/>
    <e v="#REF!"/>
    <e v="#REF!"/>
    <e v="#REF!"/>
  </r>
  <r>
    <n v="50000000090"/>
    <s v="ETHOXY (GALIGAN) ISO"/>
    <s v="0000006080"/>
    <d v="2025-11-18T00:00:00"/>
    <s v="1329737"/>
    <s v=""/>
    <n v="1720"/>
    <n v="1728"/>
    <d v="2025-11-04T00:00:00"/>
    <x v="9"/>
    <n v="0"/>
    <s v="1001"/>
    <s v="KG"/>
    <s v=""/>
    <s v="1125"/>
    <s v="REL  CNF  DLV  PRC  BASC BCRQ GMPS ILAS*"/>
    <x v="11"/>
    <e v="#N/A"/>
    <e v="#REF!"/>
    <e v="#REF!"/>
    <e v="#REF!"/>
  </r>
  <r>
    <n v="10000001406"/>
    <s v="CLTD120 EC ARROW-ALL-IN 1000LT 1000LT CA"/>
    <s v="0000000883"/>
    <d v="2025-11-14T00:00:00"/>
    <s v="1327816"/>
    <s v=""/>
    <n v="12000"/>
    <n v="12000"/>
    <d v="2025-11-05T00:00:00"/>
    <x v="9"/>
    <n v="12000"/>
    <s v="1001"/>
    <s v="L"/>
    <s v=""/>
    <s v="1542"/>
    <s v="REL  PRT  CNF  DLV  PRC  BASC BCRQ GMPS*"/>
    <x v="4"/>
    <n v="23"/>
    <e v="#REF!"/>
    <e v="#REF!"/>
    <e v="#REF!"/>
  </r>
  <r>
    <n v="50000000053"/>
    <s v="DELTA DAMASCONE CRUD 1.00 KG"/>
    <s v="0000012778"/>
    <d v="2025-11-13T00:00:00"/>
    <s v="1330400"/>
    <s v=""/>
    <n v="6000"/>
    <n v="6672"/>
    <d v="2025-11-06T00:00:00"/>
    <x v="9"/>
    <n v="0"/>
    <s v="1001"/>
    <s v="KG"/>
    <s v=""/>
    <s v="1141"/>
    <s v="REL  CNF  DLV  PRC  BASC BCRQ GMPS ILAS*"/>
    <x v="0"/>
    <e v="#N/A"/>
    <e v="#REF!"/>
    <e v="#REF!"/>
    <e v="#REF!"/>
  </r>
  <r>
    <n v="50000000091"/>
    <s v="GALIGAN IN TOLUENE ISO"/>
    <s v="0000009622"/>
    <d v="2025-11-12T00:00:00"/>
    <s v="1329721"/>
    <s v=""/>
    <n v="4800"/>
    <n v="4916"/>
    <d v="2025-11-04T00:00:00"/>
    <x v="9"/>
    <n v="0"/>
    <s v="1001"/>
    <s v="KG"/>
    <s v=""/>
    <s v="1125"/>
    <s v="REL  CNF  DLV  PRC  BASC BCRQ GMPS ILAS*"/>
    <x v="11"/>
    <e v="#N/A"/>
    <e v="#REF!"/>
    <e v="#REF!"/>
    <e v="#REF!"/>
  </r>
  <r>
    <n v="50000000091"/>
    <s v="GALIGAN IN TOLUENE ISO"/>
    <s v="0000009624"/>
    <d v="2025-11-12T00:00:00"/>
    <s v="1329723"/>
    <s v=""/>
    <n v="4800"/>
    <n v="4994"/>
    <d v="2025-11-04T00:00:00"/>
    <x v="9"/>
    <n v="0"/>
    <s v="1001"/>
    <s v="KG"/>
    <s v=""/>
    <s v="1125"/>
    <s v="REL  CNF  DLV  PRC  BASC BCRQ GMPS ILAS*"/>
    <x v="11"/>
    <e v="#N/A"/>
    <e v="#REF!"/>
    <e v="#REF!"/>
    <e v="#REF!"/>
  </r>
  <r>
    <n v="20000000805"/>
    <s v="TBAZ330SLCT173 SC 200L"/>
    <s v="0000009212"/>
    <d v="2025-11-12T00:00:00"/>
    <s v="1330653"/>
    <s v=""/>
    <n v="7200"/>
    <n v="7200"/>
    <d v="2025-11-09T00:00:00"/>
    <x v="9"/>
    <n v="0"/>
    <s v="1001"/>
    <s v="L"/>
    <s v=""/>
    <s v="1528"/>
    <s v="TECO CNF  DLV  PRC  BASC BCRQ GMPS ILAS*"/>
    <x v="5"/>
    <n v="28"/>
    <e v="#REF!"/>
    <e v="#REF!"/>
    <e v="#REF!"/>
  </r>
  <r>
    <n v="20000000805"/>
    <s v="TBAZ330SLCT173 SC 200L"/>
    <s v="0000009213"/>
    <d v="2025-11-12T00:00:00"/>
    <s v="1330654"/>
    <s v=""/>
    <n v="7200"/>
    <n v="6400"/>
    <d v="2025-11-09T00:00:00"/>
    <x v="9"/>
    <n v="0"/>
    <s v="1001"/>
    <s v="L"/>
    <s v=""/>
    <s v="1528"/>
    <s v="REL  PCNF PRC  BASC BCRQ GMPS ILAS MACM*"/>
    <x v="5"/>
    <n v="28"/>
    <e v="#REF!"/>
    <e v="#REF!"/>
    <e v="#REF!"/>
  </r>
  <r>
    <n v="50000000077"/>
    <s v="NAA DIST ISO"/>
    <s v="0000021333"/>
    <d v="2025-11-10T00:00:00"/>
    <s v="1325381"/>
    <s v=""/>
    <n v="6000"/>
    <n v="8507"/>
    <d v="2025-11-04T00:00:00"/>
    <x v="9"/>
    <n v="0"/>
    <s v="1001"/>
    <s v="KG"/>
    <s v=""/>
    <s v="1141"/>
    <s v="REL  CNF  DLV  PRC  BASC BCRQ GMPS ILAS*"/>
    <x v="0"/>
    <e v="#N/A"/>
    <e v="#REF!"/>
    <e v="#REF!"/>
    <e v="#REF!"/>
  </r>
  <r>
    <n v="30000000077"/>
    <s v="DRON970 TC DIUREX TECH MILLED 600 KG"/>
    <s v="0000053686"/>
    <d v="2025-11-10T00:00:00"/>
    <s v="1330022"/>
    <s v=""/>
    <n v="3600"/>
    <n v="3600"/>
    <d v="2025-11-08T00:00:00"/>
    <x v="9"/>
    <n v="0"/>
    <s v="1001"/>
    <s v="KG"/>
    <s v=""/>
    <s v="1540"/>
    <s v="REL  PCNF DLV  PRC  BASC BCRQ GMPS MACM*"/>
    <x v="18"/>
    <e v="#N/A"/>
    <e v="#REF!"/>
    <e v="#REF!"/>
    <e v="#REF!"/>
  </r>
  <r>
    <n v="30000000077"/>
    <s v="DRON970 TC DIUREX TECH MILLED 600 KG"/>
    <s v="0000053687"/>
    <d v="2025-11-10T00:00:00"/>
    <s v="1330023"/>
    <s v=""/>
    <n v="3600"/>
    <n v="3600"/>
    <d v="2025-11-08T00:00:00"/>
    <x v="9"/>
    <n v="0"/>
    <s v="1001"/>
    <s v="KG"/>
    <s v=""/>
    <s v="1540"/>
    <s v="REL  PCNF DLV  PRC  BASC BCRQ GMPS MACM*"/>
    <x v="18"/>
    <e v="#N/A"/>
    <e v="#REF!"/>
    <e v="#REF!"/>
    <e v="#REF!"/>
  </r>
  <r>
    <n v="30000000077"/>
    <s v="DRON970 TC DIUREX TECH MILLED 600 KG"/>
    <s v="0000053688"/>
    <d v="2025-11-10T00:00:00"/>
    <s v="1330024"/>
    <s v=""/>
    <n v="3600"/>
    <n v="3600"/>
    <d v="2025-11-08T00:00:00"/>
    <x v="9"/>
    <n v="0"/>
    <s v="1001"/>
    <s v="KG"/>
    <s v=""/>
    <s v="1540"/>
    <s v="REL  PCNF DLV  PRC  BASC BCRQ GMPS MACM*"/>
    <x v="18"/>
    <e v="#N/A"/>
    <e v="#REF!"/>
    <e v="#REF!"/>
    <e v="#REF!"/>
  </r>
  <r>
    <n v="30000000077"/>
    <s v="DRON970 TC DIUREX TECH MILLED 600 KG"/>
    <s v="0000053689"/>
    <d v="2025-11-10T00:00:00"/>
    <s v="1330025"/>
    <s v=""/>
    <n v="3600"/>
    <n v="3600"/>
    <d v="2025-11-08T00:00:00"/>
    <x v="9"/>
    <n v="0"/>
    <s v="1001"/>
    <s v="KG"/>
    <s v=""/>
    <s v="1540"/>
    <s v="REL  PCNF DLV  PRC  BASC BCRQ GMPS MACM*"/>
    <x v="18"/>
    <e v="#N/A"/>
    <e v="#REF!"/>
    <e v="#REF!"/>
    <e v="#REF!"/>
  </r>
  <r>
    <n v="30000000077"/>
    <s v="DRON970 TC DIUREX TECH MILLED 600 KG"/>
    <s v="0000053692"/>
    <d v="2025-11-10T00:00:00"/>
    <s v="1330028"/>
    <s v=""/>
    <n v="3600"/>
    <n v="3600"/>
    <d v="2025-11-09T00:00:00"/>
    <x v="9"/>
    <n v="0"/>
    <s v="1001"/>
    <s v="KG"/>
    <s v=""/>
    <s v="1540"/>
    <s v="REL  PCNF DLV  PRC  BASC BCRQ GMPS MACM*"/>
    <x v="18"/>
    <e v="#N/A"/>
    <e v="#REF!"/>
    <e v="#REF!"/>
    <e v="#REF!"/>
  </r>
  <r>
    <n v="30000000077"/>
    <s v="DRON970 TC DIUREX TECH MILLED 600 KG"/>
    <s v="0000053693"/>
    <d v="2025-11-10T00:00:00"/>
    <s v="1330029"/>
    <s v=""/>
    <n v="3600"/>
    <n v="3600"/>
    <d v="2025-11-10T00:00:00"/>
    <x v="9"/>
    <n v="0"/>
    <s v="1001"/>
    <s v="KG"/>
    <s v=""/>
    <s v="1540"/>
    <s v="REL  DLV  PRC  BASC BCRQ GMPS MACM ORRQ*"/>
    <x v="18"/>
    <e v="#N/A"/>
    <e v="#REF!"/>
    <e v="#REF!"/>
    <e v="#REF!"/>
  </r>
  <r>
    <n v="30000000077"/>
    <s v="DRON970 TC DIUREX TECH MILLED 600 KG"/>
    <s v="0000053694"/>
    <d v="2025-11-10T00:00:00"/>
    <s v="1330030"/>
    <s v=""/>
    <n v="3600"/>
    <n v="3600"/>
    <d v="2025-11-10T00:00:00"/>
    <x v="9"/>
    <n v="0"/>
    <s v="1001"/>
    <s v="KG"/>
    <s v=""/>
    <s v="1540"/>
    <s v="REL  DLV  PRC  BASC BCRQ GMPS MACM ORRQ*"/>
    <x v="18"/>
    <e v="#N/A"/>
    <e v="#REF!"/>
    <e v="#REF!"/>
    <e v="#REF!"/>
  </r>
  <r>
    <n v="10000001109"/>
    <s v="QZLF50 EC Leopard 5 EC 5/1 5LT HU"/>
    <s v="0000003316"/>
    <d v="2025-11-09T00:00:00"/>
    <s v="1327484"/>
    <s v="211016309"/>
    <n v="12000"/>
    <n v="12000"/>
    <d v="2025-11-08T00:00:00"/>
    <x v="9"/>
    <n v="0"/>
    <s v="1001"/>
    <s v="L"/>
    <s v=""/>
    <s v="1543"/>
    <s v="REL  DLV  PRC  BASC BCRQ GMPS MANC ORRQ*"/>
    <x v="12"/>
    <s v="5 lIter"/>
    <e v="#REF!"/>
    <e v="#REF!"/>
    <e v="#REF!"/>
  </r>
  <r>
    <n v="50000000080"/>
    <s v="NANA 1.00 KG"/>
    <s v="0000136141"/>
    <d v="2025-11-09T00:00:00"/>
    <s v="1330409"/>
    <s v=""/>
    <n v="3900"/>
    <n v="4352"/>
    <d v="2025-11-06T00:00:00"/>
    <x v="9"/>
    <n v="0"/>
    <s v="1001"/>
    <s v="KG"/>
    <s v=""/>
    <s v="1141"/>
    <s v="REL  CNF  DLV  PRC  BASC BCRQ GMPS ILAS*"/>
    <x v="7"/>
    <e v="#N/A"/>
    <e v="#REF!"/>
    <e v="#REF!"/>
    <e v="#REF!"/>
  </r>
  <r>
    <n v="50000000080"/>
    <s v="NANA 1.00 KG"/>
    <s v="0000136142"/>
    <d v="2025-11-09T00:00:00"/>
    <s v="1330410"/>
    <s v=""/>
    <n v="3900"/>
    <n v="3944"/>
    <d v="2025-11-10T00:00:00"/>
    <x v="9"/>
    <n v="0"/>
    <s v="1001"/>
    <s v="KG"/>
    <s v=""/>
    <s v="1141"/>
    <s v="REL  CNF  DLV  PRC  BASC BCRQ GMPS ILAS*"/>
    <x v="7"/>
    <e v="#N/A"/>
    <e v="#REF!"/>
    <e v="#REF!"/>
    <e v="#REF!"/>
  </r>
  <r>
    <n v="10000012414"/>
    <s v="MSL12+PND60+MFP35 OD EDAPTIS 5LT IT"/>
    <s v="0000000102"/>
    <d v="2025-11-07T00:00:00"/>
    <s v="1327512"/>
    <s v="211016510"/>
    <n v="6000"/>
    <n v="6000"/>
    <d v="2025-11-06T00:00:00"/>
    <x v="9"/>
    <n v="6000"/>
    <s v="1001"/>
    <s v="L"/>
    <s v=""/>
    <s v="1542"/>
    <s v="REL  PRT  CNF  DLV  PRC  BASC BCRQ GMPS*"/>
    <x v="12"/>
    <s v="24P"/>
    <e v="#REF!"/>
    <e v="#REF!"/>
    <e v="#REF!"/>
  </r>
  <r>
    <n v="20000000609"/>
    <s v="MTMN525QNMC40 SC MTM 525+QUIN 40 1000 L"/>
    <s v="0000000931"/>
    <d v="2025-11-07T00:00:00"/>
    <s v="1330522"/>
    <s v=""/>
    <n v="7000"/>
    <n v="7000"/>
    <d v="2025-11-09T00:00:00"/>
    <x v="9"/>
    <n v="0"/>
    <s v="1001"/>
    <s v="L"/>
    <s v=""/>
    <s v="1528"/>
    <s v="REL  PCNF DLV  PRC  BASC BCRQ GMPS MACM*"/>
    <x v="5"/>
    <e v="#N/A"/>
    <e v="#REF!"/>
    <e v="#REF!"/>
    <e v="#REF!"/>
  </r>
  <r>
    <n v="20000000609"/>
    <s v="MTMN525QNMC40 SC MTM 525+QUIN 40 1000 L"/>
    <s v="0000000932"/>
    <d v="2025-11-07T00:00:00"/>
    <s v="1330523"/>
    <s v=""/>
    <n v="7000"/>
    <n v="7000"/>
    <d v="2025-11-09T00:00:00"/>
    <x v="9"/>
    <n v="0"/>
    <s v="1001"/>
    <s v="L"/>
    <s v=""/>
    <s v="1528"/>
    <s v="REL  CNF  DLV  PRC  BASC BCRQ GMPS MACM*"/>
    <x v="5"/>
    <e v="#N/A"/>
    <e v="#REF!"/>
    <e v="#REF!"/>
    <e v="#REF!"/>
  </r>
  <r>
    <n v="10000012414"/>
    <s v="MSL12+PND60+MFP35 OD EDAPTIS 5LT IT"/>
    <s v="0000000101"/>
    <d v="2025-11-06T00:00:00"/>
    <s v="1327511"/>
    <s v="211016506"/>
    <n v="6000"/>
    <n v="6000"/>
    <d v="2025-11-06T00:00:00"/>
    <x v="9"/>
    <n v="6000"/>
    <s v="1001"/>
    <s v="L"/>
    <s v=""/>
    <s v="1542"/>
    <s v="REL  PRT  CNF  DLV  PRC  BASC BCRQ GMPS*"/>
    <x v="12"/>
    <s v="24P"/>
    <e v="#REF!"/>
    <e v="#REF!"/>
    <e v="#REF!"/>
  </r>
  <r>
    <n v="10000012414"/>
    <s v="MSL12+PND60+MFP35 OD EDAPTIS 5LT IT"/>
    <s v="0000000103"/>
    <d v="2025-11-06T00:00:00"/>
    <s v="1327513"/>
    <s v="211016506"/>
    <n v="12000"/>
    <n v="12000"/>
    <d v="2025-11-06T00:00:00"/>
    <x v="9"/>
    <n v="12000"/>
    <s v="1001"/>
    <s v="L"/>
    <s v=""/>
    <s v="1542"/>
    <s v="REL  PRT  CNF  DLV  PRC  BASC BCRQ GMPS*"/>
    <x v="12"/>
    <s v="24P"/>
    <e v="#REF!"/>
    <e v="#REF!"/>
    <e v="#REF!"/>
  </r>
  <r>
    <n v="10000012414"/>
    <s v="MSL12+PND60+MFP35 OD EDAPTIS 5LT IT"/>
    <s v="0000000104"/>
    <d v="2025-11-06T00:00:00"/>
    <s v="1327514"/>
    <s v="211016506"/>
    <n v="12000"/>
    <n v="12000"/>
    <d v="2025-11-06T00:00:00"/>
    <x v="9"/>
    <n v="12000"/>
    <s v="1001"/>
    <s v="L"/>
    <s v=""/>
    <s v="1542"/>
    <s v="REL  PRT  CNF  DLV  PRC  BASC BCRQ GMPS*"/>
    <x v="12"/>
    <s v="24P"/>
    <e v="#REF!"/>
    <e v="#REF!"/>
    <e v="#REF!"/>
  </r>
  <r>
    <n v="10000012415"/>
    <s v="MSL12+PND60+MFP35 OD MEZAYO 5LT IT"/>
    <s v="0000000101"/>
    <d v="2025-11-06T00:00:00"/>
    <s v="1327911"/>
    <s v="211016507"/>
    <n v="6000"/>
    <n v="2400"/>
    <d v="2025-11-06T00:00:00"/>
    <x v="9"/>
    <n v="6000"/>
    <s v="1001"/>
    <s v="L"/>
    <s v=""/>
    <s v="1542"/>
    <s v="REL  PRT  CNF  PRC  BASC BCRQ GMPS MANC*"/>
    <x v="12"/>
    <s v="24P"/>
    <e v="#REF!"/>
    <e v="#REF!"/>
    <e v="#REF!"/>
  </r>
  <r>
    <n v="20000006541"/>
    <s v="ETFM200PNMP200SC PHEN200+ETHO200GL 1000L"/>
    <s v="0000437502"/>
    <d v="2025-11-06T00:00:00"/>
    <s v="1329934"/>
    <s v=""/>
    <n v="7000"/>
    <n v="7000"/>
    <d v="2025-11-08T00:00:00"/>
    <x v="9"/>
    <n v="7000"/>
    <s v="1001"/>
    <s v="L"/>
    <s v=""/>
    <s v="1528"/>
    <s v="TECO CNF  DLV  PRC  BASC BCRQ GMPS MACM*"/>
    <x v="5"/>
    <n v="28"/>
    <e v="#REF!"/>
    <e v="#REF!"/>
    <e v="#REF!"/>
  </r>
  <r>
    <n v="20000006541"/>
    <s v="ETFM200PNMP200SC PHEN200+ETHO200GL 1000L"/>
    <s v="0000437503"/>
    <d v="2025-11-06T00:00:00"/>
    <s v="1329935"/>
    <s v=""/>
    <n v="7000"/>
    <n v="7000"/>
    <d v="2025-11-09T00:00:00"/>
    <x v="9"/>
    <n v="7000"/>
    <s v="1001"/>
    <s v="L"/>
    <s v=""/>
    <s v="1528"/>
    <s v="REL  CNF  DLV  PRC  BASC BCRQ GMPS MACM*"/>
    <x v="5"/>
    <n v="28"/>
    <e v="#REF!"/>
    <e v="#REF!"/>
    <e v="#REF!"/>
  </r>
  <r>
    <n v="50000000049"/>
    <s v="DELTA MTL KTN CR RUS 1.00 KG"/>
    <s v="0000007635"/>
    <d v="2025-11-05T00:00:00"/>
    <s v="1328606"/>
    <s v=""/>
    <n v="2000"/>
    <n v="3000"/>
    <d v="2025-11-03T00:00:00"/>
    <x v="9"/>
    <n v="0"/>
    <s v="1001"/>
    <s v="KG"/>
    <s v=""/>
    <s v="1141"/>
    <s v="REL  CNF  DLV  PRC  BASC BCRQ GMPS ILAS*"/>
    <x v="0"/>
    <e v="#N/A"/>
    <e v="#REF!"/>
    <e v="#REF!"/>
    <e v="#REF!"/>
  </r>
  <r>
    <n v="20000000320"/>
    <s v="DRON800 WG DIUREX 80 WG 500 KG"/>
    <s v="0000004720"/>
    <d v="2025-11-05T00:00:00"/>
    <s v="1330129"/>
    <s v=""/>
    <n v="1000"/>
    <n v="1000"/>
    <d v="2025-11-10T00:00:00"/>
    <x v="9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21"/>
    <d v="2025-11-05T00:00:00"/>
    <s v="1330130"/>
    <s v=""/>
    <n v="1000"/>
    <n v="1000"/>
    <d v="2025-11-10T00:00:00"/>
    <x v="9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22"/>
    <d v="2025-11-05T00:00:00"/>
    <s v="1330131"/>
    <s v=""/>
    <n v="1000"/>
    <n v="1000"/>
    <d v="2025-11-10T00:00:00"/>
    <x v="9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23"/>
    <d v="2025-11-05T00:00:00"/>
    <s v="1330132"/>
    <s v=""/>
    <n v="1000"/>
    <n v="1000"/>
    <d v="2025-11-10T00:00:00"/>
    <x v="9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24"/>
    <d v="2025-11-05T00:00:00"/>
    <s v="1330133"/>
    <s v=""/>
    <n v="1000"/>
    <n v="1000"/>
    <d v="2025-11-10T00:00:00"/>
    <x v="9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25"/>
    <d v="2025-11-05T00:00:00"/>
    <s v="1330134"/>
    <s v=""/>
    <n v="1000"/>
    <n v="1000"/>
    <d v="2025-11-10T00:00:00"/>
    <x v="9"/>
    <n v="0"/>
    <s v="1001"/>
    <s v="KG"/>
    <s v=""/>
    <s v="1519"/>
    <s v="REL  CNF  DLV  PRC  BASC BCRQ GMPS ILAS*"/>
    <x v="8"/>
    <n v="19"/>
    <e v="#REF!"/>
    <e v="#REF!"/>
    <e v="#REF!"/>
  </r>
  <r>
    <n v="50000000058"/>
    <s v="DMK DIST RUS 1.00 KG"/>
    <s v="0000277609"/>
    <d v="2025-11-04T00:00:00"/>
    <s v="1326280"/>
    <s v=""/>
    <n v="7500"/>
    <n v="6566"/>
    <d v="2025-11-03T00:00:00"/>
    <x v="9"/>
    <n v="0"/>
    <s v="1001"/>
    <s v="KG"/>
    <s v=""/>
    <s v="1141"/>
    <s v="REL  CNF  PRC  BASC BCRQ GMPS ILAS MACM*"/>
    <x v="11"/>
    <e v="#N/A"/>
    <e v="#REF!"/>
    <e v="#REF!"/>
    <e v="#REF!"/>
  </r>
  <r>
    <n v="50000000108"/>
    <s v="PROPAQUIZAFOP PRMX25 1000 KG"/>
    <s v="0000003515"/>
    <d v="2025-11-04T00:00:00"/>
    <s v="1329745"/>
    <s v=""/>
    <n v="8000"/>
    <n v="7000"/>
    <d v="2025-11-04T00:00:00"/>
    <x v="9"/>
    <n v="0"/>
    <s v="1001"/>
    <s v="KG"/>
    <s v=""/>
    <s v="1525"/>
    <s v="REL  PCNF PRC  BASC BCRQ GMPS ILAS MACM*"/>
    <x v="19"/>
    <e v="#N/A"/>
    <e v="#REF!"/>
    <e v="#REF!"/>
    <e v="#REF!"/>
  </r>
  <r>
    <n v="30000000097"/>
    <s v="MTZC735 TC METAZACHLR T WT CRUD 600 KG"/>
    <s v="0000009018"/>
    <d v="2025-11-02T00:00:00"/>
    <s v="1327206"/>
    <s v=""/>
    <n v="2800"/>
    <n v="2285"/>
    <d v="2025-10-30T00:00:00"/>
    <x v="9"/>
    <n v="0"/>
    <s v="1001"/>
    <s v="KG"/>
    <s v=""/>
    <s v="1541"/>
    <s v="REL  CNF  PRC  BASC BCRQ GMPS ILAS MACM*"/>
    <x v="13"/>
    <e v="#N/A"/>
    <e v="#REF!"/>
    <e v="#REF!"/>
    <e v="#REF!"/>
  </r>
  <r>
    <n v="30000000097"/>
    <s v="MTZC735 TC METAZACHLR T WT CRUD 600 KG"/>
    <s v="0000009019"/>
    <d v="2025-11-02T00:00:00"/>
    <s v="1327207"/>
    <s v=""/>
    <n v="2800"/>
    <n v="2755"/>
    <d v="2025-11-04T00:00:00"/>
    <x v="9"/>
    <n v="0"/>
    <s v="1001"/>
    <s v="KG"/>
    <s v=""/>
    <s v="1541"/>
    <s v="REL  CNF  DLV  PRC  BASC BCRQ GMPS ILAS*"/>
    <x v="13"/>
    <e v="#N/A"/>
    <e v="#REF!"/>
    <e v="#REF!"/>
    <e v="#REF!"/>
  </r>
  <r>
    <n v="30000000097"/>
    <s v="MTZC735 TC METAZACHLR T WT CRUD 600 KG"/>
    <s v="0000009020"/>
    <d v="2025-11-02T00:00:00"/>
    <s v="1327208"/>
    <s v=""/>
    <n v="2800"/>
    <n v="2425"/>
    <d v="2025-11-04T00:00:00"/>
    <x v="9"/>
    <n v="0"/>
    <s v="1001"/>
    <s v="KG"/>
    <s v=""/>
    <s v="1541"/>
    <s v="REL  PCNF DLV  PRC  BASC BCRQ GMPS ILAS*"/>
    <x v="13"/>
    <e v="#N/A"/>
    <e v="#REF!"/>
    <e v="#REF!"/>
    <e v="#REF!"/>
  </r>
  <r>
    <n v="10000011550"/>
    <s v="PINO100+THIEN8.3+MEF OD CAZADO 1000LT CA"/>
    <s v="0000000173"/>
    <d v="2025-11-01T00:00:00"/>
    <s v="1326607"/>
    <s v=""/>
    <n v="5000"/>
    <n v="5000"/>
    <d v="2025-11-09T00:00:00"/>
    <x v="9"/>
    <n v="5000"/>
    <s v="1001"/>
    <s v="L"/>
    <s v=""/>
    <s v="1524"/>
    <s v="REL  MSPT CNF  DLV  PRC  BASC BCRQ GMPS*"/>
    <x v="3"/>
    <s v="24F"/>
    <e v="#REF!"/>
    <e v="#REF!"/>
    <e v="#REF!"/>
  </r>
  <r>
    <n v="30000000099"/>
    <s v="OXFF970 TC GALIGAN TECH 97% CRD  1000KG"/>
    <s v="0000002881"/>
    <d v="2025-11-01T00:00:00"/>
    <s v="1327079"/>
    <s v=""/>
    <n v="1650"/>
    <n v="1650"/>
    <d v="2025-10-27T00:00:00"/>
    <x v="9"/>
    <n v="0"/>
    <s v="1001"/>
    <s v="KG"/>
    <s v=""/>
    <s v="1125"/>
    <s v="REL  CNF  DLV  PRC  BASC BCRQ GMPS ILAS*"/>
    <x v="16"/>
    <e v="#N/A"/>
    <e v="#REF!"/>
    <e v="#REF!"/>
    <e v="#REF!"/>
  </r>
  <r>
    <n v="50000000080"/>
    <s v="NANA 1.00 KG"/>
    <s v="0000136134"/>
    <d v="2025-10-23T00:00:00"/>
    <s v="1326274"/>
    <s v=""/>
    <n v="3900"/>
    <n v="3833"/>
    <d v="2025-10-30T00:00:00"/>
    <x v="9"/>
    <n v="0"/>
    <s v="1001"/>
    <s v="KG"/>
    <s v=""/>
    <s v="1141"/>
    <s v="REL  CNF  PRC  BASC BCRQ GMPS ILAS MACM*"/>
    <x v="7"/>
    <e v="#N/A"/>
    <e v="#REF!"/>
    <e v="#REF!"/>
    <e v="#REF!"/>
  </r>
  <r>
    <n v="50000000075"/>
    <s v="NAA CRUDE ISO"/>
    <s v="0000280118"/>
    <d v="2025-10-19T00:00:00"/>
    <s v="1325372"/>
    <s v=""/>
    <n v="4000"/>
    <n v="5037"/>
    <d v="2025-10-30T00:00:00"/>
    <x v="9"/>
    <n v="0"/>
    <s v="1001"/>
    <s v="KG"/>
    <s v=""/>
    <s v="1141"/>
    <s v="REL  CNF  DLV  PRC  BASC BCRQ GMPS ILAS*"/>
    <x v="11"/>
    <e v="#N/A"/>
    <e v="#REF!"/>
    <e v="#REF!"/>
    <e v="#REF!"/>
  </r>
  <r>
    <n v="20000000609"/>
    <s v="MTMN525QNMC40 SC MTM 525+QUIN 40 1000 L"/>
    <s v="0000000930"/>
    <d v="2025-10-15T00:00:00"/>
    <s v="1324584"/>
    <s v=""/>
    <n v="7000"/>
    <n v="7000"/>
    <d v="2025-11-08T00:00:00"/>
    <x v="9"/>
    <n v="0"/>
    <s v="1001"/>
    <s v="L"/>
    <s v=""/>
    <s v="1528"/>
    <s v="TECO CNF  DLV  PRC  BASC BCRQ GMPS MACM*"/>
    <x v="5"/>
    <e v="#N/A"/>
    <e v="#REF!"/>
    <e v="#REF!"/>
    <e v="#REF!"/>
  </r>
  <r>
    <n v="50000000062"/>
    <s v="DIUREX SLURRY  KG"/>
    <s v="0000051612"/>
    <d v="2025-10-10T00:00:00"/>
    <s v="1317572"/>
    <s v=""/>
    <n v="33000"/>
    <n v="31957"/>
    <d v="2025-10-17T00:00:00"/>
    <x v="9"/>
    <n v="0"/>
    <s v="1001"/>
    <s v="KG"/>
    <s v=""/>
    <s v="1140"/>
    <s v="REL  CNF  PRC  BASC BCRQ GMPS ILAS MACM*"/>
    <x v="20"/>
    <e v="#N/A"/>
    <e v="#REF!"/>
    <e v="#REF!"/>
    <e v="#REF!"/>
  </r>
  <r>
    <n v="10000000401"/>
    <s v="DRON540+HZNN67 WG JUMP 5KG BRASIL 5KG BR"/>
    <s v="0000016399"/>
    <d v="2025-10-01T00:00:00"/>
    <s v="1326800"/>
    <s v=""/>
    <n v="2880"/>
    <n v="2880"/>
    <d v="2025-11-08T00:00:00"/>
    <x v="9"/>
    <n v="0"/>
    <s v="1001"/>
    <s v="KG"/>
    <s v=""/>
    <s v="1519"/>
    <s v="TECO CNF  DLV  PRC  BASC BCRQ GMPS ILAS*"/>
    <x v="8"/>
    <s v="19P"/>
    <e v="#REF!"/>
    <e v="#REF!"/>
    <e v="#REF!"/>
  </r>
  <r>
    <n v="10000000401"/>
    <s v="DRON540+HZNN67 WG JUMP 5KG BRASIL 5KG BR"/>
    <s v="0000016400"/>
    <d v="2025-10-01T00:00:00"/>
    <s v="1326801"/>
    <s v=""/>
    <n v="2880"/>
    <n v="2880"/>
    <d v="2025-11-08T00:00:00"/>
    <x v="9"/>
    <n v="0"/>
    <s v="1001"/>
    <s v="KG"/>
    <s v=""/>
    <s v="1519"/>
    <s v="TECO CNF  DLV  PRC  BASC BCRQ GMPS ILAS*"/>
    <x v="8"/>
    <s v="19P"/>
    <e v="#REF!"/>
    <e v="#REF!"/>
    <e v="#REF!"/>
  </r>
  <r>
    <n v="10000000401"/>
    <s v="DRON540+HZNN67 WG JUMP 5KG BRASIL 5KG BR"/>
    <s v="0000016401"/>
    <d v="2025-10-01T00:00:00"/>
    <s v="1326802"/>
    <s v=""/>
    <n v="2880"/>
    <n v="2880"/>
    <d v="2025-11-09T00:00:00"/>
    <x v="9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402"/>
    <d v="2025-10-01T00:00:00"/>
    <s v="1326803"/>
    <s v=""/>
    <n v="2880"/>
    <n v="2880"/>
    <d v="2025-11-09T00:00:00"/>
    <x v="9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403"/>
    <d v="2025-10-01T00:00:00"/>
    <s v="1326804"/>
    <s v=""/>
    <n v="2880"/>
    <n v="2880"/>
    <d v="2025-11-09T00:00:00"/>
    <x v="9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405"/>
    <d v="2025-10-01T00:00:00"/>
    <s v="1326806"/>
    <s v=""/>
    <n v="2880"/>
    <n v="2880"/>
    <d v="2025-11-09T00:00:00"/>
    <x v="9"/>
    <n v="0"/>
    <s v="1001"/>
    <s v="KG"/>
    <s v=""/>
    <s v="1519"/>
    <s v="REL  CNF  DLV  PRC  BASC BCRQ GMPS ILAS*"/>
    <x v="8"/>
    <s v="19P"/>
    <e v="#REF!"/>
    <e v="#REF!"/>
    <e v="#REF!"/>
  </r>
  <r>
    <n v="30000000071"/>
    <s v="DRON970 TC DIURON TECH Paint In 500KG IN"/>
    <s v="0000051244"/>
    <d v="2025-09-04T00:00:00"/>
    <s v="1317953"/>
    <s v=""/>
    <n v="3000"/>
    <n v="3000"/>
    <d v="2025-11-09T00:00:00"/>
    <x v="9"/>
    <n v="0"/>
    <s v="1001"/>
    <s v="KG"/>
    <s v=""/>
    <s v="1540"/>
    <s v="REL  PCNF DLV  PRC  BASC BCRQ GMPS MACM*"/>
    <x v="18"/>
    <e v="#N/A"/>
    <e v="#REF!"/>
    <e v="#REF!"/>
    <e v="#REF!"/>
  </r>
  <r>
    <n v="30000000071"/>
    <s v="DRON970 TC DIURON TECH Paint In 500KG IN"/>
    <s v="0000051245"/>
    <d v="2025-09-04T00:00:00"/>
    <s v="1317954"/>
    <s v=""/>
    <n v="3000"/>
    <n v="3000"/>
    <d v="2025-11-10T00:00:00"/>
    <x v="9"/>
    <n v="0"/>
    <s v="1001"/>
    <s v="KG"/>
    <s v=""/>
    <s v="1540"/>
    <s v="REL  PCNF DLV  PRC  BASC BCRQ GMPS MACM*"/>
    <x v="18"/>
    <e v="#N/A"/>
    <e v="#REF!"/>
    <e v="#REF!"/>
    <e v="#REF!"/>
  </r>
  <r>
    <n v="20000000391"/>
    <s v="FLRSLM 20% SC LRH 1000 KG"/>
    <s v="0000000463"/>
    <d v="2025-08-30T00:00:00"/>
    <s v="1311931"/>
    <s v=""/>
    <n v="2000"/>
    <n v="4000"/>
    <d v="2025-10-21T00:00:00"/>
    <x v="9"/>
    <n v="0"/>
    <s v="1001"/>
    <s v="KG"/>
    <s v=""/>
    <s v="1121"/>
    <s v="REL  CNF  DLV  PRC  BASC BCRQ GMPS MACM*"/>
    <x v="3"/>
    <s v="24F"/>
    <e v="#REF!"/>
    <e v="#REF!"/>
    <e v="#REF!"/>
  </r>
  <r>
    <n v="20000000391"/>
    <s v="FLRSLM 20% SC LRH 1000 KG"/>
    <s v="0000000464"/>
    <d v="2025-08-30T00:00:00"/>
    <s v="1311932"/>
    <s v=""/>
    <n v="2000"/>
    <n v="4000"/>
    <d v="2025-10-21T00:00:00"/>
    <x v="9"/>
    <n v="0"/>
    <s v="1001"/>
    <s v="KG"/>
    <s v=""/>
    <s v="1121"/>
    <s v="REL  CNF  DLV  PRC  BASC BCRQ GMPS MACM*"/>
    <x v="3"/>
    <s v="24F"/>
    <e v="#REF!"/>
    <e v="#REF!"/>
    <e v="#REF!"/>
  </r>
  <r>
    <n v="20000000391"/>
    <s v="FLRSLM 20% SC LRH 1000 KG"/>
    <s v="0000000465"/>
    <d v="2025-08-30T00:00:00"/>
    <s v="1311933"/>
    <s v=""/>
    <n v="2000"/>
    <n v="2000"/>
    <d v="2025-10-21T00:00:00"/>
    <x v="9"/>
    <n v="0"/>
    <s v="1001"/>
    <s v="KG"/>
    <s v=""/>
    <s v="1121"/>
    <s v="REL  CNF  DLV  PRC  BASC BCRQ GMPS MACM*"/>
    <x v="3"/>
    <s v="24F"/>
    <e v="#REF!"/>
    <e v="#REF!"/>
    <e v="#REF!"/>
  </r>
  <r>
    <n v="30000000097"/>
    <s v="MTZC735 TC METAZACHLR T WT CRUD 600 KG"/>
    <s v="0000009021"/>
    <d v="2025-11-29T00:00:00"/>
    <s v="1330366"/>
    <s v=""/>
    <n v="2800"/>
    <n v="2095"/>
    <d v="2025-11-06T00:00:00"/>
    <x v="10"/>
    <n v="0"/>
    <s v="1001"/>
    <s v="KG"/>
    <s v=""/>
    <s v="1541"/>
    <s v="REL  CNF  PRC  BASC BCRQ GMPS ILAS MACM*"/>
    <x v="13"/>
    <e v="#N/A"/>
    <e v="#REF!"/>
    <e v="#REF!"/>
    <e v="#REF!"/>
  </r>
  <r>
    <n v="50000000090"/>
    <s v="ETHOXY (GALIGAN) ISO"/>
    <s v="0000006081"/>
    <d v="2025-11-19T00:00:00"/>
    <s v="1329738"/>
    <s v=""/>
    <n v="1720"/>
    <n v="1756"/>
    <d v="2025-11-04T00:00:00"/>
    <x v="10"/>
    <n v="0"/>
    <s v="1001"/>
    <s v="KG"/>
    <s v=""/>
    <s v="1125"/>
    <s v="REL  CNF  DLV  PRC  BASC BCRQ GMPS ILAS*"/>
    <x v="11"/>
    <e v="#N/A"/>
    <e v="#REF!"/>
    <e v="#REF!"/>
    <e v="#REF!"/>
  </r>
  <r>
    <n v="50000000062"/>
    <s v="DIUREX SLURRY  KG"/>
    <s v="0000051613"/>
    <d v="2025-11-12T00:00:00"/>
    <s v="1329782"/>
    <s v=""/>
    <n v="33000"/>
    <n v="32289"/>
    <d v="2025-11-04T00:00:00"/>
    <x v="10"/>
    <n v="0"/>
    <s v="1001"/>
    <s v="KG"/>
    <s v=""/>
    <s v="1140"/>
    <s v="REL  CNF  PRC  BASC BCRQ GMPS ILAS MACM*"/>
    <x v="20"/>
    <e v="#N/A"/>
    <e v="#REF!"/>
    <e v="#REF!"/>
    <e v="#REF!"/>
  </r>
  <r>
    <n v="20000000805"/>
    <s v="TBAZ330SLCT173 SC 200L"/>
    <s v="0000009214"/>
    <d v="2025-11-12T00:00:00"/>
    <s v="1330655"/>
    <s v=""/>
    <n v="7200"/>
    <n v="7200"/>
    <d v="2025-11-09T00:00:00"/>
    <x v="10"/>
    <n v="0"/>
    <s v="1001"/>
    <s v="L"/>
    <s v=""/>
    <s v="1528"/>
    <s v="TECO CNF  DLV  PRC  BASC BCRQ GMPS ILAS*"/>
    <x v="5"/>
    <n v="28"/>
    <e v="#REF!"/>
    <e v="#REF!"/>
    <e v="#REF!"/>
  </r>
  <r>
    <n v="20000000805"/>
    <s v="TBAZ330SLCT173 SC 200L"/>
    <s v="0000009216"/>
    <d v="2025-11-12T00:00:00"/>
    <s v="1330657"/>
    <s v=""/>
    <n v="7200"/>
    <n v="7200"/>
    <d v="2025-11-11T00:00:00"/>
    <x v="10"/>
    <n v="0"/>
    <s v="1001"/>
    <s v="L"/>
    <s v=""/>
    <s v="1528"/>
    <s v="REL  CNF  DLV  PRC  BASC BCRQ GMPS ILAS*"/>
    <x v="5"/>
    <n v="28"/>
    <e v="#REF!"/>
    <e v="#REF!"/>
    <e v="#REF!"/>
  </r>
  <r>
    <n v="50000000091"/>
    <s v="GALIGAN IN TOLUENE ISO"/>
    <s v="0000009625"/>
    <d v="2025-11-11T00:00:00"/>
    <s v="1329724"/>
    <s v=""/>
    <n v="5300"/>
    <n v="5152"/>
    <d v="2025-11-04T00:00:00"/>
    <x v="10"/>
    <n v="0"/>
    <s v="1001"/>
    <s v="KG"/>
    <s v=""/>
    <s v="1125"/>
    <s v="REL  CNF  PRC  BASC BCRQ GMPS ILAS MANC*"/>
    <x v="11"/>
    <e v="#N/A"/>
    <e v="#REF!"/>
    <e v="#REF!"/>
    <e v="#REF!"/>
  </r>
  <r>
    <n v="10000002503"/>
    <s v="MSLN12+PNDN60+MFPR35 OD EDAPTIS 5LT RO"/>
    <s v="0000000113"/>
    <d v="2025-11-11T00:00:00"/>
    <s v="1331001"/>
    <s v="211015541"/>
    <n v="10200"/>
    <n v="10200"/>
    <d v="2025-11-10T00:00:00"/>
    <x v="10"/>
    <n v="10200"/>
    <s v="1001"/>
    <s v="L"/>
    <s v=""/>
    <s v="1542"/>
    <s v="REL  PRT  CNF  DLV  PRC  BASC BCRQ GMPS*"/>
    <x v="12"/>
    <e v="#N/A"/>
    <e v="#REF!"/>
    <e v="#REF!"/>
    <e v="#REF!"/>
  </r>
  <r>
    <n v="50000000077"/>
    <s v="NAA DIST ISO"/>
    <s v="0000021334"/>
    <d v="2025-11-10T00:00:00"/>
    <s v="1325382"/>
    <s v=""/>
    <n v="6000"/>
    <n v="7283"/>
    <d v="2025-11-06T00:00:00"/>
    <x v="10"/>
    <n v="0"/>
    <s v="1001"/>
    <s v="KG"/>
    <s v=""/>
    <s v="1141"/>
    <s v="REL  CNF  DLV  PRC  BASC BCRQ GMPS ILAS*"/>
    <x v="0"/>
    <e v="#N/A"/>
    <e v="#REF!"/>
    <e v="#REF!"/>
    <e v="#REF!"/>
  </r>
  <r>
    <n v="20000000805"/>
    <s v="TBAZ330SLCT173 SC 200L"/>
    <s v="0000009215"/>
    <d v="2025-11-10T00:00:00"/>
    <s v="1330656"/>
    <s v=""/>
    <n v="6400"/>
    <n v="6400"/>
    <d v="2025-11-10T00:00:00"/>
    <x v="10"/>
    <n v="0"/>
    <s v="1001"/>
    <s v="L"/>
    <s v=""/>
    <s v="1528"/>
    <s v="REL  PCNF DLV  PRC  BASC BCRQ GMPS ILAS*"/>
    <x v="5"/>
    <n v="28"/>
    <e v="#REF!"/>
    <e v="#REF!"/>
    <e v="#REF!"/>
  </r>
  <r>
    <n v="10000001109"/>
    <s v="QZLF50 EC Leopard 5 EC 5/1 5LT HU"/>
    <s v="0000003317"/>
    <d v="2025-11-09T00:00:00"/>
    <s v="1327485"/>
    <s v="211016309"/>
    <n v="12000"/>
    <n v="12000"/>
    <d v="2025-11-08T00:00:00"/>
    <x v="10"/>
    <n v="0"/>
    <s v="1001"/>
    <s v="L"/>
    <s v=""/>
    <s v="1543"/>
    <s v="REL  DLV  PRC  BASC BCRQ GMPS MANC ORRQ*"/>
    <x v="12"/>
    <s v="5 lIter"/>
    <e v="#REF!"/>
    <e v="#REF!"/>
    <e v="#REF!"/>
  </r>
  <r>
    <n v="10000001109"/>
    <s v="QZLF50 EC Leopard 5 EC 5/1 5LT HU"/>
    <s v="0000003318"/>
    <d v="2025-11-09T00:00:00"/>
    <s v="1327486"/>
    <s v="211016309"/>
    <n v="12000"/>
    <n v="12000"/>
    <d v="2025-11-08T00:00:00"/>
    <x v="10"/>
    <n v="12000"/>
    <s v="1001"/>
    <s v="L"/>
    <s v=""/>
    <s v="1543"/>
    <s v="REL  PRT  CNF  DLV  PRC  BASC BCRQ GMPS*"/>
    <x v="12"/>
    <s v="5 lIter"/>
    <e v="#REF!"/>
    <e v="#REF!"/>
    <e v="#REF!"/>
  </r>
  <r>
    <n v="50000000080"/>
    <s v="NANA 1.00 KG"/>
    <s v="0000136143"/>
    <d v="2025-11-09T00:00:00"/>
    <s v="1330411"/>
    <s v=""/>
    <n v="3900"/>
    <n v="3880"/>
    <d v="2025-11-10T00:00:00"/>
    <x v="10"/>
    <n v="0"/>
    <s v="1001"/>
    <s v="KG"/>
    <s v=""/>
    <s v="1141"/>
    <s v="REL  CNF  PRC  BASC BCRQ GMPS ILAS MACM*"/>
    <x v="7"/>
    <e v="#N/A"/>
    <e v="#REF!"/>
    <e v="#REF!"/>
    <e v="#REF!"/>
  </r>
  <r>
    <n v="10000012414"/>
    <s v="MSL12+PND60+MFP35 OD EDAPTIS 5LT IT"/>
    <s v="0000000105"/>
    <d v="2025-11-07T00:00:00"/>
    <s v="1327515"/>
    <s v="211016510"/>
    <n v="12000"/>
    <n v="12000"/>
    <d v="2025-11-06T00:00:00"/>
    <x v="10"/>
    <n v="12000"/>
    <s v="1001"/>
    <s v="L"/>
    <s v=""/>
    <s v="1542"/>
    <s v="REL  PRT  CNF  DLV  PRC  BASC BCRQ GMPS*"/>
    <x v="12"/>
    <s v="24P"/>
    <e v="#REF!"/>
    <e v="#REF!"/>
    <e v="#REF!"/>
  </r>
  <r>
    <n v="20000000387"/>
    <s v="FRXP100FLSL3 SE 1000L"/>
    <s v="0000000428"/>
    <d v="2025-11-07T00:00:00"/>
    <s v="1328520"/>
    <s v=""/>
    <n v="7200"/>
    <n v="7000"/>
    <d v="2025-11-10T00:00:00"/>
    <x v="10"/>
    <n v="0"/>
    <s v="1001"/>
    <s v="L"/>
    <s v=""/>
    <s v="1524"/>
    <s v="REL  CNF  PRC  BASC BCRQ GMPS MANC ORRQ*"/>
    <x v="3"/>
    <s v="24F"/>
    <e v="#REF!"/>
    <e v="#REF!"/>
    <e v="#REF!"/>
  </r>
  <r>
    <n v="20000000387"/>
    <s v="FRXP100FLSL3 SE 1000L"/>
    <s v="0000000429"/>
    <d v="2025-11-07T00:00:00"/>
    <s v="1328521"/>
    <s v=""/>
    <n v="7200"/>
    <n v="7000"/>
    <d v="2025-11-11T00:00:00"/>
    <x v="10"/>
    <n v="0"/>
    <s v="1001"/>
    <s v="L"/>
    <s v=""/>
    <s v="1524"/>
    <s v="REL  CNF  PRC  BASC BCRQ GMPS MACM ORRQ*"/>
    <x v="3"/>
    <s v="24F"/>
    <e v="#REF!"/>
    <e v="#REF!"/>
    <e v="#REF!"/>
  </r>
  <r>
    <n v="20000000609"/>
    <s v="MTMN525QNMC40 SC MTM 525+QUIN 40 1000 L"/>
    <s v="0000000933"/>
    <d v="2025-11-07T00:00:00"/>
    <s v="1330524"/>
    <s v=""/>
    <n v="7000"/>
    <n v="7000"/>
    <d v="2025-11-10T00:00:00"/>
    <x v="10"/>
    <n v="0"/>
    <s v="1001"/>
    <s v="L"/>
    <s v=""/>
    <s v="1528"/>
    <s v="REL  PCNF DLV  PRC  BASC BCRQ GMPS MACM*"/>
    <x v="5"/>
    <e v="#N/A"/>
    <e v="#REF!"/>
    <e v="#REF!"/>
    <e v="#REF!"/>
  </r>
  <r>
    <n v="10000012414"/>
    <s v="MSL12+PND60+MFP35 OD EDAPTIS 5LT IT"/>
    <s v="0000000106"/>
    <d v="2025-11-06T00:00:00"/>
    <s v="1327516"/>
    <s v="211016510"/>
    <n v="12000"/>
    <n v="12000"/>
    <d v="2025-11-06T00:00:00"/>
    <x v="10"/>
    <n v="12000"/>
    <s v="1001"/>
    <s v="L"/>
    <s v=""/>
    <s v="1542"/>
    <s v="REL  PRT  CNF  DLV  PRC  BASC BCRQ GMPS*"/>
    <x v="12"/>
    <s v="24P"/>
    <e v="#REF!"/>
    <e v="#REF!"/>
    <e v="#REF!"/>
  </r>
  <r>
    <n v="20000006541"/>
    <s v="ETFM200PNMP200SC PHEN200+ETHO200GL 1000L"/>
    <s v="0000437504"/>
    <d v="2025-11-06T00:00:00"/>
    <s v="1329936"/>
    <s v=""/>
    <n v="7000"/>
    <n v="7000"/>
    <d v="2025-11-09T00:00:00"/>
    <x v="10"/>
    <n v="7000"/>
    <s v="1001"/>
    <s v="L"/>
    <s v=""/>
    <s v="1528"/>
    <s v="REL  CNF  DLV  PRC  BASC BCRQ GMPS MACM*"/>
    <x v="5"/>
    <n v="28"/>
    <e v="#REF!"/>
    <e v="#REF!"/>
    <e v="#REF!"/>
  </r>
  <r>
    <n v="50000000049"/>
    <s v="DELTA MTL KTN CR RUS 1.00 KG"/>
    <s v="0000007634"/>
    <d v="2025-11-05T00:00:00"/>
    <s v="1328605"/>
    <s v=""/>
    <n v="2000"/>
    <n v="2000"/>
    <d v="2025-11-03T00:00:00"/>
    <x v="10"/>
    <n v="0"/>
    <s v="1001"/>
    <s v="KG"/>
    <s v=""/>
    <s v="1141"/>
    <s v="REL  CNF  DLV  PRC  BASC BCRQ GMPS ILAS*"/>
    <x v="0"/>
    <e v="#N/A"/>
    <e v="#REF!"/>
    <e v="#REF!"/>
    <e v="#REF!"/>
  </r>
  <r>
    <n v="20000000320"/>
    <s v="DRON800 WG DIUREX 80 WG 500 KG"/>
    <s v="0000004726"/>
    <d v="2025-11-05T00:00:00"/>
    <s v="1330135"/>
    <s v=""/>
    <n v="3000"/>
    <n v="3000"/>
    <d v="2025-11-11T00:00:00"/>
    <x v="10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27"/>
    <d v="2025-11-05T00:00:00"/>
    <s v="1330136"/>
    <s v=""/>
    <n v="3000"/>
    <n v="3000"/>
    <d v="2025-11-11T00:00:00"/>
    <x v="10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28"/>
    <d v="2025-11-05T00:00:00"/>
    <s v="1330137"/>
    <s v=""/>
    <n v="3000"/>
    <n v="3000"/>
    <d v="2025-11-11T00:00:00"/>
    <x v="10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29"/>
    <d v="2025-11-05T00:00:00"/>
    <s v="1330138"/>
    <s v=""/>
    <n v="3000"/>
    <n v="3000"/>
    <d v="2025-11-11T00:00:00"/>
    <x v="10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30"/>
    <d v="2025-11-05T00:00:00"/>
    <s v="1330139"/>
    <s v=""/>
    <n v="3000"/>
    <n v="3000"/>
    <d v="2025-11-11T00:00:00"/>
    <x v="10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31"/>
    <d v="2025-11-05T00:00:00"/>
    <s v="1330140"/>
    <s v=""/>
    <n v="3000"/>
    <n v="3000"/>
    <d v="2025-11-11T00:00:00"/>
    <x v="10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32"/>
    <d v="2025-11-05T00:00:00"/>
    <s v="1330141"/>
    <s v=""/>
    <n v="3000"/>
    <n v="3000"/>
    <d v="2025-11-11T00:00:00"/>
    <x v="10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33"/>
    <d v="2025-11-05T00:00:00"/>
    <s v="1330142"/>
    <s v=""/>
    <n v="3000"/>
    <n v="3000"/>
    <d v="2025-11-11T00:00:00"/>
    <x v="10"/>
    <n v="0"/>
    <s v="1001"/>
    <s v="KG"/>
    <s v=""/>
    <s v="1519"/>
    <s v="REL  CNF  DLV  PRC  BASC BCRQ GMPS ILAS*"/>
    <x v="8"/>
    <n v="19"/>
    <e v="#REF!"/>
    <e v="#REF!"/>
    <e v="#REF!"/>
  </r>
  <r>
    <n v="50000000108"/>
    <s v="PROPAQUIZAFOP PRMX25 1000 KG"/>
    <s v="0000003516"/>
    <d v="2025-11-04T00:00:00"/>
    <s v="1329746"/>
    <s v=""/>
    <n v="8000"/>
    <n v="8000"/>
    <d v="2025-11-04T00:00:00"/>
    <x v="10"/>
    <n v="0"/>
    <s v="1001"/>
    <s v="KG"/>
    <s v=""/>
    <s v="1525"/>
    <s v="REL  CNF  DLV  PRC  BASC BCRQ GMPS ILAS*"/>
    <x v="19"/>
    <e v="#N/A"/>
    <e v="#REF!"/>
    <e v="#REF!"/>
    <e v="#REF!"/>
  </r>
  <r>
    <n v="30000005688"/>
    <s v="LINURON TECH FIRST MILLED CH 500 KG"/>
    <s v="0000000202"/>
    <d v="2025-11-01T00:00:00"/>
    <s v="1325096"/>
    <s v=""/>
    <n v="3000"/>
    <n v="3000"/>
    <d v="2025-10-30T00:00:00"/>
    <x v="10"/>
    <n v="0"/>
    <s v="1001"/>
    <s v="KG"/>
    <s v=""/>
    <s v="1140"/>
    <s v="REL  CNF  DLV  PRC  BASC BCRQ GMPS MACM*"/>
    <x v="6"/>
    <e v="#N/A"/>
    <e v="#REF!"/>
    <e v="#REF!"/>
    <e v="#REF!"/>
  </r>
  <r>
    <n v="30000005688"/>
    <s v="LINURON TECH FIRST MILLED CH 500 KG"/>
    <s v="0000000203"/>
    <d v="2025-11-01T00:00:00"/>
    <s v="1325097"/>
    <s v=""/>
    <n v="3000"/>
    <n v="3000"/>
    <d v="2025-10-30T00:00:00"/>
    <x v="10"/>
    <n v="0"/>
    <s v="1001"/>
    <s v="KG"/>
    <s v=""/>
    <s v="1140"/>
    <s v="REL  CNF  DLV  PRC  BASC BCRQ GMPS MACM*"/>
    <x v="6"/>
    <e v="#N/A"/>
    <e v="#REF!"/>
    <e v="#REF!"/>
    <e v="#REF!"/>
  </r>
  <r>
    <n v="30000005688"/>
    <s v="LINURON TECH FIRST MILLED CH 500 KG"/>
    <s v="0000000204"/>
    <d v="2025-11-01T00:00:00"/>
    <s v="1325098"/>
    <s v=""/>
    <n v="3000"/>
    <n v="3000"/>
    <d v="2025-10-30T00:00:00"/>
    <x v="10"/>
    <n v="0"/>
    <s v="1001"/>
    <s v="KG"/>
    <s v=""/>
    <s v="1140"/>
    <s v="REL  CNF  DLV  PRC  BASC BCRQ GMPS MACM*"/>
    <x v="6"/>
    <e v="#N/A"/>
    <e v="#REF!"/>
    <e v="#REF!"/>
    <e v="#REF!"/>
  </r>
  <r>
    <n v="30000005688"/>
    <s v="LINURON TECH FIRST MILLED CH 500 KG"/>
    <s v="0000000205"/>
    <d v="2025-11-01T00:00:00"/>
    <s v="1325099"/>
    <s v=""/>
    <n v="3000"/>
    <n v="3000"/>
    <d v="2025-10-30T00:00:00"/>
    <x v="10"/>
    <n v="0"/>
    <s v="1001"/>
    <s v="KG"/>
    <s v=""/>
    <s v="1140"/>
    <s v="REL  CNF  DLV  PRC  BASC BCRQ GMPS MACM*"/>
    <x v="6"/>
    <e v="#N/A"/>
    <e v="#REF!"/>
    <e v="#REF!"/>
    <e v="#REF!"/>
  </r>
  <r>
    <n v="20000000778"/>
    <s v="QZLF50 EC QUIZALOFOP 5 EC SS 1000 L"/>
    <s v="0000001398"/>
    <d v="2025-11-01T00:00:00"/>
    <s v="1326095"/>
    <s v=""/>
    <n v="12000"/>
    <n v="12000"/>
    <d v="2025-11-09T00:00:00"/>
    <x v="10"/>
    <n v="12000"/>
    <s v="1001"/>
    <s v="L"/>
    <s v=""/>
    <s v="1523"/>
    <s v="REL  CNF  DLV  PRC  BASC BCRQ GMPS MACM*"/>
    <x v="4"/>
    <n v="23"/>
    <e v="#REF!"/>
    <e v="#REF!"/>
    <e v="#REF!"/>
  </r>
  <r>
    <n v="20000000722"/>
    <s v="PNDM400 CS PENDIMETHALINE 400CS 200 L"/>
    <s v="0000069445"/>
    <d v="2025-11-01T00:00:00"/>
    <s v="1327403"/>
    <s v=""/>
    <n v="3600"/>
    <n v="4000"/>
    <d v="2025-10-30T00:00:00"/>
    <x v="10"/>
    <n v="4000"/>
    <s v="1001"/>
    <s v="L"/>
    <s v=""/>
    <s v="1525"/>
    <s v="REL  CNF  DLV  PRC  BASC BCRQ GMPS MACM*"/>
    <x v="2"/>
    <e v="#N/A"/>
    <e v="#REF!"/>
    <e v="#REF!"/>
    <e v="#REF!"/>
  </r>
  <r>
    <n v="20000000722"/>
    <s v="PNDM400 CS PENDIMETHALINE 400CS 200 L"/>
    <s v="0000069446"/>
    <d v="2025-11-01T00:00:00"/>
    <s v="1327404"/>
    <s v=""/>
    <n v="3600"/>
    <n v="3600"/>
    <d v="2025-10-30T00:00:00"/>
    <x v="10"/>
    <n v="3600"/>
    <s v="1001"/>
    <s v="L"/>
    <s v=""/>
    <s v="1525"/>
    <s v="REL  CNF  DLV  PRC  BASC BCRQ GMPS MACM*"/>
    <x v="2"/>
    <e v="#N/A"/>
    <e v="#REF!"/>
    <e v="#REF!"/>
    <e v="#REF!"/>
  </r>
  <r>
    <n v="10000000401"/>
    <s v="DRON540+HZNN67 WG JUMP 5KG BRASIL 5KG BR"/>
    <s v="0000016406"/>
    <d v="2025-10-01T00:00:00"/>
    <s v="1326807"/>
    <s v=""/>
    <n v="2880"/>
    <n v="2880"/>
    <d v="2025-11-09T00:00:00"/>
    <x v="10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407"/>
    <d v="2025-10-01T00:00:00"/>
    <s v="1326808"/>
    <s v=""/>
    <n v="2880"/>
    <n v="2880"/>
    <d v="2025-11-09T00:00:00"/>
    <x v="10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408"/>
    <d v="2025-10-01T00:00:00"/>
    <s v="1326809"/>
    <s v=""/>
    <n v="2880"/>
    <n v="2880"/>
    <d v="2025-11-09T00:00:00"/>
    <x v="10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409"/>
    <d v="2025-10-01T00:00:00"/>
    <s v="1326810"/>
    <s v=""/>
    <n v="2880"/>
    <n v="2880"/>
    <d v="2025-11-09T00:00:00"/>
    <x v="10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410"/>
    <d v="2025-10-01T00:00:00"/>
    <s v="1326811"/>
    <s v=""/>
    <n v="2880"/>
    <n v="2880"/>
    <d v="2025-11-09T00:00:00"/>
    <x v="10"/>
    <n v="0"/>
    <s v="1001"/>
    <s v="KG"/>
    <s v=""/>
    <s v="1519"/>
    <s v="REL  DLV  PRC  BASC BCRQ GMPS ILAS MANC*"/>
    <x v="8"/>
    <s v="19P"/>
    <e v="#REF!"/>
    <e v="#REF!"/>
    <e v="#REF!"/>
  </r>
  <r>
    <n v="10000000401"/>
    <s v="DRON540+HZNN67 WG JUMP 5KG BRASIL 5KG BR"/>
    <s v="0000016411"/>
    <d v="2025-10-01T00:00:00"/>
    <s v="1326812"/>
    <s v=""/>
    <n v="2880"/>
    <n v="2880"/>
    <d v="2025-11-11T00:00:00"/>
    <x v="10"/>
    <n v="0"/>
    <s v="1001"/>
    <s v="KG"/>
    <s v=""/>
    <s v="1519"/>
    <s v="REL  DLV  PRC  BASC BCRQ GMPS ILAS MANC*"/>
    <x v="8"/>
    <s v="19P"/>
    <e v="#REF!"/>
    <e v="#REF!"/>
    <e v="#REF!"/>
  </r>
  <r>
    <n v="10000000401"/>
    <s v="DRON540+HZNN67 WG JUMP 5KG BRASIL 5KG BR"/>
    <s v="0000016412"/>
    <d v="2025-10-01T00:00:00"/>
    <s v="1326813"/>
    <s v=""/>
    <n v="2880"/>
    <n v="2880"/>
    <d v="2025-11-11T00:00:00"/>
    <x v="10"/>
    <n v="0"/>
    <s v="1001"/>
    <s v="KG"/>
    <s v=""/>
    <s v="1519"/>
    <s v="REL  CNF  DLV  PRC  BASC BCRQ GMPS ILAS*"/>
    <x v="8"/>
    <s v="19P"/>
    <e v="#REF!"/>
    <e v="#REF!"/>
    <e v="#REF!"/>
  </r>
  <r>
    <n v="50000001441"/>
    <s v="HEXENONE (1002) ISO NEW"/>
    <s v="0000279368"/>
    <d v="2025-09-01T00:00:00"/>
    <s v="1314530"/>
    <s v=""/>
    <n v="1800"/>
    <n v="1493"/>
    <d v="2025-08-28T00:00:00"/>
    <x v="10"/>
    <n v="0"/>
    <s v="1001"/>
    <s v="KG"/>
    <s v=""/>
    <s v="1141"/>
    <s v="REL  CNF  PRC  BASC BCRQ GMPS ILAS MACM*"/>
    <x v="0"/>
    <e v="#N/A"/>
    <e v="#REF!"/>
    <e v="#REF!"/>
    <e v="#REF!"/>
  </r>
  <r>
    <n v="50000000071"/>
    <s v="KOH SOLU IN ETHN22.5 1.00 KG"/>
    <s v="0000005138"/>
    <d v="2025-08-05T00:00:00"/>
    <s v="1307791"/>
    <s v=""/>
    <n v="3600"/>
    <n v="3600"/>
    <d v="2025-07-25T00:00:00"/>
    <x v="10"/>
    <n v="0"/>
    <s v="1001"/>
    <s v="KG"/>
    <s v=""/>
    <s v="1125"/>
    <s v="REL  CNF  DLV  PRC  BASC BCRQ GMPS ILAS*"/>
    <x v="11"/>
    <e v="#N/A"/>
    <e v="#REF!"/>
    <e v="#REF!"/>
    <e v="#REF!"/>
  </r>
  <r>
    <n v="20000005837"/>
    <s v="CLTN500 SC TOLUREX 50 SC 1000LT"/>
    <s v="0000000226"/>
    <d v="2025-12-19T00:00:00"/>
    <s v="1330205"/>
    <s v=""/>
    <n v="7000"/>
    <n v="8000"/>
    <d v="2025-11-10T00:00:00"/>
    <x v="11"/>
    <n v="8000"/>
    <s v="1001"/>
    <s v="L"/>
    <s v=""/>
    <s v="1528"/>
    <s v="TECO CNF  DLV  PRC  BASC BCRQ GMPS MANC*"/>
    <x v="5"/>
    <n v="28"/>
    <e v="#REF!"/>
    <e v="#REF!"/>
    <e v="#REF!"/>
  </r>
  <r>
    <n v="20000005837"/>
    <s v="CLTN500 SC TOLUREX 50 SC 1000LT"/>
    <s v="0000000227"/>
    <d v="2025-12-19T00:00:00"/>
    <s v="1330206"/>
    <s v=""/>
    <n v="7000"/>
    <n v="7800"/>
    <d v="2025-11-10T00:00:00"/>
    <x v="11"/>
    <n v="0"/>
    <s v="1001"/>
    <s v="L"/>
    <s v=""/>
    <s v="1528"/>
    <s v="REL  DLV  PRC  BASC BCRQ GMPS MACM ORRQ*"/>
    <x v="5"/>
    <n v="28"/>
    <e v="#REF!"/>
    <e v="#REF!"/>
    <e v="#REF!"/>
  </r>
  <r>
    <n v="20000005837"/>
    <s v="CLTN500 SC TOLUREX 50 SC 1000LT"/>
    <s v="0000000228"/>
    <d v="2025-12-19T00:00:00"/>
    <s v="1330207"/>
    <s v=""/>
    <n v="7000"/>
    <n v="8000"/>
    <d v="2025-11-12T00:00:00"/>
    <x v="11"/>
    <n v="8000"/>
    <s v="1001"/>
    <s v="L"/>
    <s v=""/>
    <s v="1528"/>
    <s v="REL  CNF  DLV  PRC  BASC BCRQ GMPS MACM*"/>
    <x v="5"/>
    <n v="28"/>
    <e v="#REF!"/>
    <e v="#REF!"/>
    <e v="#REF!"/>
  </r>
  <r>
    <n v="30000000097"/>
    <s v="MTZC735 TC METAZACHLR T WT CRUD 600 KG"/>
    <s v="0000009022"/>
    <d v="2025-11-29T00:00:00"/>
    <s v="1330367"/>
    <s v=""/>
    <n v="2800"/>
    <n v="2525"/>
    <d v="2025-11-06T00:00:00"/>
    <x v="11"/>
    <n v="0"/>
    <s v="1001"/>
    <s v="KG"/>
    <s v=""/>
    <s v="1541"/>
    <s v="REL  CNF  PRC  BASC BCRQ GMPS ILAS MACM*"/>
    <x v="13"/>
    <e v="#N/A"/>
    <e v="#REF!"/>
    <e v="#REF!"/>
    <e v="#REF!"/>
  </r>
  <r>
    <n v="30000000076"/>
    <s v="DRON970 TC DIUREX TECH MILLED 550 KG"/>
    <s v="0000151714"/>
    <d v="2025-11-20T00:00:00"/>
    <s v="1331664"/>
    <s v=""/>
    <n v="3300"/>
    <n v="3300"/>
    <d v="2025-11-12T00:00:00"/>
    <x v="11"/>
    <n v="0"/>
    <s v="1001"/>
    <s v="KG"/>
    <s v=""/>
    <s v="1540"/>
    <s v="REL  CNF  DLV  PRC  BASC BCRQ GMPS MACM*"/>
    <x v="18"/>
    <e v="#N/A"/>
    <e v="#REF!"/>
    <e v="#REF!"/>
    <e v="#REF!"/>
  </r>
  <r>
    <n v="50000000090"/>
    <s v="ETHOXY (GALIGAN) ISO"/>
    <s v="0000006082"/>
    <d v="2025-11-19T00:00:00"/>
    <s v="1329739"/>
    <s v=""/>
    <n v="1720"/>
    <n v="1740"/>
    <d v="2025-11-04T00:00:00"/>
    <x v="11"/>
    <n v="0"/>
    <s v="1001"/>
    <s v="KG"/>
    <s v=""/>
    <s v="1125"/>
    <s v="REL  CNF  DLV  PRC  BASC BCRQ GMPS ILAS*"/>
    <x v="11"/>
    <e v="#N/A"/>
    <e v="#REF!"/>
    <e v="#REF!"/>
    <e v="#REF!"/>
  </r>
  <r>
    <n v="10000001151"/>
    <s v="SLCT173+TBAZ330 SC SULCOTREK 20 200LT ES"/>
    <s v="0000009986"/>
    <d v="2025-11-18T00:00:00"/>
    <s v="1331108"/>
    <s v=""/>
    <n v="7200"/>
    <n v="7200"/>
    <d v="2025-11-10T00:00:00"/>
    <x v="11"/>
    <n v="0"/>
    <s v="1001"/>
    <s v="L"/>
    <s v=""/>
    <s v="1528"/>
    <s v="REL  CNF  DLV  PRC  BASC BCRQ GMPS ILAS*"/>
    <x v="5"/>
    <n v="28"/>
    <e v="#REF!"/>
    <e v="#REF!"/>
    <e v="#REF!"/>
  </r>
  <r>
    <n v="50000000053"/>
    <s v="DELTA DAMASCONE CRUD 1.00 KG"/>
    <s v="0000012779"/>
    <d v="2025-11-16T00:00:00"/>
    <s v="1330401"/>
    <s v=""/>
    <n v="6000"/>
    <n v="6658"/>
    <d v="2025-11-06T00:00:00"/>
    <x v="11"/>
    <n v="0"/>
    <s v="1001"/>
    <s v="KG"/>
    <s v=""/>
    <s v="1141"/>
    <s v="REL  CNF  DLV  PRC  BASC BCRQ GMPS ILAS*"/>
    <x v="0"/>
    <e v="#N/A"/>
    <e v="#REF!"/>
    <e v="#REF!"/>
    <e v="#REF!"/>
  </r>
  <r>
    <n v="50000000091"/>
    <s v="GALIGAN IN TOLUENE ISO"/>
    <s v="0000009626"/>
    <d v="2025-11-15T00:00:00"/>
    <s v="1329725"/>
    <s v=""/>
    <n v="4800"/>
    <n v="5836"/>
    <d v="2025-11-04T00:00:00"/>
    <x v="11"/>
    <n v="0"/>
    <s v="1001"/>
    <s v="KG"/>
    <s v=""/>
    <s v="1125"/>
    <s v="REL  CNF  DLV  PRC  BASC BCRQ GMPS ILAS*"/>
    <x v="11"/>
    <e v="#N/A"/>
    <e v="#REF!"/>
    <e v="#REF!"/>
    <e v="#REF!"/>
  </r>
  <r>
    <n v="30000000076"/>
    <s v="DRON970 TC DIUREX TECH MILLED 550 KG"/>
    <s v="0000151711"/>
    <d v="2025-11-15T00:00:00"/>
    <s v="1330037"/>
    <s v=""/>
    <n v="3300"/>
    <n v="3300"/>
    <d v="2025-11-06T00:00:00"/>
    <x v="11"/>
    <n v="0"/>
    <s v="1001"/>
    <s v="KG"/>
    <s v=""/>
    <s v="1540"/>
    <s v="REL  CNF  DLV  PRC  BASC BCRQ GMPS MACM*"/>
    <x v="18"/>
    <e v="#N/A"/>
    <e v="#REF!"/>
    <e v="#REF!"/>
    <e v="#REF!"/>
  </r>
  <r>
    <n v="20000006541"/>
    <s v="ETFM200PNMP200SC PHEN200+ETHO200GL 1000L"/>
    <s v="0000438740"/>
    <d v="2025-11-14T00:00:00"/>
    <s v="1330936"/>
    <s v=""/>
    <n v="7000"/>
    <n v="8000"/>
    <d v="2025-11-10T00:00:00"/>
    <x v="11"/>
    <n v="8000"/>
    <s v="1001"/>
    <s v="L"/>
    <s v=""/>
    <s v="1528"/>
    <s v="REL  CNF  DLV  PRC  BASC BCRQ GMPS MACM*"/>
    <x v="5"/>
    <n v="28"/>
    <e v="#REF!"/>
    <e v="#REF!"/>
    <e v="#REF!"/>
  </r>
  <r>
    <n v="30000000077"/>
    <s v="DRON970 TC DIUREX TECH MILLED 600 KG"/>
    <s v="0000053702"/>
    <d v="2025-11-14T00:00:00"/>
    <s v="1331600"/>
    <s v=""/>
    <n v="3600"/>
    <n v="3600"/>
    <d v="2025-11-12T00:00:00"/>
    <x v="11"/>
    <n v="0"/>
    <s v="1001"/>
    <s v="KG"/>
    <s v=""/>
    <s v="1540"/>
    <s v="REL  PCNF DLV  PRC  BASC BCRQ GMPS MACM*"/>
    <x v="18"/>
    <e v="#N/A"/>
    <e v="#REF!"/>
    <e v="#REF!"/>
    <e v="#REF!"/>
  </r>
  <r>
    <n v="30000000077"/>
    <s v="DRON970 TC DIUREX TECH MILLED 600 KG"/>
    <s v="0000053703"/>
    <d v="2025-11-14T00:00:00"/>
    <s v="1331601"/>
    <s v=""/>
    <n v="3600"/>
    <n v="3600"/>
    <d v="2025-11-12T00:00:00"/>
    <x v="11"/>
    <n v="0"/>
    <s v="1001"/>
    <s v="KG"/>
    <s v=""/>
    <s v="1540"/>
    <s v="REL  PCNF DLV  PRC  BASC BCRQ GMPS MACM*"/>
    <x v="18"/>
    <e v="#N/A"/>
    <e v="#REF!"/>
    <e v="#REF!"/>
    <e v="#REF!"/>
  </r>
  <r>
    <n v="50000000091"/>
    <s v="GALIGAN IN TOLUENE ISO"/>
    <s v="0000009623"/>
    <d v="2025-11-12T00:00:00"/>
    <s v="1329722"/>
    <s v=""/>
    <n v="4800"/>
    <n v="4716"/>
    <d v="2025-11-04T00:00:00"/>
    <x v="11"/>
    <n v="0"/>
    <s v="1001"/>
    <s v="KG"/>
    <s v=""/>
    <s v="1125"/>
    <s v="REL  CNF  PRC  BASC BCRQ GMPS ILAS MACM*"/>
    <x v="11"/>
    <e v="#N/A"/>
    <e v="#REF!"/>
    <e v="#REF!"/>
    <e v="#REF!"/>
  </r>
  <r>
    <n v="20000000805"/>
    <s v="TBAZ330SLCT173 SC 200L"/>
    <s v="0000009217"/>
    <d v="2025-11-12T00:00:00"/>
    <s v="1330658"/>
    <s v=""/>
    <n v="7200"/>
    <n v="7200"/>
    <d v="2025-11-11T00:00:00"/>
    <x v="11"/>
    <n v="0"/>
    <s v="1001"/>
    <s v="L"/>
    <s v=""/>
    <s v="1528"/>
    <s v="TECO CNF  DLV  PRC  BASC BCRQ GMPS ILAS*"/>
    <x v="5"/>
    <n v="28"/>
    <e v="#REF!"/>
    <e v="#REF!"/>
    <e v="#REF!"/>
  </r>
  <r>
    <n v="20000000805"/>
    <s v="TBAZ330SLCT173 SC 200L"/>
    <s v="0000009218"/>
    <d v="2025-11-12T00:00:00"/>
    <s v="1330659"/>
    <s v=""/>
    <n v="7200"/>
    <n v="6400"/>
    <d v="2025-11-11T00:00:00"/>
    <x v="11"/>
    <n v="0"/>
    <s v="1001"/>
    <s v="L"/>
    <s v=""/>
    <s v="1528"/>
    <s v="REL  PCNF PRC  BASC BCRQ GMPS ILAS MACM*"/>
    <x v="5"/>
    <n v="28"/>
    <e v="#REF!"/>
    <e v="#REF!"/>
    <e v="#REF!"/>
  </r>
  <r>
    <n v="30000000077"/>
    <s v="DRON970 TC DIUREX TECH MILLED 600 KG"/>
    <s v="0000053695"/>
    <d v="2025-11-10T00:00:00"/>
    <s v="1330031"/>
    <s v=""/>
    <n v="3600"/>
    <n v="3600"/>
    <d v="2025-11-10T00:00:00"/>
    <x v="11"/>
    <n v="3600"/>
    <s v="1001"/>
    <s v="KG"/>
    <s v=""/>
    <s v="1540"/>
    <s v="REL  CNF  DLV  PRC  BASC BCRQ GMPS MACM*"/>
    <x v="18"/>
    <e v="#N/A"/>
    <e v="#REF!"/>
    <e v="#REF!"/>
    <e v="#REF!"/>
  </r>
  <r>
    <n v="30000000077"/>
    <s v="DRON970 TC DIUREX TECH MILLED 600 KG"/>
    <s v="0000053696"/>
    <d v="2025-11-10T00:00:00"/>
    <s v="1330032"/>
    <s v=""/>
    <n v="3600"/>
    <n v="3600"/>
    <d v="2025-11-10T00:00:00"/>
    <x v="11"/>
    <n v="3600"/>
    <s v="1001"/>
    <s v="KG"/>
    <s v=""/>
    <s v="1540"/>
    <s v="REL  CNF  DLV  PRC  BASC BCRQ GMPS MACM*"/>
    <x v="18"/>
    <e v="#N/A"/>
    <e v="#REF!"/>
    <e v="#REF!"/>
    <e v="#REF!"/>
  </r>
  <r>
    <n v="30000000077"/>
    <s v="DRON970 TC DIUREX TECH MILLED 600 KG"/>
    <s v="0000053697"/>
    <d v="2025-11-10T00:00:00"/>
    <s v="1330033"/>
    <s v=""/>
    <n v="3600"/>
    <n v="3600"/>
    <d v="2025-11-11T00:00:00"/>
    <x v="11"/>
    <n v="3600"/>
    <s v="1001"/>
    <s v="KG"/>
    <s v=""/>
    <s v="1540"/>
    <s v="REL  CNF  DLV  PRC  BASC BCRQ GMPS MACM*"/>
    <x v="18"/>
    <e v="#N/A"/>
    <e v="#REF!"/>
    <e v="#REF!"/>
    <e v="#REF!"/>
  </r>
  <r>
    <n v="30000000077"/>
    <s v="DRON970 TC DIUREX TECH MILLED 600 KG"/>
    <s v="0000053698"/>
    <d v="2025-11-10T00:00:00"/>
    <s v="1330034"/>
    <s v=""/>
    <n v="3600"/>
    <n v="3600"/>
    <d v="2025-11-11T00:00:00"/>
    <x v="11"/>
    <n v="3600"/>
    <s v="1001"/>
    <s v="KG"/>
    <s v=""/>
    <s v="1540"/>
    <s v="REL  CNF  DLV  PRC  BASC BCRQ GMPS MACM*"/>
    <x v="18"/>
    <e v="#N/A"/>
    <e v="#REF!"/>
    <e v="#REF!"/>
    <e v="#REF!"/>
  </r>
  <r>
    <n v="30000000077"/>
    <s v="DRON970 TC DIUREX TECH MILLED 600 KG"/>
    <s v="0000053699"/>
    <d v="2025-11-10T00:00:00"/>
    <s v="1330035"/>
    <s v=""/>
    <n v="3600"/>
    <n v="3600"/>
    <d v="2025-11-11T00:00:00"/>
    <x v="11"/>
    <n v="3600"/>
    <s v="1001"/>
    <s v="KG"/>
    <s v=""/>
    <s v="1540"/>
    <s v="REL  CNF  DLV  PRC  BASC BCRQ GMPS MACM*"/>
    <x v="18"/>
    <e v="#N/A"/>
    <e v="#REF!"/>
    <e v="#REF!"/>
    <e v="#REF!"/>
  </r>
  <r>
    <n v="50000000056"/>
    <s v="DELTA DAMASCON FLASH 1.00 KG"/>
    <s v="0000010326"/>
    <d v="2025-11-10T00:00:00"/>
    <s v="1330391"/>
    <s v=""/>
    <n v="1600"/>
    <n v="2954"/>
    <d v="2025-11-06T00:00:00"/>
    <x v="11"/>
    <n v="0"/>
    <s v="1001"/>
    <s v="KG"/>
    <s v=""/>
    <s v="1141"/>
    <s v="REL  CNF  DLV  PRC  BASC BCRQ GMPS ILAS*"/>
    <x v="0"/>
    <e v="#N/A"/>
    <e v="#REF!"/>
    <e v="#REF!"/>
    <e v="#REF!"/>
  </r>
  <r>
    <n v="10000001109"/>
    <s v="QZLF50 EC Leopard 5 EC 5/1 5LT HU"/>
    <s v="0000003319"/>
    <d v="2025-11-09T00:00:00"/>
    <s v="1327487"/>
    <s v="211016309"/>
    <n v="12000"/>
    <n v="12000"/>
    <d v="2025-11-08T00:00:00"/>
    <x v="11"/>
    <n v="0"/>
    <s v="1001"/>
    <s v="L"/>
    <s v=""/>
    <s v="1543"/>
    <s v="REL  DLV  PRC  BASC BCRQ GMPS MANC ORRQ*"/>
    <x v="12"/>
    <s v="5 lIter"/>
    <e v="#REF!"/>
    <e v="#REF!"/>
    <e v="#REF!"/>
  </r>
  <r>
    <n v="10000001109"/>
    <s v="QZLF50 EC Leopard 5 EC 5/1 5LT HU"/>
    <s v="0000003320"/>
    <d v="2025-11-09T00:00:00"/>
    <s v="1327488"/>
    <s v="211016309"/>
    <n v="12000"/>
    <n v="12000"/>
    <d v="2025-11-08T00:00:00"/>
    <x v="11"/>
    <n v="0"/>
    <s v="1001"/>
    <s v="L"/>
    <s v=""/>
    <s v="1543"/>
    <s v="REL  DLV  PRC  BASC BCRQ GMPS MACM ORRQ*"/>
    <x v="12"/>
    <s v="5 lIter"/>
    <e v="#REF!"/>
    <e v="#REF!"/>
    <e v="#REF!"/>
  </r>
  <r>
    <n v="10000001109"/>
    <s v="QZLF50 EC Leopard 5 EC 5/1 5LT HU"/>
    <s v="0000003321"/>
    <d v="2025-11-09T00:00:00"/>
    <s v="1327489"/>
    <s v="211016309"/>
    <n v="12000"/>
    <n v="12000"/>
    <d v="2025-11-08T00:00:00"/>
    <x v="11"/>
    <n v="0"/>
    <s v="1001"/>
    <s v="L"/>
    <s v=""/>
    <s v="1543"/>
    <s v="REL  DLV  PRC  BASC BCRQ GMPS MANC ORRQ*"/>
    <x v="12"/>
    <s v="5 lIter"/>
    <e v="#REF!"/>
    <e v="#REF!"/>
    <e v="#REF!"/>
  </r>
  <r>
    <n v="10000001109"/>
    <s v="QZLF50 EC Leopard 5 EC 5/1 5LT HU"/>
    <s v="0000003322"/>
    <d v="2025-11-09T00:00:00"/>
    <s v="1327490"/>
    <s v="211016309"/>
    <n v="6000"/>
    <n v="6000"/>
    <d v="2025-11-08T00:00:00"/>
    <x v="11"/>
    <n v="0"/>
    <s v="1001"/>
    <s v="L"/>
    <s v=""/>
    <s v="1543"/>
    <s v="REL  DLV  PRC  BASC BCRQ GMPS MANC ORRQ*"/>
    <x v="12"/>
    <s v="5 lIter"/>
    <e v="#REF!"/>
    <e v="#REF!"/>
    <e v="#REF!"/>
  </r>
  <r>
    <n v="30000000071"/>
    <s v="DRON970 TC DIURON TECH Paint In 500KG IN"/>
    <s v="0000051246"/>
    <d v="2025-11-09T00:00:00"/>
    <s v="1330040"/>
    <s v=""/>
    <n v="3000"/>
    <n v="3000"/>
    <d v="2025-11-10T00:00:00"/>
    <x v="11"/>
    <n v="3000"/>
    <s v="1001"/>
    <s v="KG"/>
    <s v=""/>
    <s v="1540"/>
    <s v="REL  CNF  DLV  PRC  BASC BCRQ GMPS MACM*"/>
    <x v="18"/>
    <e v="#N/A"/>
    <e v="#REF!"/>
    <e v="#REF!"/>
    <e v="#REF!"/>
  </r>
  <r>
    <n v="30000000071"/>
    <s v="DRON970 TC DIURON TECH Paint In 500KG IN"/>
    <s v="0000051247"/>
    <d v="2025-11-09T00:00:00"/>
    <s v="1330041"/>
    <s v=""/>
    <n v="3000"/>
    <n v="3000"/>
    <d v="2025-11-11T00:00:00"/>
    <x v="11"/>
    <n v="3000"/>
    <s v="1001"/>
    <s v="KG"/>
    <s v=""/>
    <s v="1540"/>
    <s v="REL  CNF  DLV  PRC  BASC BCRQ GMPS MACM*"/>
    <x v="18"/>
    <e v="#N/A"/>
    <e v="#REF!"/>
    <e v="#REF!"/>
    <e v="#REF!"/>
  </r>
  <r>
    <n v="30000000071"/>
    <s v="DRON970 TC DIURON TECH Paint In 500KG IN"/>
    <s v="0000051248"/>
    <d v="2025-11-09T00:00:00"/>
    <s v="1330042"/>
    <s v=""/>
    <n v="3000"/>
    <n v="3000"/>
    <d v="2025-11-11T00:00:00"/>
    <x v="11"/>
    <n v="3000"/>
    <s v="1001"/>
    <s v="KG"/>
    <s v=""/>
    <s v="1540"/>
    <s v="REL  CNF  DLV  PRC  BASC BCRQ GMPS MACM*"/>
    <x v="18"/>
    <e v="#N/A"/>
    <e v="#REF!"/>
    <e v="#REF!"/>
    <e v="#REF!"/>
  </r>
  <r>
    <n v="50000000080"/>
    <s v="NANA 1.00 KG"/>
    <s v="0000136144"/>
    <d v="2025-11-09T00:00:00"/>
    <s v="1330412"/>
    <s v=""/>
    <n v="3900"/>
    <n v="4297"/>
    <d v="2025-11-10T00:00:00"/>
    <x v="11"/>
    <n v="0"/>
    <s v="1001"/>
    <s v="KG"/>
    <s v=""/>
    <s v="1141"/>
    <s v="REL  CNF  DLV  PRC  BASC BCRQ GMPS ILAS*"/>
    <x v="7"/>
    <e v="#N/A"/>
    <e v="#REF!"/>
    <e v="#REF!"/>
    <e v="#REF!"/>
  </r>
  <r>
    <n v="50000000080"/>
    <s v="NANA 1.00 KG"/>
    <s v="0000136145"/>
    <d v="2025-11-09T00:00:00"/>
    <s v="1330413"/>
    <s v=""/>
    <n v="3900"/>
    <n v="3877"/>
    <d v="2025-11-10T00:00:00"/>
    <x v="11"/>
    <n v="0"/>
    <s v="1001"/>
    <s v="KG"/>
    <s v=""/>
    <s v="1141"/>
    <s v="REL  CNF  PRC  BASC BCRQ GMPS ILAS MACM*"/>
    <x v="7"/>
    <e v="#N/A"/>
    <e v="#REF!"/>
    <e v="#REF!"/>
    <e v="#REF!"/>
  </r>
  <r>
    <n v="20000000387"/>
    <s v="FRXP100FLSL3 SE 1000L"/>
    <s v="0000000430"/>
    <d v="2025-11-07T00:00:00"/>
    <s v="1328522"/>
    <s v=""/>
    <n v="7000"/>
    <n v="7000"/>
    <d v="2025-11-12T00:00:00"/>
    <x v="11"/>
    <n v="0"/>
    <s v="1001"/>
    <s v="L"/>
    <s v=""/>
    <s v="1524"/>
    <s v="REL  PCNF DLV  PRC  BASC BCRQ GMPS MANC*"/>
    <x v="3"/>
    <s v="24F"/>
    <e v="#REF!"/>
    <e v="#REF!"/>
    <e v="#REF!"/>
  </r>
  <r>
    <n v="20000000609"/>
    <s v="MTMN525QNMC40 SC MTM 525+QUIN 40 1000 L"/>
    <s v="0000000934"/>
    <d v="2025-11-07T00:00:00"/>
    <s v="1330525"/>
    <s v=""/>
    <n v="7000"/>
    <n v="7000"/>
    <d v="2025-11-10T00:00:00"/>
    <x v="11"/>
    <n v="0"/>
    <s v="1001"/>
    <s v="L"/>
    <s v=""/>
    <s v="1528"/>
    <s v="TECO CNF  DLV  PRC  BASC BCRQ GMPS MACM*"/>
    <x v="5"/>
    <e v="#N/A"/>
    <e v="#REF!"/>
    <e v="#REF!"/>
    <e v="#REF!"/>
  </r>
  <r>
    <n v="20000000609"/>
    <s v="MTMN525QNMC40 SC MTM 525+QUIN 40 1000 L"/>
    <s v="0000000935"/>
    <d v="2025-11-07T00:00:00"/>
    <s v="1330526"/>
    <s v=""/>
    <n v="7000"/>
    <n v="7000"/>
    <d v="2025-11-11T00:00:00"/>
    <x v="11"/>
    <n v="0"/>
    <s v="1001"/>
    <s v="L"/>
    <s v=""/>
    <s v="1528"/>
    <s v="REL  CNF  DLV  PRC  BASC BCRQ GMPS MACM*"/>
    <x v="5"/>
    <e v="#N/A"/>
    <e v="#REF!"/>
    <e v="#REF!"/>
    <e v="#REF!"/>
  </r>
  <r>
    <n v="10000012415"/>
    <s v="MSL12+PND60+MFP35 OD MEZAYO 5LT IT"/>
    <s v="0000000101"/>
    <d v="2025-11-06T00:00:00"/>
    <s v="1327911"/>
    <s v="211016507"/>
    <n v="6000"/>
    <n v="6000"/>
    <d v="2025-11-06T00:00:00"/>
    <x v="11"/>
    <n v="6000"/>
    <s v="1001"/>
    <s v="L"/>
    <s v=""/>
    <s v="1542"/>
    <s v="REL  PRT  CNF  DLV  PRC  BASC BCRQ GMPS*"/>
    <x v="12"/>
    <s v="24P"/>
    <e v="#REF!"/>
    <e v="#REF!"/>
    <e v="#REF!"/>
  </r>
  <r>
    <n v="30000000108"/>
    <s v="CLTN950 TC TOLUREX TECH MILLED 200 KG"/>
    <s v="0000015844"/>
    <d v="2025-11-06T00:00:00"/>
    <s v="1330451"/>
    <s v=""/>
    <n v="1200"/>
    <n v="1200"/>
    <d v="2025-11-12T00:00:00"/>
    <x v="11"/>
    <n v="0"/>
    <s v="1001"/>
    <s v="KG"/>
    <s v=""/>
    <s v="1540"/>
    <s v="REL  CNF  DLV  PRC  BASC BCRQ GMPS ILAS*"/>
    <x v="28"/>
    <e v="#N/A"/>
    <e v="#REF!"/>
    <e v="#REF!"/>
    <e v="#REF!"/>
  </r>
  <r>
    <n v="30000000108"/>
    <s v="CLTN950 TC TOLUREX TECH MILLED 200 KG"/>
    <s v="0000015845"/>
    <d v="2025-11-06T00:00:00"/>
    <s v="1330452"/>
    <s v=""/>
    <n v="1200"/>
    <n v="1200"/>
    <d v="2025-11-12T00:00:00"/>
    <x v="11"/>
    <n v="0"/>
    <s v="1001"/>
    <s v="KG"/>
    <s v=""/>
    <s v="1540"/>
    <s v="REL  CNF  DLV  PRC  BASC BCRQ GMPS ILAS*"/>
    <x v="28"/>
    <e v="#N/A"/>
    <e v="#REF!"/>
    <e v="#REF!"/>
    <e v="#REF!"/>
  </r>
  <r>
    <n v="30000000108"/>
    <s v="CLTN950 TC TOLUREX TECH MILLED 200 KG"/>
    <s v="0000015848"/>
    <d v="2025-11-06T00:00:00"/>
    <s v="1330455"/>
    <s v=""/>
    <n v="1200"/>
    <n v="1200"/>
    <d v="2025-11-12T00:00:00"/>
    <x v="11"/>
    <n v="0"/>
    <s v="1001"/>
    <s v="KG"/>
    <s v=""/>
    <s v="1540"/>
    <s v="REL  DLV  PRC  BASC BCRQ GMPS ILAS MACM*"/>
    <x v="28"/>
    <e v="#N/A"/>
    <e v="#REF!"/>
    <e v="#REF!"/>
    <e v="#REF!"/>
  </r>
  <r>
    <n v="30000000108"/>
    <s v="CLTN950 TC TOLUREX TECH MILLED 200 KG"/>
    <s v="0000015849"/>
    <d v="2025-11-06T00:00:00"/>
    <s v="1330456"/>
    <s v=""/>
    <n v="1200"/>
    <n v="1200"/>
    <d v="2025-11-12T00:00:00"/>
    <x v="11"/>
    <n v="0"/>
    <s v="1001"/>
    <s v="KG"/>
    <s v=""/>
    <s v="1540"/>
    <s v="REL  PCNF DLV  PRC  BASC BCRQ GMPS ILAS*"/>
    <x v="28"/>
    <e v="#N/A"/>
    <e v="#REF!"/>
    <e v="#REF!"/>
    <e v="#REF!"/>
  </r>
  <r>
    <n v="20000000320"/>
    <s v="DRON800 WG DIUREX 80 WG 500 KG"/>
    <s v="0000004734"/>
    <d v="2025-11-05T00:00:00"/>
    <s v="1330143"/>
    <s v=""/>
    <n v="3000"/>
    <n v="3000"/>
    <d v="2025-11-11T00:00:00"/>
    <x v="11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35"/>
    <d v="2025-11-05T00:00:00"/>
    <s v="1330144"/>
    <s v=""/>
    <n v="3000"/>
    <n v="3000"/>
    <d v="2025-11-11T00:00:00"/>
    <x v="11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36"/>
    <d v="2025-11-05T00:00:00"/>
    <s v="1330145"/>
    <s v=""/>
    <n v="3000"/>
    <n v="3000"/>
    <d v="2025-11-12T00:00:00"/>
    <x v="11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37"/>
    <d v="2025-11-05T00:00:00"/>
    <s v="1330146"/>
    <s v=""/>
    <n v="3000"/>
    <n v="3000"/>
    <d v="2025-11-12T00:00:00"/>
    <x v="11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38"/>
    <d v="2025-11-05T00:00:00"/>
    <s v="1330147"/>
    <s v=""/>
    <n v="3000"/>
    <n v="3000"/>
    <d v="2025-11-12T00:00:00"/>
    <x v="11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39"/>
    <d v="2025-11-05T00:00:00"/>
    <s v="1330148"/>
    <s v=""/>
    <n v="3000"/>
    <n v="3000"/>
    <d v="2025-11-12T00:00:00"/>
    <x v="11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40"/>
    <d v="2025-11-05T00:00:00"/>
    <s v="1330149"/>
    <s v=""/>
    <n v="3000"/>
    <n v="3000"/>
    <d v="2025-11-12T00:00:00"/>
    <x v="11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41"/>
    <d v="2025-11-05T00:00:00"/>
    <s v="1330150"/>
    <s v=""/>
    <n v="3000"/>
    <n v="3000"/>
    <d v="2025-11-12T00:00:00"/>
    <x v="11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42"/>
    <d v="2025-11-05T00:00:00"/>
    <s v="1330151"/>
    <s v=""/>
    <n v="3000"/>
    <n v="3000"/>
    <d v="2025-11-12T00:00:00"/>
    <x v="11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43"/>
    <d v="2025-11-05T00:00:00"/>
    <s v="1330152"/>
    <s v=""/>
    <n v="3000"/>
    <n v="3000"/>
    <d v="2025-11-12T00:00:00"/>
    <x v="11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44"/>
    <d v="2025-11-05T00:00:00"/>
    <s v="1330153"/>
    <s v=""/>
    <n v="3000"/>
    <n v="3000"/>
    <d v="2025-11-12T00:00:00"/>
    <x v="11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45"/>
    <d v="2025-11-05T00:00:00"/>
    <s v="1330154"/>
    <s v=""/>
    <n v="3000"/>
    <n v="3000"/>
    <d v="2025-11-12T00:00:00"/>
    <x v="11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46"/>
    <d v="2025-11-05T00:00:00"/>
    <s v="1330155"/>
    <s v=""/>
    <n v="3000"/>
    <n v="3000"/>
    <d v="2025-11-12T00:00:00"/>
    <x v="11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47"/>
    <d v="2025-11-05T00:00:00"/>
    <s v="1330156"/>
    <s v=""/>
    <n v="3000"/>
    <n v="3000"/>
    <d v="2025-11-12T00:00:00"/>
    <x v="11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48"/>
    <d v="2025-11-05T00:00:00"/>
    <s v="1330157"/>
    <s v=""/>
    <n v="3000"/>
    <n v="3000"/>
    <d v="2025-11-12T00:00:00"/>
    <x v="11"/>
    <n v="0"/>
    <s v="1001"/>
    <s v="KG"/>
    <s v=""/>
    <s v="1519"/>
    <s v="REL  CNF  DLV  PRC  BASC BCRQ GMPS ILAS*"/>
    <x v="8"/>
    <n v="19"/>
    <e v="#REF!"/>
    <e v="#REF!"/>
    <e v="#REF!"/>
  </r>
  <r>
    <n v="30000000101"/>
    <s v="OXFF970 TC GALIGAN TECH 97% 15 KG"/>
    <s v="0000005600"/>
    <d v="2025-11-05T00:00:00"/>
    <s v="1330210"/>
    <s v=""/>
    <n v="1800"/>
    <n v="1215"/>
    <d v="2025-11-11T00:00:00"/>
    <x v="11"/>
    <n v="0"/>
    <s v="1001"/>
    <s v="KG"/>
    <s v=""/>
    <s v="1540"/>
    <s v="REL  PRC  BASC BCRQ GMPS ILAS MACM ORRQ*"/>
    <x v="29"/>
    <e v="#N/A"/>
    <e v="#REF!"/>
    <e v="#REF!"/>
    <e v="#REF!"/>
  </r>
  <r>
    <n v="30000000099"/>
    <s v="OXFF970 TC GALIGAN TECH 97% CRD  1000KG"/>
    <s v="0000002883"/>
    <d v="2025-11-04T00:00:00"/>
    <s v="1327101"/>
    <s v=""/>
    <n v="1650"/>
    <n v="1650"/>
    <d v="2025-10-27T00:00:00"/>
    <x v="11"/>
    <n v="0"/>
    <s v="1001"/>
    <s v="KG"/>
    <s v=""/>
    <s v="1125"/>
    <s v="REL  CNF  DLV  PRC  BASC BCRQ GMPS ILAS*"/>
    <x v="16"/>
    <e v="#N/A"/>
    <e v="#REF!"/>
    <e v="#REF!"/>
    <e v="#REF!"/>
  </r>
  <r>
    <n v="50000000108"/>
    <s v="PROPAQUIZAFOP PRMX25 1000 KG"/>
    <s v="0000003514"/>
    <d v="2025-11-04T00:00:00"/>
    <s v="1329744"/>
    <s v=""/>
    <n v="8000"/>
    <n v="8000"/>
    <d v="2025-11-04T00:00:00"/>
    <x v="11"/>
    <n v="0"/>
    <s v="1001"/>
    <s v="KG"/>
    <s v=""/>
    <s v="1525"/>
    <s v="REL  CNF  DLV  PRC  BASC BCRQ GMPS ILAS*"/>
    <x v="19"/>
    <e v="#N/A"/>
    <e v="#REF!"/>
    <e v="#REF!"/>
    <e v="#REF!"/>
  </r>
  <r>
    <n v="50000000108"/>
    <s v="PROPAQUIZAFOP PRMX25 1000 KG"/>
    <s v="0000003517"/>
    <d v="2025-11-04T00:00:00"/>
    <s v="1329747"/>
    <s v=""/>
    <n v="8000"/>
    <n v="7000"/>
    <d v="2025-11-04T00:00:00"/>
    <x v="11"/>
    <n v="0"/>
    <s v="1001"/>
    <s v="KG"/>
    <s v=""/>
    <s v="1525"/>
    <s v="REL  CNF  PRC  BASC BCRQ GMPS ILAS MACM*"/>
    <x v="19"/>
    <e v="#N/A"/>
    <e v="#REF!"/>
    <e v="#REF!"/>
    <e v="#REF!"/>
  </r>
  <r>
    <n v="20000000367"/>
    <s v="FCDN250 EC FLURCHLRDN 25 EC UKR 200 L"/>
    <s v="0000008419"/>
    <d v="2025-11-04T00:00:00"/>
    <s v="1329808"/>
    <s v=""/>
    <n v="8000"/>
    <n v="8360"/>
    <d v="2025-11-10T00:00:00"/>
    <x v="11"/>
    <n v="8000"/>
    <s v="1001"/>
    <s v="L"/>
    <s v=""/>
    <s v="1523"/>
    <s v="REL  CNF  DLV  PRC  BASC BCRQ GMPS MACM*"/>
    <x v="4"/>
    <n v="23"/>
    <e v="#REF!"/>
    <e v="#REF!"/>
    <e v="#REF!"/>
  </r>
  <r>
    <n v="20000000367"/>
    <s v="FCDN250 EC FLURCHLRDN 25 EC UKR 200 L"/>
    <s v="0000008420"/>
    <d v="2025-11-04T00:00:00"/>
    <s v="1329809"/>
    <s v=""/>
    <n v="7600"/>
    <n v="7600"/>
    <d v="2025-11-11T00:00:00"/>
    <x v="11"/>
    <n v="7600"/>
    <s v="1001"/>
    <s v="L"/>
    <s v=""/>
    <s v="1523"/>
    <s v="REL  CNF  DLV  PRC  BASC BCRQ GMPS MANC*"/>
    <x v="4"/>
    <n v="23"/>
    <e v="#REF!"/>
    <e v="#REF!"/>
    <e v="#REF!"/>
  </r>
  <r>
    <n v="10000000986"/>
    <s v="OXFF240 EC GALIGAN EC 240 SSS 20LT CO"/>
    <s v="0000009267"/>
    <d v="2025-11-01T00:00:00"/>
    <s v="1325507"/>
    <s v="211016005"/>
    <n v="12800"/>
    <n v="12800"/>
    <d v="2025-11-04T00:00:00"/>
    <x v="11"/>
    <n v="12800"/>
    <s v="1001"/>
    <s v="L"/>
    <s v=""/>
    <s v="1542"/>
    <s v="REL  MSPT PRT  CNF  DLV  PRC  BASC BCRQ*"/>
    <x v="30"/>
    <e v="#N/A"/>
    <e v="#REF!"/>
    <e v="#REF!"/>
    <e v="#REF!"/>
  </r>
  <r>
    <n v="30000000099"/>
    <s v="OXFF970 TC GALIGAN TECH 97% CRD  1000KG"/>
    <s v="0000002882"/>
    <d v="2025-11-01T00:00:00"/>
    <s v="1327100"/>
    <s v=""/>
    <n v="1650"/>
    <n v="1650"/>
    <d v="2025-10-27T00:00:00"/>
    <x v="11"/>
    <n v="0"/>
    <s v="1001"/>
    <s v="KG"/>
    <s v=""/>
    <s v="1125"/>
    <s v="REL  CNF  DLV  PRC  BASC BCRQ GMPS ILAS*"/>
    <x v="16"/>
    <e v="#N/A"/>
    <e v="#REF!"/>
    <e v="#REF!"/>
    <e v="#REF!"/>
  </r>
  <r>
    <n v="20000000722"/>
    <s v="PNDM400 CS PENDIMETHALINE 400CS 200 L"/>
    <s v="0000069447"/>
    <d v="2025-11-01T00:00:00"/>
    <s v="1327405"/>
    <s v=""/>
    <n v="3600"/>
    <n v="4000"/>
    <d v="2025-10-30T00:00:00"/>
    <x v="11"/>
    <n v="4000"/>
    <s v="1001"/>
    <s v="L"/>
    <s v=""/>
    <s v="1525"/>
    <s v="REL  CNF  DLV  PRC  BASC BCRQ GMPS MACM*"/>
    <x v="2"/>
    <e v="#N/A"/>
    <e v="#REF!"/>
    <e v="#REF!"/>
    <e v="#REF!"/>
  </r>
  <r>
    <n v="10000009747"/>
    <s v="BR20FR80+MCPA20EC FORCFIGHT ALL1000LT CA"/>
    <s v="0000000194"/>
    <d v="2025-11-01T00:00:00"/>
    <s v="1330758"/>
    <s v=""/>
    <n v="9000"/>
    <n v="9000"/>
    <d v="2025-11-11T00:00:00"/>
    <x v="11"/>
    <n v="9000"/>
    <s v="1001"/>
    <s v="L"/>
    <s v=""/>
    <s v="1523"/>
    <s v="REL  CNF  DLV  PRC  BASC BCRQ GMPS MANC*"/>
    <x v="4"/>
    <n v="23"/>
    <e v="#REF!"/>
    <e v="#REF!"/>
    <e v="#REF!"/>
  </r>
  <r>
    <n v="10000009747"/>
    <s v="BR20FR80+MCPA20EC FORCFIGHT ALL1000LT CA"/>
    <s v="0000000195"/>
    <d v="2025-11-01T00:00:00"/>
    <s v="1330759"/>
    <s v=""/>
    <n v="10000"/>
    <n v="10000"/>
    <d v="2025-11-12T00:00:00"/>
    <x v="11"/>
    <n v="10000"/>
    <s v="1001"/>
    <s v="L"/>
    <s v=""/>
    <s v="1523"/>
    <s v="REL  CNF  DLV  PRC  BASC BCRQ GMPS MANC*"/>
    <x v="4"/>
    <n v="23"/>
    <e v="#REF!"/>
    <e v="#REF!"/>
    <e v="#REF!"/>
  </r>
  <r>
    <n v="30000000076"/>
    <s v="DRON970 TC DIUREX TECH MILLED 550 KG"/>
    <s v="0000151710"/>
    <d v="2025-10-28T00:00:00"/>
    <s v="1326768"/>
    <s v=""/>
    <n v="3300"/>
    <n v="3300"/>
    <d v="2025-11-06T00:00:00"/>
    <x v="11"/>
    <n v="0"/>
    <s v="1001"/>
    <s v="KG"/>
    <s v=""/>
    <s v="1540"/>
    <s v="REL  CNF  DLV  PRC  BASC BCRQ GMPS MANC*"/>
    <x v="18"/>
    <e v="#N/A"/>
    <e v="#REF!"/>
    <e v="#REF!"/>
    <e v="#REF!"/>
  </r>
  <r>
    <n v="10000000401"/>
    <s v="DRON540+HZNN67 WG JUMP 5KG BRASIL 5KG BR"/>
    <s v="0000016404"/>
    <d v="2025-10-01T00:00:00"/>
    <s v="1326805"/>
    <s v=""/>
    <n v="2880"/>
    <n v="2880"/>
    <d v="2025-11-09T00:00:00"/>
    <x v="11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413"/>
    <d v="2025-10-01T00:00:00"/>
    <s v="1326814"/>
    <s v=""/>
    <n v="2880"/>
    <n v="2880"/>
    <d v="2025-11-11T00:00:00"/>
    <x v="11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414"/>
    <d v="2025-10-01T00:00:00"/>
    <s v="1326815"/>
    <s v=""/>
    <n v="2880"/>
    <n v="2880"/>
    <d v="2025-11-11T00:00:00"/>
    <x v="11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415"/>
    <d v="2025-10-01T00:00:00"/>
    <s v="1326816"/>
    <s v=""/>
    <n v="2880"/>
    <n v="2880"/>
    <d v="2025-11-11T00:00:00"/>
    <x v="11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416"/>
    <d v="2025-10-01T00:00:00"/>
    <s v="1326817"/>
    <s v=""/>
    <n v="2880"/>
    <n v="2880"/>
    <d v="2025-11-11T00:00:00"/>
    <x v="11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417"/>
    <d v="2025-10-01T00:00:00"/>
    <s v="1326818"/>
    <s v=""/>
    <n v="2880"/>
    <n v="2880"/>
    <d v="2025-11-11T00:00:00"/>
    <x v="11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418"/>
    <d v="2025-10-01T00:00:00"/>
    <s v="1326819"/>
    <s v=""/>
    <n v="2880"/>
    <n v="2400"/>
    <d v="2025-11-11T00:00:00"/>
    <x v="11"/>
    <n v="0"/>
    <s v="1001"/>
    <s v="KG"/>
    <s v=""/>
    <s v="1519"/>
    <s v="REL  CNF  PRC  BASC BCRQ GMPS ILAS MANC*"/>
    <x v="8"/>
    <s v="19P"/>
    <e v="#REF!"/>
    <e v="#REF!"/>
    <e v="#REF!"/>
  </r>
  <r>
    <n v="10000000401"/>
    <s v="DRON540+HZNN67 WG JUMP 5KG BRASIL 5KG BR"/>
    <s v="0000016419"/>
    <d v="2025-10-01T00:00:00"/>
    <s v="1326820"/>
    <s v=""/>
    <n v="2880"/>
    <n v="2880"/>
    <d v="2025-11-11T00:00:00"/>
    <x v="11"/>
    <n v="0"/>
    <s v="1001"/>
    <s v="KG"/>
    <s v=""/>
    <s v="1519"/>
    <s v="REL  PCNF DLV  PRC  BASC BCRQ GMPS ILAS*"/>
    <x v="8"/>
    <s v="19P"/>
    <e v="#REF!"/>
    <e v="#REF!"/>
    <e v="#REF!"/>
  </r>
  <r>
    <n v="10000000401"/>
    <s v="DRON540+HZNN67 WG JUMP 5KG BRASIL 5KG BR"/>
    <s v="0000016420"/>
    <d v="2025-10-01T00:00:00"/>
    <s v="1326821"/>
    <s v=""/>
    <n v="2880"/>
    <n v="2880"/>
    <d v="2025-11-11T00:00:00"/>
    <x v="11"/>
    <n v="0"/>
    <s v="1001"/>
    <s v="KG"/>
    <s v=""/>
    <s v="1519"/>
    <s v="REL  DLV  PRC  BASC BCRQ GMPS ILAS MANC*"/>
    <x v="8"/>
    <s v="19P"/>
    <e v="#REF!"/>
    <e v="#REF!"/>
    <e v="#REF!"/>
  </r>
  <r>
    <n v="10000000401"/>
    <s v="DRON540+HZNN67 WG JUMP 5KG BRASIL 5KG BR"/>
    <s v="0000016421"/>
    <d v="2025-10-01T00:00:00"/>
    <s v="1326822"/>
    <s v=""/>
    <n v="2880"/>
    <n v="2880"/>
    <d v="2025-11-12T00:00:00"/>
    <x v="11"/>
    <n v="0"/>
    <s v="1001"/>
    <s v="KG"/>
    <s v=""/>
    <s v="1519"/>
    <s v="REL  CNF  DLV  PRC  BASC BCRQ GMPS ILAS*"/>
    <x v="8"/>
    <s v="19P"/>
    <e v="#REF!"/>
    <e v="#REF!"/>
    <e v="#REF!"/>
  </r>
  <r>
    <n v="10000000400"/>
    <s v="DRON800 WG KARMEX 80WG 15KG JP"/>
    <s v="0000000959"/>
    <d v="2025-11-27T00:00:00"/>
    <s v="1330225"/>
    <s v=""/>
    <n v="5250"/>
    <n v="5250"/>
    <d v="2025-11-12T00:00:00"/>
    <x v="12"/>
    <n v="0"/>
    <s v="1001"/>
    <s v="KG"/>
    <s v=""/>
    <s v="1519"/>
    <s v="REL  CNF  DLV  PRC  BASC BCRQ GMPS MACM*"/>
    <x v="8"/>
    <n v="19"/>
    <e v="#REF!"/>
    <e v="#REF!"/>
    <e v="#REF!"/>
  </r>
  <r>
    <n v="10000000400"/>
    <s v="DRON800 WG KARMEX 80WG 15KG JP"/>
    <s v="0000000960"/>
    <d v="2025-11-27T00:00:00"/>
    <s v="1330226"/>
    <s v=""/>
    <n v="5250"/>
    <n v="5250"/>
    <d v="2025-11-12T00:00:00"/>
    <x v="12"/>
    <n v="0"/>
    <s v="1001"/>
    <s v="KG"/>
    <s v=""/>
    <s v="1519"/>
    <s v="REL  CNF  DLV  PRC  BASC BCRQ GMPS MACM*"/>
    <x v="8"/>
    <n v="19"/>
    <e v="#REF!"/>
    <e v="#REF!"/>
    <e v="#REF!"/>
  </r>
  <r>
    <n v="10000001406"/>
    <s v="CLTD120 EC ARROW-ALL-IN 1000LT 1000LT CA"/>
    <s v="0000000884"/>
    <d v="2025-11-26T00:00:00"/>
    <s v="1327817"/>
    <s v=""/>
    <n v="12000"/>
    <n v="12000"/>
    <d v="2025-11-05T00:00:00"/>
    <x v="12"/>
    <n v="12000"/>
    <s v="1001"/>
    <s v="L"/>
    <s v=""/>
    <s v="1542"/>
    <s v="TECO PRT  CNF  DLV  PRC  BASC BCRQ GMPS*"/>
    <x v="4"/>
    <n v="23"/>
    <e v="#REF!"/>
    <e v="#REF!"/>
    <e v="#REF!"/>
  </r>
  <r>
    <n v="10000001406"/>
    <s v="CLTD120 EC ARROW-ALL-IN 1000LT 1000LT CA"/>
    <s v="0000000885"/>
    <d v="2025-11-26T00:00:00"/>
    <s v="1327818"/>
    <s v=""/>
    <n v="12000"/>
    <n v="12000"/>
    <d v="2025-11-05T00:00:00"/>
    <x v="12"/>
    <n v="12000"/>
    <s v="1001"/>
    <s v="L"/>
    <s v=""/>
    <s v="1542"/>
    <s v="TECO PRT  CNF  DLV  PRC  BASC BCRQ GMPS*"/>
    <x v="4"/>
    <n v="23"/>
    <e v="#REF!"/>
    <e v="#REF!"/>
    <e v="#REF!"/>
  </r>
  <r>
    <n v="50000000090"/>
    <s v="ETHOXY (GALIGAN) ISO"/>
    <s v="0000006083"/>
    <d v="2025-11-19T00:00:00"/>
    <s v="1329740"/>
    <s v=""/>
    <n v="1720"/>
    <n v="1740"/>
    <d v="2025-11-04T00:00:00"/>
    <x v="12"/>
    <n v="0"/>
    <s v="1001"/>
    <s v="KG"/>
    <s v=""/>
    <s v="1125"/>
    <s v="REL  CNF  DLV  PRC  BASC BCRQ GMPS ILAS*"/>
    <x v="11"/>
    <e v="#N/A"/>
    <e v="#REF!"/>
    <e v="#REF!"/>
    <e v="#REF!"/>
  </r>
  <r>
    <n v="10000001151"/>
    <s v="SLCT173+TBAZ330 SC SULCOTREK 20 200LT ES"/>
    <s v="0000009987"/>
    <d v="2025-11-18T00:00:00"/>
    <s v="1331109"/>
    <s v=""/>
    <n v="7200"/>
    <n v="7200"/>
    <d v="2025-11-10T00:00:00"/>
    <x v="12"/>
    <n v="0"/>
    <s v="1001"/>
    <s v="L"/>
    <s v=""/>
    <s v="1528"/>
    <s v="TECO CNF  DLV  PRC  BASC BCRQ GMPS ILAS*"/>
    <x v="5"/>
    <n v="28"/>
    <e v="#REF!"/>
    <e v="#REF!"/>
    <e v="#REF!"/>
  </r>
  <r>
    <n v="10000001151"/>
    <s v="SLCT173+TBAZ330 SC SULCOTREK 20 200LT ES"/>
    <s v="0000009988"/>
    <d v="2025-11-18T00:00:00"/>
    <s v="1331110"/>
    <s v=""/>
    <n v="7200"/>
    <n v="7200"/>
    <d v="2025-11-10T00:00:00"/>
    <x v="12"/>
    <n v="0"/>
    <s v="1001"/>
    <s v="L"/>
    <s v=""/>
    <s v="1528"/>
    <s v="TECO CNF  DLV  PRC  BASC BCRQ GMPS ILAS*"/>
    <x v="5"/>
    <n v="28"/>
    <e v="#REF!"/>
    <e v="#REF!"/>
    <e v="#REF!"/>
  </r>
  <r>
    <n v="20000005837"/>
    <s v="CLTN500 SC TOLUREX 50 SC 1000LT"/>
    <s v="0000000194"/>
    <d v="2025-11-15T00:00:00"/>
    <s v="1325941"/>
    <s v=""/>
    <n v="7000"/>
    <n v="7000"/>
    <d v="2025-10-24T00:00:00"/>
    <x v="12"/>
    <n v="7000"/>
    <s v="1001"/>
    <s v="L"/>
    <s v=""/>
    <s v="1528"/>
    <s v="TECO CNF  DLV  PRC  BASC BCRQ GMPS MACM*"/>
    <x v="5"/>
    <n v="28"/>
    <e v="#REF!"/>
    <e v="#REF!"/>
    <e v="#REF!"/>
  </r>
  <r>
    <n v="50000000091"/>
    <s v="GALIGAN IN TOLUENE ISO"/>
    <s v="0000009628"/>
    <d v="2025-11-15T00:00:00"/>
    <s v="1329727"/>
    <s v=""/>
    <n v="4800"/>
    <n v="5020"/>
    <d v="2025-11-04T00:00:00"/>
    <x v="12"/>
    <n v="0"/>
    <s v="1001"/>
    <s v="KG"/>
    <s v=""/>
    <s v="1125"/>
    <s v="REL  CNF  DLV  PRC  BASC BCRQ GMPS ILAS*"/>
    <x v="11"/>
    <e v="#N/A"/>
    <e v="#REF!"/>
    <e v="#REF!"/>
    <e v="#REF!"/>
  </r>
  <r>
    <n v="20000006541"/>
    <s v="ETFM200PNMP200SC PHEN200+ETHO200GL 1000L"/>
    <s v="0000438741"/>
    <d v="2025-11-14T00:00:00"/>
    <s v="1330937"/>
    <s v=""/>
    <n v="7000"/>
    <n v="7000"/>
    <d v="2025-11-12T00:00:00"/>
    <x v="12"/>
    <n v="7000"/>
    <s v="1001"/>
    <s v="L"/>
    <s v=""/>
    <s v="1528"/>
    <s v="REL  CNF  DLV  PRC  BASC BCRQ GMPS MACM*"/>
    <x v="5"/>
    <n v="28"/>
    <e v="#REF!"/>
    <e v="#REF!"/>
    <e v="#REF!"/>
  </r>
  <r>
    <n v="20000006541"/>
    <s v="ETFM200PNMP200SC PHEN200+ETHO200GL 1000L"/>
    <s v="0000438742"/>
    <d v="2025-11-14T00:00:00"/>
    <s v="1330938"/>
    <s v=""/>
    <n v="7000"/>
    <n v="7000"/>
    <d v="2025-11-12T00:00:00"/>
    <x v="12"/>
    <n v="7000"/>
    <s v="1001"/>
    <s v="L"/>
    <s v=""/>
    <s v="1528"/>
    <s v="REL  CNF  DLV  PRC  BASC BCRQ GMPS MACM*"/>
    <x v="5"/>
    <n v="28"/>
    <e v="#REF!"/>
    <e v="#REF!"/>
    <e v="#REF!"/>
  </r>
  <r>
    <n v="30000000077"/>
    <s v="DRON970 TC DIUREX TECH MILLED 600 KG"/>
    <s v="0000053704"/>
    <d v="2025-11-14T00:00:00"/>
    <s v="1331602"/>
    <s v=""/>
    <n v="3600"/>
    <n v="3600"/>
    <d v="2025-11-12T00:00:00"/>
    <x v="12"/>
    <n v="3600"/>
    <s v="1001"/>
    <s v="KG"/>
    <s v=""/>
    <s v="1540"/>
    <s v="REL  CNF  DLV  PRC  BASC BCRQ GMPS MACM*"/>
    <x v="18"/>
    <e v="#N/A"/>
    <e v="#REF!"/>
    <e v="#REF!"/>
    <e v="#REF!"/>
  </r>
  <r>
    <n v="30000000077"/>
    <s v="DRON970 TC DIUREX TECH MILLED 600 KG"/>
    <s v="0000053705"/>
    <d v="2025-11-14T00:00:00"/>
    <s v="1331603"/>
    <s v=""/>
    <n v="3600"/>
    <n v="3600"/>
    <d v="2025-11-12T00:00:00"/>
    <x v="12"/>
    <n v="3600"/>
    <s v="1001"/>
    <s v="KG"/>
    <s v=""/>
    <s v="1540"/>
    <s v="REL  CNF  DLV  PRC  BASC BCRQ GMPS MACM*"/>
    <x v="18"/>
    <e v="#N/A"/>
    <e v="#REF!"/>
    <e v="#REF!"/>
    <e v="#REF!"/>
  </r>
  <r>
    <n v="30000000077"/>
    <s v="DRON970 TC DIUREX TECH MILLED 600 KG"/>
    <s v="0000053706"/>
    <d v="2025-11-14T00:00:00"/>
    <s v="1331604"/>
    <s v=""/>
    <n v="3600"/>
    <n v="3600"/>
    <d v="2025-11-12T00:00:00"/>
    <x v="12"/>
    <n v="3600"/>
    <s v="1001"/>
    <s v="KG"/>
    <s v=""/>
    <s v="1540"/>
    <s v="REL  CNF  DLV  PRC  BASC BCRQ GMPS MACM*"/>
    <x v="18"/>
    <e v="#N/A"/>
    <e v="#REF!"/>
    <e v="#REF!"/>
    <e v="#REF!"/>
  </r>
  <r>
    <n v="20000000320"/>
    <s v="DRON800 WG DIUREX 80 WG 500 KG"/>
    <s v="0000004752"/>
    <d v="2025-11-13T00:00:00"/>
    <s v="1331757"/>
    <s v=""/>
    <n v="3000"/>
    <n v="3000"/>
    <d v="2025-11-13T00:00:00"/>
    <x v="12"/>
    <n v="0"/>
    <s v="1001"/>
    <s v="KG"/>
    <s v=""/>
    <s v="1519"/>
    <s v="REL  CNF  DLV  PRC  BASC BCRQ GMPS ILAS*"/>
    <x v="8"/>
    <n v="19"/>
    <e v="#REF!"/>
    <e v="#REF!"/>
    <e v="#REF!"/>
  </r>
  <r>
    <n v="50000000075"/>
    <s v="NAA CRUDE ISO"/>
    <s v="0000280120"/>
    <d v="2025-11-13T00:00:00"/>
    <s v="1331877"/>
    <s v=""/>
    <n v="4000"/>
    <n v="4752"/>
    <d v="2025-11-13T00:00:00"/>
    <x v="12"/>
    <n v="0"/>
    <s v="1001"/>
    <s v="KG"/>
    <s v=""/>
    <s v="1141"/>
    <s v="REL  CNF  DLV  PRC  BASC BCRQ GMPS ILAS*"/>
    <x v="11"/>
    <e v="#N/A"/>
    <e v="#REF!"/>
    <e v="#REF!"/>
    <e v="#REF!"/>
  </r>
  <r>
    <n v="50000000062"/>
    <s v="DIUREX SLURRY  KG"/>
    <s v="0000051614"/>
    <d v="2025-11-12T00:00:00"/>
    <s v="1329783"/>
    <s v=""/>
    <n v="33000"/>
    <n v="31957"/>
    <d v="2025-11-04T00:00:00"/>
    <x v="12"/>
    <n v="0"/>
    <s v="1001"/>
    <s v="KG"/>
    <s v=""/>
    <s v="1140"/>
    <s v="REL  CNF  PRC  BASC BCRQ GMPS ILAS MACM*"/>
    <x v="20"/>
    <e v="#N/A"/>
    <e v="#REF!"/>
    <e v="#REF!"/>
    <e v="#REF!"/>
  </r>
  <r>
    <n v="30000000077"/>
    <s v="DRON970 TC DIUREX TECH MILLED 600 KG"/>
    <s v="0000053701"/>
    <d v="2025-11-12T00:00:00"/>
    <s v="1331563"/>
    <s v=""/>
    <n v="3600"/>
    <n v="3600"/>
    <d v="2025-11-12T00:00:00"/>
    <x v="12"/>
    <n v="3600"/>
    <s v="1001"/>
    <s v="KG"/>
    <s v=""/>
    <s v="1540"/>
    <s v="REL  CNF  DLV  PRC  BASC BCRQ GMPS MACM*"/>
    <x v="18"/>
    <e v="#N/A"/>
    <e v="#REF!"/>
    <e v="#REF!"/>
    <e v="#REF!"/>
  </r>
  <r>
    <n v="30000000077"/>
    <s v="DRON970 TC DIUREX TECH MILLED 600 KG"/>
    <s v="0000053700"/>
    <d v="2025-11-10T00:00:00"/>
    <s v="1330036"/>
    <s v=""/>
    <n v="3600"/>
    <n v="3600"/>
    <d v="2025-11-11T00:00:00"/>
    <x v="12"/>
    <n v="0"/>
    <s v="1001"/>
    <s v="KG"/>
    <s v=""/>
    <s v="1540"/>
    <s v="REL  PCNF DLV  PRC  BASC BCRQ GMPS MACM*"/>
    <x v="18"/>
    <e v="#N/A"/>
    <e v="#REF!"/>
    <e v="#REF!"/>
    <e v="#REF!"/>
  </r>
  <r>
    <n v="30000000071"/>
    <s v="DRON970 TC DIURON TECH Paint In 500KG IN"/>
    <s v="0000051249"/>
    <d v="2025-11-09T00:00:00"/>
    <s v="1330043"/>
    <s v=""/>
    <n v="3000"/>
    <n v="3000"/>
    <d v="2025-11-11T00:00:00"/>
    <x v="12"/>
    <n v="3000"/>
    <s v="1001"/>
    <s v="KG"/>
    <s v=""/>
    <s v="1540"/>
    <s v="REL  CNF  DLV  PRC  BASC BCRQ GMPS MACM*"/>
    <x v="18"/>
    <e v="#N/A"/>
    <e v="#REF!"/>
    <e v="#REF!"/>
    <e v="#REF!"/>
  </r>
  <r>
    <n v="20000000722"/>
    <s v="PNDM400 CS PENDIMETHALINE 400CS 200 L"/>
    <s v="0000069448"/>
    <d v="2025-11-09T00:00:00"/>
    <s v="1330165"/>
    <s v=""/>
    <n v="3600"/>
    <n v="3800"/>
    <d v="2025-11-05T00:00:00"/>
    <x v="12"/>
    <n v="3800"/>
    <s v="1001"/>
    <s v="L"/>
    <s v=""/>
    <s v="1525"/>
    <s v="REL  CNF  DLV  PRC  BASC BCRQ GMPS MANC*"/>
    <x v="2"/>
    <e v="#N/A"/>
    <e v="#REF!"/>
    <e v="#REF!"/>
    <e v="#REF!"/>
  </r>
  <r>
    <n v="20000000722"/>
    <s v="PNDM400 CS PENDIMETHALINE 400CS 200 L"/>
    <s v="0000069449"/>
    <d v="2025-11-09T00:00:00"/>
    <s v="1330166"/>
    <s v=""/>
    <n v="3600"/>
    <n v="4000"/>
    <d v="2025-11-05T00:00:00"/>
    <x v="12"/>
    <n v="0"/>
    <s v="1001"/>
    <s v="L"/>
    <s v=""/>
    <s v="1525"/>
    <s v="REL  DLV  PRC  BASC BCRQ GMPS MANC ORRQ*"/>
    <x v="2"/>
    <e v="#N/A"/>
    <e v="#REF!"/>
    <e v="#REF!"/>
    <e v="#REF!"/>
  </r>
  <r>
    <n v="50000000108"/>
    <s v="PROPAQUIZAFOP PRMX25 1000 KG"/>
    <s v="0000003519"/>
    <d v="2025-11-07T00:00:00"/>
    <s v="1329749"/>
    <s v=""/>
    <n v="8000"/>
    <n v="7000"/>
    <d v="2025-11-04T00:00:00"/>
    <x v="12"/>
    <n v="0"/>
    <s v="1001"/>
    <s v="KG"/>
    <s v=""/>
    <s v="1525"/>
    <s v="REL  CNF  PRC  BASC BCRQ GMPS ILAS MACM*"/>
    <x v="19"/>
    <e v="#N/A"/>
    <e v="#REF!"/>
    <e v="#REF!"/>
    <e v="#REF!"/>
  </r>
  <r>
    <n v="20000000609"/>
    <s v="MTMN525QNMC40 SC MTM 525+QUIN 40 1000 L"/>
    <s v="0000000936"/>
    <d v="2025-11-07T00:00:00"/>
    <s v="1330527"/>
    <s v=""/>
    <n v="7000"/>
    <n v="7000"/>
    <d v="2025-11-11T00:00:00"/>
    <x v="12"/>
    <n v="0"/>
    <s v="1001"/>
    <s v="L"/>
    <s v=""/>
    <s v="1528"/>
    <s v="TECO CNF  DLV  PRC  BASC BCRQ GMPS MACM*"/>
    <x v="5"/>
    <e v="#N/A"/>
    <e v="#REF!"/>
    <e v="#REF!"/>
    <e v="#REF!"/>
  </r>
  <r>
    <n v="20000000609"/>
    <s v="MTMN525QNMC40 SC MTM 525+QUIN 40 1000 L"/>
    <s v="0000000937"/>
    <d v="2025-11-07T00:00:00"/>
    <s v="1330528"/>
    <s v=""/>
    <n v="7000"/>
    <n v="7000"/>
    <d v="2025-11-12T00:00:00"/>
    <x v="12"/>
    <n v="0"/>
    <s v="1001"/>
    <s v="L"/>
    <s v=""/>
    <s v="1528"/>
    <s v="REL  CNF  DLV  PRC  BASC BCRQ GMPS MACM*"/>
    <x v="5"/>
    <e v="#N/A"/>
    <e v="#REF!"/>
    <e v="#REF!"/>
    <e v="#REF!"/>
  </r>
  <r>
    <n v="50000000080"/>
    <s v="NANA 1.00 KG"/>
    <s v="0000136146"/>
    <d v="2025-11-06T00:00:00"/>
    <s v="1330414"/>
    <s v=""/>
    <n v="3900"/>
    <n v="3852"/>
    <d v="2025-11-13T00:00:00"/>
    <x v="12"/>
    <n v="0"/>
    <s v="1001"/>
    <s v="KG"/>
    <s v=""/>
    <s v="1141"/>
    <s v="REL  CNF  PRC  BASC BCRQ GMPS ILAS MACM*"/>
    <x v="7"/>
    <e v="#N/A"/>
    <e v="#REF!"/>
    <e v="#REF!"/>
    <e v="#REF!"/>
  </r>
  <r>
    <n v="30000000108"/>
    <s v="CLTN950 TC TOLUREX TECH MILLED 200 KG"/>
    <s v="0000015846"/>
    <d v="2025-11-06T00:00:00"/>
    <s v="1330453"/>
    <s v=""/>
    <n v="1200"/>
    <n v="1200"/>
    <d v="2025-11-12T00:00:00"/>
    <x v="12"/>
    <n v="0"/>
    <s v="1001"/>
    <s v="KG"/>
    <s v=""/>
    <s v="1540"/>
    <s v="REL  CNF  DLV  PRC  BASC BCRQ GMPS ILAS*"/>
    <x v="28"/>
    <e v="#N/A"/>
    <e v="#REF!"/>
    <e v="#REF!"/>
    <e v="#REF!"/>
  </r>
  <r>
    <n v="30000000108"/>
    <s v="CLTN950 TC TOLUREX TECH MILLED 200 KG"/>
    <s v="0000015847"/>
    <d v="2025-11-06T00:00:00"/>
    <s v="1330454"/>
    <s v=""/>
    <n v="1200"/>
    <n v="1200"/>
    <d v="2025-11-12T00:00:00"/>
    <x v="12"/>
    <n v="0"/>
    <s v="1001"/>
    <s v="KG"/>
    <s v=""/>
    <s v="1540"/>
    <s v="REL  CNF  DLV  PRC  BASC BCRQ GMPS ILAS*"/>
    <x v="28"/>
    <e v="#N/A"/>
    <e v="#REF!"/>
    <e v="#REF!"/>
    <e v="#REF!"/>
  </r>
  <r>
    <n v="30000000108"/>
    <s v="CLTN950 TC TOLUREX TECH MILLED 200 KG"/>
    <s v="0000015850"/>
    <d v="2025-11-06T00:00:00"/>
    <s v="1330457"/>
    <s v=""/>
    <n v="1200"/>
    <n v="1200"/>
    <d v="2025-11-12T00:00:00"/>
    <x v="12"/>
    <n v="0"/>
    <s v="1001"/>
    <s v="KG"/>
    <s v=""/>
    <s v="1540"/>
    <s v="REL  CNF  DLV  PRC  BASC BCRQ GMPS ILAS*"/>
    <x v="28"/>
    <e v="#N/A"/>
    <e v="#REF!"/>
    <e v="#REF!"/>
    <e v="#REF!"/>
  </r>
  <r>
    <n v="30000000108"/>
    <s v="CLTN950 TC TOLUREX TECH MILLED 200 KG"/>
    <s v="0000015851"/>
    <d v="2025-11-06T00:00:00"/>
    <s v="1330458"/>
    <s v=""/>
    <n v="1200"/>
    <n v="1200"/>
    <d v="2025-11-12T00:00:00"/>
    <x v="12"/>
    <n v="0"/>
    <s v="1001"/>
    <s v="KG"/>
    <s v=""/>
    <s v="1540"/>
    <s v="REL  CNF  DLV  PRC  BASC BCRQ GMPS ILAS*"/>
    <x v="28"/>
    <e v="#N/A"/>
    <e v="#REF!"/>
    <e v="#REF!"/>
    <e v="#REF!"/>
  </r>
  <r>
    <n v="30000000108"/>
    <s v="CLTN950 TC TOLUREX TECH MILLED 200 KG"/>
    <s v="0000015852"/>
    <d v="2025-11-06T00:00:00"/>
    <s v="1330459"/>
    <s v=""/>
    <n v="1200"/>
    <n v="1200"/>
    <d v="2025-11-12T00:00:00"/>
    <x v="12"/>
    <n v="0"/>
    <s v="1001"/>
    <s v="KG"/>
    <s v=""/>
    <s v="1540"/>
    <s v="REL  CNF  DLV  PRC  BASC BCRQ GMPS ILAS*"/>
    <x v="28"/>
    <e v="#N/A"/>
    <e v="#REF!"/>
    <e v="#REF!"/>
    <e v="#REF!"/>
  </r>
  <r>
    <n v="30000000108"/>
    <s v="CLTN950 TC TOLUREX TECH MILLED 200 KG"/>
    <s v="0000015853"/>
    <d v="2025-11-06T00:00:00"/>
    <s v="1330460"/>
    <s v=""/>
    <n v="1200"/>
    <n v="1200"/>
    <d v="2025-11-12T00:00:00"/>
    <x v="12"/>
    <n v="0"/>
    <s v="1001"/>
    <s v="KG"/>
    <s v=""/>
    <s v="1540"/>
    <s v="REL  CNF  DLV  PRC  BASC BCRQ GMPS ILAS*"/>
    <x v="28"/>
    <e v="#N/A"/>
    <e v="#REF!"/>
    <e v="#REF!"/>
    <e v="#REF!"/>
  </r>
  <r>
    <n v="50000000049"/>
    <s v="DELTA MTL KTN CR RUS 1.00 KG"/>
    <s v="0000007636"/>
    <d v="2025-11-05T00:00:00"/>
    <s v="1328607"/>
    <s v=""/>
    <n v="2000"/>
    <n v="3000"/>
    <d v="2025-11-06T00:00:00"/>
    <x v="12"/>
    <n v="0"/>
    <s v="1001"/>
    <s v="KG"/>
    <s v=""/>
    <s v="1141"/>
    <s v="REL  CNF  DLV  PRC  BASC BCRQ GMPS ILAS*"/>
    <x v="0"/>
    <e v="#N/A"/>
    <e v="#REF!"/>
    <e v="#REF!"/>
    <e v="#REF!"/>
  </r>
  <r>
    <n v="50000000049"/>
    <s v="DELTA MTL KTN CR RUS 1.00 KG"/>
    <s v="0000007637"/>
    <d v="2025-11-05T00:00:00"/>
    <s v="1328608"/>
    <s v=""/>
    <n v="2000"/>
    <n v="3000"/>
    <d v="2025-11-06T00:00:00"/>
    <x v="12"/>
    <n v="0"/>
    <s v="1001"/>
    <s v="KG"/>
    <s v=""/>
    <s v="1141"/>
    <s v="REL  CNF  DLV  PRC  BASC BCRQ GMPS ILAS*"/>
    <x v="0"/>
    <e v="#N/A"/>
    <e v="#REF!"/>
    <e v="#REF!"/>
    <e v="#REF!"/>
  </r>
  <r>
    <n v="20000000320"/>
    <s v="DRON800 WG DIUREX 80 WG 500 KG"/>
    <s v="0000004749"/>
    <d v="2025-11-05T00:00:00"/>
    <s v="1330158"/>
    <s v=""/>
    <n v="3000"/>
    <n v="3000"/>
    <d v="2025-11-12T00:00:00"/>
    <x v="12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50"/>
    <d v="2025-11-05T00:00:00"/>
    <s v="1330159"/>
    <s v=""/>
    <n v="3000"/>
    <n v="3000"/>
    <d v="2025-11-12T00:00:00"/>
    <x v="12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51"/>
    <d v="2025-11-05T00:00:00"/>
    <s v="1330160"/>
    <s v=""/>
    <n v="3000"/>
    <n v="3000"/>
    <d v="2025-11-12T00:00:00"/>
    <x v="12"/>
    <n v="0"/>
    <s v="1001"/>
    <s v="KG"/>
    <s v=""/>
    <s v="1519"/>
    <s v="REL  CNF  DLV  PRC  BASC BCRQ GMPS ILAS*"/>
    <x v="8"/>
    <n v="19"/>
    <e v="#REF!"/>
    <e v="#REF!"/>
    <e v="#REF!"/>
  </r>
  <r>
    <n v="30000000099"/>
    <s v="OXFF970 TC GALIGAN TECH 97% CRD  1000KG"/>
    <s v="0000002884"/>
    <d v="2025-11-04T00:00:00"/>
    <s v="1327102"/>
    <s v=""/>
    <n v="1650"/>
    <n v="1650"/>
    <d v="2025-10-27T00:00:00"/>
    <x v="12"/>
    <n v="0"/>
    <s v="1001"/>
    <s v="KG"/>
    <s v=""/>
    <s v="1125"/>
    <s v="REL  CNF  DLV  PRC  BASC BCRQ GMPS ILAS*"/>
    <x v="16"/>
    <e v="#N/A"/>
    <e v="#REF!"/>
    <e v="#REF!"/>
    <e v="#REF!"/>
  </r>
  <r>
    <n v="50000000108"/>
    <s v="PROPAQUIZAFOP PRMX25 1000 KG"/>
    <s v="0000003518"/>
    <d v="2025-11-04T00:00:00"/>
    <s v="1329748"/>
    <s v=""/>
    <n v="8000"/>
    <n v="8000"/>
    <d v="2025-11-04T00:00:00"/>
    <x v="12"/>
    <n v="0"/>
    <s v="1001"/>
    <s v="KG"/>
    <s v=""/>
    <s v="1525"/>
    <s v="REL  CNF  DLV  PRC  BASC BCRQ GMPS ILAS*"/>
    <x v="19"/>
    <e v="#N/A"/>
    <e v="#REF!"/>
    <e v="#REF!"/>
    <e v="#REF!"/>
  </r>
  <r>
    <n v="10000000511"/>
    <s v="24DA306.1+FLSL6 SE Elegant 2 FD 5 5LT CZ"/>
    <s v="0000001407"/>
    <d v="2025-11-03T00:00:00"/>
    <s v="1327501"/>
    <s v="211016473"/>
    <n v="2000"/>
    <n v="2000"/>
    <d v="2025-10-30T00:00:00"/>
    <x v="12"/>
    <n v="2000"/>
    <s v="1001"/>
    <s v="L"/>
    <s v=""/>
    <s v="1542"/>
    <s v="TECO CNF  DLV  PRC  BASC BCRQ GMPS MANC*"/>
    <x v="12"/>
    <s v="24P"/>
    <e v="#REF!"/>
    <e v="#REF!"/>
    <e v="#REF!"/>
  </r>
  <r>
    <n v="10000000401"/>
    <s v="DRON540+HZNN67 WG JUMP 5KG BRASIL 5KG BR"/>
    <s v="0000016418"/>
    <d v="2025-10-01T00:00:00"/>
    <s v="1326819"/>
    <s v=""/>
    <n v="2880"/>
    <n v="2880"/>
    <d v="2025-11-11T00:00:00"/>
    <x v="12"/>
    <n v="0"/>
    <s v="1001"/>
    <s v="KG"/>
    <s v=""/>
    <s v="1519"/>
    <s v="TECO CNF  DLV  PRC  BASC BCRQ GMPS ILAS*"/>
    <x v="8"/>
    <s v="19P"/>
    <e v="#REF!"/>
    <e v="#REF!"/>
    <e v="#REF!"/>
  </r>
  <r>
    <n v="10000000401"/>
    <s v="DRON540+HZNN67 WG JUMP 5KG BRASIL 5KG BR"/>
    <s v="0000016422"/>
    <d v="2025-10-01T00:00:00"/>
    <s v="1326823"/>
    <s v=""/>
    <n v="2880"/>
    <n v="2880"/>
    <d v="2025-11-12T00:00:00"/>
    <x v="12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423"/>
    <d v="2025-10-01T00:00:00"/>
    <s v="1326824"/>
    <s v=""/>
    <n v="2880"/>
    <n v="2880"/>
    <d v="2025-11-12T00:00:00"/>
    <x v="12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424"/>
    <d v="2025-10-01T00:00:00"/>
    <s v="1326825"/>
    <s v=""/>
    <n v="2880"/>
    <n v="2880"/>
    <d v="2025-11-12T00:00:00"/>
    <x v="12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425"/>
    <d v="2025-10-01T00:00:00"/>
    <s v="1326826"/>
    <s v=""/>
    <n v="2880"/>
    <n v="2880"/>
    <d v="2025-11-12T00:00:00"/>
    <x v="12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426"/>
    <d v="2025-10-01T00:00:00"/>
    <s v="1326827"/>
    <s v=""/>
    <n v="2880"/>
    <n v="2880"/>
    <d v="2025-11-13T00:00:00"/>
    <x v="12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427"/>
    <d v="2025-10-01T00:00:00"/>
    <s v="1326828"/>
    <s v=""/>
    <n v="2880"/>
    <n v="2880"/>
    <d v="2025-11-13T00:00:00"/>
    <x v="12"/>
    <n v="0"/>
    <s v="1001"/>
    <s v="KG"/>
    <s v=""/>
    <s v="1519"/>
    <s v="REL  DLV  PRC  BASC BCRQ GMPS ILAS MACM*"/>
    <x v="8"/>
    <s v="19P"/>
    <e v="#REF!"/>
    <e v="#REF!"/>
    <e v="#REF!"/>
  </r>
  <r>
    <n v="10000000401"/>
    <s v="DRON540+HZNN67 WG JUMP 5KG BRASIL 5KG BR"/>
    <s v="0000016428"/>
    <d v="2025-10-01T00:00:00"/>
    <s v="1326829"/>
    <s v=""/>
    <n v="2880"/>
    <n v="2880"/>
    <d v="2025-11-13T00:00:00"/>
    <x v="12"/>
    <n v="0"/>
    <s v="1001"/>
    <s v="KG"/>
    <s v=""/>
    <s v="1519"/>
    <s v="REL  DLV  PRC  BASC BCRQ GMPS ILAS MACM*"/>
    <x v="8"/>
    <s v="19P"/>
    <e v="#REF!"/>
    <e v="#REF!"/>
    <e v="#REF!"/>
  </r>
  <r>
    <n v="10000000401"/>
    <s v="DRON540+HZNN67 WG JUMP 5KG BRASIL 5KG BR"/>
    <s v="0000016429"/>
    <d v="2025-10-01T00:00:00"/>
    <s v="1326830"/>
    <s v=""/>
    <n v="2880"/>
    <n v="2880"/>
    <d v="2025-11-13T00:00:00"/>
    <x v="12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430"/>
    <d v="2025-10-01T00:00:00"/>
    <s v="1326831"/>
    <s v=""/>
    <n v="2880"/>
    <n v="2880"/>
    <d v="2025-11-13T00:00:00"/>
    <x v="12"/>
    <n v="0"/>
    <s v="1001"/>
    <s v="KG"/>
    <s v=""/>
    <s v="1519"/>
    <s v="REL  CNF  DLV  PRC  BASC BCRQ GMPS ILAS*"/>
    <x v="8"/>
    <s v="19P"/>
    <e v="#REF!"/>
    <e v="#REF!"/>
    <e v="#REF!"/>
  </r>
  <r>
    <n v="50000001441"/>
    <s v="HEXENONE (1002) ISO NEW"/>
    <s v="0000279369"/>
    <d v="2025-09-01T00:00:00"/>
    <s v="1314531"/>
    <s v=""/>
    <n v="1800"/>
    <n v="1403"/>
    <d v="2025-09-02T00:00:00"/>
    <x v="12"/>
    <n v="0"/>
    <s v="1001"/>
    <s v="KG"/>
    <s v=""/>
    <s v="1141"/>
    <s v="REL  CNF  PRC  BASC BCRQ GMPS ILAS MACM*"/>
    <x v="0"/>
    <e v="#N/A"/>
    <e v="#REF!"/>
    <e v="#REF!"/>
    <e v="#REF!"/>
  </r>
  <r>
    <n v="20000005837"/>
    <s v="CLTN500 SC TOLUREX 50 SC 1000LT"/>
    <s v="0000000229"/>
    <d v="2025-12-27T00:00:00"/>
    <s v="1331092"/>
    <s v=""/>
    <n v="7000"/>
    <n v="7000"/>
    <d v="2025-11-12T00:00:00"/>
    <x v="13"/>
    <n v="14000"/>
    <s v="1001"/>
    <s v="L"/>
    <s v=""/>
    <s v="1528"/>
    <s v="REL  CNF  DLV  PRC  BASC BCRQ GMPS MANC*"/>
    <x v="5"/>
    <n v="28"/>
    <e v="#REF!"/>
    <e v="#REF!"/>
    <e v="#REF!"/>
  </r>
  <r>
    <n v="20000005837"/>
    <s v="CLTN500 SC TOLUREX 50 SC 1000LT"/>
    <s v="0000000230"/>
    <d v="2025-12-27T00:00:00"/>
    <s v="1331093"/>
    <s v=""/>
    <n v="7000"/>
    <n v="7000"/>
    <d v="2025-11-13T00:00:00"/>
    <x v="13"/>
    <n v="7000"/>
    <s v="1001"/>
    <s v="L"/>
    <s v=""/>
    <s v="1528"/>
    <s v="TECO CNF  DLV  PRC  BASC BCRQ GMPS MANC*"/>
    <x v="5"/>
    <n v="28"/>
    <e v="#REF!"/>
    <e v="#REF!"/>
    <e v="#REF!"/>
  </r>
  <r>
    <n v="30000000097"/>
    <s v="MTZC735 TC METAZACHLR T WT CRUD 600 KG"/>
    <s v="0000009023"/>
    <d v="2025-11-29T00:00:00"/>
    <s v="1330368"/>
    <s v=""/>
    <n v="2800"/>
    <n v="2610"/>
    <d v="2025-11-06T00:00:00"/>
    <x v="13"/>
    <n v="0"/>
    <s v="1001"/>
    <s v="KG"/>
    <s v=""/>
    <s v="1541"/>
    <s v="REL  CNF  PRC  BASC BCRQ GMPS ILAS MACM*"/>
    <x v="13"/>
    <e v="#N/A"/>
    <e v="#REF!"/>
    <e v="#REF!"/>
    <e v="#REF!"/>
  </r>
  <r>
    <n v="10000000400"/>
    <s v="DRON800 WG KARMEX 80WG 15KG JP"/>
    <s v="0000000961"/>
    <d v="2025-11-27T00:00:00"/>
    <s v="1330227"/>
    <s v=""/>
    <n v="5250"/>
    <n v="5250"/>
    <d v="2025-11-14T00:00:00"/>
    <x v="13"/>
    <n v="0"/>
    <s v="1001"/>
    <s v="KG"/>
    <s v=""/>
    <s v="1519"/>
    <s v="REL  CNF  DLV  PRC  BASC BCRQ GMPS MANC*"/>
    <x v="8"/>
    <n v="19"/>
    <e v="#REF!"/>
    <e v="#REF!"/>
    <e v="#REF!"/>
  </r>
  <r>
    <n v="10000000400"/>
    <s v="DRON800 WG KARMEX 80WG 15KG JP"/>
    <s v="0000000962"/>
    <d v="2025-11-27T00:00:00"/>
    <s v="1330228"/>
    <s v=""/>
    <n v="5250"/>
    <n v="5250"/>
    <d v="2025-11-14T00:00:00"/>
    <x v="13"/>
    <n v="0"/>
    <s v="1001"/>
    <s v="KG"/>
    <s v=""/>
    <s v="1519"/>
    <s v="REL  CNF  DLV  PRC  BASC BCRQ GMPS MANC*"/>
    <x v="8"/>
    <n v="19"/>
    <e v="#REF!"/>
    <e v="#REF!"/>
    <e v="#REF!"/>
  </r>
  <r>
    <n v="10000000400"/>
    <s v="DRON800 WG KARMEX 80WG 15KG JP"/>
    <s v="0000000963"/>
    <d v="2025-11-27T00:00:00"/>
    <s v="1330229"/>
    <s v=""/>
    <n v="5250"/>
    <n v="5250"/>
    <d v="2025-11-14T00:00:00"/>
    <x v="13"/>
    <n v="0"/>
    <s v="1001"/>
    <s v="KG"/>
    <s v=""/>
    <s v="1519"/>
    <s v="REL  CNF  DLV  PRC  BASC BCRQ GMPS MANC*"/>
    <x v="8"/>
    <n v="19"/>
    <e v="#REF!"/>
    <e v="#REF!"/>
    <e v="#REF!"/>
  </r>
  <r>
    <n v="10000000400"/>
    <s v="DRON800 WG KARMEX 80WG 15KG JP"/>
    <s v="0000000964"/>
    <d v="2025-11-27T00:00:00"/>
    <s v="1330230"/>
    <s v=""/>
    <n v="5250"/>
    <n v="3675"/>
    <d v="2025-11-14T00:00:00"/>
    <x v="13"/>
    <n v="0"/>
    <s v="1001"/>
    <s v="KG"/>
    <s v=""/>
    <s v="1519"/>
    <s v="REL  CNF  PRC  BASC BCRQ GMPS MANC ORRQ*"/>
    <x v="8"/>
    <n v="19"/>
    <e v="#REF!"/>
    <e v="#REF!"/>
    <e v="#REF!"/>
  </r>
  <r>
    <n v="10000000400"/>
    <s v="DRON800 WG KARMEX 80WG 15KG JP"/>
    <s v="0000000965"/>
    <d v="2025-11-27T00:00:00"/>
    <s v="1330231"/>
    <s v=""/>
    <n v="5250"/>
    <n v="5250"/>
    <d v="2025-11-14T00:00:00"/>
    <x v="13"/>
    <n v="0"/>
    <s v="1001"/>
    <s v="KG"/>
    <s v=""/>
    <s v="1519"/>
    <s v="REL  CNF  DLV  PRC  BASC BCRQ GMPS MANC*"/>
    <x v="8"/>
    <n v="19"/>
    <e v="#REF!"/>
    <e v="#REF!"/>
    <e v="#REF!"/>
  </r>
  <r>
    <n v="10000000400"/>
    <s v="DRON800 WG KARMEX 80WG 15KG JP"/>
    <s v="0000000966"/>
    <d v="2025-11-27T00:00:00"/>
    <s v="1330232"/>
    <s v=""/>
    <n v="5250"/>
    <n v="5250"/>
    <d v="2025-11-14T00:00:00"/>
    <x v="13"/>
    <n v="0"/>
    <s v="1001"/>
    <s v="KG"/>
    <s v=""/>
    <s v="1519"/>
    <s v="REL  CNF  DLV  PRC  BASC BCRQ GMPS MANC*"/>
    <x v="8"/>
    <n v="19"/>
    <e v="#REF!"/>
    <e v="#REF!"/>
    <e v="#REF!"/>
  </r>
  <r>
    <n v="10000000442"/>
    <s v="DRON800 WG DIUREX 80WG ID THAIL 500KG TH"/>
    <s v="0000017084"/>
    <d v="2025-11-24T00:00:00"/>
    <s v="1332094"/>
    <s v=""/>
    <n v="2500"/>
    <n v="2500"/>
    <d v="2025-11-14T00:00:00"/>
    <x v="13"/>
    <n v="2500"/>
    <s v="1001"/>
    <s v="KG"/>
    <s v=""/>
    <s v="1519"/>
    <s v="REL  CNF  DLV  PRC  BASC BCRQ GMPS MANC*"/>
    <x v="8"/>
    <n v="19"/>
    <e v="#REF!"/>
    <e v="#REF!"/>
    <e v="#REF!"/>
  </r>
  <r>
    <n v="10000000442"/>
    <s v="DRON800 WG DIUREX 80WG ID THAIL 500KG TH"/>
    <s v="0000017085"/>
    <d v="2025-11-24T00:00:00"/>
    <s v="1332095"/>
    <s v=""/>
    <n v="2500"/>
    <n v="2500"/>
    <d v="2025-11-14T00:00:00"/>
    <x v="13"/>
    <n v="2500"/>
    <s v="1001"/>
    <s v="KG"/>
    <s v=""/>
    <s v="1519"/>
    <s v="REL  CNF  DLV  PRC  BASC BCRQ GMPS MANC*"/>
    <x v="8"/>
    <n v="19"/>
    <e v="#REF!"/>
    <e v="#REF!"/>
    <e v="#REF!"/>
  </r>
  <r>
    <n v="10000000442"/>
    <s v="DRON800 WG DIUREX 80WG ID THAIL 500KG TH"/>
    <s v="0000017086"/>
    <d v="2025-11-24T00:00:00"/>
    <s v="1332096"/>
    <s v=""/>
    <n v="2500"/>
    <n v="2500"/>
    <d v="2025-11-14T00:00:00"/>
    <x v="13"/>
    <n v="2500"/>
    <s v="1001"/>
    <s v="KG"/>
    <s v=""/>
    <s v="1519"/>
    <s v="REL  CNF  DLV  PRC  BASC BCRQ GMPS MANC*"/>
    <x v="8"/>
    <n v="19"/>
    <e v="#REF!"/>
    <e v="#REF!"/>
    <e v="#REF!"/>
  </r>
  <r>
    <n v="30000000076"/>
    <s v="DRON970 TC DIUREX TECH MILLED 550 KG"/>
    <s v="0000151715"/>
    <d v="2025-11-20T00:00:00"/>
    <s v="1331665"/>
    <s v=""/>
    <n v="3300"/>
    <n v="3300"/>
    <d v="2025-11-12T00:00:00"/>
    <x v="13"/>
    <n v="0"/>
    <s v="1001"/>
    <s v="KG"/>
    <s v=""/>
    <s v="1540"/>
    <s v="REL  CNF  DLV  PRC  BASC BCRQ GMPS MACM*"/>
    <x v="18"/>
    <e v="#N/A"/>
    <e v="#REF!"/>
    <e v="#REF!"/>
    <e v="#REF!"/>
  </r>
  <r>
    <n v="30000000076"/>
    <s v="DRON970 TC DIUREX TECH MILLED 550 KG"/>
    <s v="0000151716"/>
    <d v="2025-11-20T00:00:00"/>
    <s v="1331666"/>
    <s v=""/>
    <n v="3300"/>
    <n v="3300"/>
    <d v="2025-11-12T00:00:00"/>
    <x v="13"/>
    <n v="0"/>
    <s v="1001"/>
    <s v="KG"/>
    <s v=""/>
    <s v="1540"/>
    <s v="REL  CNF  DLV  PRC  BASC BCRQ GMPS MACM*"/>
    <x v="18"/>
    <e v="#N/A"/>
    <e v="#REF!"/>
    <e v="#REF!"/>
    <e v="#REF!"/>
  </r>
  <r>
    <n v="30000000076"/>
    <s v="DRON970 TC DIUREX TECH MILLED 550 KG"/>
    <s v="0000151718"/>
    <d v="2025-11-20T00:00:00"/>
    <s v="1331668"/>
    <s v=""/>
    <n v="3300"/>
    <n v="3300"/>
    <d v="2025-11-12T00:00:00"/>
    <x v="13"/>
    <n v="0"/>
    <s v="1001"/>
    <s v="KG"/>
    <s v=""/>
    <s v="1540"/>
    <s v="REL  DLV  PRC  BASC BCRQ GMPS MACM ORRQ*"/>
    <x v="18"/>
    <e v="#N/A"/>
    <e v="#REF!"/>
    <e v="#REF!"/>
    <e v="#REF!"/>
  </r>
  <r>
    <n v="50000000082"/>
    <s v="NANA 225.00 KG"/>
    <s v="0000136147"/>
    <d v="2025-11-18T00:00:00"/>
    <s v="1330419"/>
    <s v=""/>
    <n v="4500"/>
    <n v="3600"/>
    <d v="2025-11-13T00:00:00"/>
    <x v="13"/>
    <n v="3600"/>
    <s v="1001"/>
    <s v="KG"/>
    <s v=""/>
    <s v="1541"/>
    <s v="REL  CNF  PRC  BASC BCRQ GMPS ILAS MACM*"/>
    <x v="7"/>
    <e v="#N/A"/>
    <e v="#REF!"/>
    <e v="#REF!"/>
    <e v="#REF!"/>
  </r>
  <r>
    <n v="10000001150"/>
    <s v="SLCT173+TBAZ330 SC Terbutilazin 200LT IT"/>
    <s v="0000009889"/>
    <d v="2025-11-17T00:00:00"/>
    <s v="1331111"/>
    <s v=""/>
    <n v="8600"/>
    <n v="7200"/>
    <d v="2025-11-10T00:00:00"/>
    <x v="13"/>
    <n v="0"/>
    <s v="1001"/>
    <s v="L"/>
    <s v=""/>
    <s v="1528"/>
    <s v="REL  CNF  PRC  BASC BCRQ GMPS ILAS MACM*"/>
    <x v="25"/>
    <s v="5 lIter"/>
    <e v="#REF!"/>
    <e v="#REF!"/>
    <e v="#REF!"/>
  </r>
  <r>
    <n v="50000000053"/>
    <s v="DELTA DAMASCONE CRUD 1.00 KG"/>
    <s v="0000012780"/>
    <d v="2025-11-16T00:00:00"/>
    <s v="1330402"/>
    <s v=""/>
    <n v="6000"/>
    <n v="6670"/>
    <d v="2025-11-06T00:00:00"/>
    <x v="13"/>
    <n v="0"/>
    <s v="1001"/>
    <s v="KG"/>
    <s v=""/>
    <s v="1141"/>
    <s v="REL  CNF  DLV  PRC  BASC BCRQ GMPS ILAS*"/>
    <x v="0"/>
    <e v="#N/A"/>
    <e v="#REF!"/>
    <e v="#REF!"/>
    <e v="#REF!"/>
  </r>
  <r>
    <n v="50000000091"/>
    <s v="GALIGAN IN TOLUENE ISO"/>
    <s v="0000009627"/>
    <d v="2025-11-15T00:00:00"/>
    <s v="1329726"/>
    <s v=""/>
    <n v="4800"/>
    <n v="4534"/>
    <d v="2025-11-04T00:00:00"/>
    <x v="13"/>
    <n v="0"/>
    <s v="1001"/>
    <s v="KG"/>
    <s v=""/>
    <s v="1125"/>
    <s v="REL  CNF  PRC  BASC BCRQ GMPS ILAS MACM*"/>
    <x v="11"/>
    <e v="#N/A"/>
    <e v="#REF!"/>
    <e v="#REF!"/>
    <e v="#REF!"/>
  </r>
  <r>
    <n v="20000000387"/>
    <s v="FRXP100FLSL3 SE 1000L"/>
    <s v="0000000431"/>
    <d v="2025-11-14T00:00:00"/>
    <s v="1330798"/>
    <s v=""/>
    <n v="8000"/>
    <n v="8000"/>
    <d v="2025-11-12T00:00:00"/>
    <x v="13"/>
    <n v="0"/>
    <s v="1001"/>
    <s v="L"/>
    <s v=""/>
    <s v="1124"/>
    <s v="REL  CNF  DLV  PRC  BASC BCRQ GMPS MANC*"/>
    <x v="3"/>
    <s v="24F"/>
    <e v="#REF!"/>
    <e v="#REF!"/>
    <e v="#REF!"/>
  </r>
  <r>
    <n v="20000006541"/>
    <s v="ETFM200PNMP200SC PHEN200+ETHO200GL 1000L"/>
    <s v="0000438743"/>
    <d v="2025-11-14T00:00:00"/>
    <s v="1330939"/>
    <s v=""/>
    <n v="7000"/>
    <n v="7000"/>
    <d v="2025-11-13T00:00:00"/>
    <x v="13"/>
    <n v="7000"/>
    <s v="1001"/>
    <s v="L"/>
    <s v=""/>
    <s v="1528"/>
    <s v="TECO CNF  DLV  PRC  BASC BCRQ GMPS MACM*"/>
    <x v="5"/>
    <n v="28"/>
    <e v="#REF!"/>
    <e v="#REF!"/>
    <e v="#REF!"/>
  </r>
  <r>
    <n v="30000000077"/>
    <s v="DRON970 TC DIUREX TECH MILLED 600 KG"/>
    <s v="0000053707"/>
    <d v="2025-11-14T00:00:00"/>
    <s v="1331605"/>
    <s v=""/>
    <n v="3600"/>
    <n v="3600"/>
    <d v="2025-11-12T00:00:00"/>
    <x v="13"/>
    <n v="3600"/>
    <s v="1001"/>
    <s v="KG"/>
    <s v=""/>
    <s v="1540"/>
    <s v="REL  CNF  DLV  PRC  BASC BCRQ GMPS MACM*"/>
    <x v="18"/>
    <e v="#N/A"/>
    <e v="#REF!"/>
    <e v="#REF!"/>
    <e v="#REF!"/>
  </r>
  <r>
    <n v="30000000077"/>
    <s v="DRON970 TC DIUREX TECH MILLED 600 KG"/>
    <s v="0000053708"/>
    <d v="2025-11-14T00:00:00"/>
    <s v="1331606"/>
    <s v=""/>
    <n v="3600"/>
    <n v="3600"/>
    <d v="2025-11-12T00:00:00"/>
    <x v="13"/>
    <n v="3600"/>
    <s v="1001"/>
    <s v="KG"/>
    <s v=""/>
    <s v="1540"/>
    <s v="REL  CNF  DLV  PRC  BASC BCRQ GMPS MACM*"/>
    <x v="18"/>
    <e v="#N/A"/>
    <e v="#REF!"/>
    <e v="#REF!"/>
    <e v="#REF!"/>
  </r>
  <r>
    <n v="50000000090"/>
    <s v="ETHOXY (GALIGAN) ISO"/>
    <s v="0000006084"/>
    <d v="2025-11-13T00:00:00"/>
    <s v="1329741"/>
    <s v=""/>
    <n v="1720"/>
    <n v="1704"/>
    <d v="2025-11-04T00:00:00"/>
    <x v="13"/>
    <n v="0"/>
    <s v="1001"/>
    <s v="KG"/>
    <s v=""/>
    <s v="1125"/>
    <s v="REL  CNF  PRC  BASC BCRQ GMPS ILAS MACM*"/>
    <x v="11"/>
    <e v="#N/A"/>
    <e v="#REF!"/>
    <e v="#REF!"/>
    <e v="#REF!"/>
  </r>
  <r>
    <n v="20000000609"/>
    <s v="MTMN525QNMC40 SC MTM 525+QUIN 40 1000 L"/>
    <s v="0000000939"/>
    <d v="2025-11-13T00:00:00"/>
    <s v="1331102"/>
    <s v=""/>
    <n v="7000"/>
    <n v="7000"/>
    <d v="2025-11-13T00:00:00"/>
    <x v="13"/>
    <n v="0"/>
    <s v="1001"/>
    <s v="L"/>
    <s v=""/>
    <s v="1528"/>
    <s v="TECO CNF  DLV  PRC  BASC BCRQ GMPS MACM*"/>
    <x v="5"/>
    <e v="#N/A"/>
    <e v="#REF!"/>
    <e v="#REF!"/>
    <e v="#REF!"/>
  </r>
  <r>
    <n v="20000000609"/>
    <s v="MTMN525QNMC40 SC MTM 525+QUIN 40 1000 L"/>
    <s v="0000000940"/>
    <d v="2025-11-13T00:00:00"/>
    <s v="1331103"/>
    <s v=""/>
    <n v="7000"/>
    <n v="5300"/>
    <d v="2025-11-13T00:00:00"/>
    <x v="13"/>
    <n v="0"/>
    <s v="1001"/>
    <s v="L"/>
    <s v=""/>
    <s v="1528"/>
    <s v="REL  CNF  PRC  BASC BCRQ GMPS MACM ORRQ*"/>
    <x v="5"/>
    <e v="#N/A"/>
    <e v="#REF!"/>
    <e v="#REF!"/>
    <e v="#REF!"/>
  </r>
  <r>
    <n v="20000000320"/>
    <s v="DRON800 WG DIUREX 80 WG 500 KG"/>
    <s v="0000004753"/>
    <d v="2025-11-13T00:00:00"/>
    <s v="1331758"/>
    <s v=""/>
    <n v="3000"/>
    <n v="3000"/>
    <d v="2025-11-13T00:00:00"/>
    <x v="13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54"/>
    <d v="2025-11-13T00:00:00"/>
    <s v="1331759"/>
    <s v=""/>
    <n v="3000"/>
    <n v="3000"/>
    <d v="2025-11-13T00:00:00"/>
    <x v="13"/>
    <n v="0"/>
    <s v="1001"/>
    <s v="KG"/>
    <s v=""/>
    <s v="1519"/>
    <s v="REL  CNF  DLV  PRC  BASC BCRQ GMPS ILAS*"/>
    <x v="8"/>
    <n v="19"/>
    <e v="#REF!"/>
    <e v="#REF!"/>
    <e v="#REF!"/>
  </r>
  <r>
    <n v="20000000320"/>
    <s v="DRON800 WG DIUREX 80 WG 500 KG"/>
    <s v="0000004755"/>
    <d v="2025-11-13T00:00:00"/>
    <s v="1331820"/>
    <s v=""/>
    <n v="3000"/>
    <n v="3000"/>
    <d v="2025-11-13T00:00:00"/>
    <x v="13"/>
    <n v="0"/>
    <s v="1001"/>
    <s v="KG"/>
    <s v=""/>
    <s v="1519"/>
    <s v="REL  CNF  DLV  PRC  BASC BCRQ GMPS ILAS*"/>
    <x v="8"/>
    <n v="19"/>
    <e v="#REF!"/>
    <e v="#REF!"/>
    <e v="#REF!"/>
  </r>
  <r>
    <n v="30000000108"/>
    <s v="CLTN950 TC TOLUREX TECH MILLED 200 KG"/>
    <s v="0000015855"/>
    <d v="2025-11-13T00:00:00"/>
    <s v="1331859"/>
    <s v=""/>
    <n v="1200"/>
    <n v="1200"/>
    <d v="2025-11-13T00:00:00"/>
    <x v="13"/>
    <n v="0"/>
    <s v="1001"/>
    <s v="KG"/>
    <s v=""/>
    <s v="1540"/>
    <s v="REL  CNF  DLV  PRC  BASC BCRQ GMPS ILAS*"/>
    <x v="28"/>
    <e v="#N/A"/>
    <e v="#REF!"/>
    <e v="#REF!"/>
    <e v="#REF!"/>
  </r>
  <r>
    <n v="30000000108"/>
    <s v="CLTN950 TC TOLUREX TECH MILLED 200 KG"/>
    <s v="0000015856"/>
    <d v="2025-11-13T00:00:00"/>
    <s v="1331860"/>
    <s v=""/>
    <n v="1200"/>
    <n v="1200"/>
    <d v="2025-11-13T00:00:00"/>
    <x v="13"/>
    <n v="0"/>
    <s v="1001"/>
    <s v="KG"/>
    <s v=""/>
    <s v="1540"/>
    <s v="REL  CNF  DLV  PRC  BASC BCRQ GMPS ILAS*"/>
    <x v="28"/>
    <e v="#N/A"/>
    <e v="#REF!"/>
    <e v="#REF!"/>
    <e v="#REF!"/>
  </r>
  <r>
    <n v="30000000108"/>
    <s v="CLTN950 TC TOLUREX TECH MILLED 200 KG"/>
    <s v="0000015857"/>
    <d v="2025-11-13T00:00:00"/>
    <s v="1331867"/>
    <s v=""/>
    <n v="1200"/>
    <n v="1200"/>
    <d v="2025-11-13T00:00:00"/>
    <x v="13"/>
    <n v="0"/>
    <s v="1001"/>
    <s v="KG"/>
    <s v=""/>
    <s v="1540"/>
    <s v="REL  CNF  DLV  PRC  BASC BCRQ GMPS ILAS*"/>
    <x v="28"/>
    <e v="#N/A"/>
    <e v="#REF!"/>
    <e v="#REF!"/>
    <e v="#REF!"/>
  </r>
  <r>
    <n v="30000000108"/>
    <s v="CLTN950 TC TOLUREX TECH MILLED 200 KG"/>
    <s v="0000015858"/>
    <d v="2025-11-13T00:00:00"/>
    <s v="1331868"/>
    <s v=""/>
    <n v="1200"/>
    <n v="1200"/>
    <d v="2025-11-14T00:00:00"/>
    <x v="13"/>
    <n v="0"/>
    <s v="1001"/>
    <s v="KG"/>
    <s v=""/>
    <s v="1540"/>
    <s v="REL  CNF  DLV  PRC  BASC BCRQ GMPS ILAS*"/>
    <x v="28"/>
    <e v="#N/A"/>
    <e v="#REF!"/>
    <e v="#REF!"/>
    <e v="#REF!"/>
  </r>
  <r>
    <n v="30000000108"/>
    <s v="CLTN950 TC TOLUREX TECH MILLED 200 KG"/>
    <s v="0000015859"/>
    <d v="2025-11-13T00:00:00"/>
    <s v="1331869"/>
    <s v=""/>
    <n v="1200"/>
    <n v="1200"/>
    <d v="2025-11-14T00:00:00"/>
    <x v="13"/>
    <n v="0"/>
    <s v="1001"/>
    <s v="KG"/>
    <s v=""/>
    <s v="1540"/>
    <s v="REL  DLV  PRC  BASC BCRQ GMPS ILAS MACM*"/>
    <x v="28"/>
    <e v="#N/A"/>
    <e v="#REF!"/>
    <e v="#REF!"/>
    <e v="#REF!"/>
  </r>
  <r>
    <n v="10000001151"/>
    <s v="SLCT173+TBAZ330 SC SULCOTREK 20 200LT ES"/>
    <s v="0000009989"/>
    <d v="2025-11-11T00:00:00"/>
    <s v="1331112"/>
    <s v=""/>
    <n v="7200"/>
    <n v="7200"/>
    <d v="2025-11-10T00:00:00"/>
    <x v="13"/>
    <n v="0"/>
    <s v="1001"/>
    <s v="L"/>
    <s v=""/>
    <s v="1528"/>
    <s v="REL  CNF  DLV  PRC  BASC BCRQ GMPS ILAS*"/>
    <x v="5"/>
    <n v="28"/>
    <e v="#REF!"/>
    <e v="#REF!"/>
    <e v="#REF!"/>
  </r>
  <r>
    <n v="10000001151"/>
    <s v="SLCT173+TBAZ330 SC SULCOTREK 20 200LT ES"/>
    <s v="0000009990"/>
    <d v="2025-11-11T00:00:00"/>
    <s v="1331113"/>
    <s v=""/>
    <n v="7200"/>
    <n v="6400"/>
    <d v="2025-11-10T00:00:00"/>
    <x v="13"/>
    <n v="0"/>
    <s v="1001"/>
    <s v="L"/>
    <s v=""/>
    <s v="1528"/>
    <s v="REL  CNF  PRC  BASC BCRQ GMPS ILAS MACM*"/>
    <x v="5"/>
    <n v="28"/>
    <e v="#REF!"/>
    <e v="#REF!"/>
    <e v="#REF!"/>
  </r>
  <r>
    <n v="20000000683"/>
    <s v="OXFF240 EC GALIGAN EC 240SP 200 L"/>
    <s v="0000061385"/>
    <d v="2025-11-10T00:00:00"/>
    <s v="1329279"/>
    <s v=""/>
    <n v="6000"/>
    <n v="9400"/>
    <d v="2025-11-03T00:00:00"/>
    <x v="13"/>
    <n v="0"/>
    <s v="1001"/>
    <s v="L"/>
    <s v=""/>
    <s v="1525"/>
    <s v="REL  DLV  PRC  BASC BCRQ GMPS ILAS MACM*"/>
    <x v="10"/>
    <e v="#N/A"/>
    <e v="#REF!"/>
    <e v="#REF!"/>
    <e v="#REF!"/>
  </r>
  <r>
    <n v="30000000071"/>
    <s v="DRON970 TC DIURON TECH Paint In 500KG IN"/>
    <s v="0000051250"/>
    <d v="2025-11-09T00:00:00"/>
    <s v="1330044"/>
    <s v=""/>
    <n v="3000"/>
    <n v="3000"/>
    <d v="2025-11-12T00:00:00"/>
    <x v="13"/>
    <n v="3000"/>
    <s v="1001"/>
    <s v="KG"/>
    <s v=""/>
    <s v="1540"/>
    <s v="REL  CNF  DLV  PRC  BASC BCRQ GMPS MACM*"/>
    <x v="18"/>
    <e v="#N/A"/>
    <e v="#REF!"/>
    <e v="#REF!"/>
    <e v="#REF!"/>
  </r>
  <r>
    <n v="30000000071"/>
    <s v="DRON970 TC DIURON TECH Paint In 500KG IN"/>
    <s v="0000051251"/>
    <d v="2025-11-09T00:00:00"/>
    <s v="1330045"/>
    <s v=""/>
    <n v="3000"/>
    <n v="3000"/>
    <d v="2025-11-12T00:00:00"/>
    <x v="13"/>
    <n v="0"/>
    <s v="1001"/>
    <s v="KG"/>
    <s v=""/>
    <s v="1540"/>
    <s v="REL  PCNF DLV  PRC  BASC BCRQ GMPS MACM*"/>
    <x v="18"/>
    <e v="#N/A"/>
    <e v="#REF!"/>
    <e v="#REF!"/>
    <e v="#REF!"/>
  </r>
  <r>
    <n v="30000000071"/>
    <s v="DRON970 TC DIURON TECH Paint In 500KG IN"/>
    <s v="0000051252"/>
    <d v="2025-11-09T00:00:00"/>
    <s v="1330046"/>
    <s v=""/>
    <n v="3000"/>
    <n v="3000"/>
    <d v="2025-11-12T00:00:00"/>
    <x v="13"/>
    <n v="0"/>
    <s v="1001"/>
    <s v="KG"/>
    <s v=""/>
    <s v="1540"/>
    <s v="REL  DLV  PRC  BASC BCRQ GMPS MACM ORRQ*"/>
    <x v="18"/>
    <e v="#N/A"/>
    <e v="#REF!"/>
    <e v="#REF!"/>
    <e v="#REF!"/>
  </r>
  <r>
    <n v="20000000722"/>
    <s v="PNDM400 CS PENDIMETHALINE 400CS 200 L"/>
    <s v="0000069450"/>
    <d v="2025-11-09T00:00:00"/>
    <s v="1330167"/>
    <s v=""/>
    <n v="3600"/>
    <n v="3800"/>
    <d v="2025-11-05T00:00:00"/>
    <x v="13"/>
    <n v="0"/>
    <s v="1001"/>
    <s v="L"/>
    <s v=""/>
    <s v="1525"/>
    <s v="REL  DLV  PRC  BASC BCRQ GMPS MANC ORRQ*"/>
    <x v="2"/>
    <e v="#N/A"/>
    <e v="#REF!"/>
    <e v="#REF!"/>
    <e v="#REF!"/>
  </r>
  <r>
    <n v="10000000913"/>
    <s v="PPQZ100 EC FALCON MK Lt. 5 Direct 5LT IT"/>
    <s v="0000006592"/>
    <d v="2025-11-08T00:00:00"/>
    <s v="1327491"/>
    <s v="211016322"/>
    <n v="3600"/>
    <n v="3600"/>
    <d v="2025-11-09T00:00:00"/>
    <x v="13"/>
    <n v="3600"/>
    <s v="1001"/>
    <s v="L"/>
    <s v=""/>
    <s v="1543"/>
    <s v="TECO PRT  CNF  DLV  PRC  BASC BCRQ GMPS*"/>
    <x v="12"/>
    <n v="5"/>
    <e v="#REF!"/>
    <e v="#REF!"/>
    <e v="#REF!"/>
  </r>
  <r>
    <n v="50000000108"/>
    <s v="PROPAQUIZAFOP PRMX25 1000 KG"/>
    <s v="0000003520"/>
    <d v="2025-11-07T00:00:00"/>
    <s v="1329750"/>
    <s v=""/>
    <n v="8000"/>
    <n v="7000"/>
    <d v="2025-11-04T00:00:00"/>
    <x v="13"/>
    <n v="0"/>
    <s v="1001"/>
    <s v="KG"/>
    <s v=""/>
    <s v="1525"/>
    <s v="REL  CNF  PRC  BASC BCRQ GMPS ILAS MACM*"/>
    <x v="19"/>
    <e v="#N/A"/>
    <e v="#REF!"/>
    <e v="#REF!"/>
    <e v="#REF!"/>
  </r>
  <r>
    <n v="30000000108"/>
    <s v="CLTN950 TC TOLUREX TECH MILLED 200 KG"/>
    <s v="0000015854"/>
    <d v="2025-11-06T00:00:00"/>
    <s v="1330461"/>
    <s v=""/>
    <n v="1200"/>
    <n v="1200"/>
    <d v="2025-11-12T00:00:00"/>
    <x v="13"/>
    <n v="0"/>
    <s v="1001"/>
    <s v="KG"/>
    <s v=""/>
    <s v="1540"/>
    <s v="REL  CNF  DLV  PRC  BASC BCRQ GMPS ILAS*"/>
    <x v="28"/>
    <e v="#N/A"/>
    <e v="#REF!"/>
    <e v="#REF!"/>
    <e v="#REF!"/>
  </r>
  <r>
    <n v="20000000778"/>
    <s v="QZLF50 EC QUIZALOFOP 5 EC SS 1000 L"/>
    <s v="0000001399"/>
    <d v="2025-11-01T00:00:00"/>
    <s v="1326096"/>
    <s v=""/>
    <n v="12000"/>
    <n v="11000"/>
    <d v="2025-11-13T00:00:00"/>
    <x v="13"/>
    <n v="11000"/>
    <s v="1001"/>
    <s v="L"/>
    <s v=""/>
    <s v="1523"/>
    <s v="REL  CNF  PRC  BASC BCRQ GMPS MACM ORRQ*"/>
    <x v="4"/>
    <n v="23"/>
    <e v="#REF!"/>
    <e v="#REF!"/>
    <e v="#REF!"/>
  </r>
  <r>
    <n v="10000008011"/>
    <s v="MTMN350+QNMC60 SC DAZAGO 10 LT 10LT FR"/>
    <s v="0000000102"/>
    <d v="2025-11-01T00:00:00"/>
    <s v="1327447"/>
    <s v="211016255"/>
    <n v="12000"/>
    <n v="12000"/>
    <d v="2025-10-28T00:00:00"/>
    <x v="13"/>
    <n v="12000"/>
    <s v="1001"/>
    <s v="L"/>
    <s v=""/>
    <s v="1542"/>
    <s v="REL  PRT  CNF  DLV  PRC  BASC BCRQ GMPS*"/>
    <x v="17"/>
    <n v="10"/>
    <e v="#REF!"/>
    <e v="#REF!"/>
    <e v="#REF!"/>
  </r>
  <r>
    <n v="10000000912"/>
    <s v="PPQZ100 EC AGIL 5L direct ITALY 5LT IT"/>
    <s v="0000006525"/>
    <d v="2025-11-01T00:00:00"/>
    <s v="1327494"/>
    <s v="211016324"/>
    <n v="12000"/>
    <n v="12000"/>
    <d v="2025-11-09T00:00:00"/>
    <x v="13"/>
    <n v="12000"/>
    <s v="1001"/>
    <s v="L"/>
    <s v=""/>
    <s v="1543"/>
    <s v="TECO CNF  DLV  PRC  BASC BCRQ GMPS MANC*"/>
    <x v="12"/>
    <n v="5"/>
    <e v="#REF!"/>
    <e v="#REF!"/>
    <e v="#REF!"/>
  </r>
  <r>
    <n v="20000004929"/>
    <s v="FRXP250 EC FLUROXYPYR 250 S 200 L (NEW)"/>
    <s v="0000328288"/>
    <d v="2025-11-01T00:00:00"/>
    <s v="1329371"/>
    <s v=""/>
    <n v="15000"/>
    <n v="9960"/>
    <d v="2025-11-04T00:00:00"/>
    <x v="13"/>
    <n v="0"/>
    <s v="1001"/>
    <s v="L"/>
    <s v=""/>
    <s v="1525"/>
    <s v="REL  DLV  PRC  BASC BCRQ GMPS MANC ORRQ*"/>
    <x v="4"/>
    <n v="23"/>
    <e v="#REF!"/>
    <e v="#REF!"/>
    <e v="#REF!"/>
  </r>
  <r>
    <n v="10000001434"/>
    <s v="DELTA DAMASCONE 180KG"/>
    <s v="0000010181"/>
    <d v="2025-11-01T00:00:00"/>
    <s v="1330386"/>
    <s v=""/>
    <n v="7200"/>
    <n v="6480"/>
    <d v="2025-11-09T00:00:00"/>
    <x v="13"/>
    <n v="0"/>
    <s v="1001"/>
    <s v="KG"/>
    <s v=""/>
    <s v="1541"/>
    <s v="REL  CNF  PRC  BASC BCRQ GMPS ILAS MACM*"/>
    <x v="24"/>
    <e v="#N/A"/>
    <e v="#REF!"/>
    <e v="#REF!"/>
    <e v="#REF!"/>
  </r>
  <r>
    <n v="10000009747"/>
    <s v="BR20FR80+MCPA20EC FORCFIGHT ALL1000LT CA"/>
    <s v="0000000196"/>
    <d v="2025-11-01T00:00:00"/>
    <s v="1330780"/>
    <s v=""/>
    <n v="10000"/>
    <n v="10000"/>
    <d v="2025-11-13T00:00:00"/>
    <x v="13"/>
    <n v="10000"/>
    <s v="1001"/>
    <s v="L"/>
    <s v=""/>
    <s v="1523"/>
    <s v="REL  CNF  DLV  PRC  BASC BCRQ GMPS MANC*"/>
    <x v="4"/>
    <n v="23"/>
    <e v="#REF!"/>
    <e v="#REF!"/>
    <e v="#REF!"/>
  </r>
  <r>
    <n v="10000000401"/>
    <s v="DRON540+HZNN67 WG JUMP 5KG BRASIL 5KG BR"/>
    <s v="0000016432"/>
    <d v="2025-10-31T00:00:00"/>
    <s v="1326833"/>
    <s v=""/>
    <n v="2880"/>
    <n v="2880"/>
    <d v="2025-11-13T00:00:00"/>
    <x v="13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433"/>
    <d v="2025-10-31T00:00:00"/>
    <s v="1326834"/>
    <s v=""/>
    <n v="2880"/>
    <n v="2880"/>
    <d v="2025-11-13T00:00:00"/>
    <x v="13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431"/>
    <d v="2025-10-01T00:00:00"/>
    <s v="1326832"/>
    <s v=""/>
    <n v="2880"/>
    <n v="2880"/>
    <d v="2025-11-13T00:00:00"/>
    <x v="13"/>
    <n v="0"/>
    <s v="1001"/>
    <s v="KG"/>
    <s v=""/>
    <s v="1519"/>
    <s v="REL  CNF  DLV  PRC  BASC BCRQ GMPS ILAS*"/>
    <x v="8"/>
    <s v="19P"/>
    <e v="#REF!"/>
    <e v="#REF!"/>
    <e v="#REF!"/>
  </r>
  <r>
    <n v="20000005837"/>
    <s v="CLTN500 SC TOLUREX 50 SC 1000LT"/>
    <s v="0000000231"/>
    <d v="2025-12-27T00:00:00"/>
    <s v="1331094"/>
    <s v=""/>
    <n v="7000"/>
    <n v="7000"/>
    <d v="2025-11-14T00:00:00"/>
    <x v="14"/>
    <n v="7000"/>
    <s v="1001"/>
    <s v="L"/>
    <s v=""/>
    <s v="1528"/>
    <s v="REL  CNF  DLV  PRC  BASC BCRQ GMPS MACM*"/>
    <x v="5"/>
    <n v="28"/>
    <e v="#REF!"/>
    <e v="#REF!"/>
    <e v="#REF!"/>
  </r>
  <r>
    <n v="10000000898"/>
    <s v="PPQZ100 EC FALCON NMP FREE DUAL 5LT UK"/>
    <s v="0000005148"/>
    <d v="2025-12-02T00:00:00"/>
    <s v="1329351"/>
    <s v="211016243"/>
    <n v="9600"/>
    <n v="9600"/>
    <d v="2025-11-09T00:00:00"/>
    <x v="14"/>
    <n v="9600"/>
    <s v="1001"/>
    <s v="L"/>
    <s v=""/>
    <s v="1543"/>
    <s v="REL  PRT  CNF  DLV  PRC  BASC BCRQ GMPS*"/>
    <x v="12"/>
    <n v="5"/>
    <e v="#REF!"/>
    <e v="#REF!"/>
    <e v="#REF!"/>
  </r>
  <r>
    <n v="30000000097"/>
    <s v="MTZC735 TC METAZACHLR T WT CRUD 600 KG"/>
    <s v="0000009024"/>
    <d v="2025-11-29T00:00:00"/>
    <s v="1330369"/>
    <s v=""/>
    <n v="2800"/>
    <n v="2515"/>
    <d v="2025-11-06T00:00:00"/>
    <x v="14"/>
    <n v="0"/>
    <s v="1001"/>
    <s v="KG"/>
    <s v=""/>
    <s v="1541"/>
    <s v="REL  CNF  PRC  BASC BCRQ GMPS ILAS MACM*"/>
    <x v="13"/>
    <e v="#N/A"/>
    <e v="#REF!"/>
    <e v="#REF!"/>
    <e v="#REF!"/>
  </r>
  <r>
    <n v="30000000097"/>
    <s v="MTZC735 TC METAZACHLR T WT CRUD 600 KG"/>
    <s v="0000009025"/>
    <d v="2025-11-29T00:00:00"/>
    <s v="1330370"/>
    <s v=""/>
    <n v="2800"/>
    <n v="2600"/>
    <d v="2025-11-06T00:00:00"/>
    <x v="14"/>
    <n v="0"/>
    <s v="1001"/>
    <s v="KG"/>
    <s v=""/>
    <s v="1541"/>
    <s v="REL  CNF  PRC  BASC BCRQ GMPS ILAS MACM*"/>
    <x v="13"/>
    <e v="#N/A"/>
    <e v="#REF!"/>
    <e v="#REF!"/>
    <e v="#REF!"/>
  </r>
  <r>
    <n v="10000000442"/>
    <s v="DRON800 WG DIUREX 80WG ID THAIL 500KG TH"/>
    <s v="0000017087"/>
    <d v="2025-11-24T00:00:00"/>
    <s v="1332097"/>
    <s v=""/>
    <n v="2500"/>
    <n v="2500"/>
    <d v="2025-11-14T00:00:00"/>
    <x v="14"/>
    <n v="2500"/>
    <s v="1001"/>
    <s v="KG"/>
    <s v=""/>
    <s v="1519"/>
    <s v="REL  CNF  DLV  PRC  BASC BCRQ GMPS MANC*"/>
    <x v="8"/>
    <n v="19"/>
    <e v="#REF!"/>
    <e v="#REF!"/>
    <e v="#REF!"/>
  </r>
  <r>
    <n v="10000000442"/>
    <s v="DRON800 WG DIUREX 80WG ID THAIL 500KG TH"/>
    <s v="0000017088"/>
    <d v="2025-11-24T00:00:00"/>
    <s v="1332098"/>
    <s v=""/>
    <n v="2500"/>
    <n v="2500"/>
    <d v="2025-11-14T00:00:00"/>
    <x v="14"/>
    <n v="2500"/>
    <s v="1001"/>
    <s v="KG"/>
    <s v=""/>
    <s v="1519"/>
    <s v="REL  CNF  DLV  PRC  BASC BCRQ GMPS MANC*"/>
    <x v="8"/>
    <n v="19"/>
    <e v="#REF!"/>
    <e v="#REF!"/>
    <e v="#REF!"/>
  </r>
  <r>
    <n v="10000000442"/>
    <s v="DRON800 WG DIUREX 80WG ID THAIL 500KG TH"/>
    <s v="0000017089"/>
    <d v="2025-11-24T00:00:00"/>
    <s v="1332099"/>
    <s v=""/>
    <n v="2500"/>
    <n v="2500"/>
    <d v="2025-11-15T00:00:00"/>
    <x v="14"/>
    <n v="2500"/>
    <s v="1001"/>
    <s v="KG"/>
    <s v=""/>
    <s v="1519"/>
    <s v="REL  CNF  DLV  PRC  BASC BCRQ GMPS MANC*"/>
    <x v="8"/>
    <n v="19"/>
    <e v="#REF!"/>
    <e v="#REF!"/>
    <e v="#REF!"/>
  </r>
  <r>
    <n v="10000000442"/>
    <s v="DRON800 WG DIUREX 80WG ID THAIL 500KG TH"/>
    <s v="0000017090"/>
    <d v="2025-11-24T00:00:00"/>
    <s v="1332200"/>
    <s v=""/>
    <n v="2500"/>
    <n v="2500"/>
    <d v="2025-11-15T00:00:00"/>
    <x v="14"/>
    <n v="2500"/>
    <s v="1001"/>
    <s v="KG"/>
    <s v=""/>
    <s v="1519"/>
    <s v="REL  CNF  DLV  PRC  BASC BCRQ GMPS MANC*"/>
    <x v="8"/>
    <n v="19"/>
    <e v="#REF!"/>
    <e v="#REF!"/>
    <e v="#REF!"/>
  </r>
  <r>
    <n v="10000000442"/>
    <s v="DRON800 WG DIUREX 80WG ID THAIL 500KG TH"/>
    <s v="0000017091"/>
    <d v="2025-11-24T00:00:00"/>
    <s v="1332201"/>
    <s v=""/>
    <n v="2500"/>
    <n v="2500"/>
    <d v="2025-11-15T00:00:00"/>
    <x v="14"/>
    <n v="2500"/>
    <s v="1001"/>
    <s v="KG"/>
    <s v=""/>
    <s v="1519"/>
    <s v="REL  CNF  DLV  PRC  BASC BCRQ GMPS MANC*"/>
    <x v="8"/>
    <n v="19"/>
    <e v="#REF!"/>
    <e v="#REF!"/>
    <e v="#REF!"/>
  </r>
  <r>
    <n v="10000000442"/>
    <s v="DRON800 WG DIUREX 80WG ID THAIL 500KG TH"/>
    <s v="0000017092"/>
    <d v="2025-11-24T00:00:00"/>
    <s v="1332202"/>
    <s v=""/>
    <n v="2500"/>
    <n v="2500"/>
    <d v="2025-11-15T00:00:00"/>
    <x v="14"/>
    <n v="2500"/>
    <s v="1001"/>
    <s v="KG"/>
    <s v=""/>
    <s v="1519"/>
    <s v="REL  CNF  DLV  PRC  BASC BCRQ GMPS MANC*"/>
    <x v="8"/>
    <n v="19"/>
    <e v="#REF!"/>
    <e v="#REF!"/>
    <e v="#REF!"/>
  </r>
  <r>
    <n v="10000000442"/>
    <s v="DRON800 WG DIUREX 80WG ID THAIL 500KG TH"/>
    <s v="0000017093"/>
    <d v="2025-11-24T00:00:00"/>
    <s v="1332203"/>
    <s v=""/>
    <n v="2500"/>
    <n v="2500"/>
    <d v="2025-11-15T00:00:00"/>
    <x v="14"/>
    <n v="2500"/>
    <s v="1001"/>
    <s v="KG"/>
    <s v=""/>
    <s v="1519"/>
    <s v="REL  CNF  DLV  PRC  BASC BCRQ GMPS MANC*"/>
    <x v="8"/>
    <n v="19"/>
    <e v="#REF!"/>
    <e v="#REF!"/>
    <e v="#REF!"/>
  </r>
  <r>
    <n v="10000000442"/>
    <s v="DRON800 WG DIUREX 80WG ID THAIL 500KG TH"/>
    <s v="0000017094"/>
    <d v="2025-11-24T00:00:00"/>
    <s v="1332204"/>
    <s v=""/>
    <n v="2500"/>
    <n v="2500"/>
    <d v="2025-11-15T00:00:00"/>
    <x v="14"/>
    <n v="2500"/>
    <s v="1001"/>
    <s v="KG"/>
    <s v=""/>
    <s v="1519"/>
    <s v="REL  CNF  DLV  PRC  BASC BCRQ GMPS MANC*"/>
    <x v="8"/>
    <n v="19"/>
    <e v="#REF!"/>
    <e v="#REF!"/>
    <e v="#REF!"/>
  </r>
  <r>
    <n v="10000000442"/>
    <s v="DRON800 WG DIUREX 80WG ID THAIL 500KG TH"/>
    <s v="0000017095"/>
    <d v="2025-11-24T00:00:00"/>
    <s v="1332205"/>
    <s v=""/>
    <n v="2500"/>
    <n v="2500"/>
    <d v="2025-11-15T00:00:00"/>
    <x v="14"/>
    <n v="2500"/>
    <s v="1001"/>
    <s v="KG"/>
    <s v=""/>
    <s v="1519"/>
    <s v="REL  CNF  DLV  PRC  BASC BCRQ GMPS MANC*"/>
    <x v="8"/>
    <n v="19"/>
    <e v="#REF!"/>
    <e v="#REF!"/>
    <e v="#REF!"/>
  </r>
  <r>
    <n v="10000000442"/>
    <s v="DRON800 WG DIUREX 80WG ID THAIL 500KG TH"/>
    <s v="0000017096"/>
    <d v="2025-11-24T00:00:00"/>
    <s v="1332206"/>
    <s v=""/>
    <n v="2500"/>
    <n v="2500"/>
    <d v="2025-11-15T00:00:00"/>
    <x v="14"/>
    <n v="2500"/>
    <s v="1001"/>
    <s v="KG"/>
    <s v=""/>
    <s v="1519"/>
    <s v="REL  CNF  DLV  PRC  BASC BCRQ GMPS MANC*"/>
    <x v="8"/>
    <n v="19"/>
    <e v="#REF!"/>
    <e v="#REF!"/>
    <e v="#REF!"/>
  </r>
  <r>
    <n v="10000000442"/>
    <s v="DRON800 WG DIUREX 80WG ID THAIL 500KG TH"/>
    <s v="0000017097"/>
    <d v="2025-11-24T00:00:00"/>
    <s v="1332207"/>
    <s v=""/>
    <n v="2500"/>
    <n v="2500"/>
    <d v="2025-11-15T00:00:00"/>
    <x v="14"/>
    <n v="2500"/>
    <s v="1001"/>
    <s v="KG"/>
    <s v=""/>
    <s v="1519"/>
    <s v="REL  CNF  DLV  PRC  BASC BCRQ GMPS MANC*"/>
    <x v="8"/>
    <n v="19"/>
    <e v="#REF!"/>
    <e v="#REF!"/>
    <e v="#REF!"/>
  </r>
  <r>
    <n v="10000000442"/>
    <s v="DRON800 WG DIUREX 80WG ID THAIL 500KG TH"/>
    <s v="0000017098"/>
    <d v="2025-11-24T00:00:00"/>
    <s v="1332208"/>
    <s v=""/>
    <n v="2500"/>
    <n v="2500"/>
    <d v="2025-11-15T00:00:00"/>
    <x v="14"/>
    <n v="2500"/>
    <s v="1001"/>
    <s v="KG"/>
    <s v=""/>
    <s v="1519"/>
    <s v="REL  CNF  DLV  PRC  BASC BCRQ GMPS MANC*"/>
    <x v="8"/>
    <n v="19"/>
    <e v="#REF!"/>
    <e v="#REF!"/>
    <e v="#REF!"/>
  </r>
  <r>
    <n v="10000000442"/>
    <s v="DRON800 WG DIUREX 80WG ID THAIL 500KG TH"/>
    <s v="0000017099"/>
    <d v="2025-11-24T00:00:00"/>
    <s v="1332209"/>
    <s v=""/>
    <n v="2500"/>
    <n v="2500"/>
    <d v="2025-11-15T00:00:00"/>
    <x v="14"/>
    <n v="2500"/>
    <s v="1001"/>
    <s v="KG"/>
    <s v=""/>
    <s v="1519"/>
    <s v="REL  CNF  DLV  PRC  BASC BCRQ GMPS MANC*"/>
    <x v="8"/>
    <n v="19"/>
    <e v="#REF!"/>
    <e v="#REF!"/>
    <e v="#REF!"/>
  </r>
  <r>
    <n v="10000000442"/>
    <s v="DRON800 WG DIUREX 80WG ID THAIL 500KG TH"/>
    <s v="0000017100"/>
    <d v="2025-11-24T00:00:00"/>
    <s v="1332210"/>
    <s v=""/>
    <n v="2500"/>
    <n v="2500"/>
    <d v="2025-11-15T00:00:00"/>
    <x v="14"/>
    <n v="2500"/>
    <s v="1001"/>
    <s v="KG"/>
    <s v=""/>
    <s v="1519"/>
    <s v="REL  CNF  DLV  PRC  BASC BCRQ GMPS MANC*"/>
    <x v="8"/>
    <n v="19"/>
    <e v="#REF!"/>
    <e v="#REF!"/>
    <e v="#REF!"/>
  </r>
  <r>
    <n v="10000000442"/>
    <s v="DRON800 WG DIUREX 80WG ID THAIL 500KG TH"/>
    <s v="0000017101"/>
    <d v="2025-11-24T00:00:00"/>
    <s v="1332211"/>
    <s v=""/>
    <n v="2500"/>
    <n v="2500"/>
    <d v="2025-11-15T00:00:00"/>
    <x v="14"/>
    <n v="2500"/>
    <s v="1001"/>
    <s v="KG"/>
    <s v=""/>
    <s v="1519"/>
    <s v="REL  CNF  DLV  PRC  BASC BCRQ GMPS MANC*"/>
    <x v="8"/>
    <n v="19"/>
    <e v="#REF!"/>
    <e v="#REF!"/>
    <e v="#REF!"/>
  </r>
  <r>
    <n v="10000000442"/>
    <s v="DRON800 WG DIUREX 80WG ID THAIL 500KG TH"/>
    <s v="0000017102"/>
    <d v="2025-11-24T00:00:00"/>
    <s v="1332212"/>
    <s v=""/>
    <n v="2500"/>
    <n v="2500"/>
    <d v="2025-11-15T00:00:00"/>
    <x v="14"/>
    <n v="2500"/>
    <s v="1001"/>
    <s v="KG"/>
    <s v=""/>
    <s v="1519"/>
    <s v="REL  CNF  DLV  PRC  BASC BCRQ GMPS MANC*"/>
    <x v="8"/>
    <n v="19"/>
    <e v="#REF!"/>
    <e v="#REF!"/>
    <e v="#REF!"/>
  </r>
  <r>
    <n v="10000000442"/>
    <s v="DRON800 WG DIUREX 80WG ID THAIL 500KG TH"/>
    <s v="0000017103"/>
    <d v="2025-11-24T00:00:00"/>
    <s v="1332213"/>
    <s v=""/>
    <n v="2500"/>
    <n v="2500"/>
    <d v="2025-11-15T00:00:00"/>
    <x v="14"/>
    <n v="2500"/>
    <s v="1001"/>
    <s v="KG"/>
    <s v=""/>
    <s v="1519"/>
    <s v="REL  CNF  DLV  PRC  BASC BCRQ GMPS MANC*"/>
    <x v="8"/>
    <n v="19"/>
    <e v="#REF!"/>
    <e v="#REF!"/>
    <e v="#REF!"/>
  </r>
  <r>
    <n v="10000000442"/>
    <s v="DRON800 WG DIUREX 80WG ID THAIL 500KG TH"/>
    <s v="0000017104"/>
    <d v="2025-11-24T00:00:00"/>
    <s v="1332214"/>
    <s v=""/>
    <n v="2500"/>
    <n v="2500"/>
    <d v="2025-11-15T00:00:00"/>
    <x v="14"/>
    <n v="2500"/>
    <s v="1001"/>
    <s v="KG"/>
    <s v=""/>
    <s v="1519"/>
    <s v="REL  CNF  DLV  PRC  BASC BCRQ GMPS MANC*"/>
    <x v="8"/>
    <n v="19"/>
    <e v="#REF!"/>
    <e v="#REF!"/>
    <e v="#REF!"/>
  </r>
  <r>
    <n v="10000000442"/>
    <s v="DRON800 WG DIUREX 80WG ID THAIL 500KG TH"/>
    <s v="0000017105"/>
    <d v="2025-11-24T00:00:00"/>
    <s v="1332215"/>
    <s v=""/>
    <n v="2500"/>
    <n v="2500"/>
    <d v="2025-11-15T00:00:00"/>
    <x v="14"/>
    <n v="2500"/>
    <s v="1001"/>
    <s v="KG"/>
    <s v=""/>
    <s v="1519"/>
    <s v="REL  CNF  DLV  PRC  BASC BCRQ GMPS MANC*"/>
    <x v="8"/>
    <n v="19"/>
    <e v="#REF!"/>
    <e v="#REF!"/>
    <e v="#REF!"/>
  </r>
  <r>
    <n v="30000000076"/>
    <s v="DRON970 TC DIUREX TECH MILLED 550 KG"/>
    <s v="0000151717"/>
    <d v="2025-11-20T00:00:00"/>
    <s v="1331667"/>
    <s v=""/>
    <n v="3300"/>
    <n v="3300"/>
    <d v="2025-11-12T00:00:00"/>
    <x v="14"/>
    <n v="0"/>
    <s v="1001"/>
    <s v="KG"/>
    <s v=""/>
    <s v="1540"/>
    <s v="REL  PCNF DLV  PRC  BASC BCRQ GMPS MACM*"/>
    <x v="18"/>
    <e v="#N/A"/>
    <e v="#REF!"/>
    <e v="#REF!"/>
    <e v="#REF!"/>
  </r>
  <r>
    <n v="50000000082"/>
    <s v="NANA 225.00 KG"/>
    <s v="0000136148"/>
    <d v="2025-11-18T00:00:00"/>
    <s v="1330420"/>
    <s v=""/>
    <n v="4500"/>
    <n v="3600"/>
    <d v="2025-11-13T00:00:00"/>
    <x v="14"/>
    <n v="0"/>
    <s v="1001"/>
    <s v="KG"/>
    <s v=""/>
    <s v="1541"/>
    <s v="REL  PCNF PRC  BASC BCRQ GMPS ILAS MACM*"/>
    <x v="7"/>
    <e v="#N/A"/>
    <e v="#REF!"/>
    <e v="#REF!"/>
    <e v="#REF!"/>
  </r>
  <r>
    <n v="50000000082"/>
    <s v="NANA 225.00 KG"/>
    <s v="0000136149"/>
    <d v="2025-11-18T00:00:00"/>
    <s v="1330421"/>
    <s v=""/>
    <n v="4500"/>
    <n v="3825"/>
    <d v="2025-11-13T00:00:00"/>
    <x v="14"/>
    <n v="3825"/>
    <s v="1001"/>
    <s v="KG"/>
    <s v=""/>
    <s v="1541"/>
    <s v="REL  CNF  PRC  BASC BCRQ GMPS ILAS MACM*"/>
    <x v="7"/>
    <e v="#N/A"/>
    <e v="#REF!"/>
    <e v="#REF!"/>
    <e v="#REF!"/>
  </r>
  <r>
    <n v="30000000076"/>
    <s v="DRON970 TC DIUREX TECH MILLED 550 KG"/>
    <s v="0000151719"/>
    <d v="2025-11-17T00:00:00"/>
    <s v="1331669"/>
    <s v=""/>
    <n v="3300"/>
    <n v="3300"/>
    <d v="2025-11-12T00:00:00"/>
    <x v="14"/>
    <n v="0"/>
    <s v="1001"/>
    <s v="KG"/>
    <s v=""/>
    <s v="1540"/>
    <s v="REL  PCNF DLV  PRC  BASC BCRQ GMPS MACM*"/>
    <x v="18"/>
    <e v="#N/A"/>
    <e v="#REF!"/>
    <e v="#REF!"/>
    <e v="#REF!"/>
  </r>
  <r>
    <n v="20000000387"/>
    <s v="FRXP100FLSL3 SE 1000L"/>
    <s v="0000000432"/>
    <d v="2025-11-15T00:00:00"/>
    <s v="1330799"/>
    <s v=""/>
    <n v="8000"/>
    <n v="8000"/>
    <d v="2025-11-14T00:00:00"/>
    <x v="14"/>
    <n v="0"/>
    <s v="1001"/>
    <s v="L"/>
    <s v=""/>
    <s v="1124"/>
    <s v="REL  CNF  DLV  PRC  BASC BCRQ GMPS MANC*"/>
    <x v="3"/>
    <s v="24F"/>
    <e v="#REF!"/>
    <e v="#REF!"/>
    <e v="#REF!"/>
  </r>
  <r>
    <n v="20000006541"/>
    <s v="ETFM200PNMP200SC PHEN200+ETHO200GL 1000L"/>
    <s v="0000438744"/>
    <d v="2025-11-14T00:00:00"/>
    <s v="1330940"/>
    <s v=""/>
    <n v="7000"/>
    <n v="7000"/>
    <d v="2025-11-14T00:00:00"/>
    <x v="14"/>
    <n v="7000"/>
    <s v="1001"/>
    <s v="L"/>
    <s v=""/>
    <s v="1528"/>
    <s v="REL  CNF  DLV  PRC  BASC BCRQ GMPS MACM*"/>
    <x v="5"/>
    <n v="28"/>
    <e v="#REF!"/>
    <e v="#REF!"/>
    <e v="#REF!"/>
  </r>
  <r>
    <n v="20000006541"/>
    <s v="ETFM200PNMP200SC PHEN200+ETHO200GL 1000L"/>
    <s v="0000438745"/>
    <d v="2025-11-14T00:00:00"/>
    <s v="1330941"/>
    <s v=""/>
    <n v="7000"/>
    <n v="8000"/>
    <d v="2025-11-14T00:00:00"/>
    <x v="14"/>
    <n v="8000"/>
    <s v="1001"/>
    <s v="L"/>
    <s v=""/>
    <s v="1528"/>
    <s v="REL  CNF  DLV  PRC  BASC BCRQ GMPS MACM*"/>
    <x v="5"/>
    <n v="28"/>
    <e v="#REF!"/>
    <e v="#REF!"/>
    <e v="#REF!"/>
  </r>
  <r>
    <n v="20000005837"/>
    <s v="CLTN500 SC TOLUREX 50 SC 1000LT"/>
    <s v="0000000232"/>
    <d v="2025-11-14T00:00:00"/>
    <s v="1331095"/>
    <s v=""/>
    <n v="8000"/>
    <n v="8000"/>
    <d v="2025-11-14T00:00:00"/>
    <x v="14"/>
    <n v="8000"/>
    <s v="1001"/>
    <s v="L"/>
    <s v=""/>
    <s v="1528"/>
    <s v="REL  CNF  DLV  PRC  BASC BCRQ GMPS MANC*"/>
    <x v="5"/>
    <n v="28"/>
    <e v="#REF!"/>
    <e v="#REF!"/>
    <e v="#REF!"/>
  </r>
  <r>
    <n v="10000001150"/>
    <s v="SLCT173+TBAZ330 SC Terbutilazin 200LT IT"/>
    <s v="0000009890"/>
    <d v="2025-11-14T00:00:00"/>
    <s v="1332012"/>
    <s v=""/>
    <n v="6400"/>
    <n v="1400"/>
    <d v="2025-11-14T00:00:00"/>
    <x v="14"/>
    <n v="0"/>
    <s v="1001"/>
    <s v="L"/>
    <s v=""/>
    <s v="1528"/>
    <s v="REL  CNF  PRC  BASC BCRQ GMPS ILAS MACM*"/>
    <x v="25"/>
    <s v="5 lIter"/>
    <e v="#REF!"/>
    <e v="#REF!"/>
    <e v="#REF!"/>
  </r>
  <r>
    <n v="20000000436"/>
    <s v="IMZX80 SL IMAZAMOX 80 SL 1000 L"/>
    <s v="0000000325"/>
    <d v="2025-11-13T00:00:00"/>
    <s v="1331090"/>
    <s v=""/>
    <n v="8000"/>
    <n v="8000"/>
    <d v="2025-11-12T00:00:00"/>
    <x v="14"/>
    <n v="0"/>
    <s v="1001"/>
    <s v="L"/>
    <s v=""/>
    <s v="1523"/>
    <s v="REL  CNF  DLV  PRC  BASC BCRQ GMPS ILAS*"/>
    <x v="4"/>
    <n v="23"/>
    <e v="#REF!"/>
    <e v="#REF!"/>
    <e v="#REF!"/>
  </r>
  <r>
    <n v="20000000805"/>
    <s v="TBAZ330SLCT173 SC 200L"/>
    <s v="0000009219"/>
    <d v="2025-11-12T00:00:00"/>
    <s v="1331651"/>
    <s v=""/>
    <n v="7200"/>
    <n v="8700"/>
    <d v="2025-11-14T00:00:00"/>
    <x v="14"/>
    <n v="0"/>
    <s v="1001"/>
    <s v="L"/>
    <s v=""/>
    <s v="1528"/>
    <s v="TECO CNF  DLV  PRC  BASC BCRQ GMPS ILAS*"/>
    <x v="5"/>
    <n v="28"/>
    <e v="#REF!"/>
    <e v="#REF!"/>
    <e v="#REF!"/>
  </r>
  <r>
    <n v="30000000113"/>
    <s v="CLTN950 TC TOLUREX TEC MILLED 550 KG"/>
    <s v="0000206784"/>
    <d v="2025-11-11T00:00:00"/>
    <s v="1330056"/>
    <s v=""/>
    <n v="3300"/>
    <n v="3300"/>
    <d v="2025-11-12T00:00:00"/>
    <x v="14"/>
    <n v="0"/>
    <s v="1001"/>
    <s v="KG"/>
    <s v=""/>
    <s v="1540"/>
    <s v="REL  DLV  PRC  BASC BCRQ GMPS MACM ORRQ*"/>
    <x v="28"/>
    <e v="#N/A"/>
    <e v="#REF!"/>
    <e v="#REF!"/>
    <e v="#REF!"/>
  </r>
  <r>
    <n v="30000000113"/>
    <s v="CLTN950 TC TOLUREX TEC MILLED 550 KG"/>
    <s v="0000206785"/>
    <d v="2025-11-11T00:00:00"/>
    <s v="1330057"/>
    <s v=""/>
    <n v="3300"/>
    <n v="3300"/>
    <d v="2025-11-12T00:00:00"/>
    <x v="14"/>
    <n v="0"/>
    <s v="1001"/>
    <s v="KG"/>
    <s v=""/>
    <s v="1540"/>
    <s v="REL  DLV  PRC  BASC BCRQ GMPS MACM ORRQ*"/>
    <x v="28"/>
    <e v="#N/A"/>
    <e v="#REF!"/>
    <e v="#REF!"/>
    <e v="#REF!"/>
  </r>
  <r>
    <n v="30000000113"/>
    <s v="CLTN950 TC TOLUREX TEC MILLED 550 KG"/>
    <s v="0000206786"/>
    <d v="2025-11-11T00:00:00"/>
    <s v="1330058"/>
    <s v=""/>
    <n v="3300"/>
    <n v="3300"/>
    <d v="2025-11-12T00:00:00"/>
    <x v="14"/>
    <n v="0"/>
    <s v="1001"/>
    <s v="KG"/>
    <s v=""/>
    <s v="1540"/>
    <s v="REL  DLV  PRC  BASC BCRQ GMPS MACM ORRQ*"/>
    <x v="28"/>
    <e v="#N/A"/>
    <e v="#REF!"/>
    <e v="#REF!"/>
    <e v="#REF!"/>
  </r>
  <r>
    <n v="50000000077"/>
    <s v="NAA DIST ISO"/>
    <s v="0000021335"/>
    <d v="2025-11-10T00:00:00"/>
    <s v="1325383"/>
    <s v=""/>
    <n v="6000"/>
    <n v="8820"/>
    <d v="2025-11-10T00:00:00"/>
    <x v="14"/>
    <n v="0"/>
    <s v="1001"/>
    <s v="KG"/>
    <s v=""/>
    <s v="1141"/>
    <s v="REL  CNF  DLV  PRC  BASC BCRQ GMPS ILAS*"/>
    <x v="0"/>
    <e v="#N/A"/>
    <e v="#REF!"/>
    <e v="#REF!"/>
    <e v="#REF!"/>
  </r>
  <r>
    <n v="30000000084"/>
    <s v="DRON510BRMC490 WP KROVAR TECH 500 KG"/>
    <s v="0000008198"/>
    <d v="2025-11-10T00:00:00"/>
    <s v="1327155"/>
    <s v=""/>
    <n v="2000"/>
    <n v="1500"/>
    <d v="2025-11-14T00:00:00"/>
    <x v="14"/>
    <n v="0"/>
    <s v="1001"/>
    <s v="KG"/>
    <s v=""/>
    <s v="1540"/>
    <s v="REL  PRC  BASC BCRQ GMPS MACM ORRQ PDLV*"/>
    <x v="14"/>
    <e v="#N/A"/>
    <e v="#REF!"/>
    <e v="#REF!"/>
    <e v="#REF!"/>
  </r>
  <r>
    <n v="20000000683"/>
    <s v="OXFF240 EC GALIGAN EC 240SP 200 L"/>
    <s v="0000061386"/>
    <d v="2025-11-10T00:00:00"/>
    <s v="1329320"/>
    <s v=""/>
    <n v="6000"/>
    <n v="6800"/>
    <d v="2025-11-03T00:00:00"/>
    <x v="14"/>
    <n v="0"/>
    <s v="1001"/>
    <s v="L"/>
    <s v=""/>
    <s v="1525"/>
    <s v="REL  DLV  PRC  BASC BCRQ GMPS ILAS MACM*"/>
    <x v="10"/>
    <e v="#N/A"/>
    <e v="#REF!"/>
    <e v="#REF!"/>
    <e v="#REF!"/>
  </r>
  <r>
    <n v="50000000056"/>
    <s v="DELTA DAMASCON FLASH 1.00 KG"/>
    <s v="0000010328"/>
    <d v="2025-11-10T00:00:00"/>
    <s v="1330393"/>
    <s v=""/>
    <n v="1600"/>
    <n v="1740"/>
    <d v="2025-11-10T00:00:00"/>
    <x v="14"/>
    <n v="0"/>
    <s v="1001"/>
    <s v="KG"/>
    <s v=""/>
    <s v="1141"/>
    <s v="REL  CNF  DLV  PRC  BASC BCRQ GMPS ILAS*"/>
    <x v="0"/>
    <e v="#N/A"/>
    <e v="#REF!"/>
    <e v="#REF!"/>
    <e v="#REF!"/>
  </r>
  <r>
    <n v="50000000049"/>
    <s v="DELTA MTL KTN CR RUS 1.00 KG"/>
    <s v="0000007639"/>
    <d v="2025-11-08T00:00:00"/>
    <s v="1328610"/>
    <s v=""/>
    <n v="2000"/>
    <n v="3000"/>
    <d v="2025-11-06T00:00:00"/>
    <x v="14"/>
    <n v="0"/>
    <s v="1001"/>
    <s v="KG"/>
    <s v=""/>
    <s v="1141"/>
    <s v="REL  CNF  DLV  PRC  BASC BCRQ GMPS ILAS*"/>
    <x v="0"/>
    <e v="#N/A"/>
    <e v="#REF!"/>
    <e v="#REF!"/>
    <e v="#REF!"/>
  </r>
  <r>
    <n v="50000000108"/>
    <s v="PROPAQUIZAFOP PRMX25 1000 KG"/>
    <s v="0000003521"/>
    <d v="2025-11-07T00:00:00"/>
    <s v="1329751"/>
    <s v=""/>
    <n v="8000"/>
    <n v="8000"/>
    <d v="2025-11-04T00:00:00"/>
    <x v="14"/>
    <n v="0"/>
    <s v="1001"/>
    <s v="KG"/>
    <s v=""/>
    <s v="1525"/>
    <s v="REL  CNF  DLV  PRC  BASC BCRQ GMPS ILAS*"/>
    <x v="19"/>
    <e v="#N/A"/>
    <e v="#REF!"/>
    <e v="#REF!"/>
    <e v="#REF!"/>
  </r>
  <r>
    <n v="50000000108"/>
    <s v="PROPAQUIZAFOP PRMX25 1000 KG"/>
    <s v="0000003522"/>
    <d v="2025-11-07T00:00:00"/>
    <s v="1329752"/>
    <s v=""/>
    <n v="8000"/>
    <n v="7000"/>
    <d v="2025-11-04T00:00:00"/>
    <x v="14"/>
    <n v="0"/>
    <s v="1001"/>
    <s v="KG"/>
    <s v=""/>
    <s v="1525"/>
    <s v="REL  CNF  PRC  BASC BCRQ GMPS ILAS MACM*"/>
    <x v="19"/>
    <e v="#N/A"/>
    <e v="#REF!"/>
    <e v="#REF!"/>
    <e v="#REF!"/>
  </r>
  <r>
    <n v="50000000072"/>
    <s v="KROVAR SLURRY .00 KG"/>
    <s v="0000008959"/>
    <d v="2025-11-04T00:00:00"/>
    <s v="1326664"/>
    <s v=""/>
    <n v="2100"/>
    <n v="2100"/>
    <d v="2025-10-26T00:00:00"/>
    <x v="14"/>
    <n v="2100"/>
    <s v="1001"/>
    <s v="KG"/>
    <s v=""/>
    <s v="1140"/>
    <s v="REL  CNF  DLV  PRC  BASC BCRQ GMPS ILAS*"/>
    <x v="15"/>
    <e v="#N/A"/>
    <e v="#REF!"/>
    <e v="#REF!"/>
    <e v="#REF!"/>
  </r>
  <r>
    <n v="20000000778"/>
    <s v="QZLF50 EC QUIZALOFOP 5 EC SS 1000 L"/>
    <s v="0000001401"/>
    <d v="2025-11-01T00:00:00"/>
    <s v="1326233"/>
    <s v=""/>
    <n v="12000"/>
    <n v="11000"/>
    <d v="2025-11-14T00:00:00"/>
    <x v="14"/>
    <n v="11000"/>
    <s v="1001"/>
    <s v="L"/>
    <s v=""/>
    <s v="1523"/>
    <s v="REL  CNF  PRC  BASC BCRQ GMPS MACM ORRQ*"/>
    <x v="4"/>
    <n v="23"/>
    <e v="#REF!"/>
    <e v="#REF!"/>
    <e v="#REF!"/>
  </r>
  <r>
    <n v="10000011550"/>
    <s v="PINO100+THIEN8.3+MEF OD CAZADO 1000LT CA"/>
    <s v="0000000167"/>
    <d v="2025-11-01T00:00:00"/>
    <s v="1326601"/>
    <s v=""/>
    <n v="5000"/>
    <n v="1000"/>
    <d v="2025-11-14T00:00:00"/>
    <x v="14"/>
    <n v="1000"/>
    <s v="1001"/>
    <s v="L"/>
    <s v=""/>
    <s v="1124"/>
    <s v="REL  CNF  PRC  BASC BCRQ GMPS ILAS MACM*"/>
    <x v="3"/>
    <s v="24F"/>
    <e v="#REF!"/>
    <e v="#REF!"/>
    <e v="#REF!"/>
  </r>
  <r>
    <n v="10000011550"/>
    <s v="PINO100+THIEN8.3+MEF OD CAZADO 1000LT CA"/>
    <s v="0000000168"/>
    <d v="2025-11-01T00:00:00"/>
    <s v="1326602"/>
    <s v=""/>
    <n v="2770"/>
    <n v="2770"/>
    <d v="2025-11-14T00:00:00"/>
    <x v="14"/>
    <n v="0"/>
    <s v="1001"/>
    <s v="L"/>
    <s v=""/>
    <s v="1124"/>
    <s v="REL  PCNF DLV  PRC  BASC BCRQ GMPS ILAS*"/>
    <x v="3"/>
    <s v="24F"/>
    <e v="#REF!"/>
    <e v="#REF!"/>
    <e v="#REF!"/>
  </r>
  <r>
    <n v="10000002484"/>
    <s v="MTMN350+QNMC60 SC GOLTIX SILVER 10LT FR"/>
    <s v="0000319318"/>
    <d v="2025-11-01T00:00:00"/>
    <s v="1327391"/>
    <s v="211016259"/>
    <n v="12000"/>
    <n v="12000"/>
    <d v="2025-10-28T00:00:00"/>
    <x v="14"/>
    <n v="12000"/>
    <s v="1001"/>
    <s v="L"/>
    <s v=""/>
    <s v="1542"/>
    <s v="REL  PRT  CNF  DLV  PRC  BASC BCRQ GMPS*"/>
    <x v="17"/>
    <n v="10"/>
    <e v="#REF!"/>
    <e v="#REF!"/>
    <e v="#REF!"/>
  </r>
  <r>
    <n v="10000002484"/>
    <s v="MTMN350+QNMC60 SC GOLTIX SILVER 10LT FR"/>
    <s v="0000319319"/>
    <d v="2025-11-01T00:00:00"/>
    <s v="1327392"/>
    <s v="211016259"/>
    <n v="12000"/>
    <n v="12000"/>
    <d v="2025-10-28T00:00:00"/>
    <x v="14"/>
    <n v="12000"/>
    <s v="1001"/>
    <s v="L"/>
    <s v=""/>
    <s v="1542"/>
    <s v="REL  PRT  CNF  DLV  PRC  BASC BCRQ GMPS*"/>
    <x v="17"/>
    <n v="10"/>
    <e v="#REF!"/>
    <e v="#REF!"/>
    <e v="#REF!"/>
  </r>
  <r>
    <n v="10000000401"/>
    <s v="DRON540+HZNN67 WG JUMP 5KG BRASIL 5KG BR"/>
    <s v="0000016434"/>
    <d v="2025-10-31T00:00:00"/>
    <s v="1326835"/>
    <s v=""/>
    <n v="2880"/>
    <n v="2880"/>
    <d v="2025-11-13T00:00:00"/>
    <x v="14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435"/>
    <d v="2025-10-31T00:00:00"/>
    <s v="1326836"/>
    <s v=""/>
    <n v="2880"/>
    <n v="2880"/>
    <d v="2025-11-13T00:00:00"/>
    <x v="14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436"/>
    <d v="2025-10-31T00:00:00"/>
    <s v="1326837"/>
    <s v=""/>
    <n v="2880"/>
    <n v="2880"/>
    <d v="2025-11-14T00:00:00"/>
    <x v="14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437"/>
    <d v="2025-10-31T00:00:00"/>
    <s v="1326838"/>
    <s v=""/>
    <n v="2880"/>
    <n v="2880"/>
    <d v="2025-11-14T00:00:00"/>
    <x v="14"/>
    <n v="0"/>
    <s v="1001"/>
    <s v="KG"/>
    <s v=""/>
    <s v="1519"/>
    <s v="REL  CNF  DLV  PRC  BASC BCRQ GMPS ILAS*"/>
    <x v="8"/>
    <s v="19P"/>
    <e v="#REF!"/>
    <e v="#REF!"/>
    <e v="#REF!"/>
  </r>
  <r>
    <n v="10000000401"/>
    <s v="DRON540+HZNN67 WG JUMP 5KG BRASIL 5KG BR"/>
    <s v="0000016438"/>
    <d v="2025-10-31T00:00:00"/>
    <s v="1326839"/>
    <s v=""/>
    <n v="2880"/>
    <n v="2880"/>
    <d v="2025-11-14T00:00:00"/>
    <x v="14"/>
    <n v="0"/>
    <s v="1001"/>
    <s v="KG"/>
    <s v=""/>
    <s v="1519"/>
    <s v="REL  PCNF DLV  PRC  BASC BCRQ GMPS ILAS*"/>
    <x v="8"/>
    <s v="19P"/>
    <e v="#REF!"/>
    <e v="#REF!"/>
    <e v="#REF!"/>
  </r>
  <r>
    <n v="10000000401"/>
    <s v="DRON540+HZNN67 WG JUMP 5KG BRASIL 5KG BR"/>
    <s v="0000016439"/>
    <d v="2025-10-31T00:00:00"/>
    <s v="1326840"/>
    <s v=""/>
    <n v="2880"/>
    <n v="2880"/>
    <d v="2025-11-14T00:00:00"/>
    <x v="14"/>
    <n v="0"/>
    <s v="1001"/>
    <s v="KG"/>
    <s v=""/>
    <s v="1519"/>
    <s v="REL  DLV  PRC  BASC BCRQ GMPS ILAS MANC*"/>
    <x v="8"/>
    <s v="19P"/>
    <e v="#REF!"/>
    <e v="#REF!"/>
    <e v="#REF!"/>
  </r>
  <r>
    <n v="10000000401"/>
    <s v="DRON540+HZNN67 WG JUMP 5KG BRASIL 5KG BR"/>
    <s v="0000016440"/>
    <d v="2025-10-31T00:00:00"/>
    <s v="1326841"/>
    <s v=""/>
    <n v="2880"/>
    <n v="2880"/>
    <d v="2025-11-14T00:00:00"/>
    <x v="14"/>
    <n v="0"/>
    <s v="1001"/>
    <s v="KG"/>
    <s v=""/>
    <s v="1519"/>
    <s v="REL  DLV  PRC  BASC BCRQ GMPS ILAS MANC*"/>
    <x v="8"/>
    <s v="19P"/>
    <e v="#REF!"/>
    <e v="#REF!"/>
    <e v="#REF!"/>
  </r>
  <r>
    <n v="50000001441"/>
    <s v="HEXENONE (1002) ISO NEW"/>
    <s v="0000279370"/>
    <d v="2025-09-01T00:00:00"/>
    <s v="1314532"/>
    <s v=""/>
    <n v="1800"/>
    <n v="1232"/>
    <d v="2025-11-03T00:00:00"/>
    <x v="14"/>
    <n v="0"/>
    <s v="1001"/>
    <s v="KG"/>
    <s v=""/>
    <s v="1141"/>
    <s v="REL  CNF  PRC  BASC BCRQ GMPS ILAS MACM*"/>
    <x v="0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e v="#N/A"/>
    <e v="#REF!"/>
    <e v="#REF!"/>
    <e v="#REF!"/>
  </r>
  <r>
    <m/>
    <m/>
    <m/>
    <m/>
    <m/>
    <m/>
    <m/>
    <m/>
    <m/>
    <x v="15"/>
    <m/>
    <m/>
    <m/>
    <m/>
    <m/>
    <m/>
    <x v="6"/>
    <m/>
    <m/>
    <m/>
    <m/>
  </r>
  <r>
    <m/>
    <m/>
    <m/>
    <m/>
    <m/>
    <m/>
    <m/>
    <m/>
    <m/>
    <x v="15"/>
    <m/>
    <m/>
    <m/>
    <m/>
    <m/>
    <m/>
    <x v="3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A3736-5F2E-4EEE-A3AC-500A00C726E5}" name="PivotTable2" cacheId="4" applyNumberFormats="0" applyBorderFormats="0" applyFontFormats="0" applyPatternFormats="0" applyAlignmentFormats="0" applyWidthHeightFormats="1" dataCaption="ערכים" updatedVersion="8" minRefreshableVersion="3" useAutoFormatting="1" itemPrintTitles="1" createdVersion="6" indent="0" outline="1" outlineData="1" multipleFieldFilters="0">
  <location ref="A3:B16" firstHeaderRow="1" firstDataRow="1" firstDataCol="1"/>
  <pivotFields count="17">
    <pivotField outline="0" showAll="0" defaultSubtotal="0"/>
    <pivotField showAll="0"/>
    <pivotField showAll="0"/>
    <pivotField numFmtId="14" showAll="0"/>
    <pivotField showAll="0"/>
    <pivotField showAll="0"/>
    <pivotField numFmtId="3" showAll="0"/>
    <pivotField dataField="1" showAll="0"/>
    <pivotField numFmtId="14" showAll="0"/>
    <pivotField numFmtId="14" showAll="0"/>
    <pivotField numFmtId="3" showAll="0"/>
    <pivotField showAll="0"/>
    <pivotField showAll="0"/>
    <pivotField showAll="0"/>
    <pivotField axis="axisRow" outline="0" showAll="0" defaultSubtotal="0">
      <items count="23">
        <item x="11"/>
        <item m="1" x="14"/>
        <item m="1" x="12"/>
        <item m="1" x="13"/>
        <item m="1" x="15"/>
        <item m="1" x="16"/>
        <item m="1" x="17"/>
        <item m="1" x="18"/>
        <item m="1" x="19"/>
        <item m="1" x="20"/>
        <item m="1" x="21"/>
        <item m="1" x="22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showAll="0"/>
    <pivotField showAll="0"/>
  </pivotFields>
  <rowFields count="1">
    <field x="14"/>
  </rowFields>
  <rowItems count="13">
    <i>
      <x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סכום של Delivered quantity (GMEIN)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EDDF9-5ED0-441C-B212-A849021A1549}" name="PivotTable2" cacheId="4" applyNumberFormats="0" applyBorderFormats="0" applyFontFormats="0" applyPatternFormats="0" applyAlignmentFormats="0" applyWidthHeightFormats="1" dataCaption="ערכים" updatedVersion="8" minRefreshableVersion="3" useAutoFormatting="1" itemPrintTitles="1" createdVersion="6" indent="0" outline="1" outlineData="1" multipleFieldFilters="0">
  <location ref="A3:B16" firstHeaderRow="1" firstDataRow="1" firstDataCol="1"/>
  <pivotFields count="17">
    <pivotField outline="0" showAll="0" defaultSubtotal="0"/>
    <pivotField showAll="0"/>
    <pivotField showAll="0"/>
    <pivotField numFmtId="14" showAll="0"/>
    <pivotField showAll="0"/>
    <pivotField showAll="0"/>
    <pivotField numFmtId="3" showAll="0"/>
    <pivotField dataField="1" showAll="0"/>
    <pivotField numFmtId="14" showAll="0"/>
    <pivotField numFmtId="14" showAll="0"/>
    <pivotField numFmtId="3" showAll="0"/>
    <pivotField showAll="0"/>
    <pivotField showAll="0"/>
    <pivotField showAll="0"/>
    <pivotField axis="axisRow" outline="0" showAll="0" defaultSubtotal="0">
      <items count="23">
        <item x="11"/>
        <item m="1" x="14"/>
        <item m="1" x="12"/>
        <item m="1" x="13"/>
        <item m="1" x="15"/>
        <item m="1" x="16"/>
        <item m="1" x="17"/>
        <item m="1" x="18"/>
        <item m="1" x="19"/>
        <item m="1" x="20"/>
        <item m="1" x="21"/>
        <item m="1" x="22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showAll="0"/>
    <pivotField showAll="0"/>
  </pivotFields>
  <rowFields count="1">
    <field x="14"/>
  </rowFields>
  <rowItems count="13">
    <i>
      <x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סכום של Delivered quantity (GMEIN)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EFEC5-C303-4E62-BE3A-07AE9B5FEB95}" name="PivotTable1" cacheId="7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3:Q19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119"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x="15"/>
        <item m="1" x="113"/>
        <item m="1" x="114"/>
        <item m="1" x="115"/>
        <item m="1" x="116"/>
        <item m="1" x="117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68"/>
        <item m="1" x="69"/>
        <item m="1" x="70"/>
        <item m="1" x="71"/>
        <item m="1" x="72"/>
        <item m="1" x="65"/>
        <item m="1" x="66"/>
        <item m="1" x="67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3">
        <item x="1"/>
        <item x="12"/>
        <item x="17"/>
        <item x="8"/>
        <item x="4"/>
        <item x="5"/>
        <item x="3"/>
        <item x="16"/>
        <item h="1" x="11"/>
        <item h="1" x="0"/>
        <item h="1" x="6"/>
        <item h="1" x="31"/>
        <item h="1" x="30"/>
        <item h="1" x="20"/>
        <item x="10"/>
        <item x="24"/>
        <item h="1" x="29"/>
        <item x="18"/>
        <item x="21"/>
        <item x="14"/>
        <item x="7"/>
        <item h="1" x="2"/>
        <item h="1" x="9"/>
        <item h="1" x="13"/>
        <item h="1" x="15"/>
        <item h="1" x="19"/>
        <item h="1" x="22"/>
        <item h="1" x="23"/>
        <item h="1" x="25"/>
        <item h="1" x="26"/>
        <item h="1" x="27"/>
        <item h="1" x="28"/>
        <item t="default"/>
      </items>
    </pivotField>
    <pivotField showAll="0"/>
    <pivotField showAll="0"/>
    <pivotField showAll="0"/>
    <pivotField showAll="0"/>
  </pivotFields>
  <rowFields count="1">
    <field x="16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14"/>
    </i>
    <i>
      <x v="15"/>
    </i>
    <i>
      <x v="17"/>
    </i>
    <i>
      <x v="18"/>
    </i>
    <i>
      <x v="19"/>
    </i>
    <i>
      <x v="20"/>
    </i>
    <i t="grand">
      <x/>
    </i>
  </rowItems>
  <colFields count="1">
    <field x="9"/>
  </colFields>
  <colItems count="16"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 t="grand">
      <x/>
    </i>
  </colItems>
  <dataFields count="1">
    <dataField name="סכום של Delivered quantity (GMEIN)" fld="7" baseField="0" baseItem="0" numFmtId="168"/>
  </dataFields>
  <formats count="1"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CFA86-123B-4A40-AE8D-F7D3FAEF9CB5}" name="PivotTable2" cacheId="6" applyNumberFormats="0" applyBorderFormats="0" applyFontFormats="0" applyPatternFormats="0" applyAlignmentFormats="0" applyWidthHeightFormats="1" dataCaption="ערכים" updatedVersion="8" minRefreshableVersion="3" useAutoFormatting="1" itemPrintTitles="1" createdVersion="6" indent="0" outline="1" outlineData="1" multipleFieldFilters="0">
  <location ref="A4:C30" firstHeaderRow="1" firstDataRow="1" firstDataCol="2" rowPageCount="1" colPageCount="1"/>
  <pivotFields count="17">
    <pivotField axis="axisRow" outline="0" showAll="0" defaultSubtotal="0">
      <items count="339">
        <item m="1" x="34"/>
        <item m="1" x="289"/>
        <item m="1" x="312"/>
        <item m="1" x="306"/>
        <item m="1" x="268"/>
        <item m="1" x="27"/>
        <item x="3"/>
        <item m="1" x="301"/>
        <item m="1" x="333"/>
        <item m="1" x="235"/>
        <item m="1" x="337"/>
        <item m="1" x="275"/>
        <item m="1" x="316"/>
        <item m="1" x="271"/>
        <item m="1" x="166"/>
        <item m="1" x="81"/>
        <item m="1" x="318"/>
        <item m="1" x="37"/>
        <item m="1" x="317"/>
        <item m="1" x="220"/>
        <item m="1" x="295"/>
        <item m="1" x="297"/>
        <item m="1" x="310"/>
        <item m="1" x="170"/>
        <item m="1" x="28"/>
        <item m="1" x="226"/>
        <item m="1" x="328"/>
        <item m="1" x="320"/>
        <item m="1" x="298"/>
        <item m="1" x="290"/>
        <item m="1" x="202"/>
        <item m="1" x="244"/>
        <item m="1" x="291"/>
        <item m="1" x="311"/>
        <item m="1" x="307"/>
        <item m="1" x="281"/>
        <item m="1" x="102"/>
        <item m="1" x="88"/>
        <item m="1" x="121"/>
        <item x="4"/>
        <item m="1" x="215"/>
        <item x="13"/>
        <item m="1" x="125"/>
        <item m="1" x="51"/>
        <item x="11"/>
        <item m="1" x="75"/>
        <item m="1" x="219"/>
        <item m="1" x="280"/>
        <item x="16"/>
        <item m="1" x="40"/>
        <item x="15"/>
        <item m="1" x="77"/>
        <item m="1" x="185"/>
        <item m="1" x="206"/>
        <item m="1" x="332"/>
        <item m="1" x="338"/>
        <item m="1" x="183"/>
        <item m="1" x="62"/>
        <item x="18"/>
        <item m="1" x="152"/>
        <item x="12"/>
        <item m="1" x="158"/>
        <item m="1" x="319"/>
        <item m="1" x="38"/>
        <item m="1" x="43"/>
        <item x="17"/>
        <item m="1" x="107"/>
        <item m="1" x="97"/>
        <item m="1" x="322"/>
        <item m="1" x="303"/>
        <item m="1" x="259"/>
        <item m="1" x="327"/>
        <item m="1" x="110"/>
        <item m="1" x="314"/>
        <item m="1" x="279"/>
        <item m="1" x="139"/>
        <item m="1" x="31"/>
        <item m="1" x="182"/>
        <item m="1" x="269"/>
        <item m="1" x="323"/>
        <item x="22"/>
        <item m="1" x="296"/>
        <item m="1" x="283"/>
        <item m="1" x="181"/>
        <item m="1" x="293"/>
        <item m="1" x="284"/>
        <item m="1" x="274"/>
        <item m="1" x="305"/>
        <item m="1" x="331"/>
        <item m="1" x="231"/>
        <item m="1" x="334"/>
        <item m="1" x="302"/>
        <item m="1" x="285"/>
        <item m="1" x="326"/>
        <item m="1" x="325"/>
        <item m="1" x="329"/>
        <item m="1" x="324"/>
        <item m="1" x="287"/>
        <item m="1" x="304"/>
        <item m="1" x="167"/>
        <item x="14"/>
        <item m="1" x="243"/>
        <item m="1" x="276"/>
        <item m="1" x="272"/>
        <item m="1" x="308"/>
        <item m="1" x="288"/>
        <item m="1" x="192"/>
        <item m="1" x="321"/>
        <item m="1" x="335"/>
        <item m="1" x="270"/>
        <item m="1" x="330"/>
        <item m="1" x="247"/>
        <item m="1" x="300"/>
        <item m="1" x="299"/>
        <item m="1" x="277"/>
        <item m="1" x="313"/>
        <item m="1" x="273"/>
        <item m="1" x="209"/>
        <item m="1" x="212"/>
        <item m="1" x="249"/>
        <item m="1" x="26"/>
        <item m="1" x="165"/>
        <item m="1" x="278"/>
        <item m="1" x="257"/>
        <item m="1" x="292"/>
        <item m="1" x="294"/>
        <item m="1" x="242"/>
        <item m="1" x="229"/>
        <item m="1" x="222"/>
        <item m="1" x="90"/>
        <item m="1" x="234"/>
        <item m="1" x="246"/>
        <item m="1" x="224"/>
        <item m="1" x="250"/>
        <item m="1" x="286"/>
        <item m="1" x="336"/>
        <item m="1" x="255"/>
        <item m="1" x="208"/>
        <item m="1" x="282"/>
        <item m="1" x="256"/>
        <item m="1" x="221"/>
        <item m="1" x="315"/>
        <item m="1" x="263"/>
        <item m="1" x="309"/>
        <item m="1" x="47"/>
        <item m="1" x="267"/>
        <item m="1" x="45"/>
        <item m="1" x="266"/>
        <item m="1" x="132"/>
        <item m="1" x="39"/>
        <item m="1" x="41"/>
        <item m="1" x="207"/>
        <item m="1" x="210"/>
        <item m="1" x="211"/>
        <item m="1" x="213"/>
        <item m="1" x="214"/>
        <item m="1" x="216"/>
        <item m="1" x="217"/>
        <item m="1" x="218"/>
        <item m="1" x="223"/>
        <item m="1" x="225"/>
        <item m="1" x="227"/>
        <item m="1" x="203"/>
        <item m="1" x="228"/>
        <item m="1" x="189"/>
        <item m="1" x="230"/>
        <item m="1" x="65"/>
        <item m="1" x="232"/>
        <item m="1" x="233"/>
        <item m="1" x="140"/>
        <item m="1" x="236"/>
        <item m="1" x="237"/>
        <item m="1" x="238"/>
        <item m="1" x="239"/>
        <item m="1" x="240"/>
        <item m="1" x="241"/>
        <item m="1" x="245"/>
        <item m="1" x="193"/>
        <item m="1" x="248"/>
        <item m="1" x="251"/>
        <item m="1" x="252"/>
        <item m="1" x="253"/>
        <item m="1" x="254"/>
        <item m="1" x="171"/>
        <item m="1" x="133"/>
        <item m="1" x="258"/>
        <item m="1" x="260"/>
        <item m="1" x="261"/>
        <item m="1" x="262"/>
        <item m="1" x="264"/>
        <item m="1" x="265"/>
        <item x="24"/>
        <item m="1" x="174"/>
        <item m="1" x="186"/>
        <item m="1" x="205"/>
        <item m="1" x="173"/>
        <item m="1" x="175"/>
        <item m="1" x="176"/>
        <item m="1" x="177"/>
        <item m="1" x="178"/>
        <item m="1" x="179"/>
        <item m="1" x="60"/>
        <item m="1" x="180"/>
        <item m="1" x="184"/>
        <item m="1" x="187"/>
        <item m="1" x="188"/>
        <item m="1" x="190"/>
        <item m="1" x="191"/>
        <item m="1" x="194"/>
        <item m="1" x="195"/>
        <item m="1" x="196"/>
        <item m="1" x="161"/>
        <item m="1" x="197"/>
        <item m="1" x="198"/>
        <item m="1" x="199"/>
        <item m="1" x="200"/>
        <item m="1" x="201"/>
        <item m="1" x="204"/>
        <item m="1" x="163"/>
        <item m="1" x="164"/>
        <item x="2"/>
        <item x="21"/>
        <item m="1" x="168"/>
        <item m="1" x="169"/>
        <item m="1" x="67"/>
        <item m="1" x="172"/>
        <item x="19"/>
        <item m="1" x="49"/>
        <item x="23"/>
        <item x="20"/>
        <item m="1" x="155"/>
        <item m="1" x="99"/>
        <item m="1" x="74"/>
        <item m="1" x="141"/>
        <item m="1" x="126"/>
        <item m="1" x="156"/>
        <item m="1" x="157"/>
        <item m="1" x="142"/>
        <item m="1" x="159"/>
        <item m="1" x="64"/>
        <item m="1" x="160"/>
        <item m="1" x="150"/>
        <item m="1" x="84"/>
        <item m="1" x="162"/>
        <item m="1" x="104"/>
        <item m="1" x="146"/>
        <item m="1" x="48"/>
        <item m="1" x="128"/>
        <item m="1" x="147"/>
        <item x="5"/>
        <item m="1" x="148"/>
        <item m="1" x="149"/>
        <item m="1" x="151"/>
        <item m="1" x="153"/>
        <item m="1" x="144"/>
        <item m="1" x="68"/>
        <item m="1" x="143"/>
        <item m="1" x="154"/>
        <item m="1" x="136"/>
        <item m="1" x="137"/>
        <item m="1" x="138"/>
        <item m="1" x="145"/>
        <item m="1" x="127"/>
        <item m="1" x="129"/>
        <item m="1" x="54"/>
        <item m="1" x="130"/>
        <item m="1" x="131"/>
        <item m="1" x="80"/>
        <item x="0"/>
        <item m="1" x="79"/>
        <item m="1" x="134"/>
        <item m="1" x="135"/>
        <item m="1" x="123"/>
        <item m="1" x="106"/>
        <item m="1" x="122"/>
        <item m="1" x="114"/>
        <item m="1" x="120"/>
        <item m="1" x="124"/>
        <item m="1" x="103"/>
        <item m="1" x="76"/>
        <item m="1" x="108"/>
        <item m="1" x="109"/>
        <item m="1" x="111"/>
        <item m="1" x="70"/>
        <item m="1" x="112"/>
        <item m="1" x="113"/>
        <item m="1" x="115"/>
        <item m="1" x="116"/>
        <item m="1" x="117"/>
        <item m="1" x="118"/>
        <item m="1" x="119"/>
        <item m="1" x="92"/>
        <item m="1" x="93"/>
        <item m="1" x="94"/>
        <item m="1" x="95"/>
        <item m="1" x="96"/>
        <item m="1" x="98"/>
        <item m="1" x="100"/>
        <item m="1" x="101"/>
        <item m="1" x="105"/>
        <item m="1" x="82"/>
        <item m="1" x="83"/>
        <item m="1" x="85"/>
        <item m="1" x="72"/>
        <item m="1" x="58"/>
        <item m="1" x="86"/>
        <item m="1" x="87"/>
        <item m="1" x="89"/>
        <item m="1" x="71"/>
        <item m="1" x="78"/>
        <item m="1" x="91"/>
        <item m="1" x="63"/>
        <item m="1" x="50"/>
        <item m="1" x="66"/>
        <item m="1" x="53"/>
        <item m="1" x="69"/>
        <item m="1" x="25"/>
        <item m="1" x="61"/>
        <item m="1" x="73"/>
        <item m="1" x="44"/>
        <item m="1" x="42"/>
        <item m="1" x="46"/>
        <item m="1" x="52"/>
        <item m="1" x="55"/>
        <item m="1" x="56"/>
        <item m="1" x="36"/>
        <item m="1" x="57"/>
        <item m="1" x="59"/>
        <item m="1" x="29"/>
        <item m="1" x="30"/>
        <item m="1" x="32"/>
        <item m="1" x="33"/>
        <item m="1" x="35"/>
        <item x="1"/>
        <item x="6"/>
        <item x="7"/>
        <item x="8"/>
        <item x="9"/>
        <item x="10"/>
      </items>
    </pivotField>
    <pivotField showAll="0"/>
    <pivotField showAll="0"/>
    <pivotField numFmtId="14" showAll="0"/>
    <pivotField showAll="0"/>
    <pivotField showAll="0"/>
    <pivotField numFmtId="3" showAll="0"/>
    <pivotField dataField="1" showAll="0"/>
    <pivotField numFmtId="14" showAll="0"/>
    <pivotField axis="axisRow" numFmtId="14" outline="0" showAll="0" defaultSubtotal="0">
      <items count="20">
        <item m="1" x="19"/>
        <item m="1" x="15"/>
        <item x="1"/>
        <item m="1" x="14"/>
        <item m="1" x="16"/>
        <item m="1" x="17"/>
        <item m="1" x="18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m="1" x="2"/>
        <item x="0"/>
      </items>
    </pivotField>
    <pivotField numFmtId="3" showAll="0"/>
    <pivotField showAll="0"/>
    <pivotField showAll="0"/>
    <pivotField showAll="0"/>
    <pivotField axis="axisPage" outline="0" multipleItemSelectionAllowed="1" showAll="0" defaultSubtotal="0">
      <items count="23">
        <item x="11"/>
        <item m="1" x="14"/>
        <item m="1" x="12"/>
        <item m="1" x="13"/>
        <item m="1" x="15"/>
        <item m="1" x="16"/>
        <item m="1" x="17"/>
        <item m="1" x="18"/>
        <item m="1" x="19"/>
        <item m="1" x="20"/>
        <item m="1" x="21"/>
        <item m="1" x="22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showAll="0"/>
    <pivotField showAll="0"/>
  </pivotFields>
  <rowFields count="2">
    <field x="9"/>
    <field x="0"/>
  </rowFields>
  <rowItems count="26">
    <i>
      <x v="2"/>
      <x v="191"/>
    </i>
    <i>
      <x v="19"/>
      <x v="6"/>
    </i>
    <i r="1">
      <x v="39"/>
    </i>
    <i r="1">
      <x v="41"/>
    </i>
    <i r="1">
      <x v="44"/>
    </i>
    <i r="1">
      <x v="48"/>
    </i>
    <i r="1">
      <x v="50"/>
    </i>
    <i r="1">
      <x v="58"/>
    </i>
    <i r="1">
      <x v="60"/>
    </i>
    <i r="1">
      <x v="65"/>
    </i>
    <i r="1">
      <x v="80"/>
    </i>
    <i r="1">
      <x v="100"/>
    </i>
    <i r="1">
      <x v="220"/>
    </i>
    <i r="1">
      <x v="221"/>
    </i>
    <i r="1">
      <x v="226"/>
    </i>
    <i r="1">
      <x v="228"/>
    </i>
    <i r="1">
      <x v="229"/>
    </i>
    <i r="1">
      <x v="249"/>
    </i>
    <i r="1">
      <x v="268"/>
    </i>
    <i r="1">
      <x v="333"/>
    </i>
    <i r="1">
      <x v="334"/>
    </i>
    <i r="1">
      <x v="335"/>
    </i>
    <i r="1">
      <x v="336"/>
    </i>
    <i r="1">
      <x v="337"/>
    </i>
    <i r="1">
      <x v="338"/>
    </i>
    <i t="grand">
      <x/>
    </i>
  </rowItems>
  <colItems count="1">
    <i/>
  </colItems>
  <pageFields count="1">
    <pageField fld="14" hier="-1"/>
  </pageFields>
  <dataFields count="1">
    <dataField name="סכום של Delivered quantity (GMEIN)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EB461-51DA-4A58-BD2E-3CC9A81C7B2C}" name="PivotTable5" cacheId="5" applyNumberFormats="0" applyBorderFormats="0" applyFontFormats="0" applyPatternFormats="0" applyAlignmentFormats="0" applyWidthHeightFormats="1" dataCaption="ערכים" updatedVersion="8" minRefreshableVersion="3" useAutoFormatting="1" itemPrintTitles="1" createdVersion="6" indent="0" outline="1" outlineData="1" multipleFieldFilters="0">
  <location ref="A3:B8" firstHeaderRow="1" firstDataRow="1" firstDataCol="1" rowPageCount="1" colPageCount="1"/>
  <pivotFields count="18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7">
        <item m="1" x="27"/>
        <item m="1" x="28"/>
        <item m="1" x="29"/>
        <item m="1" x="20"/>
        <item m="1" x="25"/>
        <item m="1" x="22"/>
        <item m="1" x="35"/>
        <item m="1" x="31"/>
        <item m="1" x="32"/>
        <item m="1" x="33"/>
        <item m="1" x="30"/>
        <item m="1" x="26"/>
        <item m="1" x="34"/>
        <item m="1" x="21"/>
        <item m="1" x="23"/>
        <item m="1" x="24"/>
        <item x="1"/>
        <item m="1" x="15"/>
        <item m="1" x="19"/>
        <item m="1" x="14"/>
        <item m="1" x="16"/>
        <item m="1" x="17"/>
        <item m="1" x="18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m="1"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24">
        <item x="11"/>
        <item h="1" m="1" x="14"/>
        <item h="1" m="1" x="12"/>
        <item h="1" m="1" x="13"/>
        <item h="1" m="1" x="15"/>
        <item h="1" m="1" x="16"/>
        <item h="1" m="1" x="17"/>
        <item h="1" m="1" x="18"/>
        <item h="1" m="1" x="19"/>
        <item h="1" m="1" x="20"/>
        <item h="1" m="1" x="21"/>
        <item h="1" m="1" x="22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t="default"/>
      </items>
    </pivotField>
    <pivotField showAll="0"/>
    <pivotField showAll="0"/>
    <pivotField axis="axisRow" showAll="0">
      <items count="16">
        <item m="1" x="14"/>
        <item m="1" x="13"/>
        <item x="2"/>
        <item x="9"/>
        <item x="1"/>
        <item m="1" x="10"/>
        <item x="7"/>
        <item m="1" x="11"/>
        <item m="1" x="12"/>
        <item x="3"/>
        <item x="0"/>
        <item x="6"/>
        <item x="4"/>
        <item x="5"/>
        <item x="8"/>
        <item t="default"/>
      </items>
    </pivotField>
  </pivotFields>
  <rowFields count="2">
    <field x="17"/>
    <field x="9"/>
  </rowFields>
  <rowItems count="5">
    <i>
      <x v="2"/>
    </i>
    <i r="1">
      <x v="16"/>
    </i>
    <i>
      <x v="3"/>
    </i>
    <i r="1">
      <x v="16"/>
    </i>
    <i t="grand">
      <x/>
    </i>
  </rowItems>
  <colItems count="1">
    <i/>
  </colItems>
  <pageFields count="1">
    <pageField fld="14" hier="-1"/>
  </pageFields>
  <dataFields count="1">
    <dataField name="סכום של Delivered quantity (GMEIN)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E31CD-1591-484A-A2ED-2AC5267436DC}">
  <sheetPr filterMode="1"/>
  <dimension ref="A1:AU1336"/>
  <sheetViews>
    <sheetView workbookViewId="0">
      <selection activeCell="A2" sqref="A2:N1048576"/>
    </sheetView>
  </sheetViews>
  <sheetFormatPr defaultRowHeight="12.75" x14ac:dyDescent="0.2"/>
  <cols>
    <col min="1" max="1" width="7" bestFit="1" customWidth="1"/>
    <col min="2" max="2" width="6" bestFit="1" customWidth="1"/>
    <col min="3" max="3" width="13" bestFit="1" customWidth="1"/>
    <col min="4" max="4" width="42" bestFit="1" customWidth="1"/>
    <col min="5" max="5" width="12" bestFit="1" customWidth="1"/>
    <col min="6" max="6" width="13" bestFit="1" customWidth="1"/>
    <col min="7" max="7" width="21" bestFit="1" customWidth="1"/>
    <col min="8" max="8" width="14" bestFit="1" customWidth="1"/>
    <col min="9" max="9" width="8" bestFit="1" customWidth="1"/>
    <col min="10" max="10" width="9" bestFit="1" customWidth="1"/>
    <col min="11" max="11" width="13" bestFit="1" customWidth="1"/>
    <col min="12" max="12" width="12" bestFit="1" customWidth="1"/>
    <col min="13" max="13" width="9" bestFit="1" customWidth="1"/>
    <col min="14" max="14" width="32" bestFit="1" customWidth="1"/>
    <col min="15" max="15" width="21" bestFit="1" customWidth="1"/>
    <col min="16" max="16" width="13" bestFit="1" customWidth="1"/>
    <col min="17" max="17" width="21" bestFit="1" customWidth="1"/>
    <col min="18" max="18" width="17" bestFit="1" customWidth="1"/>
    <col min="19" max="19" width="11" bestFit="1" customWidth="1"/>
    <col min="20" max="20" width="111" bestFit="1" customWidth="1"/>
    <col min="21" max="21" width="97" bestFit="1" customWidth="1"/>
    <col min="22" max="22" width="20" bestFit="1" customWidth="1"/>
    <col min="23" max="23" width="13" bestFit="1" customWidth="1"/>
    <col min="24" max="24" width="22" bestFit="1" customWidth="1"/>
    <col min="25" max="25" width="12" bestFit="1" customWidth="1"/>
    <col min="26" max="27" width="16" bestFit="1" customWidth="1"/>
    <col min="28" max="28" width="20" bestFit="1" customWidth="1"/>
    <col min="29" max="29" width="9" bestFit="1" customWidth="1"/>
    <col min="30" max="30" width="21" bestFit="1" customWidth="1"/>
    <col min="31" max="31" width="9" bestFit="1" customWidth="1"/>
    <col min="34" max="34" width="30.28515625" customWidth="1"/>
  </cols>
  <sheetData>
    <row r="1" spans="1:34" ht="51" x14ac:dyDescent="0.2">
      <c r="A1" s="1" t="s">
        <v>11</v>
      </c>
      <c r="B1" s="2" t="s">
        <v>14</v>
      </c>
      <c r="C1" s="1" t="s">
        <v>0</v>
      </c>
      <c r="D1" s="1" t="s">
        <v>1682</v>
      </c>
      <c r="E1" s="1" t="s">
        <v>2</v>
      </c>
      <c r="F1" s="2" t="s">
        <v>1681</v>
      </c>
      <c r="G1" s="1" t="s">
        <v>1680</v>
      </c>
      <c r="H1" s="1" t="s">
        <v>1679</v>
      </c>
      <c r="I1" s="2" t="s">
        <v>1678</v>
      </c>
      <c r="J1" s="1" t="s">
        <v>1677</v>
      </c>
      <c r="K1" s="2" t="s">
        <v>1676</v>
      </c>
      <c r="L1" s="1" t="s">
        <v>1675</v>
      </c>
      <c r="M1" s="1" t="s">
        <v>1674</v>
      </c>
      <c r="N1" s="1" t="s">
        <v>1673</v>
      </c>
      <c r="O1" s="96" t="s">
        <v>1672</v>
      </c>
      <c r="P1" s="1" t="s">
        <v>1671</v>
      </c>
      <c r="Q1" s="1" t="s">
        <v>1670</v>
      </c>
      <c r="R1" s="1" t="s">
        <v>1669</v>
      </c>
      <c r="S1" s="2" t="s">
        <v>1668</v>
      </c>
      <c r="T1" s="1" t="s">
        <v>1667</v>
      </c>
      <c r="U1" s="1" t="s">
        <v>1666</v>
      </c>
      <c r="V1" s="1" t="s">
        <v>1665</v>
      </c>
      <c r="W1" s="2" t="s">
        <v>1664</v>
      </c>
      <c r="X1" s="1" t="s">
        <v>1663</v>
      </c>
      <c r="Y1" s="2" t="s">
        <v>1662</v>
      </c>
      <c r="Z1" s="2" t="s">
        <v>1661</v>
      </c>
      <c r="AA1" s="1" t="s">
        <v>1660</v>
      </c>
      <c r="AB1" s="1" t="s">
        <v>1659</v>
      </c>
      <c r="AC1" s="2" t="s">
        <v>1658</v>
      </c>
      <c r="AD1" s="1" t="s">
        <v>1657</v>
      </c>
      <c r="AE1" s="2" t="s">
        <v>1656</v>
      </c>
      <c r="AF1" s="97" t="s">
        <v>1683</v>
      </c>
      <c r="AG1" s="97" t="s">
        <v>1737</v>
      </c>
      <c r="AH1" s="105" t="s">
        <v>1738</v>
      </c>
    </row>
    <row r="2" spans="1:34" x14ac:dyDescent="0.2">
      <c r="H2" s="5"/>
      <c r="I2" s="5"/>
      <c r="J2" s="5"/>
      <c r="K2" s="5"/>
      <c r="L2" s="95"/>
      <c r="O2" s="4"/>
      <c r="P2" s="4"/>
      <c r="AB2" s="4"/>
      <c r="AD2" s="4"/>
      <c r="AF2" t="e">
        <f>VLOOKUP(C2,'גיליון דאטה להכל'!A:H,5,0)</f>
        <v>#N/A</v>
      </c>
      <c r="AG2" s="104">
        <f>I2+H2</f>
        <v>0</v>
      </c>
      <c r="AH2" t="e">
        <f>_xlfn.CONCAT(AF2,N2)</f>
        <v>#N/A</v>
      </c>
    </row>
    <row r="3" spans="1:34" x14ac:dyDescent="0.2">
      <c r="H3" s="5"/>
      <c r="I3" s="5"/>
      <c r="J3" s="5"/>
      <c r="K3" s="5"/>
      <c r="L3" s="95"/>
      <c r="O3" s="4"/>
      <c r="P3" s="4"/>
      <c r="AB3" s="4"/>
      <c r="AD3" s="4"/>
      <c r="AF3" t="e">
        <f>VLOOKUP(C3,'גיליון דאטה להכל'!A:H,5,0)</f>
        <v>#N/A</v>
      </c>
      <c r="AG3" s="104">
        <f t="shared" ref="AG3:AG66" si="0">I3+H3</f>
        <v>0</v>
      </c>
      <c r="AH3" t="e">
        <f t="shared" ref="AH3:AH66" si="1">_xlfn.CONCAT(AF3,N3)</f>
        <v>#N/A</v>
      </c>
    </row>
    <row r="4" spans="1:34" x14ac:dyDescent="0.2">
      <c r="H4" s="5"/>
      <c r="I4" s="5"/>
      <c r="J4" s="5"/>
      <c r="K4" s="5"/>
      <c r="L4" s="95"/>
      <c r="O4" s="4"/>
      <c r="P4" s="4"/>
      <c r="AB4" s="4"/>
      <c r="AD4" s="4"/>
      <c r="AF4" t="e">
        <f>VLOOKUP(C4,'גיליון דאטה להכל'!A:H,5,0)</f>
        <v>#N/A</v>
      </c>
      <c r="AG4" s="104">
        <f t="shared" si="0"/>
        <v>0</v>
      </c>
      <c r="AH4" t="e">
        <f t="shared" si="1"/>
        <v>#N/A</v>
      </c>
    </row>
    <row r="5" spans="1:34" x14ac:dyDescent="0.2">
      <c r="H5" s="5"/>
      <c r="I5" s="5"/>
      <c r="J5" s="5"/>
      <c r="K5" s="5"/>
      <c r="L5" s="95"/>
      <c r="O5" s="4"/>
      <c r="P5" s="4"/>
      <c r="AB5" s="4"/>
      <c r="AD5" s="4"/>
      <c r="AF5" t="e">
        <f>VLOOKUP(C5,'גיליון דאטה להכל'!A:H,5,0)</f>
        <v>#N/A</v>
      </c>
      <c r="AG5" s="104">
        <f t="shared" si="0"/>
        <v>0</v>
      </c>
      <c r="AH5" t="e">
        <f t="shared" si="1"/>
        <v>#N/A</v>
      </c>
    </row>
    <row r="6" spans="1:34" x14ac:dyDescent="0.2">
      <c r="H6" s="5"/>
      <c r="I6" s="5"/>
      <c r="J6" s="5"/>
      <c r="K6" s="5"/>
      <c r="L6" s="95"/>
      <c r="O6" s="4"/>
      <c r="P6" s="4"/>
      <c r="AB6" s="4"/>
      <c r="AD6" s="4"/>
      <c r="AF6" t="e">
        <f>VLOOKUP(C6,'גיליון דאטה להכל'!A:H,5,0)</f>
        <v>#N/A</v>
      </c>
      <c r="AG6" s="104">
        <f t="shared" si="0"/>
        <v>0</v>
      </c>
      <c r="AH6" t="e">
        <f t="shared" si="1"/>
        <v>#N/A</v>
      </c>
    </row>
    <row r="7" spans="1:34" x14ac:dyDescent="0.2">
      <c r="H7" s="5"/>
      <c r="I7" s="5"/>
      <c r="J7" s="5"/>
      <c r="K7" s="5"/>
      <c r="O7" s="4"/>
      <c r="P7" s="4"/>
      <c r="AB7" s="4"/>
      <c r="AD7" s="4"/>
      <c r="AF7" t="e">
        <f>VLOOKUP(C7,'גיליון דאטה להכל'!A:H,5,0)</f>
        <v>#N/A</v>
      </c>
      <c r="AG7" s="104">
        <f t="shared" si="0"/>
        <v>0</v>
      </c>
      <c r="AH7" t="e">
        <f t="shared" si="1"/>
        <v>#N/A</v>
      </c>
    </row>
    <row r="8" spans="1:34" x14ac:dyDescent="0.2">
      <c r="H8" s="5"/>
      <c r="I8" s="5"/>
      <c r="J8" s="5"/>
      <c r="K8" s="5"/>
      <c r="O8" s="4"/>
      <c r="P8" s="4"/>
      <c r="AB8" s="4"/>
      <c r="AD8" s="4"/>
      <c r="AF8" t="e">
        <f>VLOOKUP(C8,'גיליון דאטה להכל'!A:H,5,0)</f>
        <v>#N/A</v>
      </c>
      <c r="AG8" s="104">
        <f t="shared" si="0"/>
        <v>0</v>
      </c>
      <c r="AH8" t="e">
        <f t="shared" si="1"/>
        <v>#N/A</v>
      </c>
    </row>
    <row r="9" spans="1:34" x14ac:dyDescent="0.2">
      <c r="H9" s="5"/>
      <c r="I9" s="5"/>
      <c r="J9" s="5"/>
      <c r="K9" s="5"/>
      <c r="O9" s="4"/>
      <c r="P9" s="4"/>
      <c r="AB9" s="4"/>
      <c r="AD9" s="4"/>
      <c r="AF9" t="e">
        <f>VLOOKUP(C9,'גיליון דאטה להכל'!A:H,5,0)</f>
        <v>#N/A</v>
      </c>
      <c r="AG9" s="104">
        <f t="shared" si="0"/>
        <v>0</v>
      </c>
      <c r="AH9" t="e">
        <f t="shared" si="1"/>
        <v>#N/A</v>
      </c>
    </row>
    <row r="10" spans="1:34" x14ac:dyDescent="0.2">
      <c r="H10" s="5"/>
      <c r="I10" s="5"/>
      <c r="J10" s="5"/>
      <c r="K10" s="5"/>
      <c r="O10" s="4"/>
      <c r="P10" s="4"/>
      <c r="AB10" s="4"/>
      <c r="AD10" s="4"/>
      <c r="AF10" t="e">
        <f>VLOOKUP(C10,'גיליון דאטה להכל'!A:H,5,0)</f>
        <v>#N/A</v>
      </c>
      <c r="AG10" s="104">
        <f t="shared" si="0"/>
        <v>0</v>
      </c>
      <c r="AH10" t="e">
        <f t="shared" si="1"/>
        <v>#N/A</v>
      </c>
    </row>
    <row r="11" spans="1:34" x14ac:dyDescent="0.2">
      <c r="H11" s="5"/>
      <c r="I11" s="5"/>
      <c r="J11" s="5"/>
      <c r="K11" s="5"/>
      <c r="O11" s="4"/>
      <c r="P11" s="4"/>
      <c r="AB11" s="4"/>
      <c r="AD11" s="4"/>
      <c r="AF11" t="e">
        <f>VLOOKUP(C11,'גיליון דאטה להכל'!A:H,5,0)</f>
        <v>#N/A</v>
      </c>
      <c r="AG11" s="104">
        <f t="shared" si="0"/>
        <v>0</v>
      </c>
      <c r="AH11" t="e">
        <f t="shared" si="1"/>
        <v>#N/A</v>
      </c>
    </row>
    <row r="12" spans="1:34" x14ac:dyDescent="0.2">
      <c r="H12" s="5"/>
      <c r="I12" s="5"/>
      <c r="J12" s="5"/>
      <c r="K12" s="5"/>
      <c r="O12" s="4"/>
      <c r="P12" s="4"/>
      <c r="AB12" s="4"/>
      <c r="AD12" s="4"/>
      <c r="AF12" t="e">
        <f>VLOOKUP(C12,'גיליון דאטה להכל'!A:H,5,0)</f>
        <v>#N/A</v>
      </c>
      <c r="AG12" s="104">
        <f t="shared" si="0"/>
        <v>0</v>
      </c>
      <c r="AH12" t="e">
        <f t="shared" si="1"/>
        <v>#N/A</v>
      </c>
    </row>
    <row r="13" spans="1:34" x14ac:dyDescent="0.2">
      <c r="H13" s="5"/>
      <c r="I13" s="5"/>
      <c r="J13" s="5"/>
      <c r="K13" s="5"/>
      <c r="L13" s="95"/>
      <c r="O13" s="4"/>
      <c r="P13" s="4"/>
      <c r="AB13" s="4"/>
      <c r="AD13" s="4"/>
      <c r="AF13" t="e">
        <f>VLOOKUP(C13,'גיליון דאטה להכל'!A:H,5,0)</f>
        <v>#N/A</v>
      </c>
      <c r="AG13" s="104">
        <f t="shared" si="0"/>
        <v>0</v>
      </c>
      <c r="AH13" t="e">
        <f t="shared" si="1"/>
        <v>#N/A</v>
      </c>
    </row>
    <row r="14" spans="1:34" x14ac:dyDescent="0.2">
      <c r="H14" s="5"/>
      <c r="I14" s="5"/>
      <c r="J14" s="5"/>
      <c r="K14" s="5"/>
      <c r="L14" s="95"/>
      <c r="O14" s="4"/>
      <c r="P14" s="4"/>
      <c r="AB14" s="4"/>
      <c r="AD14" s="4"/>
      <c r="AF14" t="e">
        <f>VLOOKUP(C14,'גיליון דאטה להכל'!A:H,5,0)</f>
        <v>#N/A</v>
      </c>
      <c r="AG14" s="104">
        <f t="shared" si="0"/>
        <v>0</v>
      </c>
      <c r="AH14" t="e">
        <f t="shared" si="1"/>
        <v>#N/A</v>
      </c>
    </row>
    <row r="15" spans="1:34" x14ac:dyDescent="0.2">
      <c r="H15" s="5"/>
      <c r="I15" s="5"/>
      <c r="J15" s="5"/>
      <c r="K15" s="5"/>
      <c r="L15" s="95"/>
      <c r="O15" s="4"/>
      <c r="P15" s="4"/>
      <c r="AB15" s="4"/>
      <c r="AD15" s="4"/>
      <c r="AF15" t="e">
        <f>VLOOKUP(C15,'גיליון דאטה להכל'!A:H,5,0)</f>
        <v>#N/A</v>
      </c>
      <c r="AG15" s="104">
        <f t="shared" si="0"/>
        <v>0</v>
      </c>
      <c r="AH15" t="e">
        <f t="shared" si="1"/>
        <v>#N/A</v>
      </c>
    </row>
    <row r="16" spans="1:34" x14ac:dyDescent="0.2">
      <c r="H16" s="5"/>
      <c r="I16" s="5"/>
      <c r="J16" s="5"/>
      <c r="K16" s="5"/>
      <c r="L16" s="95"/>
      <c r="O16" s="4"/>
      <c r="P16" s="4"/>
      <c r="AB16" s="4"/>
      <c r="AD16" s="4"/>
      <c r="AF16" t="e">
        <f>VLOOKUP(C16,'גיליון דאטה להכל'!A:H,5,0)</f>
        <v>#N/A</v>
      </c>
      <c r="AG16" s="104">
        <f t="shared" si="0"/>
        <v>0</v>
      </c>
      <c r="AH16" t="e">
        <f t="shared" si="1"/>
        <v>#N/A</v>
      </c>
    </row>
    <row r="17" spans="8:34" x14ac:dyDescent="0.2">
      <c r="H17" s="5"/>
      <c r="I17" s="5"/>
      <c r="J17" s="5"/>
      <c r="K17" s="5"/>
      <c r="L17" s="95"/>
      <c r="O17" s="4"/>
      <c r="P17" s="4"/>
      <c r="AB17" s="4"/>
      <c r="AD17" s="4"/>
      <c r="AF17" t="e">
        <f>VLOOKUP(C17,'גיליון דאטה להכל'!A:H,5,0)</f>
        <v>#N/A</v>
      </c>
      <c r="AG17" s="104">
        <f t="shared" si="0"/>
        <v>0</v>
      </c>
      <c r="AH17" t="e">
        <f t="shared" si="1"/>
        <v>#N/A</v>
      </c>
    </row>
    <row r="18" spans="8:34" x14ac:dyDescent="0.2">
      <c r="H18" s="5"/>
      <c r="I18" s="5"/>
      <c r="J18" s="5"/>
      <c r="K18" s="5"/>
      <c r="L18" s="95"/>
      <c r="O18" s="4"/>
      <c r="P18" s="4"/>
      <c r="AB18" s="4"/>
      <c r="AD18" s="4"/>
      <c r="AF18" t="e">
        <f>VLOOKUP(C18,'גיליון דאטה להכל'!A:H,5,0)</f>
        <v>#N/A</v>
      </c>
      <c r="AG18" s="104">
        <f t="shared" si="0"/>
        <v>0</v>
      </c>
      <c r="AH18" t="e">
        <f t="shared" si="1"/>
        <v>#N/A</v>
      </c>
    </row>
    <row r="19" spans="8:34" x14ac:dyDescent="0.2">
      <c r="H19" s="5"/>
      <c r="I19" s="5"/>
      <c r="J19" s="5"/>
      <c r="K19" s="5"/>
      <c r="O19" s="4"/>
      <c r="P19" s="4"/>
      <c r="AB19" s="4"/>
      <c r="AD19" s="4"/>
      <c r="AF19" t="e">
        <f>VLOOKUP(C19,'גיליון דאטה להכל'!A:H,5,0)</f>
        <v>#N/A</v>
      </c>
      <c r="AG19" s="104">
        <f t="shared" si="0"/>
        <v>0</v>
      </c>
      <c r="AH19" t="e">
        <f t="shared" si="1"/>
        <v>#N/A</v>
      </c>
    </row>
    <row r="20" spans="8:34" x14ac:dyDescent="0.2">
      <c r="H20" s="5"/>
      <c r="I20" s="5"/>
      <c r="J20" s="5"/>
      <c r="K20" s="5"/>
      <c r="O20" s="4"/>
      <c r="P20" s="4"/>
      <c r="AB20" s="4"/>
      <c r="AD20" s="4"/>
      <c r="AF20" t="e">
        <f>VLOOKUP(C20,'גיליון דאטה להכל'!A:H,5,0)</f>
        <v>#N/A</v>
      </c>
      <c r="AG20" s="104">
        <f t="shared" si="0"/>
        <v>0</v>
      </c>
      <c r="AH20" t="e">
        <f t="shared" si="1"/>
        <v>#N/A</v>
      </c>
    </row>
    <row r="21" spans="8:34" x14ac:dyDescent="0.2">
      <c r="H21" s="5"/>
      <c r="I21" s="5"/>
      <c r="J21" s="5"/>
      <c r="K21" s="5"/>
      <c r="L21" s="95"/>
      <c r="O21" s="4"/>
      <c r="P21" s="4"/>
      <c r="AB21" s="4"/>
      <c r="AD21" s="4"/>
      <c r="AF21" t="e">
        <f>VLOOKUP(C21,'גיליון דאטה להכל'!A:H,5,0)</f>
        <v>#N/A</v>
      </c>
      <c r="AG21" s="104">
        <f t="shared" si="0"/>
        <v>0</v>
      </c>
      <c r="AH21" t="e">
        <f t="shared" si="1"/>
        <v>#N/A</v>
      </c>
    </row>
    <row r="22" spans="8:34" x14ac:dyDescent="0.2">
      <c r="H22" s="5"/>
      <c r="I22" s="5"/>
      <c r="J22" s="5"/>
      <c r="K22" s="5"/>
      <c r="L22" s="95"/>
      <c r="O22" s="4"/>
      <c r="P22" s="4"/>
      <c r="AB22" s="4"/>
      <c r="AD22" s="4"/>
      <c r="AF22" t="e">
        <f>VLOOKUP(C22,'גיליון דאטה להכל'!A:H,5,0)</f>
        <v>#N/A</v>
      </c>
      <c r="AG22" s="104">
        <f t="shared" si="0"/>
        <v>0</v>
      </c>
      <c r="AH22" t="e">
        <f t="shared" si="1"/>
        <v>#N/A</v>
      </c>
    </row>
    <row r="23" spans="8:34" x14ac:dyDescent="0.2">
      <c r="H23" s="5"/>
      <c r="I23" s="5"/>
      <c r="J23" s="5"/>
      <c r="K23" s="5"/>
      <c r="L23" s="95"/>
      <c r="O23" s="4"/>
      <c r="P23" s="4"/>
      <c r="AB23" s="4"/>
      <c r="AD23" s="4"/>
      <c r="AF23" t="e">
        <f>VLOOKUP(C23,'גיליון דאטה להכל'!A:H,5,0)</f>
        <v>#N/A</v>
      </c>
      <c r="AG23" s="104">
        <f t="shared" si="0"/>
        <v>0</v>
      </c>
      <c r="AH23" t="e">
        <f t="shared" si="1"/>
        <v>#N/A</v>
      </c>
    </row>
    <row r="24" spans="8:34" x14ac:dyDescent="0.2">
      <c r="H24" s="5"/>
      <c r="I24" s="5"/>
      <c r="J24" s="5"/>
      <c r="K24" s="5"/>
      <c r="L24" s="95"/>
      <c r="O24" s="4"/>
      <c r="P24" s="4"/>
      <c r="AB24" s="4"/>
      <c r="AD24" s="4"/>
      <c r="AF24" t="e">
        <f>VLOOKUP(C24,'גיליון דאטה להכל'!A:H,5,0)</f>
        <v>#N/A</v>
      </c>
      <c r="AG24" s="104">
        <f t="shared" si="0"/>
        <v>0</v>
      </c>
      <c r="AH24" t="e">
        <f t="shared" si="1"/>
        <v>#N/A</v>
      </c>
    </row>
    <row r="25" spans="8:34" x14ac:dyDescent="0.2">
      <c r="H25" s="5"/>
      <c r="I25" s="5"/>
      <c r="J25" s="5"/>
      <c r="K25" s="5"/>
      <c r="L25" s="95"/>
      <c r="O25" s="4"/>
      <c r="P25" s="4"/>
      <c r="AB25" s="4"/>
      <c r="AD25" s="4"/>
      <c r="AF25" t="e">
        <f>VLOOKUP(C25,'גיליון דאטה להכל'!A:H,5,0)</f>
        <v>#N/A</v>
      </c>
      <c r="AG25" s="104">
        <f t="shared" si="0"/>
        <v>0</v>
      </c>
      <c r="AH25" t="e">
        <f t="shared" si="1"/>
        <v>#N/A</v>
      </c>
    </row>
    <row r="26" spans="8:34" x14ac:dyDescent="0.2">
      <c r="H26" s="5"/>
      <c r="I26" s="5"/>
      <c r="J26" s="5"/>
      <c r="K26" s="5"/>
      <c r="L26" s="95"/>
      <c r="O26" s="4"/>
      <c r="P26" s="4"/>
      <c r="AB26" s="4"/>
      <c r="AD26" s="4"/>
      <c r="AF26" t="e">
        <f>VLOOKUP(C26,'גיליון דאטה להכל'!A:H,5,0)</f>
        <v>#N/A</v>
      </c>
      <c r="AG26" s="104">
        <f t="shared" si="0"/>
        <v>0</v>
      </c>
      <c r="AH26" t="e">
        <f t="shared" si="1"/>
        <v>#N/A</v>
      </c>
    </row>
    <row r="27" spans="8:34" x14ac:dyDescent="0.2">
      <c r="H27" s="5"/>
      <c r="I27" s="5"/>
      <c r="J27" s="5"/>
      <c r="K27" s="5"/>
      <c r="L27" s="95"/>
      <c r="O27" s="4"/>
      <c r="P27" s="4"/>
      <c r="AB27" s="4"/>
      <c r="AD27" s="4"/>
      <c r="AF27" t="e">
        <f>VLOOKUP(C27,'גיליון דאטה להכל'!A:H,5,0)</f>
        <v>#N/A</v>
      </c>
      <c r="AG27" s="104">
        <f t="shared" si="0"/>
        <v>0</v>
      </c>
      <c r="AH27" t="e">
        <f t="shared" si="1"/>
        <v>#N/A</v>
      </c>
    </row>
    <row r="28" spans="8:34" x14ac:dyDescent="0.2">
      <c r="H28" s="5"/>
      <c r="I28" s="5"/>
      <c r="J28" s="5"/>
      <c r="K28" s="5"/>
      <c r="L28" s="95"/>
      <c r="O28" s="4"/>
      <c r="P28" s="4"/>
      <c r="AB28" s="4"/>
      <c r="AD28" s="4"/>
      <c r="AF28" t="e">
        <f>VLOOKUP(C28,'גיליון דאטה להכל'!A:H,5,0)</f>
        <v>#N/A</v>
      </c>
      <c r="AG28" s="104">
        <f t="shared" si="0"/>
        <v>0</v>
      </c>
      <c r="AH28" t="e">
        <f t="shared" si="1"/>
        <v>#N/A</v>
      </c>
    </row>
    <row r="29" spans="8:34" x14ac:dyDescent="0.2">
      <c r="H29" s="5"/>
      <c r="I29" s="5"/>
      <c r="J29" s="5"/>
      <c r="K29" s="5"/>
      <c r="L29" s="95"/>
      <c r="O29" s="4"/>
      <c r="P29" s="4"/>
      <c r="AB29" s="4"/>
      <c r="AD29" s="4"/>
      <c r="AF29" t="e">
        <f>VLOOKUP(C29,'גיליון דאטה להכל'!A:H,5,0)</f>
        <v>#N/A</v>
      </c>
      <c r="AG29" s="104">
        <f t="shared" si="0"/>
        <v>0</v>
      </c>
      <c r="AH29" t="e">
        <f t="shared" si="1"/>
        <v>#N/A</v>
      </c>
    </row>
    <row r="30" spans="8:34" x14ac:dyDescent="0.2">
      <c r="H30" s="5"/>
      <c r="I30" s="5"/>
      <c r="J30" s="5"/>
      <c r="K30" s="5"/>
      <c r="L30" s="95"/>
      <c r="O30" s="4"/>
      <c r="P30" s="4"/>
      <c r="AB30" s="4"/>
      <c r="AD30" s="4"/>
      <c r="AF30" t="e">
        <f>VLOOKUP(C30,'גיליון דאטה להכל'!A:H,5,0)</f>
        <v>#N/A</v>
      </c>
      <c r="AG30" s="104">
        <f t="shared" si="0"/>
        <v>0</v>
      </c>
      <c r="AH30" t="e">
        <f t="shared" si="1"/>
        <v>#N/A</v>
      </c>
    </row>
    <row r="31" spans="8:34" x14ac:dyDescent="0.2">
      <c r="H31" s="5"/>
      <c r="I31" s="5"/>
      <c r="J31" s="5"/>
      <c r="K31" s="5"/>
      <c r="L31" s="95"/>
      <c r="O31" s="4"/>
      <c r="P31" s="4"/>
      <c r="AB31" s="4"/>
      <c r="AD31" s="4"/>
      <c r="AF31" t="e">
        <f>VLOOKUP(C31,'גיליון דאטה להכל'!A:H,5,0)</f>
        <v>#N/A</v>
      </c>
      <c r="AG31" s="104">
        <f t="shared" si="0"/>
        <v>0</v>
      </c>
      <c r="AH31" t="e">
        <f t="shared" si="1"/>
        <v>#N/A</v>
      </c>
    </row>
    <row r="32" spans="8:34" x14ac:dyDescent="0.2">
      <c r="H32" s="5"/>
      <c r="I32" s="5"/>
      <c r="J32" s="5"/>
      <c r="K32" s="5"/>
      <c r="L32" s="95"/>
      <c r="O32" s="4"/>
      <c r="P32" s="4"/>
      <c r="AB32" s="4"/>
      <c r="AD32" s="4"/>
      <c r="AF32" t="e">
        <f>VLOOKUP(C32,'גיליון דאטה להכל'!A:H,5,0)</f>
        <v>#N/A</v>
      </c>
      <c r="AG32" s="104">
        <f t="shared" si="0"/>
        <v>0</v>
      </c>
      <c r="AH32" t="e">
        <f t="shared" si="1"/>
        <v>#N/A</v>
      </c>
    </row>
    <row r="33" spans="8:34" x14ac:dyDescent="0.2">
      <c r="H33" s="5"/>
      <c r="I33" s="5"/>
      <c r="J33" s="5"/>
      <c r="K33" s="5"/>
      <c r="L33" s="95"/>
      <c r="O33" s="4"/>
      <c r="P33" s="4"/>
      <c r="AB33" s="4"/>
      <c r="AD33" s="4"/>
      <c r="AF33" t="e">
        <f>VLOOKUP(C33,'גיליון דאטה להכל'!A:H,5,0)</f>
        <v>#N/A</v>
      </c>
      <c r="AG33" s="104">
        <f t="shared" si="0"/>
        <v>0</v>
      </c>
      <c r="AH33" t="e">
        <f t="shared" si="1"/>
        <v>#N/A</v>
      </c>
    </row>
    <row r="34" spans="8:34" x14ac:dyDescent="0.2">
      <c r="H34" s="5"/>
      <c r="I34" s="5"/>
      <c r="J34" s="5"/>
      <c r="K34" s="5"/>
      <c r="L34" s="95"/>
      <c r="O34" s="4"/>
      <c r="P34" s="4"/>
      <c r="AB34" s="4"/>
      <c r="AD34" s="4"/>
      <c r="AF34" t="e">
        <f>VLOOKUP(C34,'גיליון דאטה להכל'!A:H,5,0)</f>
        <v>#N/A</v>
      </c>
      <c r="AG34" s="104">
        <f t="shared" si="0"/>
        <v>0</v>
      </c>
      <c r="AH34" t="e">
        <f t="shared" si="1"/>
        <v>#N/A</v>
      </c>
    </row>
    <row r="35" spans="8:34" x14ac:dyDescent="0.2">
      <c r="H35" s="5"/>
      <c r="I35" s="5"/>
      <c r="J35" s="5"/>
      <c r="K35" s="5"/>
      <c r="L35" s="95"/>
      <c r="O35" s="4"/>
      <c r="P35" s="4"/>
      <c r="AB35" s="4"/>
      <c r="AD35" s="4"/>
      <c r="AF35" t="e">
        <f>VLOOKUP(C35,'גיליון דאטה להכל'!A:H,5,0)</f>
        <v>#N/A</v>
      </c>
      <c r="AG35" s="104">
        <f t="shared" si="0"/>
        <v>0</v>
      </c>
      <c r="AH35" t="e">
        <f t="shared" si="1"/>
        <v>#N/A</v>
      </c>
    </row>
    <row r="36" spans="8:34" x14ac:dyDescent="0.2">
      <c r="H36" s="5"/>
      <c r="I36" s="5"/>
      <c r="J36" s="5"/>
      <c r="K36" s="5"/>
      <c r="L36" s="95"/>
      <c r="O36" s="4"/>
      <c r="P36" s="4"/>
      <c r="AB36" s="4"/>
      <c r="AD36" s="4"/>
      <c r="AF36" t="e">
        <f>VLOOKUP(C36,'גיליון דאטה להכל'!A:H,5,0)</f>
        <v>#N/A</v>
      </c>
      <c r="AG36" s="104">
        <f t="shared" si="0"/>
        <v>0</v>
      </c>
      <c r="AH36" t="e">
        <f t="shared" si="1"/>
        <v>#N/A</v>
      </c>
    </row>
    <row r="37" spans="8:34" x14ac:dyDescent="0.2">
      <c r="H37" s="5"/>
      <c r="I37" s="5"/>
      <c r="J37" s="5"/>
      <c r="K37" s="5"/>
      <c r="L37" s="95"/>
      <c r="O37" s="4"/>
      <c r="P37" s="4"/>
      <c r="AB37" s="4"/>
      <c r="AD37" s="4"/>
      <c r="AF37" t="e">
        <f>VLOOKUP(C37,'גיליון דאטה להכל'!A:H,5,0)</f>
        <v>#N/A</v>
      </c>
      <c r="AG37" s="104">
        <f t="shared" si="0"/>
        <v>0</v>
      </c>
      <c r="AH37" t="e">
        <f t="shared" si="1"/>
        <v>#N/A</v>
      </c>
    </row>
    <row r="38" spans="8:34" x14ac:dyDescent="0.2">
      <c r="H38" s="5"/>
      <c r="I38" s="5"/>
      <c r="J38" s="5"/>
      <c r="K38" s="5"/>
      <c r="L38" s="95"/>
      <c r="O38" s="4"/>
      <c r="P38" s="4"/>
      <c r="AB38" s="4"/>
      <c r="AD38" s="4"/>
      <c r="AF38" t="e">
        <f>VLOOKUP(C38,'גיליון דאטה להכל'!A:H,5,0)</f>
        <v>#N/A</v>
      </c>
      <c r="AG38" s="104">
        <f t="shared" si="0"/>
        <v>0</v>
      </c>
      <c r="AH38" t="e">
        <f t="shared" si="1"/>
        <v>#N/A</v>
      </c>
    </row>
    <row r="39" spans="8:34" x14ac:dyDescent="0.2">
      <c r="H39" s="5"/>
      <c r="I39" s="5"/>
      <c r="J39" s="5"/>
      <c r="K39" s="5"/>
      <c r="L39" s="95"/>
      <c r="O39" s="4"/>
      <c r="P39" s="4"/>
      <c r="AB39" s="4"/>
      <c r="AD39" s="4"/>
      <c r="AF39" t="e">
        <f>VLOOKUP(C39,'גיליון דאטה להכל'!A:H,5,0)</f>
        <v>#N/A</v>
      </c>
      <c r="AG39" s="104">
        <f t="shared" si="0"/>
        <v>0</v>
      </c>
      <c r="AH39" t="e">
        <f t="shared" si="1"/>
        <v>#N/A</v>
      </c>
    </row>
    <row r="40" spans="8:34" x14ac:dyDescent="0.2">
      <c r="H40" s="5"/>
      <c r="I40" s="5"/>
      <c r="J40" s="5"/>
      <c r="K40" s="5"/>
      <c r="L40" s="95"/>
      <c r="O40" s="4"/>
      <c r="P40" s="4"/>
      <c r="AB40" s="4"/>
      <c r="AD40" s="4"/>
      <c r="AF40" t="e">
        <f>VLOOKUP(C40,'גיליון דאטה להכל'!A:H,5,0)</f>
        <v>#N/A</v>
      </c>
      <c r="AG40" s="104">
        <f t="shared" si="0"/>
        <v>0</v>
      </c>
      <c r="AH40" t="e">
        <f t="shared" si="1"/>
        <v>#N/A</v>
      </c>
    </row>
    <row r="41" spans="8:34" x14ac:dyDescent="0.2">
      <c r="H41" s="5"/>
      <c r="I41" s="5"/>
      <c r="J41" s="5"/>
      <c r="K41" s="5"/>
      <c r="L41" s="95"/>
      <c r="O41" s="4"/>
      <c r="P41" s="4"/>
      <c r="AB41" s="4"/>
      <c r="AD41" s="4"/>
      <c r="AF41" t="e">
        <f>VLOOKUP(C41,'גיליון דאטה להכל'!A:H,5,0)</f>
        <v>#N/A</v>
      </c>
      <c r="AG41" s="104">
        <f t="shared" si="0"/>
        <v>0</v>
      </c>
      <c r="AH41" t="e">
        <f t="shared" si="1"/>
        <v>#N/A</v>
      </c>
    </row>
    <row r="42" spans="8:34" x14ac:dyDescent="0.2">
      <c r="H42" s="5"/>
      <c r="I42" s="5"/>
      <c r="J42" s="5"/>
      <c r="K42" s="5"/>
      <c r="L42" s="95"/>
      <c r="O42" s="4"/>
      <c r="P42" s="4"/>
      <c r="AB42" s="4"/>
      <c r="AD42" s="4"/>
      <c r="AF42" t="e">
        <f>VLOOKUP(C42,'גיליון דאטה להכל'!A:H,5,0)</f>
        <v>#N/A</v>
      </c>
      <c r="AG42" s="104">
        <f t="shared" si="0"/>
        <v>0</v>
      </c>
      <c r="AH42" t="e">
        <f t="shared" si="1"/>
        <v>#N/A</v>
      </c>
    </row>
    <row r="43" spans="8:34" x14ac:dyDescent="0.2">
      <c r="H43" s="5"/>
      <c r="I43" s="5"/>
      <c r="J43" s="5"/>
      <c r="K43" s="5"/>
      <c r="L43" s="95"/>
      <c r="O43" s="4"/>
      <c r="P43" s="4"/>
      <c r="AB43" s="4"/>
      <c r="AD43" s="4"/>
      <c r="AF43" t="e">
        <f>VLOOKUP(C43,'גיליון דאטה להכל'!A:H,5,0)</f>
        <v>#N/A</v>
      </c>
      <c r="AG43" s="104">
        <f t="shared" si="0"/>
        <v>0</v>
      </c>
      <c r="AH43" t="e">
        <f t="shared" si="1"/>
        <v>#N/A</v>
      </c>
    </row>
    <row r="44" spans="8:34" x14ac:dyDescent="0.2">
      <c r="H44" s="5"/>
      <c r="I44" s="5"/>
      <c r="J44" s="5"/>
      <c r="K44" s="5"/>
      <c r="L44" s="95"/>
      <c r="O44" s="4"/>
      <c r="P44" s="4"/>
      <c r="AB44" s="4"/>
      <c r="AD44" s="4"/>
      <c r="AF44" t="e">
        <f>VLOOKUP(C44,'גיליון דאטה להכל'!A:H,5,0)</f>
        <v>#N/A</v>
      </c>
      <c r="AG44" s="104">
        <f t="shared" si="0"/>
        <v>0</v>
      </c>
      <c r="AH44" t="e">
        <f t="shared" si="1"/>
        <v>#N/A</v>
      </c>
    </row>
    <row r="45" spans="8:34" x14ac:dyDescent="0.2">
      <c r="H45" s="5"/>
      <c r="I45" s="5"/>
      <c r="J45" s="5"/>
      <c r="K45" s="5"/>
      <c r="L45" s="95"/>
      <c r="O45" s="4"/>
      <c r="P45" s="4"/>
      <c r="AB45" s="4"/>
      <c r="AD45" s="4"/>
      <c r="AF45" t="e">
        <f>VLOOKUP(C45,'גיליון דאטה להכל'!A:H,5,0)</f>
        <v>#N/A</v>
      </c>
      <c r="AG45" s="104">
        <f t="shared" si="0"/>
        <v>0</v>
      </c>
      <c r="AH45" t="e">
        <f t="shared" si="1"/>
        <v>#N/A</v>
      </c>
    </row>
    <row r="46" spans="8:34" x14ac:dyDescent="0.2">
      <c r="H46" s="5"/>
      <c r="I46" s="5"/>
      <c r="J46" s="5"/>
      <c r="K46" s="5"/>
      <c r="L46" s="95"/>
      <c r="O46" s="4"/>
      <c r="P46" s="4"/>
      <c r="AB46" s="4"/>
      <c r="AD46" s="4"/>
      <c r="AF46" t="e">
        <f>VLOOKUP(C46,'גיליון דאטה להכל'!A:H,5,0)</f>
        <v>#N/A</v>
      </c>
      <c r="AG46" s="104">
        <f t="shared" si="0"/>
        <v>0</v>
      </c>
      <c r="AH46" t="e">
        <f t="shared" si="1"/>
        <v>#N/A</v>
      </c>
    </row>
    <row r="47" spans="8:34" x14ac:dyDescent="0.2">
      <c r="H47" s="5"/>
      <c r="I47" s="5"/>
      <c r="J47" s="5"/>
      <c r="K47" s="5"/>
      <c r="L47" s="95"/>
      <c r="O47" s="4"/>
      <c r="P47" s="4"/>
      <c r="AB47" s="4"/>
      <c r="AD47" s="4"/>
      <c r="AF47" t="e">
        <f>VLOOKUP(C47,'גיליון דאטה להכל'!A:H,5,0)</f>
        <v>#N/A</v>
      </c>
      <c r="AG47" s="104">
        <f t="shared" si="0"/>
        <v>0</v>
      </c>
      <c r="AH47" t="e">
        <f t="shared" si="1"/>
        <v>#N/A</v>
      </c>
    </row>
    <row r="48" spans="8:34" x14ac:dyDescent="0.2">
      <c r="H48" s="5"/>
      <c r="I48" s="5"/>
      <c r="J48" s="5"/>
      <c r="K48" s="5"/>
      <c r="L48" s="95"/>
      <c r="O48" s="4"/>
      <c r="P48" s="4"/>
      <c r="AB48" s="4"/>
      <c r="AD48" s="4"/>
      <c r="AF48" t="e">
        <f>VLOOKUP(C48,'גיליון דאטה להכל'!A:H,5,0)</f>
        <v>#N/A</v>
      </c>
      <c r="AG48" s="104">
        <f t="shared" si="0"/>
        <v>0</v>
      </c>
      <c r="AH48" t="e">
        <f t="shared" si="1"/>
        <v>#N/A</v>
      </c>
    </row>
    <row r="49" spans="8:47" x14ac:dyDescent="0.2">
      <c r="H49" s="5"/>
      <c r="I49" s="5"/>
      <c r="J49" s="5"/>
      <c r="K49" s="5"/>
      <c r="L49" s="95"/>
      <c r="O49" s="4"/>
      <c r="P49" s="4"/>
      <c r="AB49" s="4"/>
      <c r="AD49" s="4"/>
      <c r="AF49" t="e">
        <f>VLOOKUP(C49,'גיליון דאטה להכל'!A:H,5,0)</f>
        <v>#N/A</v>
      </c>
      <c r="AG49" s="104">
        <f t="shared" si="0"/>
        <v>0</v>
      </c>
      <c r="AH49" t="e">
        <f t="shared" si="1"/>
        <v>#N/A</v>
      </c>
    </row>
    <row r="50" spans="8:47" x14ac:dyDescent="0.2">
      <c r="H50" s="5"/>
      <c r="I50" s="5"/>
      <c r="J50" s="5"/>
      <c r="K50" s="5"/>
      <c r="L50" s="95"/>
      <c r="O50" s="4"/>
      <c r="P50" s="4"/>
      <c r="AB50" s="4"/>
      <c r="AD50" s="4"/>
      <c r="AF50" t="e">
        <f>VLOOKUP(C50,'גיליון דאטה להכל'!A:H,5,0)</f>
        <v>#N/A</v>
      </c>
      <c r="AG50" s="104">
        <f t="shared" si="0"/>
        <v>0</v>
      </c>
      <c r="AH50" t="e">
        <f t="shared" si="1"/>
        <v>#N/A</v>
      </c>
    </row>
    <row r="51" spans="8:47" x14ac:dyDescent="0.2">
      <c r="H51" s="5"/>
      <c r="I51" s="5"/>
      <c r="J51" s="5"/>
      <c r="K51" s="5"/>
      <c r="L51" s="95"/>
      <c r="O51" s="4"/>
      <c r="P51" s="4"/>
      <c r="AB51" s="4"/>
      <c r="AD51" s="4"/>
      <c r="AF51" t="e">
        <f>VLOOKUP(C51,'גיליון דאטה להכל'!A:H,5,0)</f>
        <v>#N/A</v>
      </c>
      <c r="AG51" s="104">
        <f t="shared" si="0"/>
        <v>0</v>
      </c>
      <c r="AH51" t="e">
        <f t="shared" si="1"/>
        <v>#N/A</v>
      </c>
    </row>
    <row r="52" spans="8:47" x14ac:dyDescent="0.2">
      <c r="H52" s="5"/>
      <c r="I52" s="5"/>
      <c r="J52" s="5"/>
      <c r="K52" s="5"/>
      <c r="L52" s="95"/>
      <c r="O52" s="4"/>
      <c r="P52" s="4"/>
      <c r="AB52" s="4"/>
      <c r="AD52" s="4"/>
      <c r="AF52" t="e">
        <f>VLOOKUP(C52,'גיליון דאטה להכל'!A:H,5,0)</f>
        <v>#N/A</v>
      </c>
      <c r="AG52" s="104">
        <f t="shared" si="0"/>
        <v>0</v>
      </c>
      <c r="AH52" t="e">
        <f t="shared" si="1"/>
        <v>#N/A</v>
      </c>
    </row>
    <row r="53" spans="8:47" x14ac:dyDescent="0.2">
      <c r="H53" s="5"/>
      <c r="I53" s="5"/>
      <c r="J53" s="5"/>
      <c r="K53" s="5"/>
      <c r="L53" s="95"/>
      <c r="O53" s="4"/>
      <c r="P53" s="4"/>
      <c r="AB53" s="4"/>
      <c r="AD53" s="4"/>
      <c r="AF53" t="e">
        <f>VLOOKUP(C53,'גיליון דאטה להכל'!A:H,5,0)</f>
        <v>#N/A</v>
      </c>
      <c r="AG53" s="104">
        <f t="shared" si="0"/>
        <v>0</v>
      </c>
      <c r="AH53" t="e">
        <f t="shared" si="1"/>
        <v>#N/A</v>
      </c>
    </row>
    <row r="54" spans="8:47" x14ac:dyDescent="0.2">
      <c r="H54" s="5"/>
      <c r="I54" s="5"/>
      <c r="J54" s="5"/>
      <c r="K54" s="5"/>
      <c r="L54" s="95"/>
      <c r="O54" s="4"/>
      <c r="P54" s="4"/>
      <c r="AB54" s="4"/>
      <c r="AD54" s="4"/>
      <c r="AF54" t="e">
        <f>VLOOKUP(C54,'גיליון דאטה להכל'!A:H,5,0)</f>
        <v>#N/A</v>
      </c>
      <c r="AG54" s="104">
        <f t="shared" si="0"/>
        <v>0</v>
      </c>
      <c r="AH54" t="e">
        <f t="shared" si="1"/>
        <v>#N/A</v>
      </c>
    </row>
    <row r="55" spans="8:47" x14ac:dyDescent="0.2">
      <c r="H55" s="5"/>
      <c r="I55" s="5"/>
      <c r="J55" s="5"/>
      <c r="K55" s="5"/>
      <c r="L55" s="95"/>
      <c r="O55" s="4"/>
      <c r="P55" s="4"/>
      <c r="AB55" s="4"/>
      <c r="AD55" s="4"/>
      <c r="AF55" t="e">
        <f>VLOOKUP(C55,'גיליון דאטה להכל'!A:H,5,0)</f>
        <v>#N/A</v>
      </c>
      <c r="AG55" s="104">
        <f t="shared" si="0"/>
        <v>0</v>
      </c>
      <c r="AH55" t="e">
        <f t="shared" si="1"/>
        <v>#N/A</v>
      </c>
    </row>
    <row r="56" spans="8:47" x14ac:dyDescent="0.2">
      <c r="H56" s="5"/>
      <c r="I56" s="5"/>
      <c r="J56" s="5"/>
      <c r="K56" s="5"/>
      <c r="L56" s="95"/>
      <c r="O56" s="4"/>
      <c r="P56" s="4"/>
      <c r="AB56" s="4"/>
      <c r="AD56" s="4"/>
      <c r="AF56" t="e">
        <f>VLOOKUP(C56,'גיליון דאטה להכל'!A:H,5,0)</f>
        <v>#N/A</v>
      </c>
      <c r="AG56" s="104">
        <f t="shared" si="0"/>
        <v>0</v>
      </c>
      <c r="AH56" t="e">
        <f t="shared" si="1"/>
        <v>#N/A</v>
      </c>
    </row>
    <row r="57" spans="8:47" x14ac:dyDescent="0.2">
      <c r="H57" s="5"/>
      <c r="I57" s="5"/>
      <c r="J57" s="5"/>
      <c r="K57" s="5"/>
      <c r="O57" s="4"/>
      <c r="P57" s="4"/>
      <c r="AB57" s="4"/>
      <c r="AD57" s="4"/>
      <c r="AF57" t="e">
        <f>VLOOKUP(C57,'גיליון דאטה להכל'!A:H,5,0)</f>
        <v>#N/A</v>
      </c>
      <c r="AG57" s="104">
        <f t="shared" si="0"/>
        <v>0</v>
      </c>
      <c r="AH57" t="e">
        <f t="shared" si="1"/>
        <v>#N/A</v>
      </c>
    </row>
    <row r="58" spans="8:47" x14ac:dyDescent="0.2">
      <c r="H58" s="5"/>
      <c r="I58" s="5"/>
      <c r="J58" s="5"/>
      <c r="K58" s="5"/>
      <c r="O58" s="4"/>
      <c r="P58" s="4"/>
      <c r="AB58" s="4"/>
      <c r="AD58" s="4"/>
      <c r="AF58" t="e">
        <f>VLOOKUP(C58,'גיליון דאטה להכל'!A:H,5,0)</f>
        <v>#N/A</v>
      </c>
      <c r="AG58" s="104">
        <f t="shared" si="0"/>
        <v>0</v>
      </c>
      <c r="AH58" t="e">
        <f t="shared" si="1"/>
        <v>#N/A</v>
      </c>
    </row>
    <row r="59" spans="8:47" x14ac:dyDescent="0.2">
      <c r="H59" s="5"/>
      <c r="I59" s="5"/>
      <c r="J59" s="5"/>
      <c r="O59" s="4"/>
      <c r="P59" s="4"/>
      <c r="AB59" s="4"/>
      <c r="AD59" s="4"/>
      <c r="AF59" t="e">
        <f>VLOOKUP(C59,'גיליון דאטה להכל'!A:H,5,0)</f>
        <v>#N/A</v>
      </c>
      <c r="AG59" s="104">
        <f t="shared" si="0"/>
        <v>0</v>
      </c>
      <c r="AH59" t="e">
        <f t="shared" si="1"/>
        <v>#N/A</v>
      </c>
    </row>
    <row r="60" spans="8:47" x14ac:dyDescent="0.2">
      <c r="H60" s="5"/>
      <c r="I60" s="5"/>
      <c r="J60" s="5"/>
      <c r="K60" s="5"/>
      <c r="O60" s="4"/>
      <c r="P60" s="4"/>
      <c r="AB60" s="4"/>
      <c r="AD60" s="4"/>
      <c r="AF60" t="e">
        <f>VLOOKUP(C60,'גיליון דאטה להכל'!A:H,5,0)</f>
        <v>#N/A</v>
      </c>
      <c r="AG60" s="104">
        <f t="shared" si="0"/>
        <v>0</v>
      </c>
      <c r="AH60" t="e">
        <f t="shared" si="1"/>
        <v>#N/A</v>
      </c>
    </row>
    <row r="61" spans="8:47" x14ac:dyDescent="0.2">
      <c r="H61" s="5"/>
      <c r="I61" s="5"/>
      <c r="J61" s="5"/>
      <c r="K61" s="5"/>
      <c r="O61" s="4"/>
      <c r="P61" s="4"/>
      <c r="AB61" s="4"/>
      <c r="AD61" s="4"/>
      <c r="AF61" t="e">
        <f>VLOOKUP(C61,'גיליון דאטה להכל'!A:H,5,0)</f>
        <v>#N/A</v>
      </c>
      <c r="AG61" s="104">
        <f t="shared" si="0"/>
        <v>0</v>
      </c>
      <c r="AH61" t="e">
        <f t="shared" si="1"/>
        <v>#N/A</v>
      </c>
    </row>
    <row r="62" spans="8:47" x14ac:dyDescent="0.2">
      <c r="H62" s="5"/>
      <c r="I62" s="5"/>
      <c r="J62" s="5"/>
      <c r="K62" s="5"/>
      <c r="O62" s="4"/>
      <c r="P62" s="4"/>
      <c r="AB62" s="4"/>
      <c r="AD62" s="4"/>
      <c r="AF62" t="e">
        <f>VLOOKUP(C62,'גיליון דאטה להכל'!A:H,5,0)</f>
        <v>#N/A</v>
      </c>
      <c r="AG62" s="104">
        <f t="shared" si="0"/>
        <v>0</v>
      </c>
      <c r="AH62" t="e">
        <f t="shared" si="1"/>
        <v>#N/A</v>
      </c>
    </row>
    <row r="63" spans="8:47" x14ac:dyDescent="0.2">
      <c r="H63" s="5"/>
      <c r="I63" s="5"/>
      <c r="J63" s="5"/>
      <c r="K63" s="5"/>
      <c r="O63" s="4"/>
      <c r="P63" s="4"/>
      <c r="AB63" s="4"/>
      <c r="AD63" s="4"/>
      <c r="AF63" t="e">
        <f>VLOOKUP(C63,'גיליון דאטה להכל'!A:H,5,0)</f>
        <v>#N/A</v>
      </c>
      <c r="AG63" s="104">
        <f t="shared" si="0"/>
        <v>0</v>
      </c>
      <c r="AH63" t="e">
        <f t="shared" si="1"/>
        <v>#N/A</v>
      </c>
    </row>
    <row r="64" spans="8:47" x14ac:dyDescent="0.2">
      <c r="H64" s="5"/>
      <c r="I64" s="5"/>
      <c r="J64" s="5"/>
      <c r="K64" s="5"/>
      <c r="O64" s="4"/>
      <c r="P64" s="4"/>
      <c r="AB64" s="4"/>
      <c r="AD64" s="4"/>
      <c r="AF64" t="e">
        <f>VLOOKUP(C64,'גיליון דאטה להכל'!A:H,5,0)</f>
        <v>#N/A</v>
      </c>
      <c r="AG64" s="104">
        <f t="shared" si="0"/>
        <v>0</v>
      </c>
      <c r="AH64" t="e">
        <f t="shared" si="1"/>
        <v>#N/A</v>
      </c>
      <c r="AU64" s="5">
        <v>0</v>
      </c>
    </row>
    <row r="65" spans="8:34" x14ac:dyDescent="0.2">
      <c r="H65" s="5"/>
      <c r="I65" s="5"/>
      <c r="J65" s="5"/>
      <c r="K65" s="5"/>
      <c r="O65" s="4"/>
      <c r="P65" s="4"/>
      <c r="AB65" s="4"/>
      <c r="AD65" s="4"/>
      <c r="AF65" t="e">
        <f>VLOOKUP(C65,'גיליון דאטה להכל'!A:H,5,0)</f>
        <v>#N/A</v>
      </c>
      <c r="AG65" s="104">
        <f t="shared" si="0"/>
        <v>0</v>
      </c>
      <c r="AH65" t="e">
        <f t="shared" si="1"/>
        <v>#N/A</v>
      </c>
    </row>
    <row r="66" spans="8:34" x14ac:dyDescent="0.2">
      <c r="H66" s="5"/>
      <c r="I66" s="5"/>
      <c r="J66" s="5"/>
      <c r="K66" s="5"/>
      <c r="O66" s="4"/>
      <c r="P66" s="4"/>
      <c r="AB66" s="4"/>
      <c r="AD66" s="4"/>
      <c r="AF66" t="e">
        <f>VLOOKUP(C66,'גיליון דאטה להכל'!A:H,5,0)</f>
        <v>#N/A</v>
      </c>
      <c r="AG66" s="104">
        <f t="shared" si="0"/>
        <v>0</v>
      </c>
      <c r="AH66" t="e">
        <f t="shared" si="1"/>
        <v>#N/A</v>
      </c>
    </row>
    <row r="67" spans="8:34" x14ac:dyDescent="0.2">
      <c r="H67" s="5"/>
      <c r="I67" s="5"/>
      <c r="J67" s="5"/>
      <c r="K67" s="5"/>
      <c r="O67" s="4"/>
      <c r="P67" s="4"/>
      <c r="AB67" s="4"/>
      <c r="AD67" s="4"/>
      <c r="AF67" t="e">
        <f>VLOOKUP(C67,'גיליון דאטה להכל'!A:H,5,0)</f>
        <v>#N/A</v>
      </c>
      <c r="AG67" s="104">
        <f t="shared" ref="AG67:AG130" si="2">I67+H67</f>
        <v>0</v>
      </c>
      <c r="AH67" t="e">
        <f t="shared" ref="AH67:AH130" si="3">_xlfn.CONCAT(AF67,N67)</f>
        <v>#N/A</v>
      </c>
    </row>
    <row r="68" spans="8:34" x14ac:dyDescent="0.2">
      <c r="H68" s="5"/>
      <c r="I68" s="5"/>
      <c r="J68" s="5"/>
      <c r="K68" s="5"/>
      <c r="O68" s="4"/>
      <c r="P68" s="4"/>
      <c r="AB68" s="4"/>
      <c r="AD68" s="4"/>
      <c r="AF68" t="e">
        <f>VLOOKUP(C68,'גיליון דאטה להכל'!A:H,5,0)</f>
        <v>#N/A</v>
      </c>
      <c r="AG68" s="104">
        <f t="shared" si="2"/>
        <v>0</v>
      </c>
      <c r="AH68" t="e">
        <f t="shared" si="3"/>
        <v>#N/A</v>
      </c>
    </row>
    <row r="69" spans="8:34" x14ac:dyDescent="0.2">
      <c r="H69" s="5"/>
      <c r="I69" s="5"/>
      <c r="J69" s="5"/>
      <c r="K69" s="5"/>
      <c r="O69" s="4"/>
      <c r="P69" s="4"/>
      <c r="AB69" s="4"/>
      <c r="AD69" s="4"/>
      <c r="AF69" t="e">
        <f>VLOOKUP(C69,'גיליון דאטה להכל'!A:H,5,0)</f>
        <v>#N/A</v>
      </c>
      <c r="AG69" s="104">
        <f t="shared" si="2"/>
        <v>0</v>
      </c>
      <c r="AH69" t="e">
        <f t="shared" si="3"/>
        <v>#N/A</v>
      </c>
    </row>
    <row r="70" spans="8:34" x14ac:dyDescent="0.2">
      <c r="H70" s="5"/>
      <c r="I70" s="5"/>
      <c r="J70" s="5"/>
      <c r="K70" s="5"/>
      <c r="O70" s="4"/>
      <c r="P70" s="4"/>
      <c r="AB70" s="4"/>
      <c r="AD70" s="4"/>
      <c r="AF70" t="e">
        <f>VLOOKUP(C70,'גיליון דאטה להכל'!A:H,5,0)</f>
        <v>#N/A</v>
      </c>
      <c r="AG70" s="104">
        <f t="shared" si="2"/>
        <v>0</v>
      </c>
      <c r="AH70" t="e">
        <f t="shared" si="3"/>
        <v>#N/A</v>
      </c>
    </row>
    <row r="71" spans="8:34" x14ac:dyDescent="0.2">
      <c r="H71" s="5"/>
      <c r="I71" s="5"/>
      <c r="J71" s="5"/>
      <c r="K71" s="5"/>
      <c r="O71" s="4"/>
      <c r="P71" s="4"/>
      <c r="AB71" s="4"/>
      <c r="AD71" s="4"/>
      <c r="AF71" t="e">
        <f>VLOOKUP(C71,'גיליון דאטה להכל'!A:H,5,0)</f>
        <v>#N/A</v>
      </c>
      <c r="AG71" s="104">
        <f t="shared" si="2"/>
        <v>0</v>
      </c>
      <c r="AH71" t="e">
        <f t="shared" si="3"/>
        <v>#N/A</v>
      </c>
    </row>
    <row r="72" spans="8:34" x14ac:dyDescent="0.2">
      <c r="H72" s="5"/>
      <c r="I72" s="5"/>
      <c r="J72" s="5"/>
      <c r="K72" s="5"/>
      <c r="O72" s="4"/>
      <c r="P72" s="4"/>
      <c r="AB72" s="4"/>
      <c r="AD72" s="4"/>
      <c r="AF72" t="e">
        <f>VLOOKUP(C72,'גיליון דאטה להכל'!A:H,5,0)</f>
        <v>#N/A</v>
      </c>
      <c r="AG72" s="104">
        <f t="shared" si="2"/>
        <v>0</v>
      </c>
      <c r="AH72" t="e">
        <f t="shared" si="3"/>
        <v>#N/A</v>
      </c>
    </row>
    <row r="73" spans="8:34" x14ac:dyDescent="0.2">
      <c r="H73" s="5"/>
      <c r="I73" s="5"/>
      <c r="J73" s="5"/>
      <c r="K73" s="5"/>
      <c r="O73" s="4"/>
      <c r="P73" s="4"/>
      <c r="AB73" s="4"/>
      <c r="AD73" s="4"/>
      <c r="AF73" t="e">
        <f>VLOOKUP(C73,'גיליון דאטה להכל'!A:H,5,0)</f>
        <v>#N/A</v>
      </c>
      <c r="AG73" s="104">
        <f t="shared" si="2"/>
        <v>0</v>
      </c>
      <c r="AH73" t="e">
        <f t="shared" si="3"/>
        <v>#N/A</v>
      </c>
    </row>
    <row r="74" spans="8:34" x14ac:dyDescent="0.2">
      <c r="H74" s="5"/>
      <c r="I74" s="5"/>
      <c r="J74" s="5"/>
      <c r="K74" s="5"/>
      <c r="O74" s="4"/>
      <c r="P74" s="4"/>
      <c r="AB74" s="4"/>
      <c r="AD74" s="4"/>
      <c r="AF74" t="e">
        <f>VLOOKUP(C74,'גיליון דאטה להכל'!A:H,5,0)</f>
        <v>#N/A</v>
      </c>
      <c r="AG74" s="104">
        <f t="shared" si="2"/>
        <v>0</v>
      </c>
      <c r="AH74" t="e">
        <f t="shared" si="3"/>
        <v>#N/A</v>
      </c>
    </row>
    <row r="75" spans="8:34" x14ac:dyDescent="0.2">
      <c r="H75" s="5"/>
      <c r="I75" s="5"/>
      <c r="J75" s="5"/>
      <c r="K75" s="5"/>
      <c r="O75" s="4"/>
      <c r="P75" s="4"/>
      <c r="AB75" s="4"/>
      <c r="AD75" s="4"/>
      <c r="AF75" t="e">
        <f>VLOOKUP(C75,'גיליון דאטה להכל'!A:H,5,0)</f>
        <v>#N/A</v>
      </c>
      <c r="AG75" s="104">
        <f t="shared" si="2"/>
        <v>0</v>
      </c>
      <c r="AH75" t="e">
        <f t="shared" si="3"/>
        <v>#N/A</v>
      </c>
    </row>
    <row r="76" spans="8:34" x14ac:dyDescent="0.2">
      <c r="H76" s="5"/>
      <c r="I76" s="5"/>
      <c r="J76" s="5"/>
      <c r="K76" s="5"/>
      <c r="O76" s="4"/>
      <c r="P76" s="4"/>
      <c r="AB76" s="4"/>
      <c r="AD76" s="4"/>
      <c r="AF76" t="e">
        <f>VLOOKUP(C76,'גיליון דאטה להכל'!A:H,5,0)</f>
        <v>#N/A</v>
      </c>
      <c r="AG76" s="104">
        <f t="shared" si="2"/>
        <v>0</v>
      </c>
      <c r="AH76" t="e">
        <f t="shared" si="3"/>
        <v>#N/A</v>
      </c>
    </row>
    <row r="77" spans="8:34" x14ac:dyDescent="0.2">
      <c r="H77" s="5"/>
      <c r="I77" s="5"/>
      <c r="J77" s="5"/>
      <c r="K77" s="5"/>
      <c r="O77" s="4"/>
      <c r="P77" s="4"/>
      <c r="AB77" s="4"/>
      <c r="AD77" s="4"/>
      <c r="AF77" t="e">
        <f>VLOOKUP(C77,'גיליון דאטה להכל'!A:H,5,0)</f>
        <v>#N/A</v>
      </c>
      <c r="AG77" s="104">
        <f t="shared" si="2"/>
        <v>0</v>
      </c>
      <c r="AH77" t="e">
        <f t="shared" si="3"/>
        <v>#N/A</v>
      </c>
    </row>
    <row r="78" spans="8:34" x14ac:dyDescent="0.2">
      <c r="H78" s="5"/>
      <c r="I78" s="5"/>
      <c r="J78" s="5"/>
      <c r="K78" s="5"/>
      <c r="O78" s="4"/>
      <c r="P78" s="4"/>
      <c r="AB78" s="4"/>
      <c r="AD78" s="4"/>
      <c r="AF78" t="e">
        <f>VLOOKUP(C78,'גיליון דאטה להכל'!A:H,5,0)</f>
        <v>#N/A</v>
      </c>
      <c r="AG78" s="104">
        <f t="shared" si="2"/>
        <v>0</v>
      </c>
      <c r="AH78" t="e">
        <f t="shared" si="3"/>
        <v>#N/A</v>
      </c>
    </row>
    <row r="79" spans="8:34" x14ac:dyDescent="0.2">
      <c r="H79" s="5"/>
      <c r="I79" s="5"/>
      <c r="J79" s="5"/>
      <c r="K79" s="5"/>
      <c r="O79" s="4"/>
      <c r="P79" s="4"/>
      <c r="AB79" s="4"/>
      <c r="AD79" s="4"/>
      <c r="AF79" t="e">
        <f>VLOOKUP(C79,'גיליון דאטה להכל'!A:H,5,0)</f>
        <v>#N/A</v>
      </c>
      <c r="AG79" s="104">
        <f t="shared" si="2"/>
        <v>0</v>
      </c>
      <c r="AH79" t="e">
        <f t="shared" si="3"/>
        <v>#N/A</v>
      </c>
    </row>
    <row r="80" spans="8:34" x14ac:dyDescent="0.2">
      <c r="H80" s="5"/>
      <c r="I80" s="5"/>
      <c r="J80" s="5"/>
      <c r="K80" s="5"/>
      <c r="O80" s="4"/>
      <c r="P80" s="4"/>
      <c r="AB80" s="4"/>
      <c r="AD80" s="4"/>
      <c r="AF80" t="e">
        <f>VLOOKUP(C80,'גיליון דאטה להכל'!A:H,5,0)</f>
        <v>#N/A</v>
      </c>
      <c r="AG80" s="104">
        <f t="shared" si="2"/>
        <v>0</v>
      </c>
      <c r="AH80" t="e">
        <f t="shared" si="3"/>
        <v>#N/A</v>
      </c>
    </row>
    <row r="81" spans="8:34" x14ac:dyDescent="0.2">
      <c r="H81" s="5"/>
      <c r="I81" s="5"/>
      <c r="J81" s="5"/>
      <c r="K81" s="5"/>
      <c r="O81" s="4"/>
      <c r="P81" s="4"/>
      <c r="AB81" s="4"/>
      <c r="AD81" s="4"/>
      <c r="AF81" t="e">
        <f>VLOOKUP(C81,'גיליון דאטה להכל'!A:H,5,0)</f>
        <v>#N/A</v>
      </c>
      <c r="AG81" s="104">
        <f t="shared" si="2"/>
        <v>0</v>
      </c>
      <c r="AH81" t="e">
        <f t="shared" si="3"/>
        <v>#N/A</v>
      </c>
    </row>
    <row r="82" spans="8:34" x14ac:dyDescent="0.2">
      <c r="H82" s="5"/>
      <c r="I82" s="5"/>
      <c r="J82" s="5"/>
      <c r="K82" s="5"/>
      <c r="O82" s="4"/>
      <c r="P82" s="4"/>
      <c r="AB82" s="4"/>
      <c r="AD82" s="4"/>
      <c r="AF82" t="e">
        <f>VLOOKUP(C82,'גיליון דאטה להכל'!A:H,5,0)</f>
        <v>#N/A</v>
      </c>
      <c r="AG82" s="104">
        <f t="shared" si="2"/>
        <v>0</v>
      </c>
      <c r="AH82" t="e">
        <f t="shared" si="3"/>
        <v>#N/A</v>
      </c>
    </row>
    <row r="83" spans="8:34" x14ac:dyDescent="0.2">
      <c r="H83" s="5"/>
      <c r="I83" s="5"/>
      <c r="J83" s="5"/>
      <c r="K83" s="5"/>
      <c r="O83" s="4"/>
      <c r="P83" s="4"/>
      <c r="AB83" s="4"/>
      <c r="AD83" s="4"/>
      <c r="AF83" t="e">
        <f>VLOOKUP(C83,'גיליון דאטה להכל'!A:H,5,0)</f>
        <v>#N/A</v>
      </c>
      <c r="AG83" s="104">
        <f t="shared" si="2"/>
        <v>0</v>
      </c>
      <c r="AH83" t="e">
        <f t="shared" si="3"/>
        <v>#N/A</v>
      </c>
    </row>
    <row r="84" spans="8:34" x14ac:dyDescent="0.2">
      <c r="H84" s="5"/>
      <c r="I84" s="5"/>
      <c r="J84" s="5"/>
      <c r="K84" s="5"/>
      <c r="O84" s="4"/>
      <c r="P84" s="4"/>
      <c r="AB84" s="4"/>
      <c r="AD84" s="4"/>
      <c r="AF84" t="e">
        <f>VLOOKUP(C84,'גיליון דאטה להכל'!A:H,5,0)</f>
        <v>#N/A</v>
      </c>
      <c r="AG84" s="104">
        <f t="shared" si="2"/>
        <v>0</v>
      </c>
      <c r="AH84" t="e">
        <f t="shared" si="3"/>
        <v>#N/A</v>
      </c>
    </row>
    <row r="85" spans="8:34" x14ac:dyDescent="0.2">
      <c r="H85" s="5"/>
      <c r="I85" s="5"/>
      <c r="J85" s="5"/>
      <c r="K85" s="5"/>
      <c r="O85" s="4"/>
      <c r="P85" s="4"/>
      <c r="AB85" s="4"/>
      <c r="AD85" s="4"/>
      <c r="AF85" t="e">
        <f>VLOOKUP(C85,'גיליון דאטה להכל'!A:H,5,0)</f>
        <v>#N/A</v>
      </c>
      <c r="AG85" s="104">
        <f t="shared" si="2"/>
        <v>0</v>
      </c>
      <c r="AH85" t="e">
        <f t="shared" si="3"/>
        <v>#N/A</v>
      </c>
    </row>
    <row r="86" spans="8:34" x14ac:dyDescent="0.2">
      <c r="H86" s="5"/>
      <c r="I86" s="5"/>
      <c r="J86" s="5"/>
      <c r="K86" s="5"/>
      <c r="O86" s="4"/>
      <c r="P86" s="4"/>
      <c r="AB86" s="4"/>
      <c r="AD86" s="4"/>
      <c r="AF86" t="e">
        <f>VLOOKUP(C86,'גיליון דאטה להכל'!A:H,5,0)</f>
        <v>#N/A</v>
      </c>
      <c r="AG86" s="104">
        <f t="shared" si="2"/>
        <v>0</v>
      </c>
      <c r="AH86" t="e">
        <f t="shared" si="3"/>
        <v>#N/A</v>
      </c>
    </row>
    <row r="87" spans="8:34" x14ac:dyDescent="0.2">
      <c r="H87" s="5"/>
      <c r="I87" s="5"/>
      <c r="J87" s="5"/>
      <c r="K87" s="5"/>
      <c r="L87" s="95"/>
      <c r="O87" s="4"/>
      <c r="P87" s="4"/>
      <c r="AB87" s="4"/>
      <c r="AD87" s="4"/>
      <c r="AF87" t="e">
        <f>VLOOKUP(C87,'גיליון דאטה להכל'!A:H,5,0)</f>
        <v>#N/A</v>
      </c>
      <c r="AG87" s="104">
        <f t="shared" si="2"/>
        <v>0</v>
      </c>
      <c r="AH87" t="e">
        <f t="shared" si="3"/>
        <v>#N/A</v>
      </c>
    </row>
    <row r="88" spans="8:34" x14ac:dyDescent="0.2">
      <c r="H88" s="5"/>
      <c r="I88" s="5"/>
      <c r="J88" s="5"/>
      <c r="K88" s="5"/>
      <c r="L88" s="95"/>
      <c r="O88" s="4"/>
      <c r="P88" s="4"/>
      <c r="AB88" s="4"/>
      <c r="AD88" s="4"/>
      <c r="AF88" t="e">
        <f>VLOOKUP(C88,'גיליון דאטה להכל'!A:H,5,0)</f>
        <v>#N/A</v>
      </c>
      <c r="AG88" s="104">
        <f t="shared" si="2"/>
        <v>0</v>
      </c>
      <c r="AH88" t="e">
        <f t="shared" si="3"/>
        <v>#N/A</v>
      </c>
    </row>
    <row r="89" spans="8:34" x14ac:dyDescent="0.2">
      <c r="H89" s="5"/>
      <c r="I89" s="5"/>
      <c r="J89" s="5"/>
      <c r="K89" s="5"/>
      <c r="L89" s="95"/>
      <c r="O89" s="4"/>
      <c r="P89" s="4"/>
      <c r="AB89" s="4"/>
      <c r="AD89" s="4"/>
      <c r="AF89" t="e">
        <f>VLOOKUP(C89,'גיליון דאטה להכל'!A:H,5,0)</f>
        <v>#N/A</v>
      </c>
      <c r="AG89" s="104">
        <f t="shared" si="2"/>
        <v>0</v>
      </c>
      <c r="AH89" t="e">
        <f t="shared" si="3"/>
        <v>#N/A</v>
      </c>
    </row>
    <row r="90" spans="8:34" x14ac:dyDescent="0.2">
      <c r="H90" s="5"/>
      <c r="I90" s="5"/>
      <c r="J90" s="5"/>
      <c r="K90" s="5"/>
      <c r="L90" s="95"/>
      <c r="O90" s="4"/>
      <c r="P90" s="4"/>
      <c r="AB90" s="4"/>
      <c r="AD90" s="4"/>
      <c r="AF90" t="e">
        <f>VLOOKUP(C90,'גיליון דאטה להכל'!A:H,5,0)</f>
        <v>#N/A</v>
      </c>
      <c r="AG90" s="104">
        <f t="shared" si="2"/>
        <v>0</v>
      </c>
      <c r="AH90" t="e">
        <f t="shared" si="3"/>
        <v>#N/A</v>
      </c>
    </row>
    <row r="91" spans="8:34" x14ac:dyDescent="0.2">
      <c r="H91" s="5"/>
      <c r="I91" s="5"/>
      <c r="J91" s="5"/>
      <c r="K91" s="5"/>
      <c r="L91" s="95"/>
      <c r="O91" s="4"/>
      <c r="P91" s="4"/>
      <c r="AB91" s="4"/>
      <c r="AD91" s="4"/>
      <c r="AF91" t="e">
        <f>VLOOKUP(C91,'גיליון דאטה להכל'!A:H,5,0)</f>
        <v>#N/A</v>
      </c>
      <c r="AG91" s="104">
        <f t="shared" si="2"/>
        <v>0</v>
      </c>
      <c r="AH91" t="e">
        <f t="shared" si="3"/>
        <v>#N/A</v>
      </c>
    </row>
    <row r="92" spans="8:34" x14ac:dyDescent="0.2">
      <c r="H92" s="5"/>
      <c r="I92" s="5"/>
      <c r="J92" s="5"/>
      <c r="K92" s="5"/>
      <c r="L92" s="95"/>
      <c r="O92" s="4"/>
      <c r="P92" s="4"/>
      <c r="AB92" s="4"/>
      <c r="AD92" s="4"/>
      <c r="AF92" t="e">
        <f>VLOOKUP(C92,'גיליון דאטה להכל'!A:H,5,0)</f>
        <v>#N/A</v>
      </c>
      <c r="AG92" s="104">
        <f t="shared" si="2"/>
        <v>0</v>
      </c>
      <c r="AH92" t="e">
        <f t="shared" si="3"/>
        <v>#N/A</v>
      </c>
    </row>
    <row r="93" spans="8:34" x14ac:dyDescent="0.2">
      <c r="H93" s="5"/>
      <c r="I93" s="5"/>
      <c r="J93" s="5"/>
      <c r="K93" s="5"/>
      <c r="L93" s="95"/>
      <c r="O93" s="4"/>
      <c r="P93" s="4"/>
      <c r="AB93" s="4"/>
      <c r="AD93" s="4"/>
      <c r="AF93" t="e">
        <f>VLOOKUP(C93,'גיליון דאטה להכל'!A:H,5,0)</f>
        <v>#N/A</v>
      </c>
      <c r="AG93" s="104">
        <f t="shared" si="2"/>
        <v>0</v>
      </c>
      <c r="AH93" t="e">
        <f t="shared" si="3"/>
        <v>#N/A</v>
      </c>
    </row>
    <row r="94" spans="8:34" x14ac:dyDescent="0.2">
      <c r="H94" s="5"/>
      <c r="I94" s="5"/>
      <c r="J94" s="5"/>
      <c r="K94" s="5"/>
      <c r="L94" s="95"/>
      <c r="O94" s="4"/>
      <c r="P94" s="4"/>
      <c r="AB94" s="4"/>
      <c r="AD94" s="4"/>
      <c r="AF94" t="e">
        <f>VLOOKUP(C94,'גיליון דאטה להכל'!A:H,5,0)</f>
        <v>#N/A</v>
      </c>
      <c r="AG94" s="104">
        <f t="shared" si="2"/>
        <v>0</v>
      </c>
      <c r="AH94" t="e">
        <f t="shared" si="3"/>
        <v>#N/A</v>
      </c>
    </row>
    <row r="95" spans="8:34" x14ac:dyDescent="0.2">
      <c r="H95" s="5"/>
      <c r="I95" s="5"/>
      <c r="J95" s="5"/>
      <c r="K95" s="5"/>
      <c r="L95" s="95"/>
      <c r="O95" s="4"/>
      <c r="P95" s="4"/>
      <c r="AB95" s="4"/>
      <c r="AD95" s="4"/>
      <c r="AF95" t="e">
        <f>VLOOKUP(C95,'גיליון דאטה להכל'!A:H,5,0)</f>
        <v>#N/A</v>
      </c>
      <c r="AG95" s="104">
        <f t="shared" si="2"/>
        <v>0</v>
      </c>
      <c r="AH95" t="e">
        <f t="shared" si="3"/>
        <v>#N/A</v>
      </c>
    </row>
    <row r="96" spans="8:34" x14ac:dyDescent="0.2">
      <c r="H96" s="5"/>
      <c r="I96" s="5"/>
      <c r="J96" s="5"/>
      <c r="K96" s="5"/>
      <c r="L96" s="95"/>
      <c r="O96" s="4"/>
      <c r="P96" s="4"/>
      <c r="AB96" s="4"/>
      <c r="AD96" s="4"/>
      <c r="AF96" t="e">
        <f>VLOOKUP(C96,'גיליון דאטה להכל'!A:H,5,0)</f>
        <v>#N/A</v>
      </c>
      <c r="AG96" s="104">
        <f t="shared" si="2"/>
        <v>0</v>
      </c>
      <c r="AH96" t="e">
        <f t="shared" si="3"/>
        <v>#N/A</v>
      </c>
    </row>
    <row r="97" spans="8:34" x14ac:dyDescent="0.2">
      <c r="H97" s="5"/>
      <c r="I97" s="5"/>
      <c r="J97" s="5"/>
      <c r="K97" s="5"/>
      <c r="L97" s="95"/>
      <c r="O97" s="4"/>
      <c r="P97" s="4"/>
      <c r="AB97" s="4"/>
      <c r="AD97" s="4"/>
      <c r="AF97" t="e">
        <f>VLOOKUP(C97,'גיליון דאטה להכל'!A:H,5,0)</f>
        <v>#N/A</v>
      </c>
      <c r="AG97" s="104">
        <f t="shared" si="2"/>
        <v>0</v>
      </c>
      <c r="AH97" t="e">
        <f t="shared" si="3"/>
        <v>#N/A</v>
      </c>
    </row>
    <row r="98" spans="8:34" x14ac:dyDescent="0.2">
      <c r="H98" s="5"/>
      <c r="I98" s="5"/>
      <c r="J98" s="5"/>
      <c r="K98" s="5"/>
      <c r="L98" s="95"/>
      <c r="O98" s="4"/>
      <c r="P98" s="4"/>
      <c r="AB98" s="4"/>
      <c r="AD98" s="4"/>
      <c r="AF98" t="e">
        <f>VLOOKUP(C98,'גיליון דאטה להכל'!A:H,5,0)</f>
        <v>#N/A</v>
      </c>
      <c r="AG98" s="104">
        <f t="shared" si="2"/>
        <v>0</v>
      </c>
      <c r="AH98" t="e">
        <f t="shared" si="3"/>
        <v>#N/A</v>
      </c>
    </row>
    <row r="99" spans="8:34" x14ac:dyDescent="0.2">
      <c r="H99" s="5"/>
      <c r="I99" s="5"/>
      <c r="J99" s="5"/>
      <c r="K99" s="5"/>
      <c r="L99" s="95"/>
      <c r="O99" s="4"/>
      <c r="P99" s="4"/>
      <c r="AB99" s="4"/>
      <c r="AD99" s="4"/>
      <c r="AF99" t="e">
        <f>VLOOKUP(C99,'גיליון דאטה להכל'!A:H,5,0)</f>
        <v>#N/A</v>
      </c>
      <c r="AG99" s="104">
        <f t="shared" si="2"/>
        <v>0</v>
      </c>
      <c r="AH99" t="e">
        <f t="shared" si="3"/>
        <v>#N/A</v>
      </c>
    </row>
    <row r="100" spans="8:34" x14ac:dyDescent="0.2">
      <c r="H100" s="5"/>
      <c r="I100" s="5"/>
      <c r="J100" s="5"/>
      <c r="K100" s="5"/>
      <c r="L100" s="95"/>
      <c r="O100" s="4"/>
      <c r="P100" s="4"/>
      <c r="AB100" s="4"/>
      <c r="AD100" s="4"/>
      <c r="AF100" t="e">
        <f>VLOOKUP(C100,'גיליון דאטה להכל'!A:H,5,0)</f>
        <v>#N/A</v>
      </c>
      <c r="AG100" s="104">
        <f t="shared" si="2"/>
        <v>0</v>
      </c>
      <c r="AH100" t="e">
        <f t="shared" si="3"/>
        <v>#N/A</v>
      </c>
    </row>
    <row r="101" spans="8:34" x14ac:dyDescent="0.2">
      <c r="H101" s="5"/>
      <c r="I101" s="5"/>
      <c r="J101" s="5"/>
      <c r="K101" s="5"/>
      <c r="L101" s="95"/>
      <c r="O101" s="4"/>
      <c r="P101" s="4"/>
      <c r="AB101" s="4"/>
      <c r="AD101" s="4"/>
      <c r="AF101" t="e">
        <f>VLOOKUP(C101,'גיליון דאטה להכל'!A:H,5,0)</f>
        <v>#N/A</v>
      </c>
      <c r="AG101" s="104">
        <f t="shared" si="2"/>
        <v>0</v>
      </c>
      <c r="AH101" t="e">
        <f t="shared" si="3"/>
        <v>#N/A</v>
      </c>
    </row>
    <row r="102" spans="8:34" x14ac:dyDescent="0.2">
      <c r="H102" s="5"/>
      <c r="I102" s="5"/>
      <c r="J102" s="5"/>
      <c r="K102" s="5"/>
      <c r="L102" s="95"/>
      <c r="O102" s="4"/>
      <c r="P102" s="4"/>
      <c r="AB102" s="4"/>
      <c r="AD102" s="4"/>
      <c r="AF102" t="e">
        <f>VLOOKUP(C102,'גיליון דאטה להכל'!A:H,5,0)</f>
        <v>#N/A</v>
      </c>
      <c r="AG102" s="104">
        <f t="shared" si="2"/>
        <v>0</v>
      </c>
      <c r="AH102" t="e">
        <f t="shared" si="3"/>
        <v>#N/A</v>
      </c>
    </row>
    <row r="103" spans="8:34" x14ac:dyDescent="0.2">
      <c r="H103" s="5"/>
      <c r="I103" s="5"/>
      <c r="J103" s="5"/>
      <c r="K103" s="5"/>
      <c r="L103" s="95"/>
      <c r="O103" s="4"/>
      <c r="P103" s="4"/>
      <c r="AB103" s="4"/>
      <c r="AD103" s="4"/>
      <c r="AF103" t="e">
        <f>VLOOKUP(C103,'גיליון דאטה להכל'!A:H,5,0)</f>
        <v>#N/A</v>
      </c>
      <c r="AG103" s="104">
        <f t="shared" si="2"/>
        <v>0</v>
      </c>
      <c r="AH103" t="e">
        <f t="shared" si="3"/>
        <v>#N/A</v>
      </c>
    </row>
    <row r="104" spans="8:34" x14ac:dyDescent="0.2">
      <c r="H104" s="5"/>
      <c r="I104" s="5"/>
      <c r="J104" s="5"/>
      <c r="K104" s="5"/>
      <c r="L104" s="95"/>
      <c r="O104" s="4"/>
      <c r="P104" s="4"/>
      <c r="AB104" s="4"/>
      <c r="AD104" s="4"/>
      <c r="AF104" t="e">
        <f>VLOOKUP(C104,'גיליון דאטה להכל'!A:H,5,0)</f>
        <v>#N/A</v>
      </c>
      <c r="AG104" s="104">
        <f t="shared" si="2"/>
        <v>0</v>
      </c>
      <c r="AH104" t="e">
        <f t="shared" si="3"/>
        <v>#N/A</v>
      </c>
    </row>
    <row r="105" spans="8:34" x14ac:dyDescent="0.2">
      <c r="H105" s="5"/>
      <c r="I105" s="5"/>
      <c r="J105" s="5"/>
      <c r="K105" s="5"/>
      <c r="L105" s="95"/>
      <c r="O105" s="4"/>
      <c r="P105" s="4"/>
      <c r="AB105" s="4"/>
      <c r="AD105" s="4"/>
      <c r="AF105" t="e">
        <f>VLOOKUP(C105,'גיליון דאטה להכל'!A:H,5,0)</f>
        <v>#N/A</v>
      </c>
      <c r="AG105" s="104">
        <f t="shared" si="2"/>
        <v>0</v>
      </c>
      <c r="AH105" t="e">
        <f t="shared" si="3"/>
        <v>#N/A</v>
      </c>
    </row>
    <row r="106" spans="8:34" x14ac:dyDescent="0.2">
      <c r="H106" s="5"/>
      <c r="I106" s="5"/>
      <c r="J106" s="5"/>
      <c r="K106" s="5"/>
      <c r="L106" s="95"/>
      <c r="O106" s="4"/>
      <c r="P106" s="4"/>
      <c r="AB106" s="4"/>
      <c r="AD106" s="4"/>
      <c r="AF106" t="e">
        <f>VLOOKUP(C106,'גיליון דאטה להכל'!A:H,5,0)</f>
        <v>#N/A</v>
      </c>
      <c r="AG106" s="104">
        <f t="shared" si="2"/>
        <v>0</v>
      </c>
      <c r="AH106" t="e">
        <f t="shared" si="3"/>
        <v>#N/A</v>
      </c>
    </row>
    <row r="107" spans="8:34" x14ac:dyDescent="0.2">
      <c r="H107" s="5"/>
      <c r="I107" s="5"/>
      <c r="J107" s="5"/>
      <c r="K107" s="5"/>
      <c r="L107" s="95"/>
      <c r="O107" s="4"/>
      <c r="P107" s="4"/>
      <c r="AB107" s="4"/>
      <c r="AD107" s="4"/>
      <c r="AF107" t="e">
        <f>VLOOKUP(C107,'גיליון דאטה להכל'!A:H,5,0)</f>
        <v>#N/A</v>
      </c>
      <c r="AG107" s="104">
        <f t="shared" si="2"/>
        <v>0</v>
      </c>
      <c r="AH107" t="e">
        <f t="shared" si="3"/>
        <v>#N/A</v>
      </c>
    </row>
    <row r="108" spans="8:34" x14ac:dyDescent="0.2">
      <c r="H108" s="5"/>
      <c r="I108" s="5"/>
      <c r="J108" s="5"/>
      <c r="K108" s="5"/>
      <c r="L108" s="95"/>
      <c r="O108" s="4"/>
      <c r="P108" s="4"/>
      <c r="AB108" s="4"/>
      <c r="AD108" s="4"/>
      <c r="AF108" t="e">
        <f>VLOOKUP(C108,'גיליון דאטה להכל'!A:H,5,0)</f>
        <v>#N/A</v>
      </c>
      <c r="AG108" s="104">
        <f t="shared" si="2"/>
        <v>0</v>
      </c>
      <c r="AH108" t="e">
        <f t="shared" si="3"/>
        <v>#N/A</v>
      </c>
    </row>
    <row r="109" spans="8:34" x14ac:dyDescent="0.2">
      <c r="H109" s="5"/>
      <c r="I109" s="5"/>
      <c r="J109" s="5"/>
      <c r="K109" s="5"/>
      <c r="L109" s="95"/>
      <c r="O109" s="4"/>
      <c r="P109" s="4"/>
      <c r="AB109" s="4"/>
      <c r="AD109" s="4"/>
      <c r="AF109" t="e">
        <f>VLOOKUP(C109,'גיליון דאטה להכל'!A:H,5,0)</f>
        <v>#N/A</v>
      </c>
      <c r="AG109" s="104">
        <f t="shared" si="2"/>
        <v>0</v>
      </c>
      <c r="AH109" t="e">
        <f t="shared" si="3"/>
        <v>#N/A</v>
      </c>
    </row>
    <row r="110" spans="8:34" x14ac:dyDescent="0.2">
      <c r="H110" s="5"/>
      <c r="I110" s="5"/>
      <c r="J110" s="5"/>
      <c r="K110" s="5"/>
      <c r="O110" s="4"/>
      <c r="P110" s="4"/>
      <c r="AB110" s="4"/>
      <c r="AD110" s="4"/>
      <c r="AF110" t="e">
        <f>VLOOKUP(C110,'גיליון דאטה להכל'!A:H,5,0)</f>
        <v>#N/A</v>
      </c>
      <c r="AG110" s="104">
        <f t="shared" si="2"/>
        <v>0</v>
      </c>
      <c r="AH110" t="e">
        <f t="shared" si="3"/>
        <v>#N/A</v>
      </c>
    </row>
    <row r="111" spans="8:34" x14ac:dyDescent="0.2">
      <c r="H111" s="5"/>
      <c r="I111" s="5"/>
      <c r="J111" s="5"/>
      <c r="K111" s="5"/>
      <c r="O111" s="4"/>
      <c r="P111" s="4"/>
      <c r="AB111" s="4"/>
      <c r="AD111" s="4"/>
      <c r="AF111" t="e">
        <f>VLOOKUP(C111,'גיליון דאטה להכל'!A:H,5,0)</f>
        <v>#N/A</v>
      </c>
      <c r="AG111" s="104">
        <f t="shared" si="2"/>
        <v>0</v>
      </c>
      <c r="AH111" t="e">
        <f t="shared" si="3"/>
        <v>#N/A</v>
      </c>
    </row>
    <row r="112" spans="8:34" x14ac:dyDescent="0.2">
      <c r="H112" s="5"/>
      <c r="I112" s="5"/>
      <c r="J112" s="5"/>
      <c r="K112" s="5"/>
      <c r="O112" s="4"/>
      <c r="P112" s="4"/>
      <c r="AB112" s="4"/>
      <c r="AD112" s="4"/>
      <c r="AF112" t="e">
        <f>VLOOKUP(C112,'גיליון דאטה להכל'!A:H,5,0)</f>
        <v>#N/A</v>
      </c>
      <c r="AG112" s="104">
        <f t="shared" si="2"/>
        <v>0</v>
      </c>
      <c r="AH112" t="e">
        <f t="shared" si="3"/>
        <v>#N/A</v>
      </c>
    </row>
    <row r="113" spans="8:34" x14ac:dyDescent="0.2">
      <c r="H113" s="5"/>
      <c r="I113" s="5"/>
      <c r="J113" s="5"/>
      <c r="K113" s="5"/>
      <c r="L113" s="95"/>
      <c r="O113" s="4"/>
      <c r="P113" s="4"/>
      <c r="AB113" s="4"/>
      <c r="AD113" s="4"/>
      <c r="AF113" t="e">
        <f>VLOOKUP(C113,'גיליון דאטה להכל'!A:H,5,0)</f>
        <v>#N/A</v>
      </c>
      <c r="AG113" s="104">
        <f t="shared" si="2"/>
        <v>0</v>
      </c>
      <c r="AH113" t="e">
        <f t="shared" si="3"/>
        <v>#N/A</v>
      </c>
    </row>
    <row r="114" spans="8:34" x14ac:dyDescent="0.2">
      <c r="H114" s="5"/>
      <c r="I114" s="5"/>
      <c r="J114" s="5"/>
      <c r="K114" s="5"/>
      <c r="L114" s="95"/>
      <c r="O114" s="4"/>
      <c r="P114" s="4"/>
      <c r="AB114" s="4"/>
      <c r="AD114" s="4"/>
      <c r="AF114" t="e">
        <f>VLOOKUP(C114,'גיליון דאטה להכל'!A:H,5,0)</f>
        <v>#N/A</v>
      </c>
      <c r="AG114" s="104">
        <f t="shared" si="2"/>
        <v>0</v>
      </c>
      <c r="AH114" t="e">
        <f t="shared" si="3"/>
        <v>#N/A</v>
      </c>
    </row>
    <row r="115" spans="8:34" x14ac:dyDescent="0.2">
      <c r="H115" s="5"/>
      <c r="I115" s="5"/>
      <c r="J115" s="5"/>
      <c r="K115" s="5"/>
      <c r="L115" s="95"/>
      <c r="O115" s="4"/>
      <c r="P115" s="4"/>
      <c r="AB115" s="4"/>
      <c r="AD115" s="4"/>
      <c r="AF115" t="e">
        <f>VLOOKUP(C115,'גיליון דאטה להכל'!A:H,5,0)</f>
        <v>#N/A</v>
      </c>
      <c r="AG115" s="104">
        <f t="shared" si="2"/>
        <v>0</v>
      </c>
      <c r="AH115" t="e">
        <f t="shared" si="3"/>
        <v>#N/A</v>
      </c>
    </row>
    <row r="116" spans="8:34" x14ac:dyDescent="0.2">
      <c r="H116" s="5"/>
      <c r="I116" s="5"/>
      <c r="J116" s="5"/>
      <c r="K116" s="5"/>
      <c r="O116" s="4"/>
      <c r="P116" s="4"/>
      <c r="AB116" s="4"/>
      <c r="AD116" s="4"/>
      <c r="AF116" t="e">
        <f>VLOOKUP(C116,'גיליון דאטה להכל'!A:H,5,0)</f>
        <v>#N/A</v>
      </c>
      <c r="AG116" s="104">
        <f t="shared" si="2"/>
        <v>0</v>
      </c>
      <c r="AH116" t="e">
        <f t="shared" si="3"/>
        <v>#N/A</v>
      </c>
    </row>
    <row r="117" spans="8:34" x14ac:dyDescent="0.2">
      <c r="H117" s="5"/>
      <c r="I117" s="5"/>
      <c r="J117" s="5"/>
      <c r="K117" s="5"/>
      <c r="O117" s="4"/>
      <c r="P117" s="4"/>
      <c r="AB117" s="4"/>
      <c r="AD117" s="4"/>
      <c r="AF117" t="e">
        <f>VLOOKUP(C117,'גיליון דאטה להכל'!A:H,5,0)</f>
        <v>#N/A</v>
      </c>
      <c r="AG117" s="104">
        <f t="shared" si="2"/>
        <v>0</v>
      </c>
      <c r="AH117" t="e">
        <f t="shared" si="3"/>
        <v>#N/A</v>
      </c>
    </row>
    <row r="118" spans="8:34" x14ac:dyDescent="0.2">
      <c r="H118" s="5"/>
      <c r="I118" s="5"/>
      <c r="J118" s="5"/>
      <c r="K118" s="5"/>
      <c r="O118" s="4"/>
      <c r="P118" s="4"/>
      <c r="AB118" s="4"/>
      <c r="AD118" s="4"/>
      <c r="AF118" t="e">
        <f>VLOOKUP(C118,'גיליון דאטה להכל'!A:H,5,0)</f>
        <v>#N/A</v>
      </c>
      <c r="AG118" s="104">
        <f t="shared" si="2"/>
        <v>0</v>
      </c>
      <c r="AH118" t="e">
        <f t="shared" si="3"/>
        <v>#N/A</v>
      </c>
    </row>
    <row r="119" spans="8:34" x14ac:dyDescent="0.2">
      <c r="H119" s="5"/>
      <c r="I119" s="5"/>
      <c r="J119" s="5"/>
      <c r="K119" s="5"/>
      <c r="O119" s="4"/>
      <c r="P119" s="4"/>
      <c r="AB119" s="4"/>
      <c r="AD119" s="4"/>
      <c r="AF119" t="e">
        <f>VLOOKUP(C119,'גיליון דאטה להכל'!A:H,5,0)</f>
        <v>#N/A</v>
      </c>
      <c r="AG119" s="104">
        <f t="shared" si="2"/>
        <v>0</v>
      </c>
      <c r="AH119" t="e">
        <f t="shared" si="3"/>
        <v>#N/A</v>
      </c>
    </row>
    <row r="120" spans="8:34" x14ac:dyDescent="0.2">
      <c r="H120" s="5"/>
      <c r="I120" s="5"/>
      <c r="J120" s="5"/>
      <c r="K120" s="5"/>
      <c r="O120" s="4"/>
      <c r="P120" s="4"/>
      <c r="AB120" s="4"/>
      <c r="AD120" s="4"/>
      <c r="AF120" t="e">
        <f>VLOOKUP(C120,'גיליון דאטה להכל'!A:H,5,0)</f>
        <v>#N/A</v>
      </c>
      <c r="AG120" s="104">
        <f t="shared" si="2"/>
        <v>0</v>
      </c>
      <c r="AH120" t="e">
        <f t="shared" si="3"/>
        <v>#N/A</v>
      </c>
    </row>
    <row r="121" spans="8:34" x14ac:dyDescent="0.2">
      <c r="H121" s="5"/>
      <c r="I121" s="5"/>
      <c r="J121" s="5"/>
      <c r="K121" s="5"/>
      <c r="O121" s="4"/>
      <c r="P121" s="4"/>
      <c r="AB121" s="4"/>
      <c r="AD121" s="4"/>
      <c r="AF121" t="e">
        <f>VLOOKUP(C121,'גיליון דאטה להכל'!A:H,5,0)</f>
        <v>#N/A</v>
      </c>
      <c r="AG121" s="104">
        <f t="shared" si="2"/>
        <v>0</v>
      </c>
      <c r="AH121" t="e">
        <f t="shared" si="3"/>
        <v>#N/A</v>
      </c>
    </row>
    <row r="122" spans="8:34" x14ac:dyDescent="0.2">
      <c r="H122" s="5"/>
      <c r="I122" s="5"/>
      <c r="J122" s="5"/>
      <c r="K122" s="5"/>
      <c r="O122" s="4"/>
      <c r="P122" s="4"/>
      <c r="AB122" s="4"/>
      <c r="AD122" s="4"/>
      <c r="AF122" t="e">
        <f>VLOOKUP(C122,'גיליון דאטה להכל'!A:H,5,0)</f>
        <v>#N/A</v>
      </c>
      <c r="AG122" s="104">
        <f t="shared" si="2"/>
        <v>0</v>
      </c>
      <c r="AH122" t="e">
        <f t="shared" si="3"/>
        <v>#N/A</v>
      </c>
    </row>
    <row r="123" spans="8:34" x14ac:dyDescent="0.2">
      <c r="H123" s="5"/>
      <c r="I123" s="5"/>
      <c r="J123" s="5"/>
      <c r="K123" s="5"/>
      <c r="O123" s="4"/>
      <c r="P123" s="4"/>
      <c r="AB123" s="4"/>
      <c r="AD123" s="4"/>
      <c r="AF123" t="e">
        <f>VLOOKUP(C123,'גיליון דאטה להכל'!A:H,5,0)</f>
        <v>#N/A</v>
      </c>
      <c r="AG123" s="104">
        <f t="shared" si="2"/>
        <v>0</v>
      </c>
      <c r="AH123" t="e">
        <f t="shared" si="3"/>
        <v>#N/A</v>
      </c>
    </row>
    <row r="124" spans="8:34" x14ac:dyDescent="0.2">
      <c r="H124" s="5"/>
      <c r="I124" s="5"/>
      <c r="J124" s="5"/>
      <c r="K124" s="5"/>
      <c r="O124" s="4"/>
      <c r="P124" s="4"/>
      <c r="AB124" s="4"/>
      <c r="AD124" s="4"/>
      <c r="AF124" t="e">
        <f>VLOOKUP(C124,'גיליון דאטה להכל'!A:H,5,0)</f>
        <v>#N/A</v>
      </c>
      <c r="AG124" s="104">
        <f t="shared" si="2"/>
        <v>0</v>
      </c>
      <c r="AH124" t="e">
        <f t="shared" si="3"/>
        <v>#N/A</v>
      </c>
    </row>
    <row r="125" spans="8:34" x14ac:dyDescent="0.2">
      <c r="H125" s="5"/>
      <c r="I125" s="5"/>
      <c r="J125" s="5"/>
      <c r="K125" s="5"/>
      <c r="O125" s="4"/>
      <c r="P125" s="4"/>
      <c r="AB125" s="4"/>
      <c r="AD125" s="4"/>
      <c r="AF125" t="e">
        <f>VLOOKUP(C125,'גיליון דאטה להכל'!A:H,5,0)</f>
        <v>#N/A</v>
      </c>
      <c r="AG125" s="104">
        <f t="shared" si="2"/>
        <v>0</v>
      </c>
      <c r="AH125" t="e">
        <f t="shared" si="3"/>
        <v>#N/A</v>
      </c>
    </row>
    <row r="126" spans="8:34" x14ac:dyDescent="0.2">
      <c r="H126" s="5"/>
      <c r="I126" s="5"/>
      <c r="J126" s="5"/>
      <c r="K126" s="5"/>
      <c r="L126" s="95"/>
      <c r="O126" s="4"/>
      <c r="P126" s="4"/>
      <c r="AB126" s="4"/>
      <c r="AD126" s="4"/>
      <c r="AF126" t="e">
        <f>VLOOKUP(C126,'גיליון דאטה להכל'!A:H,5,0)</f>
        <v>#N/A</v>
      </c>
      <c r="AG126" s="104">
        <f t="shared" si="2"/>
        <v>0</v>
      </c>
      <c r="AH126" t="e">
        <f t="shared" si="3"/>
        <v>#N/A</v>
      </c>
    </row>
    <row r="127" spans="8:34" x14ac:dyDescent="0.2">
      <c r="H127" s="5"/>
      <c r="I127" s="5"/>
      <c r="J127" s="5"/>
      <c r="K127" s="5"/>
      <c r="L127" s="95"/>
      <c r="O127" s="4"/>
      <c r="P127" s="4"/>
      <c r="AB127" s="4"/>
      <c r="AD127" s="4"/>
      <c r="AF127" t="e">
        <f>VLOOKUP(C127,'גיליון דאטה להכל'!A:H,5,0)</f>
        <v>#N/A</v>
      </c>
      <c r="AG127" s="104">
        <f t="shared" si="2"/>
        <v>0</v>
      </c>
      <c r="AH127" t="e">
        <f t="shared" si="3"/>
        <v>#N/A</v>
      </c>
    </row>
    <row r="128" spans="8:34" x14ac:dyDescent="0.2">
      <c r="H128" s="5"/>
      <c r="I128" s="5"/>
      <c r="J128" s="5"/>
      <c r="K128" s="5"/>
      <c r="O128" s="4"/>
      <c r="P128" s="4"/>
      <c r="AB128" s="4"/>
      <c r="AD128" s="4"/>
      <c r="AF128" t="e">
        <f>VLOOKUP(C128,'גיליון דאטה להכל'!A:H,5,0)</f>
        <v>#N/A</v>
      </c>
      <c r="AG128" s="104">
        <f t="shared" si="2"/>
        <v>0</v>
      </c>
      <c r="AH128" t="e">
        <f t="shared" si="3"/>
        <v>#N/A</v>
      </c>
    </row>
    <row r="129" spans="8:34" x14ac:dyDescent="0.2">
      <c r="H129" s="5"/>
      <c r="I129" s="5"/>
      <c r="J129" s="5"/>
      <c r="K129" s="5"/>
      <c r="O129" s="4"/>
      <c r="P129" s="4"/>
      <c r="AB129" s="4"/>
      <c r="AD129" s="4"/>
      <c r="AF129" t="e">
        <f>VLOOKUP(C129,'גיליון דאטה להכל'!A:H,5,0)</f>
        <v>#N/A</v>
      </c>
      <c r="AG129" s="104">
        <f t="shared" si="2"/>
        <v>0</v>
      </c>
      <c r="AH129" t="e">
        <f t="shared" si="3"/>
        <v>#N/A</v>
      </c>
    </row>
    <row r="130" spans="8:34" x14ac:dyDescent="0.2">
      <c r="H130" s="5"/>
      <c r="I130" s="5"/>
      <c r="J130" s="5"/>
      <c r="K130" s="5"/>
      <c r="O130" s="4"/>
      <c r="P130" s="4"/>
      <c r="AB130" s="4"/>
      <c r="AD130" s="4"/>
      <c r="AF130" t="e">
        <f>VLOOKUP(C130,'גיליון דאטה להכל'!A:H,5,0)</f>
        <v>#N/A</v>
      </c>
      <c r="AG130" s="104">
        <f t="shared" si="2"/>
        <v>0</v>
      </c>
      <c r="AH130" t="e">
        <f t="shared" si="3"/>
        <v>#N/A</v>
      </c>
    </row>
    <row r="131" spans="8:34" x14ac:dyDescent="0.2">
      <c r="H131" s="5"/>
      <c r="I131" s="5"/>
      <c r="J131" s="5"/>
      <c r="K131" s="5"/>
      <c r="L131" s="95"/>
      <c r="O131" s="4"/>
      <c r="P131" s="4"/>
      <c r="AB131" s="4"/>
      <c r="AD131" s="4"/>
      <c r="AF131" t="e">
        <f>VLOOKUP(C131,'גיליון דאטה להכל'!A:H,5,0)</f>
        <v>#N/A</v>
      </c>
      <c r="AG131" s="104">
        <f t="shared" ref="AG131:AG194" si="4">I131+H131</f>
        <v>0</v>
      </c>
      <c r="AH131" t="e">
        <f t="shared" ref="AH131:AH194" si="5">_xlfn.CONCAT(AF131,N131)</f>
        <v>#N/A</v>
      </c>
    </row>
    <row r="132" spans="8:34" x14ac:dyDescent="0.2">
      <c r="H132" s="5"/>
      <c r="I132" s="5"/>
      <c r="J132" s="5"/>
      <c r="K132" s="5"/>
      <c r="L132" s="95"/>
      <c r="O132" s="4"/>
      <c r="P132" s="4"/>
      <c r="AB132" s="4"/>
      <c r="AD132" s="4"/>
      <c r="AF132" t="e">
        <f>VLOOKUP(C132,'גיליון דאטה להכל'!A:H,5,0)</f>
        <v>#N/A</v>
      </c>
      <c r="AG132" s="104">
        <f t="shared" si="4"/>
        <v>0</v>
      </c>
      <c r="AH132" t="e">
        <f t="shared" si="5"/>
        <v>#N/A</v>
      </c>
    </row>
    <row r="133" spans="8:34" x14ac:dyDescent="0.2">
      <c r="H133" s="5"/>
      <c r="I133" s="5"/>
      <c r="J133" s="5"/>
      <c r="K133" s="5"/>
      <c r="L133" s="95"/>
      <c r="O133" s="4"/>
      <c r="P133" s="4"/>
      <c r="AB133" s="4"/>
      <c r="AD133" s="4"/>
      <c r="AF133" t="e">
        <f>VLOOKUP(C133,'גיליון דאטה להכל'!A:H,5,0)</f>
        <v>#N/A</v>
      </c>
      <c r="AG133" s="104">
        <f t="shared" si="4"/>
        <v>0</v>
      </c>
      <c r="AH133" t="e">
        <f t="shared" si="5"/>
        <v>#N/A</v>
      </c>
    </row>
    <row r="134" spans="8:34" x14ac:dyDescent="0.2">
      <c r="H134" s="5"/>
      <c r="I134" s="5"/>
      <c r="J134" s="5"/>
      <c r="K134" s="5"/>
      <c r="O134" s="4"/>
      <c r="P134" s="4"/>
      <c r="AB134" s="4"/>
      <c r="AD134" s="4"/>
      <c r="AF134" t="e">
        <f>VLOOKUP(C134,'גיליון דאטה להכל'!A:H,5,0)</f>
        <v>#N/A</v>
      </c>
      <c r="AG134" s="104">
        <f t="shared" si="4"/>
        <v>0</v>
      </c>
      <c r="AH134" t="e">
        <f t="shared" si="5"/>
        <v>#N/A</v>
      </c>
    </row>
    <row r="135" spans="8:34" x14ac:dyDescent="0.2">
      <c r="H135" s="5"/>
      <c r="I135" s="5"/>
      <c r="J135" s="5"/>
      <c r="K135" s="5"/>
      <c r="O135" s="4"/>
      <c r="P135" s="4"/>
      <c r="AB135" s="4"/>
      <c r="AD135" s="4"/>
      <c r="AF135" t="e">
        <f>VLOOKUP(C135,'גיליון דאטה להכל'!A:H,5,0)</f>
        <v>#N/A</v>
      </c>
      <c r="AG135" s="104">
        <f t="shared" si="4"/>
        <v>0</v>
      </c>
      <c r="AH135" t="e">
        <f t="shared" si="5"/>
        <v>#N/A</v>
      </c>
    </row>
    <row r="136" spans="8:34" x14ac:dyDescent="0.2">
      <c r="H136" s="5"/>
      <c r="I136" s="5"/>
      <c r="J136" s="5"/>
      <c r="K136" s="5"/>
      <c r="O136" s="4"/>
      <c r="P136" s="4"/>
      <c r="AB136" s="4"/>
      <c r="AD136" s="4"/>
      <c r="AF136" t="e">
        <f>VLOOKUP(C136,'גיליון דאטה להכל'!A:H,5,0)</f>
        <v>#N/A</v>
      </c>
      <c r="AG136" s="104">
        <f t="shared" si="4"/>
        <v>0</v>
      </c>
      <c r="AH136" t="e">
        <f t="shared" si="5"/>
        <v>#N/A</v>
      </c>
    </row>
    <row r="137" spans="8:34" x14ac:dyDescent="0.2">
      <c r="H137" s="5"/>
      <c r="I137" s="5"/>
      <c r="J137" s="5"/>
      <c r="K137" s="5"/>
      <c r="O137" s="4"/>
      <c r="P137" s="4"/>
      <c r="AB137" s="4"/>
      <c r="AD137" s="4"/>
      <c r="AF137" t="e">
        <f>VLOOKUP(C137,'גיליון דאטה להכל'!A:H,5,0)</f>
        <v>#N/A</v>
      </c>
      <c r="AG137" s="104">
        <f t="shared" si="4"/>
        <v>0</v>
      </c>
      <c r="AH137" t="e">
        <f t="shared" si="5"/>
        <v>#N/A</v>
      </c>
    </row>
    <row r="138" spans="8:34" x14ac:dyDescent="0.2">
      <c r="H138" s="5"/>
      <c r="I138" s="5"/>
      <c r="J138" s="5"/>
      <c r="K138" s="5"/>
      <c r="L138" s="95"/>
      <c r="O138" s="4"/>
      <c r="P138" s="4"/>
      <c r="AB138" s="4"/>
      <c r="AD138" s="4"/>
      <c r="AF138" t="e">
        <f>VLOOKUP(C138,'גיליון דאטה להכל'!A:H,5,0)</f>
        <v>#N/A</v>
      </c>
      <c r="AG138" s="104">
        <f t="shared" si="4"/>
        <v>0</v>
      </c>
      <c r="AH138" t="e">
        <f t="shared" si="5"/>
        <v>#N/A</v>
      </c>
    </row>
    <row r="139" spans="8:34" x14ac:dyDescent="0.2">
      <c r="H139" s="5"/>
      <c r="I139" s="5"/>
      <c r="J139" s="5"/>
      <c r="K139" s="5"/>
      <c r="L139" s="95"/>
      <c r="O139" s="4"/>
      <c r="P139" s="4"/>
      <c r="AB139" s="4"/>
      <c r="AD139" s="4"/>
      <c r="AF139" t="e">
        <f>VLOOKUP(C139,'גיליון דאטה להכל'!A:H,5,0)</f>
        <v>#N/A</v>
      </c>
      <c r="AG139" s="104">
        <f t="shared" si="4"/>
        <v>0</v>
      </c>
      <c r="AH139" t="e">
        <f t="shared" si="5"/>
        <v>#N/A</v>
      </c>
    </row>
    <row r="140" spans="8:34" x14ac:dyDescent="0.2">
      <c r="H140" s="5"/>
      <c r="I140" s="5"/>
      <c r="J140" s="5"/>
      <c r="K140" s="5"/>
      <c r="L140" s="95"/>
      <c r="O140" s="4"/>
      <c r="P140" s="4"/>
      <c r="AB140" s="4"/>
      <c r="AD140" s="4"/>
      <c r="AF140" t="e">
        <f>VLOOKUP(C140,'גיליון דאטה להכל'!A:H,5,0)</f>
        <v>#N/A</v>
      </c>
      <c r="AG140" s="104">
        <f t="shared" si="4"/>
        <v>0</v>
      </c>
      <c r="AH140" t="e">
        <f t="shared" si="5"/>
        <v>#N/A</v>
      </c>
    </row>
    <row r="141" spans="8:34" x14ac:dyDescent="0.2">
      <c r="H141" s="5"/>
      <c r="I141" s="5"/>
      <c r="J141" s="5"/>
      <c r="K141" s="5"/>
      <c r="L141" s="95"/>
      <c r="O141" s="4"/>
      <c r="P141" s="4"/>
      <c r="AB141" s="4"/>
      <c r="AD141" s="4"/>
      <c r="AF141" t="e">
        <f>VLOOKUP(C141,'גיליון דאטה להכל'!A:H,5,0)</f>
        <v>#N/A</v>
      </c>
      <c r="AG141" s="104">
        <f t="shared" si="4"/>
        <v>0</v>
      </c>
      <c r="AH141" t="e">
        <f t="shared" si="5"/>
        <v>#N/A</v>
      </c>
    </row>
    <row r="142" spans="8:34" x14ac:dyDescent="0.2">
      <c r="H142" s="5"/>
      <c r="I142" s="5"/>
      <c r="J142" s="5"/>
      <c r="K142" s="5"/>
      <c r="L142" s="95"/>
      <c r="O142" s="4"/>
      <c r="P142" s="4"/>
      <c r="AB142" s="4"/>
      <c r="AD142" s="4"/>
      <c r="AF142" t="e">
        <f>VLOOKUP(C142,'גיליון דאטה להכל'!A:H,5,0)</f>
        <v>#N/A</v>
      </c>
      <c r="AG142" s="104">
        <f t="shared" si="4"/>
        <v>0</v>
      </c>
      <c r="AH142" t="e">
        <f t="shared" si="5"/>
        <v>#N/A</v>
      </c>
    </row>
    <row r="143" spans="8:34" x14ac:dyDescent="0.2">
      <c r="H143" s="5"/>
      <c r="I143" s="5"/>
      <c r="J143" s="5"/>
      <c r="K143" s="5"/>
      <c r="L143" s="95"/>
      <c r="O143" s="4"/>
      <c r="P143" s="4"/>
      <c r="AB143" s="4"/>
      <c r="AD143" s="4"/>
      <c r="AF143" t="e">
        <f>VLOOKUP(C143,'גיליון דאטה להכל'!A:H,5,0)</f>
        <v>#N/A</v>
      </c>
      <c r="AG143" s="104">
        <f t="shared" si="4"/>
        <v>0</v>
      </c>
      <c r="AH143" t="e">
        <f t="shared" si="5"/>
        <v>#N/A</v>
      </c>
    </row>
    <row r="144" spans="8:34" x14ac:dyDescent="0.2">
      <c r="H144" s="5"/>
      <c r="I144" s="5"/>
      <c r="J144" s="5"/>
      <c r="K144" s="5"/>
      <c r="L144" s="95"/>
      <c r="O144" s="4"/>
      <c r="P144" s="4"/>
      <c r="AB144" s="4"/>
      <c r="AD144" s="4"/>
      <c r="AF144" t="e">
        <f>VLOOKUP(C144,'גיליון דאטה להכל'!A:H,5,0)</f>
        <v>#N/A</v>
      </c>
      <c r="AG144" s="104">
        <f t="shared" si="4"/>
        <v>0</v>
      </c>
      <c r="AH144" t="e">
        <f t="shared" si="5"/>
        <v>#N/A</v>
      </c>
    </row>
    <row r="145" spans="8:34" x14ac:dyDescent="0.2">
      <c r="H145" s="5"/>
      <c r="I145" s="5"/>
      <c r="J145" s="5"/>
      <c r="K145" s="5"/>
      <c r="L145" s="95"/>
      <c r="O145" s="4"/>
      <c r="P145" s="4"/>
      <c r="AB145" s="4"/>
      <c r="AD145" s="4"/>
      <c r="AF145" t="e">
        <f>VLOOKUP(C145,'גיליון דאטה להכל'!A:H,5,0)</f>
        <v>#N/A</v>
      </c>
      <c r="AG145" s="104">
        <f t="shared" si="4"/>
        <v>0</v>
      </c>
      <c r="AH145" t="e">
        <f t="shared" si="5"/>
        <v>#N/A</v>
      </c>
    </row>
    <row r="146" spans="8:34" x14ac:dyDescent="0.2">
      <c r="H146" s="5"/>
      <c r="I146" s="5"/>
      <c r="J146" s="5"/>
      <c r="K146" s="5"/>
      <c r="L146" s="95"/>
      <c r="O146" s="4"/>
      <c r="P146" s="4"/>
      <c r="AB146" s="4"/>
      <c r="AD146" s="4"/>
      <c r="AF146" t="e">
        <f>VLOOKUP(C146,'גיליון דאטה להכל'!A:H,5,0)</f>
        <v>#N/A</v>
      </c>
      <c r="AG146" s="104">
        <f t="shared" si="4"/>
        <v>0</v>
      </c>
      <c r="AH146" t="e">
        <f t="shared" si="5"/>
        <v>#N/A</v>
      </c>
    </row>
    <row r="147" spans="8:34" x14ac:dyDescent="0.2">
      <c r="H147" s="5"/>
      <c r="I147" s="5"/>
      <c r="J147" s="5"/>
      <c r="K147" s="5"/>
      <c r="O147" s="4"/>
      <c r="P147" s="4"/>
      <c r="AB147" s="4"/>
      <c r="AD147" s="4"/>
      <c r="AF147" t="e">
        <f>VLOOKUP(C147,'גיליון דאטה להכל'!A:H,5,0)</f>
        <v>#N/A</v>
      </c>
      <c r="AG147" s="104">
        <f t="shared" si="4"/>
        <v>0</v>
      </c>
      <c r="AH147" t="e">
        <f t="shared" si="5"/>
        <v>#N/A</v>
      </c>
    </row>
    <row r="148" spans="8:34" x14ac:dyDescent="0.2">
      <c r="H148" s="5"/>
      <c r="I148" s="5"/>
      <c r="J148" s="5"/>
      <c r="K148" s="5"/>
      <c r="O148" s="4"/>
      <c r="P148" s="4"/>
      <c r="AB148" s="4"/>
      <c r="AD148" s="4"/>
      <c r="AF148" t="e">
        <f>VLOOKUP(C148,'גיליון דאטה להכל'!A:H,5,0)</f>
        <v>#N/A</v>
      </c>
      <c r="AG148" s="104">
        <f t="shared" si="4"/>
        <v>0</v>
      </c>
      <c r="AH148" t="e">
        <f t="shared" si="5"/>
        <v>#N/A</v>
      </c>
    </row>
    <row r="149" spans="8:34" x14ac:dyDescent="0.2">
      <c r="H149" s="5"/>
      <c r="I149" s="5"/>
      <c r="J149" s="5"/>
      <c r="K149" s="5"/>
      <c r="O149" s="4"/>
      <c r="P149" s="4"/>
      <c r="AB149" s="4"/>
      <c r="AD149" s="4"/>
      <c r="AF149" t="e">
        <f>VLOOKUP(C149,'גיליון דאטה להכל'!A:H,5,0)</f>
        <v>#N/A</v>
      </c>
      <c r="AG149" s="104">
        <f t="shared" si="4"/>
        <v>0</v>
      </c>
      <c r="AH149" t="e">
        <f t="shared" si="5"/>
        <v>#N/A</v>
      </c>
    </row>
    <row r="150" spans="8:34" x14ac:dyDescent="0.2">
      <c r="H150" s="5"/>
      <c r="I150" s="5"/>
      <c r="J150" s="5"/>
      <c r="K150" s="5"/>
      <c r="L150" s="95"/>
      <c r="O150" s="4"/>
      <c r="P150" s="4"/>
      <c r="AB150" s="4"/>
      <c r="AD150" s="4"/>
      <c r="AF150" t="e">
        <f>VLOOKUP(C150,'גיליון דאטה להכל'!A:H,5,0)</f>
        <v>#N/A</v>
      </c>
      <c r="AG150" s="104">
        <f t="shared" si="4"/>
        <v>0</v>
      </c>
      <c r="AH150" t="e">
        <f t="shared" si="5"/>
        <v>#N/A</v>
      </c>
    </row>
    <row r="151" spans="8:34" x14ac:dyDescent="0.2">
      <c r="H151" s="5"/>
      <c r="I151" s="5"/>
      <c r="J151" s="5"/>
      <c r="K151" s="5"/>
      <c r="L151" s="95"/>
      <c r="O151" s="4"/>
      <c r="P151" s="4"/>
      <c r="AB151" s="4"/>
      <c r="AD151" s="4"/>
      <c r="AF151" t="e">
        <f>VLOOKUP(C151,'גיליון דאטה להכל'!A:H,5,0)</f>
        <v>#N/A</v>
      </c>
      <c r="AG151" s="104">
        <f t="shared" si="4"/>
        <v>0</v>
      </c>
      <c r="AH151" t="e">
        <f t="shared" si="5"/>
        <v>#N/A</v>
      </c>
    </row>
    <row r="152" spans="8:34" x14ac:dyDescent="0.2">
      <c r="H152" s="5"/>
      <c r="I152" s="5"/>
      <c r="J152" s="5"/>
      <c r="K152" s="5"/>
      <c r="L152" s="95"/>
      <c r="O152" s="4"/>
      <c r="P152" s="4"/>
      <c r="AB152" s="4"/>
      <c r="AD152" s="4"/>
      <c r="AF152" t="e">
        <f>VLOOKUP(C152,'גיליון דאטה להכל'!A:H,5,0)</f>
        <v>#N/A</v>
      </c>
      <c r="AG152" s="104">
        <f t="shared" si="4"/>
        <v>0</v>
      </c>
      <c r="AH152" t="e">
        <f t="shared" si="5"/>
        <v>#N/A</v>
      </c>
    </row>
    <row r="153" spans="8:34" x14ac:dyDescent="0.2">
      <c r="H153" s="5"/>
      <c r="I153" s="5"/>
      <c r="J153" s="5"/>
      <c r="K153" s="5"/>
      <c r="L153" s="95"/>
      <c r="O153" s="4"/>
      <c r="P153" s="4"/>
      <c r="AB153" s="4"/>
      <c r="AD153" s="4"/>
      <c r="AF153" t="e">
        <f>VLOOKUP(C153,'גיליון דאטה להכל'!A:H,5,0)</f>
        <v>#N/A</v>
      </c>
      <c r="AG153" s="104">
        <f t="shared" si="4"/>
        <v>0</v>
      </c>
      <c r="AH153" t="e">
        <f t="shared" si="5"/>
        <v>#N/A</v>
      </c>
    </row>
    <row r="154" spans="8:34" x14ac:dyDescent="0.2">
      <c r="H154" s="5"/>
      <c r="I154" s="5"/>
      <c r="J154" s="5"/>
      <c r="K154" s="5"/>
      <c r="L154" s="95"/>
      <c r="O154" s="4"/>
      <c r="P154" s="4"/>
      <c r="AB154" s="4"/>
      <c r="AD154" s="4"/>
      <c r="AF154" t="e">
        <f>VLOOKUP(C154,'גיליון דאטה להכל'!A:H,5,0)</f>
        <v>#N/A</v>
      </c>
      <c r="AG154" s="104">
        <f t="shared" si="4"/>
        <v>0</v>
      </c>
      <c r="AH154" t="e">
        <f t="shared" si="5"/>
        <v>#N/A</v>
      </c>
    </row>
    <row r="155" spans="8:34" x14ac:dyDescent="0.2">
      <c r="H155" s="5"/>
      <c r="I155" s="5"/>
      <c r="J155" s="5"/>
      <c r="K155" s="5"/>
      <c r="L155" s="95"/>
      <c r="O155" s="4"/>
      <c r="P155" s="4"/>
      <c r="AB155" s="4"/>
      <c r="AD155" s="4"/>
      <c r="AF155" t="e">
        <f>VLOOKUP(C155,'גיליון דאטה להכל'!A:H,5,0)</f>
        <v>#N/A</v>
      </c>
      <c r="AG155" s="104">
        <f t="shared" si="4"/>
        <v>0</v>
      </c>
      <c r="AH155" t="e">
        <f t="shared" si="5"/>
        <v>#N/A</v>
      </c>
    </row>
    <row r="156" spans="8:34" x14ac:dyDescent="0.2">
      <c r="H156" s="5"/>
      <c r="I156" s="5"/>
      <c r="J156" s="5"/>
      <c r="K156" s="5"/>
      <c r="O156" s="4"/>
      <c r="P156" s="4"/>
      <c r="AB156" s="4"/>
      <c r="AD156" s="4"/>
      <c r="AF156" t="e">
        <f>VLOOKUP(C156,'גיליון דאטה להכל'!A:H,5,0)</f>
        <v>#N/A</v>
      </c>
      <c r="AG156" s="104">
        <f t="shared" si="4"/>
        <v>0</v>
      </c>
      <c r="AH156" t="e">
        <f t="shared" si="5"/>
        <v>#N/A</v>
      </c>
    </row>
    <row r="157" spans="8:34" x14ac:dyDescent="0.2">
      <c r="H157" s="5"/>
      <c r="I157" s="5"/>
      <c r="J157" s="5"/>
      <c r="K157" s="5"/>
      <c r="O157" s="4"/>
      <c r="P157" s="4"/>
      <c r="AB157" s="4"/>
      <c r="AD157" s="4"/>
      <c r="AF157" t="e">
        <f>VLOOKUP(C157,'גיליון דאטה להכל'!A:H,5,0)</f>
        <v>#N/A</v>
      </c>
      <c r="AG157" s="104">
        <f t="shared" si="4"/>
        <v>0</v>
      </c>
      <c r="AH157" t="e">
        <f t="shared" si="5"/>
        <v>#N/A</v>
      </c>
    </row>
    <row r="158" spans="8:34" x14ac:dyDescent="0.2">
      <c r="H158" s="5"/>
      <c r="I158" s="5"/>
      <c r="J158" s="5"/>
      <c r="K158" s="5"/>
      <c r="L158" s="95"/>
      <c r="O158" s="4"/>
      <c r="P158" s="4"/>
      <c r="AB158" s="4"/>
      <c r="AD158" s="4"/>
      <c r="AF158" t="e">
        <f>VLOOKUP(C158,'גיליון דאטה להכל'!A:H,5,0)</f>
        <v>#N/A</v>
      </c>
      <c r="AG158" s="104">
        <f t="shared" si="4"/>
        <v>0</v>
      </c>
      <c r="AH158" t="e">
        <f t="shared" si="5"/>
        <v>#N/A</v>
      </c>
    </row>
    <row r="159" spans="8:34" x14ac:dyDescent="0.2">
      <c r="H159" s="5"/>
      <c r="I159" s="5"/>
      <c r="J159" s="5"/>
      <c r="K159" s="5"/>
      <c r="L159" s="95"/>
      <c r="O159" s="4"/>
      <c r="P159" s="4"/>
      <c r="AB159" s="4"/>
      <c r="AD159" s="4"/>
      <c r="AF159" t="e">
        <f>VLOOKUP(C159,'גיליון דאטה להכל'!A:H,5,0)</f>
        <v>#N/A</v>
      </c>
      <c r="AG159" s="104">
        <f t="shared" si="4"/>
        <v>0</v>
      </c>
      <c r="AH159" t="e">
        <f t="shared" si="5"/>
        <v>#N/A</v>
      </c>
    </row>
    <row r="160" spans="8:34" x14ac:dyDescent="0.2">
      <c r="H160" s="5"/>
      <c r="I160" s="5"/>
      <c r="J160" s="5"/>
      <c r="K160" s="5"/>
      <c r="L160" s="95"/>
      <c r="O160" s="4"/>
      <c r="P160" s="4"/>
      <c r="AB160" s="4"/>
      <c r="AD160" s="4"/>
      <c r="AF160" t="e">
        <f>VLOOKUP(C160,'גיליון דאטה להכל'!A:H,5,0)</f>
        <v>#N/A</v>
      </c>
      <c r="AG160" s="104">
        <f t="shared" si="4"/>
        <v>0</v>
      </c>
      <c r="AH160" t="e">
        <f t="shared" si="5"/>
        <v>#N/A</v>
      </c>
    </row>
    <row r="161" spans="8:34" x14ac:dyDescent="0.2">
      <c r="H161" s="5"/>
      <c r="I161" s="5"/>
      <c r="J161" s="5"/>
      <c r="K161" s="5"/>
      <c r="L161" s="95"/>
      <c r="O161" s="4"/>
      <c r="P161" s="4"/>
      <c r="AB161" s="4"/>
      <c r="AD161" s="4"/>
      <c r="AF161" t="e">
        <f>VLOOKUP(C161,'גיליון דאטה להכל'!A:H,5,0)</f>
        <v>#N/A</v>
      </c>
      <c r="AG161" s="104">
        <f t="shared" si="4"/>
        <v>0</v>
      </c>
      <c r="AH161" t="e">
        <f t="shared" si="5"/>
        <v>#N/A</v>
      </c>
    </row>
    <row r="162" spans="8:34" x14ac:dyDescent="0.2">
      <c r="H162" s="5"/>
      <c r="I162" s="5"/>
      <c r="J162" s="5"/>
      <c r="K162" s="5"/>
      <c r="L162" s="95"/>
      <c r="O162" s="4"/>
      <c r="P162" s="4"/>
      <c r="AB162" s="4"/>
      <c r="AD162" s="4"/>
      <c r="AF162" t="e">
        <f>VLOOKUP(C162,'גיליון דאטה להכל'!A:H,5,0)</f>
        <v>#N/A</v>
      </c>
      <c r="AG162" s="104">
        <f t="shared" si="4"/>
        <v>0</v>
      </c>
      <c r="AH162" t="e">
        <f t="shared" si="5"/>
        <v>#N/A</v>
      </c>
    </row>
    <row r="163" spans="8:34" x14ac:dyDescent="0.2">
      <c r="H163" s="5"/>
      <c r="I163" s="5"/>
      <c r="J163" s="5"/>
      <c r="K163" s="5"/>
      <c r="L163" s="95"/>
      <c r="O163" s="4"/>
      <c r="P163" s="4"/>
      <c r="AB163" s="4"/>
      <c r="AD163" s="4"/>
      <c r="AF163" t="e">
        <f>VLOOKUP(C163,'גיליון דאטה להכל'!A:H,5,0)</f>
        <v>#N/A</v>
      </c>
      <c r="AG163" s="104">
        <f t="shared" si="4"/>
        <v>0</v>
      </c>
      <c r="AH163" t="e">
        <f t="shared" si="5"/>
        <v>#N/A</v>
      </c>
    </row>
    <row r="164" spans="8:34" x14ac:dyDescent="0.2">
      <c r="H164" s="5"/>
      <c r="I164" s="5"/>
      <c r="J164" s="5"/>
      <c r="K164" s="5"/>
      <c r="L164" s="95"/>
      <c r="O164" s="4"/>
      <c r="P164" s="4"/>
      <c r="AB164" s="4"/>
      <c r="AD164" s="4"/>
      <c r="AF164" t="e">
        <f>VLOOKUP(C164,'גיליון דאטה להכל'!A:H,5,0)</f>
        <v>#N/A</v>
      </c>
      <c r="AG164" s="104">
        <f t="shared" si="4"/>
        <v>0</v>
      </c>
      <c r="AH164" t="e">
        <f t="shared" si="5"/>
        <v>#N/A</v>
      </c>
    </row>
    <row r="165" spans="8:34" x14ac:dyDescent="0.2">
      <c r="H165" s="5"/>
      <c r="I165" s="5"/>
      <c r="J165" s="5"/>
      <c r="K165" s="5"/>
      <c r="L165" s="95"/>
      <c r="O165" s="4"/>
      <c r="P165" s="4"/>
      <c r="AB165" s="4"/>
      <c r="AD165" s="4"/>
      <c r="AF165" t="e">
        <f>VLOOKUP(C165,'גיליון דאטה להכל'!A:H,5,0)</f>
        <v>#N/A</v>
      </c>
      <c r="AG165" s="104">
        <f t="shared" si="4"/>
        <v>0</v>
      </c>
      <c r="AH165" t="e">
        <f t="shared" si="5"/>
        <v>#N/A</v>
      </c>
    </row>
    <row r="166" spans="8:34" x14ac:dyDescent="0.2">
      <c r="H166" s="5"/>
      <c r="I166" s="5"/>
      <c r="J166" s="5"/>
      <c r="K166" s="5"/>
      <c r="L166" s="95"/>
      <c r="O166" s="4"/>
      <c r="P166" s="4"/>
      <c r="AB166" s="4"/>
      <c r="AD166" s="4"/>
      <c r="AF166" t="e">
        <f>VLOOKUP(C166,'גיליון דאטה להכל'!A:H,5,0)</f>
        <v>#N/A</v>
      </c>
      <c r="AG166" s="104">
        <f t="shared" si="4"/>
        <v>0</v>
      </c>
      <c r="AH166" t="e">
        <f t="shared" si="5"/>
        <v>#N/A</v>
      </c>
    </row>
    <row r="167" spans="8:34" x14ac:dyDescent="0.2">
      <c r="H167" s="5"/>
      <c r="I167" s="5"/>
      <c r="J167" s="5"/>
      <c r="K167" s="5"/>
      <c r="L167" s="95"/>
      <c r="O167" s="4"/>
      <c r="P167" s="4"/>
      <c r="AB167" s="4"/>
      <c r="AD167" s="4"/>
      <c r="AF167" t="e">
        <f>VLOOKUP(C167,'גיליון דאטה להכל'!A:H,5,0)</f>
        <v>#N/A</v>
      </c>
      <c r="AG167" s="104">
        <f t="shared" si="4"/>
        <v>0</v>
      </c>
      <c r="AH167" t="e">
        <f t="shared" si="5"/>
        <v>#N/A</v>
      </c>
    </row>
    <row r="168" spans="8:34" x14ac:dyDescent="0.2">
      <c r="H168" s="5"/>
      <c r="I168" s="5"/>
      <c r="J168" s="5"/>
      <c r="K168" s="5"/>
      <c r="L168" s="95"/>
      <c r="O168" s="4"/>
      <c r="P168" s="4"/>
      <c r="AB168" s="4"/>
      <c r="AD168" s="4"/>
      <c r="AF168" t="e">
        <f>VLOOKUP(C168,'גיליון דאטה להכל'!A:H,5,0)</f>
        <v>#N/A</v>
      </c>
      <c r="AG168" s="104">
        <f t="shared" si="4"/>
        <v>0</v>
      </c>
      <c r="AH168" t="e">
        <f t="shared" si="5"/>
        <v>#N/A</v>
      </c>
    </row>
    <row r="169" spans="8:34" x14ac:dyDescent="0.2">
      <c r="H169" s="5"/>
      <c r="I169" s="5"/>
      <c r="J169" s="5"/>
      <c r="K169" s="5"/>
      <c r="L169" s="95"/>
      <c r="O169" s="4"/>
      <c r="P169" s="4"/>
      <c r="AB169" s="4"/>
      <c r="AD169" s="4"/>
      <c r="AF169" t="e">
        <f>VLOOKUP(C169,'גיליון דאטה להכל'!A:H,5,0)</f>
        <v>#N/A</v>
      </c>
      <c r="AG169" s="104">
        <f t="shared" si="4"/>
        <v>0</v>
      </c>
      <c r="AH169" t="e">
        <f t="shared" si="5"/>
        <v>#N/A</v>
      </c>
    </row>
    <row r="170" spans="8:34" x14ac:dyDescent="0.2">
      <c r="H170" s="5"/>
      <c r="I170" s="5"/>
      <c r="J170" s="5"/>
      <c r="K170" s="5"/>
      <c r="L170" s="95"/>
      <c r="O170" s="4"/>
      <c r="P170" s="4"/>
      <c r="AB170" s="4"/>
      <c r="AD170" s="4"/>
      <c r="AF170" t="e">
        <f>VLOOKUP(C170,'גיליון דאטה להכל'!A:H,5,0)</f>
        <v>#N/A</v>
      </c>
      <c r="AG170" s="104">
        <f t="shared" si="4"/>
        <v>0</v>
      </c>
      <c r="AH170" t="e">
        <f t="shared" si="5"/>
        <v>#N/A</v>
      </c>
    </row>
    <row r="171" spans="8:34" x14ac:dyDescent="0.2">
      <c r="H171" s="5"/>
      <c r="I171" s="5"/>
      <c r="J171" s="5"/>
      <c r="K171" s="5"/>
      <c r="L171" s="95"/>
      <c r="O171" s="4"/>
      <c r="P171" s="4"/>
      <c r="AB171" s="4"/>
      <c r="AD171" s="4"/>
      <c r="AF171" t="e">
        <f>VLOOKUP(C171,'גיליון דאטה להכל'!A:H,5,0)</f>
        <v>#N/A</v>
      </c>
      <c r="AG171" s="104">
        <f t="shared" si="4"/>
        <v>0</v>
      </c>
      <c r="AH171" t="e">
        <f t="shared" si="5"/>
        <v>#N/A</v>
      </c>
    </row>
    <row r="172" spans="8:34" x14ac:dyDescent="0.2">
      <c r="H172" s="5"/>
      <c r="I172" s="5"/>
      <c r="J172" s="5"/>
      <c r="K172" s="5"/>
      <c r="L172" s="95"/>
      <c r="O172" s="4"/>
      <c r="P172" s="4"/>
      <c r="AB172" s="4"/>
      <c r="AD172" s="4"/>
      <c r="AF172" t="e">
        <f>VLOOKUP(C172,'גיליון דאטה להכל'!A:H,5,0)</f>
        <v>#N/A</v>
      </c>
      <c r="AG172" s="104">
        <f t="shared" si="4"/>
        <v>0</v>
      </c>
      <c r="AH172" t="e">
        <f t="shared" si="5"/>
        <v>#N/A</v>
      </c>
    </row>
    <row r="173" spans="8:34" x14ac:dyDescent="0.2">
      <c r="H173" s="5"/>
      <c r="I173" s="5"/>
      <c r="J173" s="5"/>
      <c r="K173" s="5"/>
      <c r="L173" s="95"/>
      <c r="O173" s="4"/>
      <c r="P173" s="4"/>
      <c r="AB173" s="4"/>
      <c r="AD173" s="4"/>
      <c r="AF173" t="e">
        <f>VLOOKUP(C173,'גיליון דאטה להכל'!A:H,5,0)</f>
        <v>#N/A</v>
      </c>
      <c r="AG173" s="104">
        <f t="shared" si="4"/>
        <v>0</v>
      </c>
      <c r="AH173" t="e">
        <f t="shared" si="5"/>
        <v>#N/A</v>
      </c>
    </row>
    <row r="174" spans="8:34" x14ac:dyDescent="0.2">
      <c r="H174" s="5"/>
      <c r="I174" s="5"/>
      <c r="J174" s="5"/>
      <c r="K174" s="5"/>
      <c r="L174" s="95"/>
      <c r="O174" s="4"/>
      <c r="P174" s="4"/>
      <c r="AB174" s="4"/>
      <c r="AD174" s="4"/>
      <c r="AF174" t="e">
        <f>VLOOKUP(C174,'גיליון דאטה להכל'!A:H,5,0)</f>
        <v>#N/A</v>
      </c>
      <c r="AG174" s="104">
        <f t="shared" si="4"/>
        <v>0</v>
      </c>
      <c r="AH174" t="e">
        <f t="shared" si="5"/>
        <v>#N/A</v>
      </c>
    </row>
    <row r="175" spans="8:34" x14ac:dyDescent="0.2">
      <c r="H175" s="5"/>
      <c r="I175" s="5"/>
      <c r="J175" s="5"/>
      <c r="K175" s="5"/>
      <c r="L175" s="95"/>
      <c r="O175" s="4"/>
      <c r="P175" s="4"/>
      <c r="AB175" s="4"/>
      <c r="AD175" s="4"/>
      <c r="AF175" t="e">
        <f>VLOOKUP(C175,'גיליון דאטה להכל'!A:H,5,0)</f>
        <v>#N/A</v>
      </c>
      <c r="AG175" s="104">
        <f t="shared" si="4"/>
        <v>0</v>
      </c>
      <c r="AH175" t="e">
        <f t="shared" si="5"/>
        <v>#N/A</v>
      </c>
    </row>
    <row r="176" spans="8:34" x14ac:dyDescent="0.2">
      <c r="H176" s="5"/>
      <c r="I176" s="5"/>
      <c r="J176" s="5"/>
      <c r="K176" s="5"/>
      <c r="L176" s="95"/>
      <c r="O176" s="4"/>
      <c r="P176" s="4"/>
      <c r="AB176" s="4"/>
      <c r="AD176" s="4"/>
      <c r="AF176" t="e">
        <f>VLOOKUP(C176,'גיליון דאטה להכל'!A:H,5,0)</f>
        <v>#N/A</v>
      </c>
      <c r="AG176" s="104">
        <f t="shared" si="4"/>
        <v>0</v>
      </c>
      <c r="AH176" t="e">
        <f t="shared" si="5"/>
        <v>#N/A</v>
      </c>
    </row>
    <row r="177" spans="8:34" x14ac:dyDescent="0.2">
      <c r="H177" s="5"/>
      <c r="I177" s="5"/>
      <c r="J177" s="5"/>
      <c r="K177" s="5"/>
      <c r="L177" s="95"/>
      <c r="O177" s="4"/>
      <c r="P177" s="4"/>
      <c r="AB177" s="4"/>
      <c r="AD177" s="4"/>
      <c r="AF177" t="e">
        <f>VLOOKUP(C177,'גיליון דאטה להכל'!A:H,5,0)</f>
        <v>#N/A</v>
      </c>
      <c r="AG177" s="104">
        <f t="shared" si="4"/>
        <v>0</v>
      </c>
      <c r="AH177" t="e">
        <f t="shared" si="5"/>
        <v>#N/A</v>
      </c>
    </row>
    <row r="178" spans="8:34" x14ac:dyDescent="0.2">
      <c r="H178" s="5"/>
      <c r="I178" s="5"/>
      <c r="J178" s="5"/>
      <c r="K178" s="5"/>
      <c r="L178" s="95"/>
      <c r="O178" s="4"/>
      <c r="P178" s="4"/>
      <c r="AB178" s="4"/>
      <c r="AD178" s="4"/>
      <c r="AF178" t="e">
        <f>VLOOKUP(C178,'גיליון דאטה להכל'!A:H,5,0)</f>
        <v>#N/A</v>
      </c>
      <c r="AG178" s="104">
        <f t="shared" si="4"/>
        <v>0</v>
      </c>
      <c r="AH178" t="e">
        <f t="shared" si="5"/>
        <v>#N/A</v>
      </c>
    </row>
    <row r="179" spans="8:34" x14ac:dyDescent="0.2">
      <c r="H179" s="5"/>
      <c r="I179" s="5"/>
      <c r="J179" s="5"/>
      <c r="K179" s="5"/>
      <c r="L179" s="95"/>
      <c r="O179" s="4"/>
      <c r="P179" s="4"/>
      <c r="AB179" s="4"/>
      <c r="AD179" s="4"/>
      <c r="AF179" t="e">
        <f>VLOOKUP(C179,'גיליון דאטה להכל'!A:H,5,0)</f>
        <v>#N/A</v>
      </c>
      <c r="AG179" s="104">
        <f t="shared" si="4"/>
        <v>0</v>
      </c>
      <c r="AH179" t="e">
        <f t="shared" si="5"/>
        <v>#N/A</v>
      </c>
    </row>
    <row r="180" spans="8:34" x14ac:dyDescent="0.2">
      <c r="H180" s="5"/>
      <c r="I180" s="5"/>
      <c r="J180" s="5"/>
      <c r="K180" s="5"/>
      <c r="L180" s="95"/>
      <c r="O180" s="4"/>
      <c r="P180" s="4"/>
      <c r="AB180" s="4"/>
      <c r="AD180" s="4"/>
      <c r="AF180" t="e">
        <f>VLOOKUP(C180,'גיליון דאטה להכל'!A:H,5,0)</f>
        <v>#N/A</v>
      </c>
      <c r="AG180" s="104">
        <f t="shared" si="4"/>
        <v>0</v>
      </c>
      <c r="AH180" t="e">
        <f t="shared" si="5"/>
        <v>#N/A</v>
      </c>
    </row>
    <row r="181" spans="8:34" x14ac:dyDescent="0.2">
      <c r="H181" s="5"/>
      <c r="I181" s="5"/>
      <c r="J181" s="5"/>
      <c r="K181" s="5"/>
      <c r="L181" s="95"/>
      <c r="O181" s="4"/>
      <c r="P181" s="4"/>
      <c r="AB181" s="4"/>
      <c r="AD181" s="4"/>
      <c r="AF181" t="e">
        <f>VLOOKUP(C181,'גיליון דאטה להכל'!A:H,5,0)</f>
        <v>#N/A</v>
      </c>
      <c r="AG181" s="104">
        <f t="shared" si="4"/>
        <v>0</v>
      </c>
      <c r="AH181" t="e">
        <f t="shared" si="5"/>
        <v>#N/A</v>
      </c>
    </row>
    <row r="182" spans="8:34" x14ac:dyDescent="0.2">
      <c r="H182" s="5"/>
      <c r="I182" s="5"/>
      <c r="J182" s="5"/>
      <c r="K182" s="5"/>
      <c r="L182" s="95"/>
      <c r="O182" s="4"/>
      <c r="P182" s="4"/>
      <c r="AB182" s="4"/>
      <c r="AD182" s="4"/>
      <c r="AF182" t="e">
        <f>VLOOKUP(C182,'גיליון דאטה להכל'!A:H,5,0)</f>
        <v>#N/A</v>
      </c>
      <c r="AG182" s="104">
        <f t="shared" si="4"/>
        <v>0</v>
      </c>
      <c r="AH182" t="e">
        <f t="shared" si="5"/>
        <v>#N/A</v>
      </c>
    </row>
    <row r="183" spans="8:34" x14ac:dyDescent="0.2">
      <c r="H183" s="5"/>
      <c r="I183" s="5"/>
      <c r="J183" s="5"/>
      <c r="K183" s="5"/>
      <c r="L183" s="95"/>
      <c r="O183" s="4"/>
      <c r="P183" s="4"/>
      <c r="AB183" s="4"/>
      <c r="AD183" s="4"/>
      <c r="AF183" t="e">
        <f>VLOOKUP(C183,'גיליון דאטה להכל'!A:H,5,0)</f>
        <v>#N/A</v>
      </c>
      <c r="AG183" s="104">
        <f t="shared" si="4"/>
        <v>0</v>
      </c>
      <c r="AH183" t="e">
        <f t="shared" si="5"/>
        <v>#N/A</v>
      </c>
    </row>
    <row r="184" spans="8:34" x14ac:dyDescent="0.2">
      <c r="H184" s="5"/>
      <c r="I184" s="5"/>
      <c r="J184" s="5"/>
      <c r="K184" s="5"/>
      <c r="L184" s="95"/>
      <c r="O184" s="4"/>
      <c r="P184" s="4"/>
      <c r="AB184" s="4"/>
      <c r="AD184" s="4"/>
      <c r="AF184" t="e">
        <f>VLOOKUP(C184,'גיליון דאטה להכל'!A:H,5,0)</f>
        <v>#N/A</v>
      </c>
      <c r="AG184" s="104">
        <f t="shared" si="4"/>
        <v>0</v>
      </c>
      <c r="AH184" t="e">
        <f t="shared" si="5"/>
        <v>#N/A</v>
      </c>
    </row>
    <row r="185" spans="8:34" x14ac:dyDescent="0.2">
      <c r="H185" s="5"/>
      <c r="I185" s="5"/>
      <c r="J185" s="5"/>
      <c r="K185" s="5"/>
      <c r="L185" s="95"/>
      <c r="O185" s="4"/>
      <c r="P185" s="4"/>
      <c r="AB185" s="4"/>
      <c r="AD185" s="4"/>
      <c r="AF185" t="e">
        <f>VLOOKUP(C185,'גיליון דאטה להכל'!A:H,5,0)</f>
        <v>#N/A</v>
      </c>
      <c r="AG185" s="104">
        <f t="shared" si="4"/>
        <v>0</v>
      </c>
      <c r="AH185" t="e">
        <f t="shared" si="5"/>
        <v>#N/A</v>
      </c>
    </row>
    <row r="186" spans="8:34" x14ac:dyDescent="0.2">
      <c r="H186" s="5"/>
      <c r="I186" s="5"/>
      <c r="J186" s="5"/>
      <c r="K186" s="5"/>
      <c r="L186" s="95"/>
      <c r="O186" s="4"/>
      <c r="P186" s="4"/>
      <c r="AB186" s="4"/>
      <c r="AD186" s="4"/>
      <c r="AF186" t="e">
        <f>VLOOKUP(C186,'גיליון דאטה להכל'!A:H,5,0)</f>
        <v>#N/A</v>
      </c>
      <c r="AG186" s="104">
        <f t="shared" si="4"/>
        <v>0</v>
      </c>
      <c r="AH186" t="e">
        <f t="shared" si="5"/>
        <v>#N/A</v>
      </c>
    </row>
    <row r="187" spans="8:34" x14ac:dyDescent="0.2">
      <c r="H187" s="5"/>
      <c r="I187" s="5"/>
      <c r="J187" s="5"/>
      <c r="K187" s="5"/>
      <c r="L187" s="95"/>
      <c r="O187" s="4"/>
      <c r="P187" s="4"/>
      <c r="AB187" s="4"/>
      <c r="AD187" s="4"/>
      <c r="AF187" t="e">
        <f>VLOOKUP(C187,'גיליון דאטה להכל'!A:H,5,0)</f>
        <v>#N/A</v>
      </c>
      <c r="AG187" s="104">
        <f t="shared" si="4"/>
        <v>0</v>
      </c>
      <c r="AH187" t="e">
        <f t="shared" si="5"/>
        <v>#N/A</v>
      </c>
    </row>
    <row r="188" spans="8:34" x14ac:dyDescent="0.2">
      <c r="H188" s="5"/>
      <c r="I188" s="5"/>
      <c r="J188" s="5"/>
      <c r="K188" s="5"/>
      <c r="L188" s="95"/>
      <c r="O188" s="4"/>
      <c r="P188" s="4"/>
      <c r="AB188" s="4"/>
      <c r="AD188" s="4"/>
      <c r="AF188" t="e">
        <f>VLOOKUP(C188,'גיליון דאטה להכל'!A:H,5,0)</f>
        <v>#N/A</v>
      </c>
      <c r="AG188" s="104">
        <f t="shared" si="4"/>
        <v>0</v>
      </c>
      <c r="AH188" t="e">
        <f t="shared" si="5"/>
        <v>#N/A</v>
      </c>
    </row>
    <row r="189" spans="8:34" x14ac:dyDescent="0.2">
      <c r="H189" s="5"/>
      <c r="I189" s="5"/>
      <c r="J189" s="5"/>
      <c r="K189" s="5"/>
      <c r="L189" s="95"/>
      <c r="O189" s="4"/>
      <c r="P189" s="4"/>
      <c r="AB189" s="4"/>
      <c r="AD189" s="4"/>
      <c r="AF189" t="e">
        <f>VLOOKUP(C189,'גיליון דאטה להכל'!A:H,5,0)</f>
        <v>#N/A</v>
      </c>
      <c r="AG189" s="104">
        <f t="shared" si="4"/>
        <v>0</v>
      </c>
      <c r="AH189" t="e">
        <f t="shared" si="5"/>
        <v>#N/A</v>
      </c>
    </row>
    <row r="190" spans="8:34" x14ac:dyDescent="0.2">
      <c r="H190" s="5"/>
      <c r="I190" s="5"/>
      <c r="J190" s="5"/>
      <c r="K190" s="5"/>
      <c r="L190" s="95"/>
      <c r="O190" s="4"/>
      <c r="P190" s="4"/>
      <c r="AB190" s="4"/>
      <c r="AD190" s="4"/>
      <c r="AF190" t="e">
        <f>VLOOKUP(C190,'גיליון דאטה להכל'!A:H,5,0)</f>
        <v>#N/A</v>
      </c>
      <c r="AG190" s="104">
        <f t="shared" si="4"/>
        <v>0</v>
      </c>
      <c r="AH190" t="e">
        <f t="shared" si="5"/>
        <v>#N/A</v>
      </c>
    </row>
    <row r="191" spans="8:34" x14ac:dyDescent="0.2">
      <c r="H191" s="5"/>
      <c r="I191" s="5"/>
      <c r="J191" s="5"/>
      <c r="K191" s="5"/>
      <c r="L191" s="95"/>
      <c r="O191" s="4"/>
      <c r="P191" s="4"/>
      <c r="AB191" s="4"/>
      <c r="AD191" s="4"/>
      <c r="AF191" t="e">
        <f>VLOOKUP(C191,'גיליון דאטה להכל'!A:H,5,0)</f>
        <v>#N/A</v>
      </c>
      <c r="AG191" s="104">
        <f t="shared" si="4"/>
        <v>0</v>
      </c>
      <c r="AH191" t="e">
        <f t="shared" si="5"/>
        <v>#N/A</v>
      </c>
    </row>
    <row r="192" spans="8:34" x14ac:dyDescent="0.2">
      <c r="H192" s="5"/>
      <c r="I192" s="5"/>
      <c r="J192" s="5"/>
      <c r="K192" s="5"/>
      <c r="L192" s="95"/>
      <c r="O192" s="4"/>
      <c r="P192" s="4"/>
      <c r="AB192" s="4"/>
      <c r="AD192" s="4"/>
      <c r="AF192" t="e">
        <f>VLOOKUP(C192,'גיליון דאטה להכל'!A:H,5,0)</f>
        <v>#N/A</v>
      </c>
      <c r="AG192" s="104">
        <f t="shared" si="4"/>
        <v>0</v>
      </c>
      <c r="AH192" t="e">
        <f t="shared" si="5"/>
        <v>#N/A</v>
      </c>
    </row>
    <row r="193" spans="8:34" x14ac:dyDescent="0.2">
      <c r="H193" s="5"/>
      <c r="I193" s="5"/>
      <c r="J193" s="5"/>
      <c r="K193" s="5"/>
      <c r="L193" s="95"/>
      <c r="O193" s="4"/>
      <c r="P193" s="4"/>
      <c r="AB193" s="4"/>
      <c r="AD193" s="4"/>
      <c r="AF193" t="e">
        <f>VLOOKUP(C193,'גיליון דאטה להכל'!A:H,5,0)</f>
        <v>#N/A</v>
      </c>
      <c r="AG193" s="104">
        <f t="shared" si="4"/>
        <v>0</v>
      </c>
      <c r="AH193" t="e">
        <f t="shared" si="5"/>
        <v>#N/A</v>
      </c>
    </row>
    <row r="194" spans="8:34" x14ac:dyDescent="0.2">
      <c r="H194" s="5"/>
      <c r="I194" s="5"/>
      <c r="J194" s="5"/>
      <c r="K194" s="5"/>
      <c r="L194" s="95"/>
      <c r="O194" s="4"/>
      <c r="P194" s="4"/>
      <c r="AB194" s="4"/>
      <c r="AD194" s="4"/>
      <c r="AF194" t="e">
        <f>VLOOKUP(C194,'גיליון דאטה להכל'!A:H,5,0)</f>
        <v>#N/A</v>
      </c>
      <c r="AG194" s="104">
        <f t="shared" si="4"/>
        <v>0</v>
      </c>
      <c r="AH194" t="e">
        <f t="shared" si="5"/>
        <v>#N/A</v>
      </c>
    </row>
    <row r="195" spans="8:34" x14ac:dyDescent="0.2">
      <c r="H195" s="5"/>
      <c r="I195" s="5"/>
      <c r="J195" s="5"/>
      <c r="K195" s="5"/>
      <c r="L195" s="95"/>
      <c r="O195" s="4"/>
      <c r="P195" s="4"/>
      <c r="AB195" s="4"/>
      <c r="AD195" s="4"/>
      <c r="AF195" t="e">
        <f>VLOOKUP(C195,'גיליון דאטה להכל'!A:H,5,0)</f>
        <v>#N/A</v>
      </c>
      <c r="AG195" s="104">
        <f t="shared" ref="AG195:AG258" si="6">I195+H195</f>
        <v>0</v>
      </c>
      <c r="AH195" t="e">
        <f t="shared" ref="AH195:AH258" si="7">_xlfn.CONCAT(AF195,N195)</f>
        <v>#N/A</v>
      </c>
    </row>
    <row r="196" spans="8:34" x14ac:dyDescent="0.2">
      <c r="H196" s="5"/>
      <c r="I196" s="5"/>
      <c r="J196" s="5"/>
      <c r="K196" s="5"/>
      <c r="L196" s="95"/>
      <c r="O196" s="4"/>
      <c r="P196" s="4"/>
      <c r="AB196" s="4"/>
      <c r="AD196" s="4"/>
      <c r="AF196" t="e">
        <f>VLOOKUP(C196,'גיליון דאטה להכל'!A:H,5,0)</f>
        <v>#N/A</v>
      </c>
      <c r="AG196" s="104">
        <f t="shared" si="6"/>
        <v>0</v>
      </c>
      <c r="AH196" t="e">
        <f t="shared" si="7"/>
        <v>#N/A</v>
      </c>
    </row>
    <row r="197" spans="8:34" x14ac:dyDescent="0.2">
      <c r="H197" s="5"/>
      <c r="I197" s="5"/>
      <c r="J197" s="5"/>
      <c r="K197" s="5"/>
      <c r="L197" s="95"/>
      <c r="O197" s="4"/>
      <c r="P197" s="4"/>
      <c r="AB197" s="4"/>
      <c r="AD197" s="4"/>
      <c r="AF197" t="e">
        <f>VLOOKUP(C197,'גיליון דאטה להכל'!A:H,5,0)</f>
        <v>#N/A</v>
      </c>
      <c r="AG197" s="104">
        <f t="shared" si="6"/>
        <v>0</v>
      </c>
      <c r="AH197" t="e">
        <f t="shared" si="7"/>
        <v>#N/A</v>
      </c>
    </row>
    <row r="198" spans="8:34" x14ac:dyDescent="0.2">
      <c r="H198" s="5"/>
      <c r="I198" s="5"/>
      <c r="J198" s="5"/>
      <c r="K198" s="5"/>
      <c r="L198" s="95"/>
      <c r="O198" s="4"/>
      <c r="P198" s="4"/>
      <c r="AB198" s="4"/>
      <c r="AD198" s="4"/>
      <c r="AF198" t="e">
        <f>VLOOKUP(C198,'גיליון דאטה להכל'!A:H,5,0)</f>
        <v>#N/A</v>
      </c>
      <c r="AG198" s="104">
        <f t="shared" si="6"/>
        <v>0</v>
      </c>
      <c r="AH198" t="e">
        <f t="shared" si="7"/>
        <v>#N/A</v>
      </c>
    </row>
    <row r="199" spans="8:34" x14ac:dyDescent="0.2">
      <c r="H199" s="5"/>
      <c r="I199" s="5"/>
      <c r="J199" s="5"/>
      <c r="K199" s="5"/>
      <c r="L199" s="95"/>
      <c r="O199" s="4"/>
      <c r="P199" s="4"/>
      <c r="AB199" s="4"/>
      <c r="AD199" s="4"/>
      <c r="AF199" t="e">
        <f>VLOOKUP(C199,'גיליון דאטה להכל'!A:H,5,0)</f>
        <v>#N/A</v>
      </c>
      <c r="AG199" s="104">
        <f t="shared" si="6"/>
        <v>0</v>
      </c>
      <c r="AH199" t="e">
        <f t="shared" si="7"/>
        <v>#N/A</v>
      </c>
    </row>
    <row r="200" spans="8:34" x14ac:dyDescent="0.2">
      <c r="H200" s="5"/>
      <c r="I200" s="5"/>
      <c r="J200" s="5"/>
      <c r="K200" s="5"/>
      <c r="L200" s="95"/>
      <c r="O200" s="4"/>
      <c r="P200" s="4"/>
      <c r="AB200" s="4"/>
      <c r="AD200" s="4"/>
      <c r="AF200" t="e">
        <f>VLOOKUP(C200,'גיליון דאטה להכל'!A:H,5,0)</f>
        <v>#N/A</v>
      </c>
      <c r="AG200" s="104">
        <f t="shared" si="6"/>
        <v>0</v>
      </c>
      <c r="AH200" t="e">
        <f t="shared" si="7"/>
        <v>#N/A</v>
      </c>
    </row>
    <row r="201" spans="8:34" x14ac:dyDescent="0.2">
      <c r="H201" s="5"/>
      <c r="I201" s="5"/>
      <c r="J201" s="5"/>
      <c r="K201" s="5"/>
      <c r="L201" s="95"/>
      <c r="O201" s="4"/>
      <c r="P201" s="4"/>
      <c r="AB201" s="4"/>
      <c r="AD201" s="4"/>
      <c r="AF201" t="e">
        <f>VLOOKUP(C201,'גיליון דאטה להכל'!A:H,5,0)</f>
        <v>#N/A</v>
      </c>
      <c r="AG201" s="104">
        <f t="shared" si="6"/>
        <v>0</v>
      </c>
      <c r="AH201" t="e">
        <f t="shared" si="7"/>
        <v>#N/A</v>
      </c>
    </row>
    <row r="202" spans="8:34" x14ac:dyDescent="0.2">
      <c r="H202" s="5"/>
      <c r="I202" s="5"/>
      <c r="J202" s="5"/>
      <c r="K202" s="5"/>
      <c r="L202" s="95"/>
      <c r="O202" s="4"/>
      <c r="P202" s="4"/>
      <c r="AB202" s="4"/>
      <c r="AD202" s="4"/>
      <c r="AF202" t="e">
        <f>VLOOKUP(C202,'גיליון דאטה להכל'!A:H,5,0)</f>
        <v>#N/A</v>
      </c>
      <c r="AG202" s="104">
        <f t="shared" si="6"/>
        <v>0</v>
      </c>
      <c r="AH202" t="e">
        <f t="shared" si="7"/>
        <v>#N/A</v>
      </c>
    </row>
    <row r="203" spans="8:34" x14ac:dyDescent="0.2">
      <c r="H203" s="5"/>
      <c r="I203" s="5"/>
      <c r="J203" s="5"/>
      <c r="K203" s="5"/>
      <c r="L203" s="95"/>
      <c r="O203" s="4"/>
      <c r="P203" s="4"/>
      <c r="AB203" s="4"/>
      <c r="AD203" s="4"/>
      <c r="AF203" t="e">
        <f>VLOOKUP(C203,'גיליון דאטה להכל'!A:H,5,0)</f>
        <v>#N/A</v>
      </c>
      <c r="AG203" s="104">
        <f t="shared" si="6"/>
        <v>0</v>
      </c>
      <c r="AH203" t="e">
        <f t="shared" si="7"/>
        <v>#N/A</v>
      </c>
    </row>
    <row r="204" spans="8:34" x14ac:dyDescent="0.2">
      <c r="H204" s="5"/>
      <c r="I204" s="5"/>
      <c r="J204" s="5"/>
      <c r="K204" s="5"/>
      <c r="L204" s="95"/>
      <c r="O204" s="4"/>
      <c r="P204" s="4"/>
      <c r="AB204" s="4"/>
      <c r="AD204" s="4"/>
      <c r="AF204" t="e">
        <f>VLOOKUP(C204,'גיליון דאטה להכל'!A:H,5,0)</f>
        <v>#N/A</v>
      </c>
      <c r="AG204" s="104">
        <f t="shared" si="6"/>
        <v>0</v>
      </c>
      <c r="AH204" t="e">
        <f t="shared" si="7"/>
        <v>#N/A</v>
      </c>
    </row>
    <row r="205" spans="8:34" x14ac:dyDescent="0.2">
      <c r="H205" s="5"/>
      <c r="I205" s="5"/>
      <c r="J205" s="5"/>
      <c r="K205" s="5"/>
      <c r="L205" s="95"/>
      <c r="O205" s="4"/>
      <c r="P205" s="4"/>
      <c r="AB205" s="4"/>
      <c r="AD205" s="4"/>
      <c r="AF205" t="e">
        <f>VLOOKUP(C205,'גיליון דאטה להכל'!A:H,5,0)</f>
        <v>#N/A</v>
      </c>
      <c r="AG205" s="104">
        <f t="shared" si="6"/>
        <v>0</v>
      </c>
      <c r="AH205" t="e">
        <f t="shared" si="7"/>
        <v>#N/A</v>
      </c>
    </row>
    <row r="206" spans="8:34" x14ac:dyDescent="0.2">
      <c r="H206" s="5"/>
      <c r="I206" s="5"/>
      <c r="J206" s="5"/>
      <c r="K206" s="5"/>
      <c r="L206" s="95"/>
      <c r="O206" s="4"/>
      <c r="P206" s="4"/>
      <c r="AB206" s="4"/>
      <c r="AD206" s="4"/>
      <c r="AF206" t="e">
        <f>VLOOKUP(C206,'גיליון דאטה להכל'!A:H,5,0)</f>
        <v>#N/A</v>
      </c>
      <c r="AG206" s="104">
        <f t="shared" si="6"/>
        <v>0</v>
      </c>
      <c r="AH206" t="e">
        <f t="shared" si="7"/>
        <v>#N/A</v>
      </c>
    </row>
    <row r="207" spans="8:34" x14ac:dyDescent="0.2">
      <c r="H207" s="5"/>
      <c r="I207" s="5"/>
      <c r="J207" s="5"/>
      <c r="K207" s="5"/>
      <c r="L207" s="95"/>
      <c r="O207" s="4"/>
      <c r="P207" s="4"/>
      <c r="AB207" s="4"/>
      <c r="AD207" s="4"/>
      <c r="AF207" t="e">
        <f>VLOOKUP(C207,'גיליון דאטה להכל'!A:H,5,0)</f>
        <v>#N/A</v>
      </c>
      <c r="AG207" s="104">
        <f t="shared" si="6"/>
        <v>0</v>
      </c>
      <c r="AH207" t="e">
        <f t="shared" si="7"/>
        <v>#N/A</v>
      </c>
    </row>
    <row r="208" spans="8:34" x14ac:dyDescent="0.2">
      <c r="H208" s="5"/>
      <c r="I208" s="5"/>
      <c r="J208" s="5"/>
      <c r="K208" s="5"/>
      <c r="O208" s="4"/>
      <c r="P208" s="4"/>
      <c r="AB208" s="4"/>
      <c r="AD208" s="4"/>
      <c r="AF208" t="e">
        <f>VLOOKUP(C208,'גיליון דאטה להכל'!A:H,5,0)</f>
        <v>#N/A</v>
      </c>
      <c r="AG208" s="104">
        <f t="shared" si="6"/>
        <v>0</v>
      </c>
      <c r="AH208" t="e">
        <f t="shared" si="7"/>
        <v>#N/A</v>
      </c>
    </row>
    <row r="209" spans="8:34" x14ac:dyDescent="0.2">
      <c r="H209" s="5"/>
      <c r="I209" s="5"/>
      <c r="J209" s="5"/>
      <c r="K209" s="5"/>
      <c r="L209" s="95"/>
      <c r="O209" s="4"/>
      <c r="P209" s="4"/>
      <c r="AB209" s="4"/>
      <c r="AD209" s="4"/>
      <c r="AF209" t="e">
        <f>VLOOKUP(C209,'גיליון דאטה להכל'!A:H,5,0)</f>
        <v>#N/A</v>
      </c>
      <c r="AG209" s="104">
        <f t="shared" si="6"/>
        <v>0</v>
      </c>
      <c r="AH209" t="e">
        <f t="shared" si="7"/>
        <v>#N/A</v>
      </c>
    </row>
    <row r="210" spans="8:34" x14ac:dyDescent="0.2">
      <c r="H210" s="5"/>
      <c r="I210" s="5"/>
      <c r="J210" s="5"/>
      <c r="K210" s="5"/>
      <c r="L210" s="95"/>
      <c r="O210" s="4"/>
      <c r="P210" s="4"/>
      <c r="AB210" s="4"/>
      <c r="AD210" s="4"/>
      <c r="AF210" t="e">
        <f>VLOOKUP(C210,'גיליון דאטה להכל'!A:H,5,0)</f>
        <v>#N/A</v>
      </c>
      <c r="AG210" s="104">
        <f t="shared" si="6"/>
        <v>0</v>
      </c>
      <c r="AH210" t="e">
        <f t="shared" si="7"/>
        <v>#N/A</v>
      </c>
    </row>
    <row r="211" spans="8:34" x14ac:dyDescent="0.2">
      <c r="H211" s="5"/>
      <c r="I211" s="5"/>
      <c r="J211" s="5"/>
      <c r="K211" s="5"/>
      <c r="L211" s="95"/>
      <c r="O211" s="4"/>
      <c r="P211" s="4"/>
      <c r="AB211" s="4"/>
      <c r="AD211" s="4"/>
      <c r="AF211" t="e">
        <f>VLOOKUP(C211,'גיליון דאטה להכל'!A:H,5,0)</f>
        <v>#N/A</v>
      </c>
      <c r="AG211" s="104">
        <f t="shared" si="6"/>
        <v>0</v>
      </c>
      <c r="AH211" t="e">
        <f t="shared" si="7"/>
        <v>#N/A</v>
      </c>
    </row>
    <row r="212" spans="8:34" x14ac:dyDescent="0.2">
      <c r="H212" s="5"/>
      <c r="I212" s="5"/>
      <c r="J212" s="5"/>
      <c r="K212" s="5"/>
      <c r="L212" s="95"/>
      <c r="O212" s="4"/>
      <c r="P212" s="4"/>
      <c r="AB212" s="4"/>
      <c r="AD212" s="4"/>
      <c r="AF212" t="e">
        <f>VLOOKUP(C212,'גיליון דאטה להכל'!A:H,5,0)</f>
        <v>#N/A</v>
      </c>
      <c r="AG212" s="104">
        <f t="shared" si="6"/>
        <v>0</v>
      </c>
      <c r="AH212" t="e">
        <f t="shared" si="7"/>
        <v>#N/A</v>
      </c>
    </row>
    <row r="213" spans="8:34" x14ac:dyDescent="0.2">
      <c r="H213" s="5"/>
      <c r="I213" s="5"/>
      <c r="J213" s="5"/>
      <c r="K213" s="5"/>
      <c r="L213" s="95"/>
      <c r="O213" s="4"/>
      <c r="P213" s="4"/>
      <c r="AB213" s="4"/>
      <c r="AD213" s="4"/>
      <c r="AF213" t="e">
        <f>VLOOKUP(C213,'גיליון דאטה להכל'!A:H,5,0)</f>
        <v>#N/A</v>
      </c>
      <c r="AG213" s="104">
        <f t="shared" si="6"/>
        <v>0</v>
      </c>
      <c r="AH213" t="e">
        <f t="shared" si="7"/>
        <v>#N/A</v>
      </c>
    </row>
    <row r="214" spans="8:34" x14ac:dyDescent="0.2">
      <c r="H214" s="5"/>
      <c r="I214" s="5"/>
      <c r="J214" s="5"/>
      <c r="K214" s="5"/>
      <c r="L214" s="95"/>
      <c r="O214" s="4"/>
      <c r="P214" s="4"/>
      <c r="AB214" s="4"/>
      <c r="AD214" s="4"/>
      <c r="AF214" t="e">
        <f>VLOOKUP(C214,'גיליון דאטה להכל'!A:H,5,0)</f>
        <v>#N/A</v>
      </c>
      <c r="AG214" s="104">
        <f t="shared" si="6"/>
        <v>0</v>
      </c>
      <c r="AH214" t="e">
        <f t="shared" si="7"/>
        <v>#N/A</v>
      </c>
    </row>
    <row r="215" spans="8:34" x14ac:dyDescent="0.2">
      <c r="H215" s="5"/>
      <c r="I215" s="5"/>
      <c r="J215" s="5"/>
      <c r="K215" s="5"/>
      <c r="L215" s="95"/>
      <c r="O215" s="4"/>
      <c r="P215" s="4"/>
      <c r="AB215" s="4"/>
      <c r="AD215" s="4"/>
      <c r="AF215" t="e">
        <f>VLOOKUP(C215,'גיליון דאטה להכל'!A:H,5,0)</f>
        <v>#N/A</v>
      </c>
      <c r="AG215" s="104">
        <f t="shared" si="6"/>
        <v>0</v>
      </c>
      <c r="AH215" t="e">
        <f t="shared" si="7"/>
        <v>#N/A</v>
      </c>
    </row>
    <row r="216" spans="8:34" x14ac:dyDescent="0.2">
      <c r="H216" s="5"/>
      <c r="I216" s="5"/>
      <c r="J216" s="5"/>
      <c r="K216" s="5"/>
      <c r="L216" s="95"/>
      <c r="O216" s="4"/>
      <c r="P216" s="4"/>
      <c r="AB216" s="4"/>
      <c r="AD216" s="4"/>
      <c r="AF216" t="e">
        <f>VLOOKUP(C216,'גיליון דאטה להכל'!A:H,5,0)</f>
        <v>#N/A</v>
      </c>
      <c r="AG216" s="104">
        <f t="shared" si="6"/>
        <v>0</v>
      </c>
      <c r="AH216" t="e">
        <f t="shared" si="7"/>
        <v>#N/A</v>
      </c>
    </row>
    <row r="217" spans="8:34" x14ac:dyDescent="0.2">
      <c r="H217" s="5"/>
      <c r="I217" s="5"/>
      <c r="J217" s="5"/>
      <c r="K217" s="5"/>
      <c r="L217" s="95"/>
      <c r="O217" s="4"/>
      <c r="P217" s="4"/>
      <c r="AB217" s="4"/>
      <c r="AD217" s="4"/>
      <c r="AF217" t="e">
        <f>VLOOKUP(C217,'גיליון דאטה להכל'!A:H,5,0)</f>
        <v>#N/A</v>
      </c>
      <c r="AG217" s="104">
        <f t="shared" si="6"/>
        <v>0</v>
      </c>
      <c r="AH217" t="e">
        <f t="shared" si="7"/>
        <v>#N/A</v>
      </c>
    </row>
    <row r="218" spans="8:34" x14ac:dyDescent="0.2">
      <c r="H218" s="5"/>
      <c r="I218" s="5"/>
      <c r="J218" s="5"/>
      <c r="K218" s="5"/>
      <c r="L218" s="95"/>
      <c r="O218" s="4"/>
      <c r="P218" s="4"/>
      <c r="AB218" s="4"/>
      <c r="AD218" s="4"/>
      <c r="AF218" t="e">
        <f>VLOOKUP(C218,'גיליון דאטה להכל'!A:H,5,0)</f>
        <v>#N/A</v>
      </c>
      <c r="AG218" s="104">
        <f t="shared" si="6"/>
        <v>0</v>
      </c>
      <c r="AH218" t="e">
        <f t="shared" si="7"/>
        <v>#N/A</v>
      </c>
    </row>
    <row r="219" spans="8:34" x14ac:dyDescent="0.2">
      <c r="H219" s="5"/>
      <c r="I219" s="5"/>
      <c r="J219" s="5"/>
      <c r="K219" s="5"/>
      <c r="L219" s="95"/>
      <c r="O219" s="4"/>
      <c r="P219" s="4"/>
      <c r="AB219" s="4"/>
      <c r="AD219" s="4"/>
      <c r="AF219" t="e">
        <f>VLOOKUP(C219,'גיליון דאטה להכל'!A:H,5,0)</f>
        <v>#N/A</v>
      </c>
      <c r="AG219" s="104">
        <f t="shared" si="6"/>
        <v>0</v>
      </c>
      <c r="AH219" t="e">
        <f t="shared" si="7"/>
        <v>#N/A</v>
      </c>
    </row>
    <row r="220" spans="8:34" x14ac:dyDescent="0.2">
      <c r="H220" s="5"/>
      <c r="I220" s="5"/>
      <c r="J220" s="5"/>
      <c r="K220" s="5"/>
      <c r="L220" s="95"/>
      <c r="O220" s="4"/>
      <c r="P220" s="4"/>
      <c r="AB220" s="4"/>
      <c r="AD220" s="4"/>
      <c r="AF220" t="e">
        <f>VLOOKUP(C220,'גיליון דאטה להכל'!A:H,5,0)</f>
        <v>#N/A</v>
      </c>
      <c r="AG220" s="104">
        <f t="shared" si="6"/>
        <v>0</v>
      </c>
      <c r="AH220" t="e">
        <f t="shared" si="7"/>
        <v>#N/A</v>
      </c>
    </row>
    <row r="221" spans="8:34" x14ac:dyDescent="0.2">
      <c r="H221" s="5"/>
      <c r="I221" s="5"/>
      <c r="J221" s="5"/>
      <c r="K221" s="5"/>
      <c r="L221" s="95"/>
      <c r="O221" s="4"/>
      <c r="P221" s="4"/>
      <c r="AB221" s="4"/>
      <c r="AD221" s="4"/>
      <c r="AF221" t="e">
        <f>VLOOKUP(C221,'גיליון דאטה להכל'!A:H,5,0)</f>
        <v>#N/A</v>
      </c>
      <c r="AG221" s="104">
        <f t="shared" si="6"/>
        <v>0</v>
      </c>
      <c r="AH221" t="e">
        <f t="shared" si="7"/>
        <v>#N/A</v>
      </c>
    </row>
    <row r="222" spans="8:34" x14ac:dyDescent="0.2">
      <c r="H222" s="5"/>
      <c r="I222" s="5"/>
      <c r="J222" s="5"/>
      <c r="K222" s="5"/>
      <c r="L222" s="95"/>
      <c r="O222" s="4"/>
      <c r="P222" s="4"/>
      <c r="AB222" s="4"/>
      <c r="AD222" s="4"/>
      <c r="AF222" t="e">
        <f>VLOOKUP(C222,'גיליון דאטה להכל'!A:H,5,0)</f>
        <v>#N/A</v>
      </c>
      <c r="AG222" s="104">
        <f t="shared" si="6"/>
        <v>0</v>
      </c>
      <c r="AH222" t="e">
        <f t="shared" si="7"/>
        <v>#N/A</v>
      </c>
    </row>
    <row r="223" spans="8:34" x14ac:dyDescent="0.2">
      <c r="H223" s="5"/>
      <c r="I223" s="5"/>
      <c r="J223" s="5"/>
      <c r="K223" s="5"/>
      <c r="L223" s="95"/>
      <c r="O223" s="4"/>
      <c r="P223" s="4"/>
      <c r="AB223" s="4"/>
      <c r="AD223" s="4"/>
      <c r="AF223" t="e">
        <f>VLOOKUP(C223,'גיליון דאטה להכל'!A:H,5,0)</f>
        <v>#N/A</v>
      </c>
      <c r="AG223" s="104">
        <f t="shared" si="6"/>
        <v>0</v>
      </c>
      <c r="AH223" t="e">
        <f t="shared" si="7"/>
        <v>#N/A</v>
      </c>
    </row>
    <row r="224" spans="8:34" x14ac:dyDescent="0.2">
      <c r="H224" s="5"/>
      <c r="I224" s="5"/>
      <c r="J224" s="5"/>
      <c r="K224" s="5"/>
      <c r="L224" s="95"/>
      <c r="O224" s="4"/>
      <c r="P224" s="4"/>
      <c r="AB224" s="4"/>
      <c r="AD224" s="4"/>
      <c r="AF224" t="e">
        <f>VLOOKUP(C224,'גיליון דאטה להכל'!A:H,5,0)</f>
        <v>#N/A</v>
      </c>
      <c r="AG224" s="104">
        <f t="shared" si="6"/>
        <v>0</v>
      </c>
      <c r="AH224" t="e">
        <f t="shared" si="7"/>
        <v>#N/A</v>
      </c>
    </row>
    <row r="225" spans="8:34" x14ac:dyDescent="0.2">
      <c r="H225" s="5"/>
      <c r="I225" s="5"/>
      <c r="J225" s="5"/>
      <c r="K225" s="5"/>
      <c r="L225" s="95"/>
      <c r="O225" s="4"/>
      <c r="P225" s="4"/>
      <c r="AB225" s="4"/>
      <c r="AD225" s="4"/>
      <c r="AF225" t="e">
        <f>VLOOKUP(C225,'גיליון דאטה להכל'!A:H,5,0)</f>
        <v>#N/A</v>
      </c>
      <c r="AG225" s="104">
        <f t="shared" si="6"/>
        <v>0</v>
      </c>
      <c r="AH225" t="e">
        <f t="shared" si="7"/>
        <v>#N/A</v>
      </c>
    </row>
    <row r="226" spans="8:34" x14ac:dyDescent="0.2">
      <c r="H226" s="5"/>
      <c r="I226" s="5"/>
      <c r="J226" s="5"/>
      <c r="K226" s="5"/>
      <c r="L226" s="95"/>
      <c r="O226" s="4"/>
      <c r="P226" s="4"/>
      <c r="AB226" s="4"/>
      <c r="AD226" s="4"/>
      <c r="AF226" t="e">
        <f>VLOOKUP(C226,'גיליון דאטה להכל'!A:H,5,0)</f>
        <v>#N/A</v>
      </c>
      <c r="AG226" s="104">
        <f t="shared" si="6"/>
        <v>0</v>
      </c>
      <c r="AH226" t="e">
        <f t="shared" si="7"/>
        <v>#N/A</v>
      </c>
    </row>
    <row r="227" spans="8:34" x14ac:dyDescent="0.2">
      <c r="H227" s="5"/>
      <c r="I227" s="5"/>
      <c r="J227" s="5"/>
      <c r="K227" s="5"/>
      <c r="L227" s="95"/>
      <c r="O227" s="4"/>
      <c r="P227" s="4"/>
      <c r="AB227" s="4"/>
      <c r="AD227" s="4"/>
      <c r="AF227" t="e">
        <f>VLOOKUP(C227,'גיליון דאטה להכל'!A:H,5,0)</f>
        <v>#N/A</v>
      </c>
      <c r="AG227" s="104">
        <f t="shared" si="6"/>
        <v>0</v>
      </c>
      <c r="AH227" t="e">
        <f t="shared" si="7"/>
        <v>#N/A</v>
      </c>
    </row>
    <row r="228" spans="8:34" x14ac:dyDescent="0.2">
      <c r="H228" s="5"/>
      <c r="I228" s="5"/>
      <c r="J228" s="5"/>
      <c r="K228" s="5"/>
      <c r="L228" s="95"/>
      <c r="O228" s="4"/>
      <c r="P228" s="4"/>
      <c r="AB228" s="4"/>
      <c r="AD228" s="4"/>
      <c r="AF228" t="e">
        <f>VLOOKUP(C228,'גיליון דאטה להכל'!A:H,5,0)</f>
        <v>#N/A</v>
      </c>
      <c r="AG228" s="104">
        <f t="shared" si="6"/>
        <v>0</v>
      </c>
      <c r="AH228" t="e">
        <f t="shared" si="7"/>
        <v>#N/A</v>
      </c>
    </row>
    <row r="229" spans="8:34" x14ac:dyDescent="0.2">
      <c r="H229" s="5"/>
      <c r="I229" s="5"/>
      <c r="J229" s="5"/>
      <c r="K229" s="5"/>
      <c r="L229" s="95"/>
      <c r="O229" s="4"/>
      <c r="P229" s="4"/>
      <c r="AB229" s="4"/>
      <c r="AD229" s="4"/>
      <c r="AF229" t="e">
        <f>VLOOKUP(C229,'גיליון דאטה להכל'!A:H,5,0)</f>
        <v>#N/A</v>
      </c>
      <c r="AG229" s="104">
        <f t="shared" si="6"/>
        <v>0</v>
      </c>
      <c r="AH229" t="e">
        <f t="shared" si="7"/>
        <v>#N/A</v>
      </c>
    </row>
    <row r="230" spans="8:34" x14ac:dyDescent="0.2">
      <c r="H230" s="5"/>
      <c r="I230" s="5"/>
      <c r="J230" s="5"/>
      <c r="K230" s="5"/>
      <c r="L230" s="95"/>
      <c r="O230" s="4"/>
      <c r="P230" s="4"/>
      <c r="AB230" s="4"/>
      <c r="AD230" s="4"/>
      <c r="AF230" t="e">
        <f>VLOOKUP(C230,'גיליון דאטה להכל'!A:H,5,0)</f>
        <v>#N/A</v>
      </c>
      <c r="AG230" s="104">
        <f t="shared" si="6"/>
        <v>0</v>
      </c>
      <c r="AH230" t="e">
        <f t="shared" si="7"/>
        <v>#N/A</v>
      </c>
    </row>
    <row r="231" spans="8:34" x14ac:dyDescent="0.2">
      <c r="H231" s="5"/>
      <c r="I231" s="5"/>
      <c r="J231" s="5"/>
      <c r="K231" s="5"/>
      <c r="L231" s="95"/>
      <c r="O231" s="4"/>
      <c r="P231" s="4"/>
      <c r="AB231" s="4"/>
      <c r="AD231" s="4"/>
      <c r="AF231" t="e">
        <f>VLOOKUP(C231,'גיליון דאטה להכל'!A:H,5,0)</f>
        <v>#N/A</v>
      </c>
      <c r="AG231" s="104">
        <f t="shared" si="6"/>
        <v>0</v>
      </c>
      <c r="AH231" t="e">
        <f t="shared" si="7"/>
        <v>#N/A</v>
      </c>
    </row>
    <row r="232" spans="8:34" x14ac:dyDescent="0.2">
      <c r="H232" s="5"/>
      <c r="I232" s="5"/>
      <c r="J232" s="5"/>
      <c r="K232" s="5"/>
      <c r="L232" s="95"/>
      <c r="O232" s="4"/>
      <c r="P232" s="4"/>
      <c r="AB232" s="4"/>
      <c r="AD232" s="4"/>
      <c r="AF232" t="e">
        <f>VLOOKUP(C232,'גיליון דאטה להכל'!A:H,5,0)</f>
        <v>#N/A</v>
      </c>
      <c r="AG232" s="104">
        <f t="shared" si="6"/>
        <v>0</v>
      </c>
      <c r="AH232" t="e">
        <f t="shared" si="7"/>
        <v>#N/A</v>
      </c>
    </row>
    <row r="233" spans="8:34" x14ac:dyDescent="0.2">
      <c r="H233" s="5"/>
      <c r="I233" s="5"/>
      <c r="J233" s="5"/>
      <c r="K233" s="5"/>
      <c r="L233" s="95"/>
      <c r="O233" s="4"/>
      <c r="P233" s="4"/>
      <c r="AB233" s="4"/>
      <c r="AD233" s="4"/>
      <c r="AF233" t="e">
        <f>VLOOKUP(C233,'גיליון דאטה להכל'!A:H,5,0)</f>
        <v>#N/A</v>
      </c>
      <c r="AG233" s="104">
        <f t="shared" si="6"/>
        <v>0</v>
      </c>
      <c r="AH233" t="e">
        <f t="shared" si="7"/>
        <v>#N/A</v>
      </c>
    </row>
    <row r="234" spans="8:34" x14ac:dyDescent="0.2">
      <c r="H234" s="5"/>
      <c r="I234" s="5"/>
      <c r="J234" s="5"/>
      <c r="K234" s="5"/>
      <c r="L234" s="95"/>
      <c r="O234" s="4"/>
      <c r="P234" s="4"/>
      <c r="AB234" s="4"/>
      <c r="AD234" s="4"/>
      <c r="AF234" t="e">
        <f>VLOOKUP(C234,'גיליון דאטה להכל'!A:H,5,0)</f>
        <v>#N/A</v>
      </c>
      <c r="AG234" s="104">
        <f t="shared" si="6"/>
        <v>0</v>
      </c>
      <c r="AH234" t="e">
        <f t="shared" si="7"/>
        <v>#N/A</v>
      </c>
    </row>
    <row r="235" spans="8:34" x14ac:dyDescent="0.2">
      <c r="H235" s="5"/>
      <c r="I235" s="5"/>
      <c r="J235" s="5"/>
      <c r="K235" s="5"/>
      <c r="L235" s="95"/>
      <c r="O235" s="4"/>
      <c r="P235" s="4"/>
      <c r="AB235" s="4"/>
      <c r="AD235" s="4"/>
      <c r="AF235" t="e">
        <f>VLOOKUP(C235,'גיליון דאטה להכל'!A:H,5,0)</f>
        <v>#N/A</v>
      </c>
      <c r="AG235" s="104">
        <f t="shared" si="6"/>
        <v>0</v>
      </c>
      <c r="AH235" t="e">
        <f t="shared" si="7"/>
        <v>#N/A</v>
      </c>
    </row>
    <row r="236" spans="8:34" x14ac:dyDescent="0.2">
      <c r="H236" s="5"/>
      <c r="I236" s="5"/>
      <c r="J236" s="5"/>
      <c r="K236" s="5"/>
      <c r="L236" s="95"/>
      <c r="O236" s="4"/>
      <c r="P236" s="4"/>
      <c r="AB236" s="4"/>
      <c r="AD236" s="4"/>
      <c r="AF236" t="e">
        <f>VLOOKUP(C236,'גיליון דאטה להכל'!A:H,5,0)</f>
        <v>#N/A</v>
      </c>
      <c r="AG236" s="104">
        <f t="shared" si="6"/>
        <v>0</v>
      </c>
      <c r="AH236" t="e">
        <f t="shared" si="7"/>
        <v>#N/A</v>
      </c>
    </row>
    <row r="237" spans="8:34" x14ac:dyDescent="0.2">
      <c r="H237" s="5"/>
      <c r="I237" s="5"/>
      <c r="J237" s="5"/>
      <c r="K237" s="5"/>
      <c r="L237" s="95"/>
      <c r="O237" s="4"/>
      <c r="P237" s="4"/>
      <c r="AB237" s="4"/>
      <c r="AD237" s="4"/>
      <c r="AF237" t="e">
        <f>VLOOKUP(C237,'גיליון דאטה להכל'!A:H,5,0)</f>
        <v>#N/A</v>
      </c>
      <c r="AG237" s="104">
        <f t="shared" si="6"/>
        <v>0</v>
      </c>
      <c r="AH237" t="e">
        <f t="shared" si="7"/>
        <v>#N/A</v>
      </c>
    </row>
    <row r="238" spans="8:34" x14ac:dyDescent="0.2">
      <c r="H238" s="5"/>
      <c r="I238" s="5"/>
      <c r="J238" s="5"/>
      <c r="K238" s="5"/>
      <c r="L238" s="95"/>
      <c r="O238" s="4"/>
      <c r="P238" s="4"/>
      <c r="AB238" s="4"/>
      <c r="AD238" s="4"/>
      <c r="AF238" t="e">
        <f>VLOOKUP(C238,'גיליון דאטה להכל'!A:H,5,0)</f>
        <v>#N/A</v>
      </c>
      <c r="AG238" s="104">
        <f t="shared" si="6"/>
        <v>0</v>
      </c>
      <c r="AH238" t="e">
        <f t="shared" si="7"/>
        <v>#N/A</v>
      </c>
    </row>
    <row r="239" spans="8:34" x14ac:dyDescent="0.2">
      <c r="H239" s="5"/>
      <c r="I239" s="5"/>
      <c r="J239" s="5"/>
      <c r="K239" s="5"/>
      <c r="L239" s="95"/>
      <c r="O239" s="4"/>
      <c r="P239" s="4"/>
      <c r="AB239" s="4"/>
      <c r="AD239" s="4"/>
      <c r="AF239" t="e">
        <f>VLOOKUP(C239,'גיליון דאטה להכל'!A:H,5,0)</f>
        <v>#N/A</v>
      </c>
      <c r="AG239" s="104">
        <f t="shared" si="6"/>
        <v>0</v>
      </c>
      <c r="AH239" t="e">
        <f t="shared" si="7"/>
        <v>#N/A</v>
      </c>
    </row>
    <row r="240" spans="8:34" x14ac:dyDescent="0.2">
      <c r="H240" s="5"/>
      <c r="I240" s="5"/>
      <c r="J240" s="5"/>
      <c r="K240" s="5"/>
      <c r="L240" s="95"/>
      <c r="O240" s="4"/>
      <c r="P240" s="4"/>
      <c r="AB240" s="4"/>
      <c r="AD240" s="4"/>
      <c r="AF240" t="e">
        <f>VLOOKUP(C240,'גיליון דאטה להכל'!A:H,5,0)</f>
        <v>#N/A</v>
      </c>
      <c r="AG240" s="104">
        <f t="shared" si="6"/>
        <v>0</v>
      </c>
      <c r="AH240" t="e">
        <f t="shared" si="7"/>
        <v>#N/A</v>
      </c>
    </row>
    <row r="241" spans="8:34" x14ac:dyDescent="0.2">
      <c r="H241" s="5"/>
      <c r="I241" s="5"/>
      <c r="J241" s="5"/>
      <c r="K241" s="5"/>
      <c r="L241" s="95"/>
      <c r="O241" s="4"/>
      <c r="P241" s="4"/>
      <c r="AB241" s="4"/>
      <c r="AD241" s="4"/>
      <c r="AF241" t="e">
        <f>VLOOKUP(C241,'גיליון דאטה להכל'!A:H,5,0)</f>
        <v>#N/A</v>
      </c>
      <c r="AG241" s="104">
        <f t="shared" si="6"/>
        <v>0</v>
      </c>
      <c r="AH241" t="e">
        <f t="shared" si="7"/>
        <v>#N/A</v>
      </c>
    </row>
    <row r="242" spans="8:34" x14ac:dyDescent="0.2">
      <c r="H242" s="5"/>
      <c r="I242" s="5"/>
      <c r="J242" s="5"/>
      <c r="K242" s="5"/>
      <c r="L242" s="95"/>
      <c r="O242" s="4"/>
      <c r="P242" s="4"/>
      <c r="AB242" s="4"/>
      <c r="AD242" s="4"/>
      <c r="AF242" t="e">
        <f>VLOOKUP(C242,'גיליון דאטה להכל'!A:H,5,0)</f>
        <v>#N/A</v>
      </c>
      <c r="AG242" s="104">
        <f t="shared" si="6"/>
        <v>0</v>
      </c>
      <c r="AH242" t="e">
        <f t="shared" si="7"/>
        <v>#N/A</v>
      </c>
    </row>
    <row r="243" spans="8:34" x14ac:dyDescent="0.2">
      <c r="H243" s="5"/>
      <c r="I243" s="5"/>
      <c r="J243" s="5"/>
      <c r="K243" s="5"/>
      <c r="L243" s="95"/>
      <c r="O243" s="4"/>
      <c r="P243" s="4"/>
      <c r="AB243" s="4"/>
      <c r="AD243" s="4"/>
      <c r="AF243" t="e">
        <f>VLOOKUP(C243,'גיליון דאטה להכל'!A:H,5,0)</f>
        <v>#N/A</v>
      </c>
      <c r="AG243" s="104">
        <f t="shared" si="6"/>
        <v>0</v>
      </c>
      <c r="AH243" t="e">
        <f t="shared" si="7"/>
        <v>#N/A</v>
      </c>
    </row>
    <row r="244" spans="8:34" x14ac:dyDescent="0.2">
      <c r="H244" s="5"/>
      <c r="I244" s="5"/>
      <c r="J244" s="5"/>
      <c r="K244" s="5"/>
      <c r="L244" s="95"/>
      <c r="O244" s="4"/>
      <c r="P244" s="4"/>
      <c r="AB244" s="4"/>
      <c r="AD244" s="4"/>
      <c r="AF244" t="e">
        <f>VLOOKUP(C244,'גיליון דאטה להכל'!A:H,5,0)</f>
        <v>#N/A</v>
      </c>
      <c r="AG244" s="104">
        <f t="shared" si="6"/>
        <v>0</v>
      </c>
      <c r="AH244" t="e">
        <f t="shared" si="7"/>
        <v>#N/A</v>
      </c>
    </row>
    <row r="245" spans="8:34" x14ac:dyDescent="0.2">
      <c r="H245" s="5"/>
      <c r="I245" s="5"/>
      <c r="J245" s="5"/>
      <c r="K245" s="5"/>
      <c r="L245" s="95"/>
      <c r="O245" s="4"/>
      <c r="P245" s="4"/>
      <c r="AB245" s="4"/>
      <c r="AD245" s="4"/>
      <c r="AF245" t="e">
        <f>VLOOKUP(C245,'גיליון דאטה להכל'!A:H,5,0)</f>
        <v>#N/A</v>
      </c>
      <c r="AG245" s="104">
        <f t="shared" si="6"/>
        <v>0</v>
      </c>
      <c r="AH245" t="e">
        <f t="shared" si="7"/>
        <v>#N/A</v>
      </c>
    </row>
    <row r="246" spans="8:34" x14ac:dyDescent="0.2">
      <c r="H246" s="5"/>
      <c r="I246" s="5"/>
      <c r="J246" s="5"/>
      <c r="K246" s="5"/>
      <c r="L246" s="95"/>
      <c r="O246" s="4"/>
      <c r="P246" s="4"/>
      <c r="AB246" s="4"/>
      <c r="AD246" s="4"/>
      <c r="AF246" t="e">
        <f>VLOOKUP(C246,'גיליון דאטה להכל'!A:H,5,0)</f>
        <v>#N/A</v>
      </c>
      <c r="AG246" s="104">
        <f t="shared" si="6"/>
        <v>0</v>
      </c>
      <c r="AH246" t="e">
        <f t="shared" si="7"/>
        <v>#N/A</v>
      </c>
    </row>
    <row r="247" spans="8:34" x14ac:dyDescent="0.2">
      <c r="H247" s="5"/>
      <c r="I247" s="5"/>
      <c r="J247" s="5"/>
      <c r="K247" s="5"/>
      <c r="O247" s="4"/>
      <c r="P247" s="4"/>
      <c r="AB247" s="4"/>
      <c r="AD247" s="4"/>
      <c r="AF247" t="e">
        <f>VLOOKUP(C247,'גיליון דאטה להכל'!A:H,5,0)</f>
        <v>#N/A</v>
      </c>
      <c r="AG247" s="104">
        <f t="shared" si="6"/>
        <v>0</v>
      </c>
      <c r="AH247" t="e">
        <f t="shared" si="7"/>
        <v>#N/A</v>
      </c>
    </row>
    <row r="248" spans="8:34" x14ac:dyDescent="0.2">
      <c r="H248" s="5"/>
      <c r="I248" s="5"/>
      <c r="J248" s="5"/>
      <c r="K248" s="5"/>
      <c r="L248" s="95"/>
      <c r="O248" s="4"/>
      <c r="P248" s="4"/>
      <c r="AB248" s="4"/>
      <c r="AD248" s="4"/>
      <c r="AF248" t="e">
        <f>VLOOKUP(C248,'גיליון דאטה להכל'!A:H,5,0)</f>
        <v>#N/A</v>
      </c>
      <c r="AG248" s="104">
        <f t="shared" si="6"/>
        <v>0</v>
      </c>
      <c r="AH248" t="e">
        <f t="shared" si="7"/>
        <v>#N/A</v>
      </c>
    </row>
    <row r="249" spans="8:34" x14ac:dyDescent="0.2">
      <c r="H249" s="5"/>
      <c r="I249" s="5"/>
      <c r="J249" s="5"/>
      <c r="K249" s="5"/>
      <c r="L249" s="95"/>
      <c r="O249" s="4"/>
      <c r="P249" s="4"/>
      <c r="AB249" s="4"/>
      <c r="AD249" s="4"/>
      <c r="AF249" t="e">
        <f>VLOOKUP(C249,'גיליון דאטה להכל'!A:H,5,0)</f>
        <v>#N/A</v>
      </c>
      <c r="AG249" s="104">
        <f t="shared" si="6"/>
        <v>0</v>
      </c>
      <c r="AH249" t="e">
        <f t="shared" si="7"/>
        <v>#N/A</v>
      </c>
    </row>
    <row r="250" spans="8:34" x14ac:dyDescent="0.2">
      <c r="H250" s="5"/>
      <c r="I250" s="5"/>
      <c r="J250" s="5"/>
      <c r="K250" s="5"/>
      <c r="O250" s="4"/>
      <c r="P250" s="4"/>
      <c r="AB250" s="4"/>
      <c r="AD250" s="4"/>
      <c r="AF250" t="e">
        <f>VLOOKUP(C250,'גיליון דאטה להכל'!A:H,5,0)</f>
        <v>#N/A</v>
      </c>
      <c r="AG250" s="104">
        <f t="shared" si="6"/>
        <v>0</v>
      </c>
      <c r="AH250" t="e">
        <f t="shared" si="7"/>
        <v>#N/A</v>
      </c>
    </row>
    <row r="251" spans="8:34" x14ac:dyDescent="0.2">
      <c r="H251" s="5"/>
      <c r="I251" s="5"/>
      <c r="J251" s="5"/>
      <c r="K251" s="5"/>
      <c r="O251" s="4"/>
      <c r="P251" s="4"/>
      <c r="AB251" s="4"/>
      <c r="AD251" s="4"/>
      <c r="AF251" t="e">
        <f>VLOOKUP(C251,'גיליון דאטה להכל'!A:H,5,0)</f>
        <v>#N/A</v>
      </c>
      <c r="AG251" s="104">
        <f t="shared" si="6"/>
        <v>0</v>
      </c>
      <c r="AH251" t="e">
        <f t="shared" si="7"/>
        <v>#N/A</v>
      </c>
    </row>
    <row r="252" spans="8:34" x14ac:dyDescent="0.2">
      <c r="H252" s="5"/>
      <c r="I252" s="5"/>
      <c r="J252" s="5"/>
      <c r="K252" s="5"/>
      <c r="L252" s="95"/>
      <c r="O252" s="4"/>
      <c r="P252" s="4"/>
      <c r="AB252" s="4"/>
      <c r="AD252" s="4"/>
      <c r="AF252" t="e">
        <f>VLOOKUP(C252,'גיליון דאטה להכל'!A:H,5,0)</f>
        <v>#N/A</v>
      </c>
      <c r="AG252" s="104">
        <f t="shared" si="6"/>
        <v>0</v>
      </c>
      <c r="AH252" t="e">
        <f t="shared" si="7"/>
        <v>#N/A</v>
      </c>
    </row>
    <row r="253" spans="8:34" x14ac:dyDescent="0.2">
      <c r="H253" s="5"/>
      <c r="I253" s="5"/>
      <c r="J253" s="5"/>
      <c r="K253" s="5"/>
      <c r="L253" s="95"/>
      <c r="O253" s="4"/>
      <c r="P253" s="4"/>
      <c r="AB253" s="4"/>
      <c r="AD253" s="4"/>
      <c r="AF253" t="e">
        <f>VLOOKUP(C253,'גיליון דאטה להכל'!A:H,5,0)</f>
        <v>#N/A</v>
      </c>
      <c r="AG253" s="104">
        <f t="shared" si="6"/>
        <v>0</v>
      </c>
      <c r="AH253" t="e">
        <f t="shared" si="7"/>
        <v>#N/A</v>
      </c>
    </row>
    <row r="254" spans="8:34" x14ac:dyDescent="0.2">
      <c r="H254" s="5"/>
      <c r="I254" s="5"/>
      <c r="J254" s="5"/>
      <c r="K254" s="5"/>
      <c r="L254" s="95"/>
      <c r="O254" s="4"/>
      <c r="P254" s="4"/>
      <c r="AB254" s="4"/>
      <c r="AD254" s="4"/>
      <c r="AF254" t="e">
        <f>VLOOKUP(C254,'גיליון דאטה להכל'!A:H,5,0)</f>
        <v>#N/A</v>
      </c>
      <c r="AG254" s="104">
        <f t="shared" si="6"/>
        <v>0</v>
      </c>
      <c r="AH254" t="e">
        <f t="shared" si="7"/>
        <v>#N/A</v>
      </c>
    </row>
    <row r="255" spans="8:34" x14ac:dyDescent="0.2">
      <c r="H255" s="5"/>
      <c r="I255" s="5"/>
      <c r="J255" s="5"/>
      <c r="K255" s="5"/>
      <c r="L255" s="95"/>
      <c r="O255" s="4"/>
      <c r="P255" s="4"/>
      <c r="AB255" s="4"/>
      <c r="AD255" s="4"/>
      <c r="AF255" t="e">
        <f>VLOOKUP(C255,'גיליון דאטה להכל'!A:H,5,0)</f>
        <v>#N/A</v>
      </c>
      <c r="AG255" s="104">
        <f t="shared" si="6"/>
        <v>0</v>
      </c>
      <c r="AH255" t="e">
        <f t="shared" si="7"/>
        <v>#N/A</v>
      </c>
    </row>
    <row r="256" spans="8:34" x14ac:dyDescent="0.2">
      <c r="H256" s="5"/>
      <c r="I256" s="5"/>
      <c r="J256" s="5"/>
      <c r="K256" s="5"/>
      <c r="L256" s="95"/>
      <c r="O256" s="4"/>
      <c r="P256" s="4"/>
      <c r="AB256" s="4"/>
      <c r="AD256" s="4"/>
      <c r="AF256" t="e">
        <f>VLOOKUP(C256,'גיליון דאטה להכל'!A:H,5,0)</f>
        <v>#N/A</v>
      </c>
      <c r="AG256" s="104">
        <f t="shared" si="6"/>
        <v>0</v>
      </c>
      <c r="AH256" t="e">
        <f t="shared" si="7"/>
        <v>#N/A</v>
      </c>
    </row>
    <row r="257" spans="8:34" x14ac:dyDescent="0.2">
      <c r="H257" s="5"/>
      <c r="I257" s="5"/>
      <c r="J257" s="5"/>
      <c r="K257" s="5"/>
      <c r="L257" s="95"/>
      <c r="O257" s="4"/>
      <c r="P257" s="4"/>
      <c r="AB257" s="4"/>
      <c r="AD257" s="4"/>
      <c r="AF257" t="e">
        <f>VLOOKUP(C257,'גיליון דאטה להכל'!A:H,5,0)</f>
        <v>#N/A</v>
      </c>
      <c r="AG257" s="104">
        <f t="shared" si="6"/>
        <v>0</v>
      </c>
      <c r="AH257" t="e">
        <f t="shared" si="7"/>
        <v>#N/A</v>
      </c>
    </row>
    <row r="258" spans="8:34" x14ac:dyDescent="0.2">
      <c r="H258" s="5"/>
      <c r="I258" s="5"/>
      <c r="J258" s="5"/>
      <c r="K258" s="5"/>
      <c r="L258" s="95"/>
      <c r="O258" s="4"/>
      <c r="P258" s="4"/>
      <c r="AB258" s="4"/>
      <c r="AD258" s="4"/>
      <c r="AF258" t="e">
        <f>VLOOKUP(C258,'גיליון דאטה להכל'!A:H,5,0)</f>
        <v>#N/A</v>
      </c>
      <c r="AG258" s="104">
        <f t="shared" si="6"/>
        <v>0</v>
      </c>
      <c r="AH258" t="e">
        <f t="shared" si="7"/>
        <v>#N/A</v>
      </c>
    </row>
    <row r="259" spans="8:34" x14ac:dyDescent="0.2">
      <c r="H259" s="5"/>
      <c r="I259" s="5"/>
      <c r="J259" s="5"/>
      <c r="K259" s="5"/>
      <c r="L259" s="95"/>
      <c r="O259" s="4"/>
      <c r="P259" s="4"/>
      <c r="AB259" s="4"/>
      <c r="AD259" s="4"/>
      <c r="AF259" t="e">
        <f>VLOOKUP(C259,'גיליון דאטה להכל'!A:H,5,0)</f>
        <v>#N/A</v>
      </c>
      <c r="AG259" s="104">
        <f t="shared" ref="AG259:AG322" si="8">I259+H259</f>
        <v>0</v>
      </c>
      <c r="AH259" t="e">
        <f t="shared" ref="AH259:AH322" si="9">_xlfn.CONCAT(AF259,N259)</f>
        <v>#N/A</v>
      </c>
    </row>
    <row r="260" spans="8:34" x14ac:dyDescent="0.2">
      <c r="H260" s="5"/>
      <c r="I260" s="5"/>
      <c r="J260" s="5"/>
      <c r="K260" s="5"/>
      <c r="L260" s="95"/>
      <c r="O260" s="4"/>
      <c r="P260" s="4"/>
      <c r="AB260" s="4"/>
      <c r="AD260" s="4"/>
      <c r="AF260" t="e">
        <f>VLOOKUP(C260,'גיליון דאטה להכל'!A:H,5,0)</f>
        <v>#N/A</v>
      </c>
      <c r="AG260" s="104">
        <f t="shared" si="8"/>
        <v>0</v>
      </c>
      <c r="AH260" t="e">
        <f t="shared" si="9"/>
        <v>#N/A</v>
      </c>
    </row>
    <row r="261" spans="8:34" x14ac:dyDescent="0.2">
      <c r="H261" s="5"/>
      <c r="I261" s="5"/>
      <c r="J261" s="5"/>
      <c r="K261" s="5"/>
      <c r="L261" s="95"/>
      <c r="O261" s="4"/>
      <c r="P261" s="4"/>
      <c r="AB261" s="4"/>
      <c r="AD261" s="4"/>
      <c r="AF261" t="e">
        <f>VLOOKUP(C261,'גיליון דאטה להכל'!A:H,5,0)</f>
        <v>#N/A</v>
      </c>
      <c r="AG261" s="104">
        <f t="shared" si="8"/>
        <v>0</v>
      </c>
      <c r="AH261" t="e">
        <f t="shared" si="9"/>
        <v>#N/A</v>
      </c>
    </row>
    <row r="262" spans="8:34" x14ac:dyDescent="0.2">
      <c r="H262" s="5"/>
      <c r="I262" s="5"/>
      <c r="J262" s="5"/>
      <c r="K262" s="5"/>
      <c r="L262" s="95"/>
      <c r="O262" s="4"/>
      <c r="P262" s="4"/>
      <c r="AB262" s="4"/>
      <c r="AD262" s="4"/>
      <c r="AF262" t="e">
        <f>VLOOKUP(C262,'גיליון דאטה להכל'!A:H,5,0)</f>
        <v>#N/A</v>
      </c>
      <c r="AG262" s="104">
        <f t="shared" si="8"/>
        <v>0</v>
      </c>
      <c r="AH262" t="e">
        <f t="shared" si="9"/>
        <v>#N/A</v>
      </c>
    </row>
    <row r="263" spans="8:34" x14ac:dyDescent="0.2">
      <c r="H263" s="5"/>
      <c r="I263" s="5"/>
      <c r="J263" s="5"/>
      <c r="K263" s="5"/>
      <c r="L263" s="95"/>
      <c r="O263" s="4"/>
      <c r="P263" s="4"/>
      <c r="AB263" s="4"/>
      <c r="AD263" s="4"/>
      <c r="AF263" t="e">
        <f>VLOOKUP(C263,'גיליון דאטה להכל'!A:H,5,0)</f>
        <v>#N/A</v>
      </c>
      <c r="AG263" s="104">
        <f t="shared" si="8"/>
        <v>0</v>
      </c>
      <c r="AH263" t="e">
        <f t="shared" si="9"/>
        <v>#N/A</v>
      </c>
    </row>
    <row r="264" spans="8:34" x14ac:dyDescent="0.2">
      <c r="H264" s="5"/>
      <c r="I264" s="5"/>
      <c r="J264" s="5"/>
      <c r="K264" s="5"/>
      <c r="L264" s="95"/>
      <c r="O264" s="4"/>
      <c r="P264" s="4"/>
      <c r="AB264" s="4"/>
      <c r="AD264" s="4"/>
      <c r="AF264" t="e">
        <f>VLOOKUP(C264,'גיליון דאטה להכל'!A:H,5,0)</f>
        <v>#N/A</v>
      </c>
      <c r="AG264" s="104">
        <f t="shared" si="8"/>
        <v>0</v>
      </c>
      <c r="AH264" t="e">
        <f t="shared" si="9"/>
        <v>#N/A</v>
      </c>
    </row>
    <row r="265" spans="8:34" x14ac:dyDescent="0.2">
      <c r="H265" s="5"/>
      <c r="I265" s="5"/>
      <c r="J265" s="5"/>
      <c r="K265" s="5"/>
      <c r="L265" s="95"/>
      <c r="O265" s="4"/>
      <c r="P265" s="4"/>
      <c r="AB265" s="4"/>
      <c r="AD265" s="4"/>
      <c r="AF265" t="e">
        <f>VLOOKUP(C265,'גיליון דאטה להכל'!A:H,5,0)</f>
        <v>#N/A</v>
      </c>
      <c r="AG265" s="104">
        <f t="shared" si="8"/>
        <v>0</v>
      </c>
      <c r="AH265" t="e">
        <f t="shared" si="9"/>
        <v>#N/A</v>
      </c>
    </row>
    <row r="266" spans="8:34" x14ac:dyDescent="0.2">
      <c r="H266" s="5"/>
      <c r="I266" s="5"/>
      <c r="J266" s="5"/>
      <c r="K266" s="5"/>
      <c r="L266" s="95"/>
      <c r="O266" s="4"/>
      <c r="P266" s="4"/>
      <c r="AB266" s="4"/>
      <c r="AD266" s="4"/>
      <c r="AF266" t="e">
        <f>VLOOKUP(C266,'גיליון דאטה להכל'!A:H,5,0)</f>
        <v>#N/A</v>
      </c>
      <c r="AG266" s="104">
        <f t="shared" si="8"/>
        <v>0</v>
      </c>
      <c r="AH266" t="e">
        <f t="shared" si="9"/>
        <v>#N/A</v>
      </c>
    </row>
    <row r="267" spans="8:34" x14ac:dyDescent="0.2">
      <c r="H267" s="5"/>
      <c r="I267" s="5"/>
      <c r="J267" s="5"/>
      <c r="K267" s="5"/>
      <c r="L267" s="95"/>
      <c r="O267" s="4"/>
      <c r="P267" s="4"/>
      <c r="AB267" s="4"/>
      <c r="AD267" s="4"/>
      <c r="AF267" t="e">
        <f>VLOOKUP(C267,'גיליון דאטה להכל'!A:H,5,0)</f>
        <v>#N/A</v>
      </c>
      <c r="AG267" s="104">
        <f t="shared" si="8"/>
        <v>0</v>
      </c>
      <c r="AH267" t="e">
        <f t="shared" si="9"/>
        <v>#N/A</v>
      </c>
    </row>
    <row r="268" spans="8:34" x14ac:dyDescent="0.2">
      <c r="H268" s="5"/>
      <c r="I268" s="5"/>
      <c r="J268" s="5"/>
      <c r="K268" s="5"/>
      <c r="L268" s="95"/>
      <c r="O268" s="4"/>
      <c r="P268" s="4"/>
      <c r="AB268" s="4"/>
      <c r="AD268" s="4"/>
      <c r="AF268" t="e">
        <f>VLOOKUP(C268,'גיליון דאטה להכל'!A:H,5,0)</f>
        <v>#N/A</v>
      </c>
      <c r="AG268" s="104">
        <f t="shared" si="8"/>
        <v>0</v>
      </c>
      <c r="AH268" t="e">
        <f t="shared" si="9"/>
        <v>#N/A</v>
      </c>
    </row>
    <row r="269" spans="8:34" x14ac:dyDescent="0.2">
      <c r="H269" s="5"/>
      <c r="I269" s="5"/>
      <c r="J269" s="5"/>
      <c r="K269" s="5"/>
      <c r="L269" s="95"/>
      <c r="O269" s="4"/>
      <c r="P269" s="4"/>
      <c r="AB269" s="4"/>
      <c r="AD269" s="4"/>
      <c r="AF269" t="e">
        <f>VLOOKUP(C269,'גיליון דאטה להכל'!A:H,5,0)</f>
        <v>#N/A</v>
      </c>
      <c r="AG269" s="104">
        <f t="shared" si="8"/>
        <v>0</v>
      </c>
      <c r="AH269" t="e">
        <f t="shared" si="9"/>
        <v>#N/A</v>
      </c>
    </row>
    <row r="270" spans="8:34" x14ac:dyDescent="0.2">
      <c r="H270" s="5"/>
      <c r="I270" s="5"/>
      <c r="J270" s="5"/>
      <c r="K270" s="5"/>
      <c r="L270" s="95"/>
      <c r="O270" s="4"/>
      <c r="P270" s="4"/>
      <c r="AB270" s="4"/>
      <c r="AD270" s="4"/>
      <c r="AF270" t="e">
        <f>VLOOKUP(C270,'גיליון דאטה להכל'!A:H,5,0)</f>
        <v>#N/A</v>
      </c>
      <c r="AG270" s="104">
        <f t="shared" si="8"/>
        <v>0</v>
      </c>
      <c r="AH270" t="e">
        <f t="shared" si="9"/>
        <v>#N/A</v>
      </c>
    </row>
    <row r="271" spans="8:34" x14ac:dyDescent="0.2">
      <c r="H271" s="5"/>
      <c r="I271" s="5"/>
      <c r="J271" s="5"/>
      <c r="K271" s="5"/>
      <c r="L271" s="95"/>
      <c r="O271" s="4"/>
      <c r="P271" s="4"/>
      <c r="AB271" s="4"/>
      <c r="AD271" s="4"/>
      <c r="AF271" t="e">
        <f>VLOOKUP(C271,'גיליון דאטה להכל'!A:H,5,0)</f>
        <v>#N/A</v>
      </c>
      <c r="AG271" s="104">
        <f t="shared" si="8"/>
        <v>0</v>
      </c>
      <c r="AH271" t="e">
        <f t="shared" si="9"/>
        <v>#N/A</v>
      </c>
    </row>
    <row r="272" spans="8:34" x14ac:dyDescent="0.2">
      <c r="H272" s="5"/>
      <c r="I272" s="5"/>
      <c r="J272" s="5"/>
      <c r="K272" s="5"/>
      <c r="L272" s="95"/>
      <c r="O272" s="4"/>
      <c r="P272" s="4"/>
      <c r="AB272" s="4"/>
      <c r="AD272" s="4"/>
      <c r="AF272" t="e">
        <f>VLOOKUP(C272,'גיליון דאטה להכל'!A:H,5,0)</f>
        <v>#N/A</v>
      </c>
      <c r="AG272" s="104">
        <f t="shared" si="8"/>
        <v>0</v>
      </c>
      <c r="AH272" t="e">
        <f t="shared" si="9"/>
        <v>#N/A</v>
      </c>
    </row>
    <row r="273" spans="8:34" x14ac:dyDescent="0.2">
      <c r="H273" s="5"/>
      <c r="I273" s="5"/>
      <c r="J273" s="5"/>
      <c r="K273" s="5"/>
      <c r="L273" s="95"/>
      <c r="O273" s="4"/>
      <c r="P273" s="4"/>
      <c r="AB273" s="4"/>
      <c r="AD273" s="4"/>
      <c r="AF273" t="e">
        <f>VLOOKUP(C273,'גיליון דאטה להכל'!A:H,5,0)</f>
        <v>#N/A</v>
      </c>
      <c r="AG273" s="104">
        <f t="shared" si="8"/>
        <v>0</v>
      </c>
      <c r="AH273" t="e">
        <f t="shared" si="9"/>
        <v>#N/A</v>
      </c>
    </row>
    <row r="274" spans="8:34" x14ac:dyDescent="0.2">
      <c r="H274" s="5"/>
      <c r="I274" s="5"/>
      <c r="J274" s="5"/>
      <c r="K274" s="5"/>
      <c r="L274" s="95"/>
      <c r="O274" s="4"/>
      <c r="P274" s="4"/>
      <c r="AB274" s="4"/>
      <c r="AD274" s="4"/>
      <c r="AF274" t="e">
        <f>VLOOKUP(C274,'גיליון דאטה להכל'!A:H,5,0)</f>
        <v>#N/A</v>
      </c>
      <c r="AG274" s="104">
        <f t="shared" si="8"/>
        <v>0</v>
      </c>
      <c r="AH274" t="e">
        <f t="shared" si="9"/>
        <v>#N/A</v>
      </c>
    </row>
    <row r="275" spans="8:34" x14ac:dyDescent="0.2">
      <c r="H275" s="5"/>
      <c r="I275" s="5"/>
      <c r="J275" s="5"/>
      <c r="K275" s="5"/>
      <c r="L275" s="95"/>
      <c r="O275" s="4"/>
      <c r="P275" s="4"/>
      <c r="AB275" s="4"/>
      <c r="AD275" s="4"/>
      <c r="AF275" t="e">
        <f>VLOOKUP(C275,'גיליון דאטה להכל'!A:H,5,0)</f>
        <v>#N/A</v>
      </c>
      <c r="AG275" s="104">
        <f t="shared" si="8"/>
        <v>0</v>
      </c>
      <c r="AH275" t="e">
        <f t="shared" si="9"/>
        <v>#N/A</v>
      </c>
    </row>
    <row r="276" spans="8:34" x14ac:dyDescent="0.2">
      <c r="H276" s="5"/>
      <c r="I276" s="5"/>
      <c r="J276" s="5"/>
      <c r="K276" s="5"/>
      <c r="L276" s="95"/>
      <c r="O276" s="4"/>
      <c r="P276" s="4"/>
      <c r="AB276" s="4"/>
      <c r="AD276" s="4"/>
      <c r="AF276" t="e">
        <f>VLOOKUP(C276,'גיליון דאטה להכל'!A:H,5,0)</f>
        <v>#N/A</v>
      </c>
      <c r="AG276" s="104">
        <f t="shared" si="8"/>
        <v>0</v>
      </c>
      <c r="AH276" t="e">
        <f t="shared" si="9"/>
        <v>#N/A</v>
      </c>
    </row>
    <row r="277" spans="8:34" x14ac:dyDescent="0.2">
      <c r="H277" s="5"/>
      <c r="I277" s="5"/>
      <c r="J277" s="5"/>
      <c r="K277" s="5"/>
      <c r="L277" s="95"/>
      <c r="O277" s="4"/>
      <c r="P277" s="4"/>
      <c r="AB277" s="4"/>
      <c r="AD277" s="4"/>
      <c r="AF277" t="e">
        <f>VLOOKUP(C277,'גיליון דאטה להכל'!A:H,5,0)</f>
        <v>#N/A</v>
      </c>
      <c r="AG277" s="104">
        <f t="shared" si="8"/>
        <v>0</v>
      </c>
      <c r="AH277" t="e">
        <f t="shared" si="9"/>
        <v>#N/A</v>
      </c>
    </row>
    <row r="278" spans="8:34" x14ac:dyDescent="0.2">
      <c r="H278" s="5"/>
      <c r="I278" s="5"/>
      <c r="J278" s="5"/>
      <c r="K278" s="5"/>
      <c r="L278" s="95"/>
      <c r="O278" s="4"/>
      <c r="P278" s="4"/>
      <c r="AB278" s="4"/>
      <c r="AD278" s="4"/>
      <c r="AF278" t="e">
        <f>VLOOKUP(C278,'גיליון דאטה להכל'!A:H,5,0)</f>
        <v>#N/A</v>
      </c>
      <c r="AG278" s="104">
        <f t="shared" si="8"/>
        <v>0</v>
      </c>
      <c r="AH278" t="e">
        <f t="shared" si="9"/>
        <v>#N/A</v>
      </c>
    </row>
    <row r="279" spans="8:34" x14ac:dyDescent="0.2">
      <c r="H279" s="5"/>
      <c r="I279" s="5"/>
      <c r="J279" s="5"/>
      <c r="K279" s="5"/>
      <c r="L279" s="95"/>
      <c r="O279" s="4"/>
      <c r="P279" s="4"/>
      <c r="AB279" s="4"/>
      <c r="AD279" s="4"/>
      <c r="AF279" t="e">
        <f>VLOOKUP(C279,'גיליון דאטה להכל'!A:H,5,0)</f>
        <v>#N/A</v>
      </c>
      <c r="AG279" s="104">
        <f t="shared" si="8"/>
        <v>0</v>
      </c>
      <c r="AH279" t="e">
        <f t="shared" si="9"/>
        <v>#N/A</v>
      </c>
    </row>
    <row r="280" spans="8:34" x14ac:dyDescent="0.2">
      <c r="H280" s="5"/>
      <c r="I280" s="5"/>
      <c r="J280" s="5"/>
      <c r="K280" s="5"/>
      <c r="L280" s="95"/>
      <c r="O280" s="4"/>
      <c r="P280" s="4"/>
      <c r="AB280" s="4"/>
      <c r="AD280" s="4"/>
      <c r="AF280" t="e">
        <f>VLOOKUP(C280,'גיליון דאטה להכל'!A:H,5,0)</f>
        <v>#N/A</v>
      </c>
      <c r="AG280" s="104">
        <f t="shared" si="8"/>
        <v>0</v>
      </c>
      <c r="AH280" t="e">
        <f t="shared" si="9"/>
        <v>#N/A</v>
      </c>
    </row>
    <row r="281" spans="8:34" x14ac:dyDescent="0.2">
      <c r="H281" s="5"/>
      <c r="I281" s="5"/>
      <c r="J281" s="5"/>
      <c r="K281" s="5"/>
      <c r="L281" s="95"/>
      <c r="O281" s="4"/>
      <c r="P281" s="4"/>
      <c r="AB281" s="4"/>
      <c r="AD281" s="4"/>
      <c r="AF281" t="e">
        <f>VLOOKUP(C281,'גיליון דאטה להכל'!A:H,5,0)</f>
        <v>#N/A</v>
      </c>
      <c r="AG281" s="104">
        <f t="shared" si="8"/>
        <v>0</v>
      </c>
      <c r="AH281" t="e">
        <f t="shared" si="9"/>
        <v>#N/A</v>
      </c>
    </row>
    <row r="282" spans="8:34" x14ac:dyDescent="0.2">
      <c r="H282" s="5"/>
      <c r="I282" s="5"/>
      <c r="J282" s="5"/>
      <c r="K282" s="5"/>
      <c r="L282" s="95"/>
      <c r="O282" s="4"/>
      <c r="P282" s="4"/>
      <c r="AB282" s="4"/>
      <c r="AD282" s="4"/>
      <c r="AF282" t="e">
        <f>VLOOKUP(C282,'גיליון דאטה להכל'!A:H,5,0)</f>
        <v>#N/A</v>
      </c>
      <c r="AG282" s="104">
        <f t="shared" si="8"/>
        <v>0</v>
      </c>
      <c r="AH282" t="e">
        <f t="shared" si="9"/>
        <v>#N/A</v>
      </c>
    </row>
    <row r="283" spans="8:34" x14ac:dyDescent="0.2">
      <c r="H283" s="5"/>
      <c r="I283" s="5"/>
      <c r="J283" s="5"/>
      <c r="K283" s="5"/>
      <c r="L283" s="95"/>
      <c r="O283" s="4"/>
      <c r="P283" s="4"/>
      <c r="AB283" s="4"/>
      <c r="AD283" s="4"/>
      <c r="AF283" t="e">
        <f>VLOOKUP(C283,'גיליון דאטה להכל'!A:H,5,0)</f>
        <v>#N/A</v>
      </c>
      <c r="AG283" s="104">
        <f t="shared" si="8"/>
        <v>0</v>
      </c>
      <c r="AH283" t="e">
        <f t="shared" si="9"/>
        <v>#N/A</v>
      </c>
    </row>
    <row r="284" spans="8:34" x14ac:dyDescent="0.2">
      <c r="H284" s="5"/>
      <c r="I284" s="5"/>
      <c r="J284" s="5"/>
      <c r="K284" s="5"/>
      <c r="L284" s="95"/>
      <c r="O284" s="4"/>
      <c r="P284" s="4"/>
      <c r="AB284" s="4"/>
      <c r="AD284" s="4"/>
      <c r="AF284" t="e">
        <f>VLOOKUP(C284,'גיליון דאטה להכל'!A:H,5,0)</f>
        <v>#N/A</v>
      </c>
      <c r="AG284" s="104">
        <f t="shared" si="8"/>
        <v>0</v>
      </c>
      <c r="AH284" t="e">
        <f t="shared" si="9"/>
        <v>#N/A</v>
      </c>
    </row>
    <row r="285" spans="8:34" x14ac:dyDescent="0.2">
      <c r="H285" s="5"/>
      <c r="I285" s="5"/>
      <c r="J285" s="5"/>
      <c r="K285" s="5"/>
      <c r="O285" s="4"/>
      <c r="P285" s="4"/>
      <c r="AB285" s="4"/>
      <c r="AD285" s="4"/>
      <c r="AF285" t="e">
        <f>VLOOKUP(C285,'גיליון דאטה להכל'!A:H,5,0)</f>
        <v>#N/A</v>
      </c>
      <c r="AG285" s="104">
        <f t="shared" si="8"/>
        <v>0</v>
      </c>
      <c r="AH285" t="e">
        <f t="shared" si="9"/>
        <v>#N/A</v>
      </c>
    </row>
    <row r="286" spans="8:34" x14ac:dyDescent="0.2">
      <c r="H286" s="5"/>
      <c r="I286" s="5"/>
      <c r="J286" s="5"/>
      <c r="K286" s="5"/>
      <c r="L286" s="95"/>
      <c r="O286" s="4"/>
      <c r="P286" s="4"/>
      <c r="AB286" s="4"/>
      <c r="AD286" s="4"/>
      <c r="AF286" t="e">
        <f>VLOOKUP(C286,'גיליון דאטה להכל'!A:H,5,0)</f>
        <v>#N/A</v>
      </c>
      <c r="AG286" s="104">
        <f t="shared" si="8"/>
        <v>0</v>
      </c>
      <c r="AH286" t="e">
        <f t="shared" si="9"/>
        <v>#N/A</v>
      </c>
    </row>
    <row r="287" spans="8:34" x14ac:dyDescent="0.2">
      <c r="H287" s="5"/>
      <c r="I287" s="5"/>
      <c r="J287" s="5"/>
      <c r="K287" s="5"/>
      <c r="L287" s="95"/>
      <c r="O287" s="4"/>
      <c r="P287" s="4"/>
      <c r="AB287" s="4"/>
      <c r="AD287" s="4"/>
      <c r="AF287" t="e">
        <f>VLOOKUP(C287,'גיליון דאטה להכל'!A:H,5,0)</f>
        <v>#N/A</v>
      </c>
      <c r="AG287" s="104">
        <f t="shared" si="8"/>
        <v>0</v>
      </c>
      <c r="AH287" t="e">
        <f t="shared" si="9"/>
        <v>#N/A</v>
      </c>
    </row>
    <row r="288" spans="8:34" x14ac:dyDescent="0.2">
      <c r="H288" s="5"/>
      <c r="I288" s="5"/>
      <c r="J288" s="5"/>
      <c r="K288" s="5"/>
      <c r="L288" s="95"/>
      <c r="O288" s="4"/>
      <c r="P288" s="4"/>
      <c r="AB288" s="4"/>
      <c r="AD288" s="4"/>
      <c r="AF288" t="e">
        <f>VLOOKUP(C288,'גיליון דאטה להכל'!A:H,5,0)</f>
        <v>#N/A</v>
      </c>
      <c r="AG288" s="104">
        <f t="shared" si="8"/>
        <v>0</v>
      </c>
      <c r="AH288" t="e">
        <f t="shared" si="9"/>
        <v>#N/A</v>
      </c>
    </row>
    <row r="289" spans="8:34" x14ac:dyDescent="0.2">
      <c r="H289" s="5"/>
      <c r="I289" s="5"/>
      <c r="J289" s="5"/>
      <c r="K289" s="5"/>
      <c r="O289" s="4"/>
      <c r="P289" s="4"/>
      <c r="AB289" s="4"/>
      <c r="AD289" s="4"/>
      <c r="AF289" t="e">
        <f>VLOOKUP(C289,'גיליון דאטה להכל'!A:H,5,0)</f>
        <v>#N/A</v>
      </c>
      <c r="AG289" s="104">
        <f t="shared" si="8"/>
        <v>0</v>
      </c>
      <c r="AH289" t="e">
        <f t="shared" si="9"/>
        <v>#N/A</v>
      </c>
    </row>
    <row r="290" spans="8:34" x14ac:dyDescent="0.2">
      <c r="H290" s="5"/>
      <c r="I290" s="5"/>
      <c r="J290" s="5"/>
      <c r="K290" s="5"/>
      <c r="O290" s="4"/>
      <c r="P290" s="4"/>
      <c r="AB290" s="4"/>
      <c r="AD290" s="4"/>
      <c r="AF290" t="e">
        <f>VLOOKUP(C290,'גיליון דאטה להכל'!A:H,5,0)</f>
        <v>#N/A</v>
      </c>
      <c r="AG290" s="104">
        <f t="shared" si="8"/>
        <v>0</v>
      </c>
      <c r="AH290" t="e">
        <f t="shared" si="9"/>
        <v>#N/A</v>
      </c>
    </row>
    <row r="291" spans="8:34" x14ac:dyDescent="0.2">
      <c r="H291" s="5"/>
      <c r="I291" s="5"/>
      <c r="J291" s="5"/>
      <c r="K291" s="5"/>
      <c r="L291" s="95"/>
      <c r="O291" s="4"/>
      <c r="P291" s="4"/>
      <c r="AB291" s="4"/>
      <c r="AD291" s="4"/>
      <c r="AF291" t="e">
        <f>VLOOKUP(C291,'גיליון דאטה להכל'!A:H,5,0)</f>
        <v>#N/A</v>
      </c>
      <c r="AG291" s="104">
        <f t="shared" si="8"/>
        <v>0</v>
      </c>
      <c r="AH291" t="e">
        <f t="shared" si="9"/>
        <v>#N/A</v>
      </c>
    </row>
    <row r="292" spans="8:34" x14ac:dyDescent="0.2">
      <c r="H292" s="5"/>
      <c r="I292" s="5"/>
      <c r="J292" s="5"/>
      <c r="K292" s="5"/>
      <c r="L292" s="95"/>
      <c r="O292" s="4"/>
      <c r="P292" s="4"/>
      <c r="AB292" s="4"/>
      <c r="AD292" s="4"/>
      <c r="AF292" t="e">
        <f>VLOOKUP(C292,'גיליון דאטה להכל'!A:H,5,0)</f>
        <v>#N/A</v>
      </c>
      <c r="AG292" s="104">
        <f t="shared" si="8"/>
        <v>0</v>
      </c>
      <c r="AH292" t="e">
        <f t="shared" si="9"/>
        <v>#N/A</v>
      </c>
    </row>
    <row r="293" spans="8:34" x14ac:dyDescent="0.2">
      <c r="H293" s="5"/>
      <c r="I293" s="5"/>
      <c r="J293" s="5"/>
      <c r="K293" s="5"/>
      <c r="L293" s="95"/>
      <c r="O293" s="4"/>
      <c r="P293" s="4"/>
      <c r="AB293" s="4"/>
      <c r="AD293" s="4"/>
      <c r="AF293" t="e">
        <f>VLOOKUP(C293,'גיליון דאטה להכל'!A:H,5,0)</f>
        <v>#N/A</v>
      </c>
      <c r="AG293" s="104">
        <f t="shared" si="8"/>
        <v>0</v>
      </c>
      <c r="AH293" t="e">
        <f t="shared" si="9"/>
        <v>#N/A</v>
      </c>
    </row>
    <row r="294" spans="8:34" x14ac:dyDescent="0.2">
      <c r="H294" s="5"/>
      <c r="I294" s="5"/>
      <c r="J294" s="5"/>
      <c r="K294" s="5"/>
      <c r="L294" s="95"/>
      <c r="O294" s="4"/>
      <c r="P294" s="4"/>
      <c r="AB294" s="4"/>
      <c r="AD294" s="4"/>
      <c r="AF294" t="e">
        <f>VLOOKUP(C294,'גיליון דאטה להכל'!A:H,5,0)</f>
        <v>#N/A</v>
      </c>
      <c r="AG294" s="104">
        <f t="shared" si="8"/>
        <v>0</v>
      </c>
      <c r="AH294" t="e">
        <f t="shared" si="9"/>
        <v>#N/A</v>
      </c>
    </row>
    <row r="295" spans="8:34" x14ac:dyDescent="0.2">
      <c r="H295" s="5"/>
      <c r="I295" s="5"/>
      <c r="J295" s="5"/>
      <c r="K295" s="5"/>
      <c r="L295" s="95"/>
      <c r="O295" s="4"/>
      <c r="P295" s="4"/>
      <c r="AB295" s="4"/>
      <c r="AD295" s="4"/>
      <c r="AF295" t="e">
        <f>VLOOKUP(C295,'גיליון דאטה להכל'!A:H,5,0)</f>
        <v>#N/A</v>
      </c>
      <c r="AG295" s="104">
        <f t="shared" si="8"/>
        <v>0</v>
      </c>
      <c r="AH295" t="e">
        <f t="shared" si="9"/>
        <v>#N/A</v>
      </c>
    </row>
    <row r="296" spans="8:34" x14ac:dyDescent="0.2">
      <c r="H296" s="5"/>
      <c r="I296" s="5"/>
      <c r="J296" s="5"/>
      <c r="K296" s="5"/>
      <c r="L296" s="95"/>
      <c r="O296" s="4"/>
      <c r="P296" s="4"/>
      <c r="AB296" s="4"/>
      <c r="AD296" s="4"/>
      <c r="AF296" t="e">
        <f>VLOOKUP(C296,'גיליון דאטה להכל'!A:H,5,0)</f>
        <v>#N/A</v>
      </c>
      <c r="AG296" s="104">
        <f t="shared" si="8"/>
        <v>0</v>
      </c>
      <c r="AH296" t="e">
        <f t="shared" si="9"/>
        <v>#N/A</v>
      </c>
    </row>
    <row r="297" spans="8:34" x14ac:dyDescent="0.2">
      <c r="H297" s="5"/>
      <c r="I297" s="5"/>
      <c r="J297" s="5"/>
      <c r="K297" s="5"/>
      <c r="L297" s="95"/>
      <c r="O297" s="4"/>
      <c r="P297" s="4"/>
      <c r="AB297" s="4"/>
      <c r="AD297" s="4"/>
      <c r="AF297" t="e">
        <f>VLOOKUP(C297,'גיליון דאטה להכל'!A:H,5,0)</f>
        <v>#N/A</v>
      </c>
      <c r="AG297" s="104">
        <f t="shared" si="8"/>
        <v>0</v>
      </c>
      <c r="AH297" t="e">
        <f t="shared" si="9"/>
        <v>#N/A</v>
      </c>
    </row>
    <row r="298" spans="8:34" x14ac:dyDescent="0.2">
      <c r="H298" s="5"/>
      <c r="I298" s="5"/>
      <c r="J298" s="5"/>
      <c r="K298" s="5"/>
      <c r="L298" s="95"/>
      <c r="O298" s="4"/>
      <c r="P298" s="4"/>
      <c r="AB298" s="4"/>
      <c r="AD298" s="4"/>
      <c r="AF298" t="e">
        <f>VLOOKUP(C298,'גיליון דאטה להכל'!A:H,5,0)</f>
        <v>#N/A</v>
      </c>
      <c r="AG298" s="104">
        <f t="shared" si="8"/>
        <v>0</v>
      </c>
      <c r="AH298" t="e">
        <f t="shared" si="9"/>
        <v>#N/A</v>
      </c>
    </row>
    <row r="299" spans="8:34" x14ac:dyDescent="0.2">
      <c r="H299" s="5"/>
      <c r="I299" s="5"/>
      <c r="J299" s="5"/>
      <c r="K299" s="5"/>
      <c r="O299" s="4"/>
      <c r="P299" s="4"/>
      <c r="AB299" s="4"/>
      <c r="AD299" s="4"/>
      <c r="AF299" t="e">
        <f>VLOOKUP(C299,'גיליון דאטה להכל'!A:H,5,0)</f>
        <v>#N/A</v>
      </c>
      <c r="AG299" s="104">
        <f t="shared" si="8"/>
        <v>0</v>
      </c>
      <c r="AH299" t="e">
        <f t="shared" si="9"/>
        <v>#N/A</v>
      </c>
    </row>
    <row r="300" spans="8:34" x14ac:dyDescent="0.2">
      <c r="H300" s="5"/>
      <c r="I300" s="5"/>
      <c r="J300" s="5"/>
      <c r="K300" s="5"/>
      <c r="L300" s="95"/>
      <c r="O300" s="4"/>
      <c r="P300" s="4"/>
      <c r="AB300" s="4"/>
      <c r="AD300" s="4"/>
      <c r="AF300" t="e">
        <f>VLOOKUP(C300,'גיליון דאטה להכל'!A:H,5,0)</f>
        <v>#N/A</v>
      </c>
      <c r="AG300" s="104">
        <f t="shared" si="8"/>
        <v>0</v>
      </c>
      <c r="AH300" t="e">
        <f t="shared" si="9"/>
        <v>#N/A</v>
      </c>
    </row>
    <row r="301" spans="8:34" x14ac:dyDescent="0.2">
      <c r="H301" s="5"/>
      <c r="I301" s="5"/>
      <c r="J301" s="5"/>
      <c r="K301" s="5"/>
      <c r="L301" s="95"/>
      <c r="O301" s="4"/>
      <c r="P301" s="4"/>
      <c r="AB301" s="4"/>
      <c r="AD301" s="4"/>
      <c r="AF301" t="e">
        <f>VLOOKUP(C301,'גיליון דאטה להכל'!A:H,5,0)</f>
        <v>#N/A</v>
      </c>
      <c r="AG301" s="104">
        <f t="shared" si="8"/>
        <v>0</v>
      </c>
      <c r="AH301" t="e">
        <f t="shared" si="9"/>
        <v>#N/A</v>
      </c>
    </row>
    <row r="302" spans="8:34" x14ac:dyDescent="0.2">
      <c r="H302" s="5"/>
      <c r="I302" s="5"/>
      <c r="J302" s="5"/>
      <c r="K302" s="5"/>
      <c r="L302" s="95"/>
      <c r="O302" s="4"/>
      <c r="P302" s="4"/>
      <c r="AB302" s="4"/>
      <c r="AD302" s="4"/>
      <c r="AF302" t="e">
        <f>VLOOKUP(C302,'גיליון דאטה להכל'!A:H,5,0)</f>
        <v>#N/A</v>
      </c>
      <c r="AG302" s="104">
        <f t="shared" si="8"/>
        <v>0</v>
      </c>
      <c r="AH302" t="e">
        <f t="shared" si="9"/>
        <v>#N/A</v>
      </c>
    </row>
    <row r="303" spans="8:34" x14ac:dyDescent="0.2">
      <c r="H303" s="5"/>
      <c r="I303" s="5"/>
      <c r="J303" s="5"/>
      <c r="K303" s="5"/>
      <c r="L303" s="95"/>
      <c r="O303" s="4"/>
      <c r="P303" s="4"/>
      <c r="AB303" s="4"/>
      <c r="AD303" s="4"/>
      <c r="AF303" t="e">
        <f>VLOOKUP(C303,'גיליון דאטה להכל'!A:H,5,0)</f>
        <v>#N/A</v>
      </c>
      <c r="AG303" s="104">
        <f t="shared" si="8"/>
        <v>0</v>
      </c>
      <c r="AH303" t="e">
        <f t="shared" si="9"/>
        <v>#N/A</v>
      </c>
    </row>
    <row r="304" spans="8:34" x14ac:dyDescent="0.2">
      <c r="H304" s="5"/>
      <c r="I304" s="5"/>
      <c r="J304" s="5"/>
      <c r="K304" s="5"/>
      <c r="L304" s="95"/>
      <c r="O304" s="4"/>
      <c r="P304" s="4"/>
      <c r="AB304" s="4"/>
      <c r="AD304" s="4"/>
      <c r="AF304" t="e">
        <f>VLOOKUP(C304,'גיליון דאטה להכל'!A:H,5,0)</f>
        <v>#N/A</v>
      </c>
      <c r="AG304" s="104">
        <f t="shared" si="8"/>
        <v>0</v>
      </c>
      <c r="AH304" t="e">
        <f t="shared" si="9"/>
        <v>#N/A</v>
      </c>
    </row>
    <row r="305" spans="8:34" x14ac:dyDescent="0.2">
      <c r="H305" s="5"/>
      <c r="I305" s="5"/>
      <c r="J305" s="5"/>
      <c r="K305" s="5"/>
      <c r="L305" s="95"/>
      <c r="O305" s="4"/>
      <c r="P305" s="4"/>
      <c r="AB305" s="4"/>
      <c r="AD305" s="4"/>
      <c r="AF305" t="e">
        <f>VLOOKUP(C305,'גיליון דאטה להכל'!A:H,5,0)</f>
        <v>#N/A</v>
      </c>
      <c r="AG305" s="104">
        <f t="shared" si="8"/>
        <v>0</v>
      </c>
      <c r="AH305" t="e">
        <f t="shared" si="9"/>
        <v>#N/A</v>
      </c>
    </row>
    <row r="306" spans="8:34" x14ac:dyDescent="0.2">
      <c r="H306" s="5"/>
      <c r="I306" s="5"/>
      <c r="J306" s="5"/>
      <c r="K306" s="5"/>
      <c r="L306" s="95"/>
      <c r="O306" s="4"/>
      <c r="P306" s="4"/>
      <c r="AB306" s="4"/>
      <c r="AD306" s="4"/>
      <c r="AF306" t="e">
        <f>VLOOKUP(C306,'גיליון דאטה להכל'!A:H,5,0)</f>
        <v>#N/A</v>
      </c>
      <c r="AG306" s="104">
        <f t="shared" si="8"/>
        <v>0</v>
      </c>
      <c r="AH306" t="e">
        <f t="shared" si="9"/>
        <v>#N/A</v>
      </c>
    </row>
    <row r="307" spans="8:34" x14ac:dyDescent="0.2">
      <c r="H307" s="5"/>
      <c r="I307" s="5"/>
      <c r="J307" s="5"/>
      <c r="K307" s="5"/>
      <c r="L307" s="95"/>
      <c r="O307" s="4"/>
      <c r="P307" s="4"/>
      <c r="AB307" s="4"/>
      <c r="AD307" s="4"/>
      <c r="AF307" t="e">
        <f>VLOOKUP(C307,'גיליון דאטה להכל'!A:H,5,0)</f>
        <v>#N/A</v>
      </c>
      <c r="AG307" s="104">
        <f t="shared" si="8"/>
        <v>0</v>
      </c>
      <c r="AH307" t="e">
        <f t="shared" si="9"/>
        <v>#N/A</v>
      </c>
    </row>
    <row r="308" spans="8:34" x14ac:dyDescent="0.2">
      <c r="H308" s="5"/>
      <c r="I308" s="5"/>
      <c r="J308" s="5"/>
      <c r="K308" s="5"/>
      <c r="L308" s="95"/>
      <c r="O308" s="4"/>
      <c r="P308" s="4"/>
      <c r="AB308" s="4"/>
      <c r="AD308" s="4"/>
      <c r="AF308" t="e">
        <f>VLOOKUP(C308,'גיליון דאטה להכל'!A:H,5,0)</f>
        <v>#N/A</v>
      </c>
      <c r="AG308" s="104">
        <f t="shared" si="8"/>
        <v>0</v>
      </c>
      <c r="AH308" t="e">
        <f t="shared" si="9"/>
        <v>#N/A</v>
      </c>
    </row>
    <row r="309" spans="8:34" x14ac:dyDescent="0.2">
      <c r="H309" s="5"/>
      <c r="I309" s="5"/>
      <c r="J309" s="5"/>
      <c r="K309" s="5"/>
      <c r="L309" s="95"/>
      <c r="O309" s="4"/>
      <c r="P309" s="4"/>
      <c r="AB309" s="4"/>
      <c r="AD309" s="4"/>
      <c r="AF309" t="e">
        <f>VLOOKUP(C309,'גיליון דאטה להכל'!A:H,5,0)</f>
        <v>#N/A</v>
      </c>
      <c r="AG309" s="104">
        <f t="shared" si="8"/>
        <v>0</v>
      </c>
      <c r="AH309" t="e">
        <f t="shared" si="9"/>
        <v>#N/A</v>
      </c>
    </row>
    <row r="310" spans="8:34" x14ac:dyDescent="0.2">
      <c r="H310" s="5"/>
      <c r="I310" s="5"/>
      <c r="J310" s="5"/>
      <c r="K310" s="5"/>
      <c r="L310" s="95"/>
      <c r="O310" s="4"/>
      <c r="P310" s="4"/>
      <c r="AB310" s="4"/>
      <c r="AD310" s="4"/>
      <c r="AF310" t="e">
        <f>VLOOKUP(C310,'גיליון דאטה להכל'!A:H,5,0)</f>
        <v>#N/A</v>
      </c>
      <c r="AG310" s="104">
        <f t="shared" si="8"/>
        <v>0</v>
      </c>
      <c r="AH310" t="e">
        <f t="shared" si="9"/>
        <v>#N/A</v>
      </c>
    </row>
    <row r="311" spans="8:34" x14ac:dyDescent="0.2">
      <c r="H311" s="5"/>
      <c r="I311" s="5"/>
      <c r="J311" s="5"/>
      <c r="K311" s="5"/>
      <c r="L311" s="95"/>
      <c r="O311" s="4"/>
      <c r="P311" s="4"/>
      <c r="AB311" s="4"/>
      <c r="AD311" s="4"/>
      <c r="AF311" t="e">
        <f>VLOOKUP(C311,'גיליון דאטה להכל'!A:H,5,0)</f>
        <v>#N/A</v>
      </c>
      <c r="AG311" s="104">
        <f t="shared" si="8"/>
        <v>0</v>
      </c>
      <c r="AH311" t="e">
        <f t="shared" si="9"/>
        <v>#N/A</v>
      </c>
    </row>
    <row r="312" spans="8:34" x14ac:dyDescent="0.2">
      <c r="H312" s="5"/>
      <c r="I312" s="5"/>
      <c r="J312" s="5"/>
      <c r="K312" s="5"/>
      <c r="L312" s="95"/>
      <c r="O312" s="4"/>
      <c r="P312" s="4"/>
      <c r="AB312" s="4"/>
      <c r="AD312" s="4"/>
      <c r="AF312" t="e">
        <f>VLOOKUP(C312,'גיליון דאטה להכל'!A:H,5,0)</f>
        <v>#N/A</v>
      </c>
      <c r="AG312" s="104">
        <f t="shared" si="8"/>
        <v>0</v>
      </c>
      <c r="AH312" t="e">
        <f t="shared" si="9"/>
        <v>#N/A</v>
      </c>
    </row>
    <row r="313" spans="8:34" x14ac:dyDescent="0.2">
      <c r="H313" s="5"/>
      <c r="I313" s="5"/>
      <c r="J313" s="5"/>
      <c r="K313" s="5"/>
      <c r="L313" s="95"/>
      <c r="O313" s="4"/>
      <c r="P313" s="4"/>
      <c r="AB313" s="4"/>
      <c r="AD313" s="4"/>
      <c r="AF313" t="e">
        <f>VLOOKUP(C313,'גיליון דאטה להכל'!A:H,5,0)</f>
        <v>#N/A</v>
      </c>
      <c r="AG313" s="104">
        <f t="shared" si="8"/>
        <v>0</v>
      </c>
      <c r="AH313" t="e">
        <f t="shared" si="9"/>
        <v>#N/A</v>
      </c>
    </row>
    <row r="314" spans="8:34" x14ac:dyDescent="0.2">
      <c r="H314" s="5"/>
      <c r="I314" s="5"/>
      <c r="J314" s="5"/>
      <c r="K314" s="5"/>
      <c r="L314" s="95"/>
      <c r="O314" s="4"/>
      <c r="P314" s="4"/>
      <c r="AB314" s="4"/>
      <c r="AD314" s="4"/>
      <c r="AF314" t="e">
        <f>VLOOKUP(C314,'גיליון דאטה להכל'!A:H,5,0)</f>
        <v>#N/A</v>
      </c>
      <c r="AG314" s="104">
        <f t="shared" si="8"/>
        <v>0</v>
      </c>
      <c r="AH314" t="e">
        <f t="shared" si="9"/>
        <v>#N/A</v>
      </c>
    </row>
    <row r="315" spans="8:34" x14ac:dyDescent="0.2">
      <c r="H315" s="5"/>
      <c r="I315" s="5"/>
      <c r="J315" s="5"/>
      <c r="K315" s="5"/>
      <c r="L315" s="95"/>
      <c r="O315" s="4"/>
      <c r="P315" s="4"/>
      <c r="AB315" s="4"/>
      <c r="AD315" s="4"/>
      <c r="AF315" t="e">
        <f>VLOOKUP(C315,'גיליון דאטה להכל'!A:H,5,0)</f>
        <v>#N/A</v>
      </c>
      <c r="AG315" s="104">
        <f t="shared" si="8"/>
        <v>0</v>
      </c>
      <c r="AH315" t="e">
        <f t="shared" si="9"/>
        <v>#N/A</v>
      </c>
    </row>
    <row r="316" spans="8:34" x14ac:dyDescent="0.2">
      <c r="H316" s="5"/>
      <c r="I316" s="5"/>
      <c r="J316" s="5"/>
      <c r="K316" s="5"/>
      <c r="L316" s="95"/>
      <c r="O316" s="4"/>
      <c r="P316" s="4"/>
      <c r="AB316" s="4"/>
      <c r="AD316" s="4"/>
      <c r="AF316" t="e">
        <f>VLOOKUP(C316,'גיליון דאטה להכל'!A:H,5,0)</f>
        <v>#N/A</v>
      </c>
      <c r="AG316" s="104">
        <f t="shared" si="8"/>
        <v>0</v>
      </c>
      <c r="AH316" t="e">
        <f t="shared" si="9"/>
        <v>#N/A</v>
      </c>
    </row>
    <row r="317" spans="8:34" x14ac:dyDescent="0.2">
      <c r="H317" s="5"/>
      <c r="I317" s="5"/>
      <c r="J317" s="5"/>
      <c r="K317" s="5"/>
      <c r="L317" s="95"/>
      <c r="O317" s="4"/>
      <c r="P317" s="4"/>
      <c r="AB317" s="4"/>
      <c r="AD317" s="4"/>
      <c r="AF317" t="e">
        <f>VLOOKUP(C317,'גיליון דאטה להכל'!A:H,5,0)</f>
        <v>#N/A</v>
      </c>
      <c r="AG317" s="104">
        <f t="shared" si="8"/>
        <v>0</v>
      </c>
      <c r="AH317" t="e">
        <f t="shared" si="9"/>
        <v>#N/A</v>
      </c>
    </row>
    <row r="318" spans="8:34" x14ac:dyDescent="0.2">
      <c r="H318" s="5"/>
      <c r="I318" s="5"/>
      <c r="J318" s="5"/>
      <c r="K318" s="5"/>
      <c r="L318" s="95"/>
      <c r="O318" s="4"/>
      <c r="P318" s="4"/>
      <c r="AB318" s="4"/>
      <c r="AD318" s="4"/>
      <c r="AF318" t="e">
        <f>VLOOKUP(C318,'גיליון דאטה להכל'!A:H,5,0)</f>
        <v>#N/A</v>
      </c>
      <c r="AG318" s="104">
        <f t="shared" si="8"/>
        <v>0</v>
      </c>
      <c r="AH318" t="e">
        <f t="shared" si="9"/>
        <v>#N/A</v>
      </c>
    </row>
    <row r="319" spans="8:34" x14ac:dyDescent="0.2">
      <c r="H319" s="5"/>
      <c r="I319" s="5"/>
      <c r="J319" s="5"/>
      <c r="K319" s="5"/>
      <c r="L319" s="95"/>
      <c r="O319" s="4"/>
      <c r="P319" s="4"/>
      <c r="AB319" s="4"/>
      <c r="AD319" s="4"/>
      <c r="AF319" t="e">
        <f>VLOOKUP(C319,'גיליון דאטה להכל'!A:H,5,0)</f>
        <v>#N/A</v>
      </c>
      <c r="AG319" s="104">
        <f t="shared" si="8"/>
        <v>0</v>
      </c>
      <c r="AH319" t="e">
        <f t="shared" si="9"/>
        <v>#N/A</v>
      </c>
    </row>
    <row r="320" spans="8:34" x14ac:dyDescent="0.2">
      <c r="H320" s="5"/>
      <c r="I320" s="5"/>
      <c r="J320" s="5"/>
      <c r="K320" s="5"/>
      <c r="L320" s="95"/>
      <c r="O320" s="4"/>
      <c r="P320" s="4"/>
      <c r="AB320" s="4"/>
      <c r="AD320" s="4"/>
      <c r="AF320" t="e">
        <f>VLOOKUP(C320,'גיליון דאטה להכל'!A:H,5,0)</f>
        <v>#N/A</v>
      </c>
      <c r="AG320" s="104">
        <f t="shared" si="8"/>
        <v>0</v>
      </c>
      <c r="AH320" t="e">
        <f t="shared" si="9"/>
        <v>#N/A</v>
      </c>
    </row>
    <row r="321" spans="8:34" x14ac:dyDescent="0.2">
      <c r="H321" s="5"/>
      <c r="I321" s="5"/>
      <c r="J321" s="5"/>
      <c r="K321" s="5"/>
      <c r="L321" s="95"/>
      <c r="O321" s="4"/>
      <c r="P321" s="4"/>
      <c r="AB321" s="4"/>
      <c r="AD321" s="4"/>
      <c r="AF321" t="e">
        <f>VLOOKUP(C321,'גיליון דאטה להכל'!A:H,5,0)</f>
        <v>#N/A</v>
      </c>
      <c r="AG321" s="104">
        <f t="shared" si="8"/>
        <v>0</v>
      </c>
      <c r="AH321" t="e">
        <f t="shared" si="9"/>
        <v>#N/A</v>
      </c>
    </row>
    <row r="322" spans="8:34" x14ac:dyDescent="0.2">
      <c r="H322" s="5"/>
      <c r="I322" s="5"/>
      <c r="J322" s="5"/>
      <c r="K322" s="5"/>
      <c r="L322" s="95"/>
      <c r="O322" s="4"/>
      <c r="P322" s="4"/>
      <c r="AB322" s="4"/>
      <c r="AD322" s="4"/>
      <c r="AF322" t="e">
        <f>VLOOKUP(C322,'גיליון דאטה להכל'!A:H,5,0)</f>
        <v>#N/A</v>
      </c>
      <c r="AG322" s="104">
        <f t="shared" si="8"/>
        <v>0</v>
      </c>
      <c r="AH322" t="e">
        <f t="shared" si="9"/>
        <v>#N/A</v>
      </c>
    </row>
    <row r="323" spans="8:34" x14ac:dyDescent="0.2">
      <c r="H323" s="5"/>
      <c r="I323" s="5"/>
      <c r="J323" s="5"/>
      <c r="K323" s="5"/>
      <c r="L323" s="95"/>
      <c r="O323" s="4"/>
      <c r="P323" s="4"/>
      <c r="AB323" s="4"/>
      <c r="AD323" s="4"/>
      <c r="AF323" t="e">
        <f>VLOOKUP(C323,'גיליון דאטה להכל'!A:H,5,0)</f>
        <v>#N/A</v>
      </c>
      <c r="AG323" s="104">
        <f t="shared" ref="AG323:AG386" si="10">I323+H323</f>
        <v>0</v>
      </c>
      <c r="AH323" t="e">
        <f t="shared" ref="AH323:AH386" si="11">_xlfn.CONCAT(AF323,N323)</f>
        <v>#N/A</v>
      </c>
    </row>
    <row r="324" spans="8:34" x14ac:dyDescent="0.2">
      <c r="H324" s="5"/>
      <c r="I324" s="5"/>
      <c r="J324" s="5"/>
      <c r="K324" s="5"/>
      <c r="L324" s="95"/>
      <c r="O324" s="4"/>
      <c r="P324" s="4"/>
      <c r="AB324" s="4"/>
      <c r="AD324" s="4"/>
      <c r="AF324" t="e">
        <f>VLOOKUP(C324,'גיליון דאטה להכל'!A:H,5,0)</f>
        <v>#N/A</v>
      </c>
      <c r="AG324" s="104">
        <f t="shared" si="10"/>
        <v>0</v>
      </c>
      <c r="AH324" t="e">
        <f t="shared" si="11"/>
        <v>#N/A</v>
      </c>
    </row>
    <row r="325" spans="8:34" x14ac:dyDescent="0.2">
      <c r="H325" s="5"/>
      <c r="I325" s="5"/>
      <c r="J325" s="5"/>
      <c r="K325" s="5"/>
      <c r="L325" s="95"/>
      <c r="O325" s="4"/>
      <c r="P325" s="4"/>
      <c r="AB325" s="4"/>
      <c r="AD325" s="4"/>
      <c r="AF325" t="e">
        <f>VLOOKUP(C325,'גיליון דאטה להכל'!A:H,5,0)</f>
        <v>#N/A</v>
      </c>
      <c r="AG325" s="104">
        <f t="shared" si="10"/>
        <v>0</v>
      </c>
      <c r="AH325" t="e">
        <f t="shared" si="11"/>
        <v>#N/A</v>
      </c>
    </row>
    <row r="326" spans="8:34" x14ac:dyDescent="0.2">
      <c r="H326" s="5"/>
      <c r="I326" s="5"/>
      <c r="J326" s="5"/>
      <c r="K326" s="5"/>
      <c r="L326" s="95"/>
      <c r="O326" s="4"/>
      <c r="P326" s="4"/>
      <c r="AB326" s="4"/>
      <c r="AD326" s="4"/>
      <c r="AF326" t="e">
        <f>VLOOKUP(C326,'גיליון דאטה להכל'!A:H,5,0)</f>
        <v>#N/A</v>
      </c>
      <c r="AG326" s="104">
        <f t="shared" si="10"/>
        <v>0</v>
      </c>
      <c r="AH326" t="e">
        <f t="shared" si="11"/>
        <v>#N/A</v>
      </c>
    </row>
    <row r="327" spans="8:34" x14ac:dyDescent="0.2">
      <c r="H327" s="5"/>
      <c r="I327" s="5"/>
      <c r="J327" s="5"/>
      <c r="K327" s="5"/>
      <c r="L327" s="95"/>
      <c r="O327" s="4"/>
      <c r="P327" s="4"/>
      <c r="AB327" s="4"/>
      <c r="AD327" s="4"/>
      <c r="AF327" t="e">
        <f>VLOOKUP(C327,'גיליון דאטה להכל'!A:H,5,0)</f>
        <v>#N/A</v>
      </c>
      <c r="AG327" s="104">
        <f t="shared" si="10"/>
        <v>0</v>
      </c>
      <c r="AH327" t="e">
        <f t="shared" si="11"/>
        <v>#N/A</v>
      </c>
    </row>
    <row r="328" spans="8:34" x14ac:dyDescent="0.2">
      <c r="H328" s="5"/>
      <c r="I328" s="5"/>
      <c r="J328" s="5"/>
      <c r="K328" s="5"/>
      <c r="L328" s="95"/>
      <c r="O328" s="4"/>
      <c r="P328" s="4"/>
      <c r="AB328" s="4"/>
      <c r="AD328" s="4"/>
      <c r="AF328" t="e">
        <f>VLOOKUP(C328,'גיליון דאטה להכל'!A:H,5,0)</f>
        <v>#N/A</v>
      </c>
      <c r="AG328" s="104">
        <f t="shared" si="10"/>
        <v>0</v>
      </c>
      <c r="AH328" t="e">
        <f t="shared" si="11"/>
        <v>#N/A</v>
      </c>
    </row>
    <row r="329" spans="8:34" x14ac:dyDescent="0.2">
      <c r="H329" s="5"/>
      <c r="I329" s="5"/>
      <c r="J329" s="5"/>
      <c r="K329" s="5"/>
      <c r="L329" s="95"/>
      <c r="O329" s="4"/>
      <c r="P329" s="4"/>
      <c r="AB329" s="4"/>
      <c r="AD329" s="4"/>
      <c r="AF329" t="e">
        <f>VLOOKUP(C329,'גיליון דאטה להכל'!A:H,5,0)</f>
        <v>#N/A</v>
      </c>
      <c r="AG329" s="104">
        <f t="shared" si="10"/>
        <v>0</v>
      </c>
      <c r="AH329" t="e">
        <f t="shared" si="11"/>
        <v>#N/A</v>
      </c>
    </row>
    <row r="330" spans="8:34" x14ac:dyDescent="0.2">
      <c r="H330" s="5"/>
      <c r="I330" s="5"/>
      <c r="J330" s="5"/>
      <c r="K330" s="5"/>
      <c r="L330" s="95"/>
      <c r="O330" s="4"/>
      <c r="P330" s="4"/>
      <c r="AB330" s="4"/>
      <c r="AD330" s="4"/>
      <c r="AF330" t="e">
        <f>VLOOKUP(C330,'גיליון דאטה להכל'!A:H,5,0)</f>
        <v>#N/A</v>
      </c>
      <c r="AG330" s="104">
        <f t="shared" si="10"/>
        <v>0</v>
      </c>
      <c r="AH330" t="e">
        <f t="shared" si="11"/>
        <v>#N/A</v>
      </c>
    </row>
    <row r="331" spans="8:34" x14ac:dyDescent="0.2">
      <c r="H331" s="5"/>
      <c r="I331" s="5"/>
      <c r="J331" s="5"/>
      <c r="K331" s="5"/>
      <c r="L331" s="95"/>
      <c r="O331" s="4"/>
      <c r="P331" s="4"/>
      <c r="AB331" s="4"/>
      <c r="AD331" s="4"/>
      <c r="AF331" t="e">
        <f>VLOOKUP(C331,'גיליון דאטה להכל'!A:H,5,0)</f>
        <v>#N/A</v>
      </c>
      <c r="AG331" s="104">
        <f t="shared" si="10"/>
        <v>0</v>
      </c>
      <c r="AH331" t="e">
        <f t="shared" si="11"/>
        <v>#N/A</v>
      </c>
    </row>
    <row r="332" spans="8:34" x14ac:dyDescent="0.2">
      <c r="H332" s="5"/>
      <c r="I332" s="5"/>
      <c r="J332" s="5"/>
      <c r="K332" s="5"/>
      <c r="L332" s="95"/>
      <c r="O332" s="4"/>
      <c r="P332" s="4"/>
      <c r="AB332" s="4"/>
      <c r="AD332" s="4"/>
      <c r="AF332" t="e">
        <f>VLOOKUP(C332,'גיליון דאטה להכל'!A:H,5,0)</f>
        <v>#N/A</v>
      </c>
      <c r="AG332" s="104">
        <f t="shared" si="10"/>
        <v>0</v>
      </c>
      <c r="AH332" t="e">
        <f t="shared" si="11"/>
        <v>#N/A</v>
      </c>
    </row>
    <row r="333" spans="8:34" x14ac:dyDescent="0.2">
      <c r="H333" s="5"/>
      <c r="I333" s="5"/>
      <c r="J333" s="5"/>
      <c r="K333" s="5"/>
      <c r="L333" s="95"/>
      <c r="O333" s="4"/>
      <c r="P333" s="4"/>
      <c r="AB333" s="4"/>
      <c r="AD333" s="4"/>
      <c r="AF333" t="e">
        <f>VLOOKUP(C333,'גיליון דאטה להכל'!A:H,5,0)</f>
        <v>#N/A</v>
      </c>
      <c r="AG333" s="104">
        <f t="shared" si="10"/>
        <v>0</v>
      </c>
      <c r="AH333" t="e">
        <f t="shared" si="11"/>
        <v>#N/A</v>
      </c>
    </row>
    <row r="334" spans="8:34" x14ac:dyDescent="0.2">
      <c r="H334" s="5"/>
      <c r="I334" s="5"/>
      <c r="J334" s="5"/>
      <c r="K334" s="5"/>
      <c r="L334" s="95"/>
      <c r="O334" s="4"/>
      <c r="P334" s="4"/>
      <c r="AB334" s="4"/>
      <c r="AD334" s="4"/>
      <c r="AF334" t="e">
        <f>VLOOKUP(C334,'גיליון דאטה להכל'!A:H,5,0)</f>
        <v>#N/A</v>
      </c>
      <c r="AG334" s="104">
        <f t="shared" si="10"/>
        <v>0</v>
      </c>
      <c r="AH334" t="e">
        <f t="shared" si="11"/>
        <v>#N/A</v>
      </c>
    </row>
    <row r="335" spans="8:34" x14ac:dyDescent="0.2">
      <c r="H335" s="5"/>
      <c r="I335" s="5"/>
      <c r="J335" s="5"/>
      <c r="K335" s="5"/>
      <c r="O335" s="4"/>
      <c r="P335" s="4"/>
      <c r="AB335" s="4"/>
      <c r="AD335" s="4"/>
      <c r="AF335" t="e">
        <f>VLOOKUP(C335,'גיליון דאטה להכל'!A:H,5,0)</f>
        <v>#N/A</v>
      </c>
      <c r="AG335" s="104">
        <f t="shared" si="10"/>
        <v>0</v>
      </c>
      <c r="AH335" t="e">
        <f t="shared" si="11"/>
        <v>#N/A</v>
      </c>
    </row>
    <row r="336" spans="8:34" x14ac:dyDescent="0.2">
      <c r="H336" s="5"/>
      <c r="I336" s="5"/>
      <c r="J336" s="5"/>
      <c r="K336" s="5"/>
      <c r="L336" s="95"/>
      <c r="O336" s="4"/>
      <c r="P336" s="4"/>
      <c r="AB336" s="4"/>
      <c r="AD336" s="4"/>
      <c r="AF336" t="e">
        <f>VLOOKUP(C336,'גיליון דאטה להכל'!A:H,5,0)</f>
        <v>#N/A</v>
      </c>
      <c r="AG336" s="104">
        <f t="shared" si="10"/>
        <v>0</v>
      </c>
      <c r="AH336" t="e">
        <f t="shared" si="11"/>
        <v>#N/A</v>
      </c>
    </row>
    <row r="337" spans="8:34" x14ac:dyDescent="0.2">
      <c r="H337" s="5"/>
      <c r="I337" s="5"/>
      <c r="J337" s="5"/>
      <c r="K337" s="5"/>
      <c r="L337" s="95"/>
      <c r="O337" s="4"/>
      <c r="P337" s="4"/>
      <c r="AB337" s="4"/>
      <c r="AD337" s="4"/>
      <c r="AF337" t="e">
        <f>VLOOKUP(C337,'גיליון דאטה להכל'!A:H,5,0)</f>
        <v>#N/A</v>
      </c>
      <c r="AG337" s="104">
        <f t="shared" si="10"/>
        <v>0</v>
      </c>
      <c r="AH337" t="e">
        <f t="shared" si="11"/>
        <v>#N/A</v>
      </c>
    </row>
    <row r="338" spans="8:34" x14ac:dyDescent="0.2">
      <c r="H338" s="5"/>
      <c r="I338" s="5"/>
      <c r="J338" s="5"/>
      <c r="K338" s="5"/>
      <c r="L338" s="95"/>
      <c r="O338" s="4"/>
      <c r="P338" s="4"/>
      <c r="AB338" s="4"/>
      <c r="AD338" s="4"/>
      <c r="AF338" t="e">
        <f>VLOOKUP(C338,'גיליון דאטה להכל'!A:H,5,0)</f>
        <v>#N/A</v>
      </c>
      <c r="AG338" s="104">
        <f t="shared" si="10"/>
        <v>0</v>
      </c>
      <c r="AH338" t="e">
        <f t="shared" si="11"/>
        <v>#N/A</v>
      </c>
    </row>
    <row r="339" spans="8:34" x14ac:dyDescent="0.2">
      <c r="H339" s="5"/>
      <c r="I339" s="5"/>
      <c r="J339" s="5"/>
      <c r="K339" s="5"/>
      <c r="L339" s="95"/>
      <c r="O339" s="4"/>
      <c r="P339" s="4"/>
      <c r="AB339" s="4"/>
      <c r="AD339" s="4"/>
      <c r="AF339" t="e">
        <f>VLOOKUP(C339,'גיליון דאטה להכל'!A:H,5,0)</f>
        <v>#N/A</v>
      </c>
      <c r="AG339" s="104">
        <f t="shared" si="10"/>
        <v>0</v>
      </c>
      <c r="AH339" t="e">
        <f t="shared" si="11"/>
        <v>#N/A</v>
      </c>
    </row>
    <row r="340" spans="8:34" x14ac:dyDescent="0.2">
      <c r="H340" s="5"/>
      <c r="I340" s="5"/>
      <c r="J340" s="5"/>
      <c r="K340" s="5"/>
      <c r="L340" s="95"/>
      <c r="O340" s="4"/>
      <c r="P340" s="4"/>
      <c r="AB340" s="4"/>
      <c r="AD340" s="4"/>
      <c r="AF340" t="e">
        <f>VLOOKUP(C340,'גיליון דאטה להכל'!A:H,5,0)</f>
        <v>#N/A</v>
      </c>
      <c r="AG340" s="104">
        <f t="shared" si="10"/>
        <v>0</v>
      </c>
      <c r="AH340" t="e">
        <f t="shared" si="11"/>
        <v>#N/A</v>
      </c>
    </row>
    <row r="341" spans="8:34" x14ac:dyDescent="0.2">
      <c r="H341" s="5"/>
      <c r="I341" s="5"/>
      <c r="J341" s="5"/>
      <c r="K341" s="5"/>
      <c r="L341" s="95"/>
      <c r="O341" s="4"/>
      <c r="P341" s="4"/>
      <c r="AB341" s="4"/>
      <c r="AD341" s="4"/>
      <c r="AF341" t="e">
        <f>VLOOKUP(C341,'גיליון דאטה להכל'!A:H,5,0)</f>
        <v>#N/A</v>
      </c>
      <c r="AG341" s="104">
        <f t="shared" si="10"/>
        <v>0</v>
      </c>
      <c r="AH341" t="e">
        <f t="shared" si="11"/>
        <v>#N/A</v>
      </c>
    </row>
    <row r="342" spans="8:34" x14ac:dyDescent="0.2">
      <c r="H342" s="5"/>
      <c r="I342" s="5"/>
      <c r="J342" s="5"/>
      <c r="K342" s="5"/>
      <c r="L342" s="95"/>
      <c r="O342" s="4"/>
      <c r="P342" s="4"/>
      <c r="AB342" s="4"/>
      <c r="AD342" s="4"/>
      <c r="AF342" t="e">
        <f>VLOOKUP(C342,'גיליון דאטה להכל'!A:H,5,0)</f>
        <v>#N/A</v>
      </c>
      <c r="AG342" s="104">
        <f t="shared" si="10"/>
        <v>0</v>
      </c>
      <c r="AH342" t="e">
        <f t="shared" si="11"/>
        <v>#N/A</v>
      </c>
    </row>
    <row r="343" spans="8:34" x14ac:dyDescent="0.2">
      <c r="H343" s="5"/>
      <c r="I343" s="5"/>
      <c r="J343" s="5"/>
      <c r="K343" s="5"/>
      <c r="L343" s="95"/>
      <c r="O343" s="4"/>
      <c r="P343" s="4"/>
      <c r="AB343" s="4"/>
      <c r="AD343" s="4"/>
      <c r="AF343" t="e">
        <f>VLOOKUP(C343,'גיליון דאטה להכל'!A:H,5,0)</f>
        <v>#N/A</v>
      </c>
      <c r="AG343" s="104">
        <f t="shared" si="10"/>
        <v>0</v>
      </c>
      <c r="AH343" t="e">
        <f t="shared" si="11"/>
        <v>#N/A</v>
      </c>
    </row>
    <row r="344" spans="8:34" x14ac:dyDescent="0.2">
      <c r="H344" s="5"/>
      <c r="I344" s="5"/>
      <c r="J344" s="5"/>
      <c r="K344" s="5"/>
      <c r="L344" s="95"/>
      <c r="O344" s="4"/>
      <c r="P344" s="4"/>
      <c r="AB344" s="4"/>
      <c r="AD344" s="4"/>
      <c r="AF344" t="e">
        <f>VLOOKUP(C344,'גיליון דאטה להכל'!A:H,5,0)</f>
        <v>#N/A</v>
      </c>
      <c r="AG344" s="104">
        <f t="shared" si="10"/>
        <v>0</v>
      </c>
      <c r="AH344" t="e">
        <f t="shared" si="11"/>
        <v>#N/A</v>
      </c>
    </row>
    <row r="345" spans="8:34" x14ac:dyDescent="0.2">
      <c r="H345" s="5"/>
      <c r="I345" s="5"/>
      <c r="J345" s="5"/>
      <c r="K345" s="5"/>
      <c r="L345" s="95"/>
      <c r="O345" s="4"/>
      <c r="P345" s="4"/>
      <c r="AB345" s="4"/>
      <c r="AD345" s="4"/>
      <c r="AF345" t="e">
        <f>VLOOKUP(C345,'גיליון דאטה להכל'!A:H,5,0)</f>
        <v>#N/A</v>
      </c>
      <c r="AG345" s="104">
        <f t="shared" si="10"/>
        <v>0</v>
      </c>
      <c r="AH345" t="e">
        <f t="shared" si="11"/>
        <v>#N/A</v>
      </c>
    </row>
    <row r="346" spans="8:34" x14ac:dyDescent="0.2">
      <c r="H346" s="5"/>
      <c r="I346" s="5"/>
      <c r="J346" s="5"/>
      <c r="K346" s="5"/>
      <c r="L346" s="95"/>
      <c r="O346" s="4"/>
      <c r="P346" s="4"/>
      <c r="AB346" s="4"/>
      <c r="AD346" s="4"/>
      <c r="AF346" t="e">
        <f>VLOOKUP(C346,'גיליון דאטה להכל'!A:H,5,0)</f>
        <v>#N/A</v>
      </c>
      <c r="AG346" s="104">
        <f t="shared" si="10"/>
        <v>0</v>
      </c>
      <c r="AH346" t="e">
        <f t="shared" si="11"/>
        <v>#N/A</v>
      </c>
    </row>
    <row r="347" spans="8:34" x14ac:dyDescent="0.2">
      <c r="H347" s="5"/>
      <c r="I347" s="5"/>
      <c r="J347" s="5"/>
      <c r="K347" s="5"/>
      <c r="L347" s="95"/>
      <c r="O347" s="4"/>
      <c r="P347" s="4"/>
      <c r="AB347" s="4"/>
      <c r="AD347" s="4"/>
      <c r="AF347" t="e">
        <f>VLOOKUP(C347,'גיליון דאטה להכל'!A:H,5,0)</f>
        <v>#N/A</v>
      </c>
      <c r="AG347" s="104">
        <f t="shared" si="10"/>
        <v>0</v>
      </c>
      <c r="AH347" t="e">
        <f t="shared" si="11"/>
        <v>#N/A</v>
      </c>
    </row>
    <row r="348" spans="8:34" x14ac:dyDescent="0.2">
      <c r="H348" s="5"/>
      <c r="I348" s="5"/>
      <c r="J348" s="5"/>
      <c r="K348" s="5"/>
      <c r="L348" s="95"/>
      <c r="O348" s="4"/>
      <c r="P348" s="4"/>
      <c r="AB348" s="4"/>
      <c r="AD348" s="4"/>
      <c r="AF348" t="e">
        <f>VLOOKUP(C348,'גיליון דאטה להכל'!A:H,5,0)</f>
        <v>#N/A</v>
      </c>
      <c r="AG348" s="104">
        <f t="shared" si="10"/>
        <v>0</v>
      </c>
      <c r="AH348" t="e">
        <f t="shared" si="11"/>
        <v>#N/A</v>
      </c>
    </row>
    <row r="349" spans="8:34" x14ac:dyDescent="0.2">
      <c r="H349" s="5"/>
      <c r="I349" s="5"/>
      <c r="J349" s="5"/>
      <c r="K349" s="5"/>
      <c r="L349" s="95"/>
      <c r="O349" s="4"/>
      <c r="P349" s="4"/>
      <c r="AB349" s="4"/>
      <c r="AD349" s="4"/>
      <c r="AF349" t="e">
        <f>VLOOKUP(C349,'גיליון דאטה להכל'!A:H,5,0)</f>
        <v>#N/A</v>
      </c>
      <c r="AG349" s="104">
        <f t="shared" si="10"/>
        <v>0</v>
      </c>
      <c r="AH349" t="e">
        <f t="shared" si="11"/>
        <v>#N/A</v>
      </c>
    </row>
    <row r="350" spans="8:34" x14ac:dyDescent="0.2">
      <c r="H350" s="5"/>
      <c r="I350" s="5"/>
      <c r="J350" s="5"/>
      <c r="K350" s="5"/>
      <c r="L350" s="95"/>
      <c r="O350" s="4"/>
      <c r="P350" s="4"/>
      <c r="AB350" s="4"/>
      <c r="AD350" s="4"/>
      <c r="AF350" t="e">
        <f>VLOOKUP(C350,'גיליון דאטה להכל'!A:H,5,0)</f>
        <v>#N/A</v>
      </c>
      <c r="AG350" s="104">
        <f t="shared" si="10"/>
        <v>0</v>
      </c>
      <c r="AH350" t="e">
        <f t="shared" si="11"/>
        <v>#N/A</v>
      </c>
    </row>
    <row r="351" spans="8:34" x14ac:dyDescent="0.2">
      <c r="H351" s="5"/>
      <c r="I351" s="5"/>
      <c r="J351" s="5"/>
      <c r="K351" s="5"/>
      <c r="L351" s="95"/>
      <c r="O351" s="4"/>
      <c r="P351" s="4"/>
      <c r="AB351" s="4"/>
      <c r="AD351" s="4"/>
      <c r="AF351" t="e">
        <f>VLOOKUP(C351,'גיליון דאטה להכל'!A:H,5,0)</f>
        <v>#N/A</v>
      </c>
      <c r="AG351" s="104">
        <f t="shared" si="10"/>
        <v>0</v>
      </c>
      <c r="AH351" t="e">
        <f t="shared" si="11"/>
        <v>#N/A</v>
      </c>
    </row>
    <row r="352" spans="8:34" x14ac:dyDescent="0.2">
      <c r="H352" s="5"/>
      <c r="I352" s="5"/>
      <c r="J352" s="5"/>
      <c r="K352" s="5"/>
      <c r="L352" s="95"/>
      <c r="O352" s="4"/>
      <c r="P352" s="4"/>
      <c r="AB352" s="4"/>
      <c r="AD352" s="4"/>
      <c r="AF352" t="e">
        <f>VLOOKUP(C352,'גיליון דאטה להכל'!A:H,5,0)</f>
        <v>#N/A</v>
      </c>
      <c r="AG352" s="104">
        <f t="shared" si="10"/>
        <v>0</v>
      </c>
      <c r="AH352" t="e">
        <f t="shared" si="11"/>
        <v>#N/A</v>
      </c>
    </row>
    <row r="353" spans="8:34" x14ac:dyDescent="0.2">
      <c r="H353" s="5"/>
      <c r="I353" s="5"/>
      <c r="J353" s="5"/>
      <c r="K353" s="5"/>
      <c r="L353" s="95"/>
      <c r="O353" s="4"/>
      <c r="P353" s="4"/>
      <c r="AB353" s="4"/>
      <c r="AD353" s="4"/>
      <c r="AF353" t="e">
        <f>VLOOKUP(C353,'גיליון דאטה להכל'!A:H,5,0)</f>
        <v>#N/A</v>
      </c>
      <c r="AG353" s="104">
        <f t="shared" si="10"/>
        <v>0</v>
      </c>
      <c r="AH353" t="e">
        <f t="shared" si="11"/>
        <v>#N/A</v>
      </c>
    </row>
    <row r="354" spans="8:34" x14ac:dyDescent="0.2">
      <c r="H354" s="5"/>
      <c r="I354" s="5"/>
      <c r="J354" s="5"/>
      <c r="K354" s="5"/>
      <c r="L354" s="95"/>
      <c r="O354" s="4"/>
      <c r="P354" s="4"/>
      <c r="AB354" s="4"/>
      <c r="AD354" s="4"/>
      <c r="AF354" t="e">
        <f>VLOOKUP(C354,'גיליון דאטה להכל'!A:H,5,0)</f>
        <v>#N/A</v>
      </c>
      <c r="AG354" s="104">
        <f t="shared" si="10"/>
        <v>0</v>
      </c>
      <c r="AH354" t="e">
        <f t="shared" si="11"/>
        <v>#N/A</v>
      </c>
    </row>
    <row r="355" spans="8:34" x14ac:dyDescent="0.2">
      <c r="H355" s="5"/>
      <c r="I355" s="5"/>
      <c r="J355" s="5"/>
      <c r="K355" s="5"/>
      <c r="L355" s="95"/>
      <c r="O355" s="4"/>
      <c r="P355" s="4"/>
      <c r="AB355" s="4"/>
      <c r="AD355" s="4"/>
      <c r="AF355" t="e">
        <f>VLOOKUP(C355,'גיליון דאטה להכל'!A:H,5,0)</f>
        <v>#N/A</v>
      </c>
      <c r="AG355" s="104">
        <f t="shared" si="10"/>
        <v>0</v>
      </c>
      <c r="AH355" t="e">
        <f t="shared" si="11"/>
        <v>#N/A</v>
      </c>
    </row>
    <row r="356" spans="8:34" x14ac:dyDescent="0.2">
      <c r="H356" s="5"/>
      <c r="I356" s="5"/>
      <c r="J356" s="5"/>
      <c r="K356" s="5"/>
      <c r="L356" s="95"/>
      <c r="O356" s="4"/>
      <c r="P356" s="4"/>
      <c r="AB356" s="4"/>
      <c r="AD356" s="4"/>
      <c r="AF356" t="e">
        <f>VLOOKUP(C356,'גיליון דאטה להכל'!A:H,5,0)</f>
        <v>#N/A</v>
      </c>
      <c r="AG356" s="104">
        <f t="shared" si="10"/>
        <v>0</v>
      </c>
      <c r="AH356" t="e">
        <f t="shared" si="11"/>
        <v>#N/A</v>
      </c>
    </row>
    <row r="357" spans="8:34" x14ac:dyDescent="0.2">
      <c r="H357" s="5"/>
      <c r="I357" s="5"/>
      <c r="J357" s="5"/>
      <c r="K357" s="5"/>
      <c r="L357" s="95"/>
      <c r="O357" s="4"/>
      <c r="P357" s="4"/>
      <c r="AB357" s="4"/>
      <c r="AD357" s="4"/>
      <c r="AF357" t="e">
        <f>VLOOKUP(C357,'גיליון דאטה להכל'!A:H,5,0)</f>
        <v>#N/A</v>
      </c>
      <c r="AG357" s="104">
        <f t="shared" si="10"/>
        <v>0</v>
      </c>
      <c r="AH357" t="e">
        <f t="shared" si="11"/>
        <v>#N/A</v>
      </c>
    </row>
    <row r="358" spans="8:34" x14ac:dyDescent="0.2">
      <c r="H358" s="5"/>
      <c r="I358" s="5"/>
      <c r="J358" s="5"/>
      <c r="K358" s="5"/>
      <c r="L358" s="95"/>
      <c r="O358" s="4"/>
      <c r="P358" s="4"/>
      <c r="AB358" s="4"/>
      <c r="AD358" s="4"/>
      <c r="AF358" t="e">
        <f>VLOOKUP(C358,'גיליון דאטה להכל'!A:H,5,0)</f>
        <v>#N/A</v>
      </c>
      <c r="AG358" s="104">
        <f t="shared" si="10"/>
        <v>0</v>
      </c>
      <c r="AH358" t="e">
        <f t="shared" si="11"/>
        <v>#N/A</v>
      </c>
    </row>
    <row r="359" spans="8:34" x14ac:dyDescent="0.2">
      <c r="H359" s="5"/>
      <c r="I359" s="5"/>
      <c r="J359" s="5"/>
      <c r="K359" s="5"/>
      <c r="L359" s="95"/>
      <c r="O359" s="4"/>
      <c r="P359" s="4"/>
      <c r="AB359" s="4"/>
      <c r="AD359" s="4"/>
      <c r="AF359" t="e">
        <f>VLOOKUP(C359,'גיליון דאטה להכל'!A:H,5,0)</f>
        <v>#N/A</v>
      </c>
      <c r="AG359" s="104">
        <f t="shared" si="10"/>
        <v>0</v>
      </c>
      <c r="AH359" t="e">
        <f t="shared" si="11"/>
        <v>#N/A</v>
      </c>
    </row>
    <row r="360" spans="8:34" x14ac:dyDescent="0.2">
      <c r="H360" s="5"/>
      <c r="I360" s="5"/>
      <c r="J360" s="5"/>
      <c r="K360" s="5"/>
      <c r="L360" s="95"/>
      <c r="O360" s="4"/>
      <c r="P360" s="4"/>
      <c r="AB360" s="4"/>
      <c r="AD360" s="4"/>
      <c r="AF360" t="e">
        <f>VLOOKUP(C360,'גיליון דאטה להכל'!A:H,5,0)</f>
        <v>#N/A</v>
      </c>
      <c r="AG360" s="104">
        <f t="shared" si="10"/>
        <v>0</v>
      </c>
      <c r="AH360" t="e">
        <f t="shared" si="11"/>
        <v>#N/A</v>
      </c>
    </row>
    <row r="361" spans="8:34" x14ac:dyDescent="0.2">
      <c r="H361" s="5"/>
      <c r="I361" s="5"/>
      <c r="J361" s="5"/>
      <c r="K361" s="5"/>
      <c r="L361" s="95"/>
      <c r="O361" s="4"/>
      <c r="P361" s="4"/>
      <c r="AB361" s="4"/>
      <c r="AD361" s="4"/>
      <c r="AF361" t="e">
        <f>VLOOKUP(C361,'גיליון דאטה להכל'!A:H,5,0)</f>
        <v>#N/A</v>
      </c>
      <c r="AG361" s="104">
        <f t="shared" si="10"/>
        <v>0</v>
      </c>
      <c r="AH361" t="e">
        <f t="shared" si="11"/>
        <v>#N/A</v>
      </c>
    </row>
    <row r="362" spans="8:34" x14ac:dyDescent="0.2">
      <c r="H362" s="5"/>
      <c r="I362" s="5"/>
      <c r="J362" s="5"/>
      <c r="K362" s="5"/>
      <c r="L362" s="95"/>
      <c r="O362" s="4"/>
      <c r="P362" s="4"/>
      <c r="AB362" s="4"/>
      <c r="AD362" s="4"/>
      <c r="AF362" t="e">
        <f>VLOOKUP(C362,'גיליון דאטה להכל'!A:H,5,0)</f>
        <v>#N/A</v>
      </c>
      <c r="AG362" s="104">
        <f t="shared" si="10"/>
        <v>0</v>
      </c>
      <c r="AH362" t="e">
        <f t="shared" si="11"/>
        <v>#N/A</v>
      </c>
    </row>
    <row r="363" spans="8:34" x14ac:dyDescent="0.2">
      <c r="H363" s="5"/>
      <c r="I363" s="5"/>
      <c r="J363" s="5"/>
      <c r="K363" s="5"/>
      <c r="L363" s="95"/>
      <c r="O363" s="4"/>
      <c r="P363" s="4"/>
      <c r="AB363" s="4"/>
      <c r="AD363" s="4"/>
      <c r="AF363" t="e">
        <f>VLOOKUP(C363,'גיליון דאטה להכל'!A:H,5,0)</f>
        <v>#N/A</v>
      </c>
      <c r="AG363" s="104">
        <f t="shared" si="10"/>
        <v>0</v>
      </c>
      <c r="AH363" t="e">
        <f t="shared" si="11"/>
        <v>#N/A</v>
      </c>
    </row>
    <row r="364" spans="8:34" x14ac:dyDescent="0.2">
      <c r="H364" s="5"/>
      <c r="I364" s="5"/>
      <c r="J364" s="5"/>
      <c r="K364" s="5"/>
      <c r="L364" s="95"/>
      <c r="O364" s="4"/>
      <c r="P364" s="4"/>
      <c r="AB364" s="4"/>
      <c r="AD364" s="4"/>
      <c r="AF364" t="e">
        <f>VLOOKUP(C364,'גיליון דאטה להכל'!A:H,5,0)</f>
        <v>#N/A</v>
      </c>
      <c r="AG364" s="104">
        <f t="shared" si="10"/>
        <v>0</v>
      </c>
      <c r="AH364" t="e">
        <f t="shared" si="11"/>
        <v>#N/A</v>
      </c>
    </row>
    <row r="365" spans="8:34" x14ac:dyDescent="0.2">
      <c r="H365" s="5"/>
      <c r="I365" s="5"/>
      <c r="J365" s="5"/>
      <c r="K365" s="5"/>
      <c r="L365" s="95"/>
      <c r="O365" s="4"/>
      <c r="P365" s="4"/>
      <c r="AB365" s="4"/>
      <c r="AD365" s="4"/>
      <c r="AF365" t="e">
        <f>VLOOKUP(C365,'גיליון דאטה להכל'!A:H,5,0)</f>
        <v>#N/A</v>
      </c>
      <c r="AG365" s="104">
        <f t="shared" si="10"/>
        <v>0</v>
      </c>
      <c r="AH365" t="e">
        <f t="shared" si="11"/>
        <v>#N/A</v>
      </c>
    </row>
    <row r="366" spans="8:34" x14ac:dyDescent="0.2">
      <c r="H366" s="5"/>
      <c r="I366" s="5"/>
      <c r="J366" s="5"/>
      <c r="K366" s="5"/>
      <c r="L366" s="95"/>
      <c r="O366" s="4"/>
      <c r="P366" s="4"/>
      <c r="AB366" s="4"/>
      <c r="AD366" s="4"/>
      <c r="AF366" t="e">
        <f>VLOOKUP(C366,'גיליון דאטה להכל'!A:H,5,0)</f>
        <v>#N/A</v>
      </c>
      <c r="AG366" s="104">
        <f t="shared" si="10"/>
        <v>0</v>
      </c>
      <c r="AH366" t="e">
        <f t="shared" si="11"/>
        <v>#N/A</v>
      </c>
    </row>
    <row r="367" spans="8:34" x14ac:dyDescent="0.2">
      <c r="H367" s="5"/>
      <c r="I367" s="5"/>
      <c r="J367" s="5"/>
      <c r="K367" s="5"/>
      <c r="L367" s="95"/>
      <c r="O367" s="4"/>
      <c r="P367" s="4"/>
      <c r="AB367" s="4"/>
      <c r="AD367" s="4"/>
      <c r="AF367" t="e">
        <f>VLOOKUP(C367,'גיליון דאטה להכל'!A:H,5,0)</f>
        <v>#N/A</v>
      </c>
      <c r="AG367" s="104">
        <f t="shared" si="10"/>
        <v>0</v>
      </c>
      <c r="AH367" t="e">
        <f t="shared" si="11"/>
        <v>#N/A</v>
      </c>
    </row>
    <row r="368" spans="8:34" x14ac:dyDescent="0.2">
      <c r="H368" s="5"/>
      <c r="I368" s="5"/>
      <c r="J368" s="5"/>
      <c r="K368" s="5"/>
      <c r="L368" s="95"/>
      <c r="O368" s="4"/>
      <c r="P368" s="4"/>
      <c r="AB368" s="4"/>
      <c r="AD368" s="4"/>
      <c r="AF368" t="e">
        <f>VLOOKUP(C368,'גיליון דאטה להכל'!A:H,5,0)</f>
        <v>#N/A</v>
      </c>
      <c r="AG368" s="104">
        <f t="shared" si="10"/>
        <v>0</v>
      </c>
      <c r="AH368" t="e">
        <f t="shared" si="11"/>
        <v>#N/A</v>
      </c>
    </row>
    <row r="369" spans="8:34" x14ac:dyDescent="0.2">
      <c r="H369" s="5"/>
      <c r="I369" s="5"/>
      <c r="J369" s="5"/>
      <c r="K369" s="5"/>
      <c r="L369" s="95"/>
      <c r="O369" s="4"/>
      <c r="P369" s="4"/>
      <c r="AB369" s="4"/>
      <c r="AD369" s="4"/>
      <c r="AF369" t="e">
        <f>VLOOKUP(C369,'גיליון דאטה להכל'!A:H,5,0)</f>
        <v>#N/A</v>
      </c>
      <c r="AG369" s="104">
        <f t="shared" si="10"/>
        <v>0</v>
      </c>
      <c r="AH369" t="e">
        <f t="shared" si="11"/>
        <v>#N/A</v>
      </c>
    </row>
    <row r="370" spans="8:34" x14ac:dyDescent="0.2">
      <c r="H370" s="5"/>
      <c r="I370" s="5"/>
      <c r="J370" s="5"/>
      <c r="K370" s="5"/>
      <c r="L370" s="95"/>
      <c r="O370" s="4"/>
      <c r="P370" s="4"/>
      <c r="AB370" s="4"/>
      <c r="AD370" s="4"/>
      <c r="AF370" t="e">
        <f>VLOOKUP(C370,'גיליון דאטה להכל'!A:H,5,0)</f>
        <v>#N/A</v>
      </c>
      <c r="AG370" s="104">
        <f t="shared" si="10"/>
        <v>0</v>
      </c>
      <c r="AH370" t="e">
        <f t="shared" si="11"/>
        <v>#N/A</v>
      </c>
    </row>
    <row r="371" spans="8:34" x14ac:dyDescent="0.2">
      <c r="H371" s="5"/>
      <c r="I371" s="5"/>
      <c r="J371" s="5"/>
      <c r="K371" s="5"/>
      <c r="L371" s="95"/>
      <c r="O371" s="4"/>
      <c r="P371" s="4"/>
      <c r="AB371" s="4"/>
      <c r="AD371" s="4"/>
      <c r="AF371" t="e">
        <f>VLOOKUP(C371,'גיליון דאטה להכל'!A:H,5,0)</f>
        <v>#N/A</v>
      </c>
      <c r="AG371" s="104">
        <f t="shared" si="10"/>
        <v>0</v>
      </c>
      <c r="AH371" t="e">
        <f t="shared" si="11"/>
        <v>#N/A</v>
      </c>
    </row>
    <row r="372" spans="8:34" x14ac:dyDescent="0.2">
      <c r="H372" s="5"/>
      <c r="I372" s="5"/>
      <c r="J372" s="5"/>
      <c r="K372" s="5"/>
      <c r="L372" s="95"/>
      <c r="O372" s="4"/>
      <c r="P372" s="4"/>
      <c r="AB372" s="4"/>
      <c r="AD372" s="4"/>
      <c r="AF372" t="e">
        <f>VLOOKUP(C372,'גיליון דאטה להכל'!A:H,5,0)</f>
        <v>#N/A</v>
      </c>
      <c r="AG372" s="104">
        <f t="shared" si="10"/>
        <v>0</v>
      </c>
      <c r="AH372" t="e">
        <f t="shared" si="11"/>
        <v>#N/A</v>
      </c>
    </row>
    <row r="373" spans="8:34" x14ac:dyDescent="0.2">
      <c r="H373" s="5"/>
      <c r="I373" s="5"/>
      <c r="J373" s="5"/>
      <c r="K373" s="5"/>
      <c r="L373" s="95"/>
      <c r="O373" s="4"/>
      <c r="P373" s="4"/>
      <c r="AB373" s="4"/>
      <c r="AD373" s="4"/>
      <c r="AF373" t="e">
        <f>VLOOKUP(C373,'גיליון דאטה להכל'!A:H,5,0)</f>
        <v>#N/A</v>
      </c>
      <c r="AG373" s="104">
        <f t="shared" si="10"/>
        <v>0</v>
      </c>
      <c r="AH373" t="e">
        <f t="shared" si="11"/>
        <v>#N/A</v>
      </c>
    </row>
    <row r="374" spans="8:34" x14ac:dyDescent="0.2">
      <c r="H374" s="5"/>
      <c r="I374" s="5"/>
      <c r="J374" s="5"/>
      <c r="K374" s="5"/>
      <c r="L374" s="95"/>
      <c r="O374" s="4"/>
      <c r="P374" s="4"/>
      <c r="AB374" s="4"/>
      <c r="AD374" s="4"/>
      <c r="AF374" t="e">
        <f>VLOOKUP(C374,'גיליון דאטה להכל'!A:H,5,0)</f>
        <v>#N/A</v>
      </c>
      <c r="AG374" s="104">
        <f t="shared" si="10"/>
        <v>0</v>
      </c>
      <c r="AH374" t="e">
        <f t="shared" si="11"/>
        <v>#N/A</v>
      </c>
    </row>
    <row r="375" spans="8:34" x14ac:dyDescent="0.2">
      <c r="H375" s="5"/>
      <c r="I375" s="5"/>
      <c r="J375" s="5"/>
      <c r="K375" s="5"/>
      <c r="L375" s="95"/>
      <c r="O375" s="4"/>
      <c r="P375" s="4"/>
      <c r="AB375" s="4"/>
      <c r="AD375" s="4"/>
      <c r="AF375" t="e">
        <f>VLOOKUP(C375,'גיליון דאטה להכל'!A:H,5,0)</f>
        <v>#N/A</v>
      </c>
      <c r="AG375" s="104">
        <f t="shared" si="10"/>
        <v>0</v>
      </c>
      <c r="AH375" t="e">
        <f t="shared" si="11"/>
        <v>#N/A</v>
      </c>
    </row>
    <row r="376" spans="8:34" x14ac:dyDescent="0.2">
      <c r="H376" s="5"/>
      <c r="I376" s="5"/>
      <c r="J376" s="5"/>
      <c r="K376" s="5"/>
      <c r="L376" s="95"/>
      <c r="O376" s="4"/>
      <c r="P376" s="4"/>
      <c r="AB376" s="4"/>
      <c r="AD376" s="4"/>
      <c r="AF376" t="e">
        <f>VLOOKUP(C376,'גיליון דאטה להכל'!A:H,5,0)</f>
        <v>#N/A</v>
      </c>
      <c r="AG376" s="104">
        <f t="shared" si="10"/>
        <v>0</v>
      </c>
      <c r="AH376" t="e">
        <f t="shared" si="11"/>
        <v>#N/A</v>
      </c>
    </row>
    <row r="377" spans="8:34" x14ac:dyDescent="0.2">
      <c r="H377" s="5"/>
      <c r="I377" s="5"/>
      <c r="J377" s="5"/>
      <c r="K377" s="5"/>
      <c r="L377" s="95"/>
      <c r="O377" s="4"/>
      <c r="P377" s="4"/>
      <c r="AB377" s="4"/>
      <c r="AD377" s="4"/>
      <c r="AF377" t="e">
        <f>VLOOKUP(C377,'גיליון דאטה להכל'!A:H,5,0)</f>
        <v>#N/A</v>
      </c>
      <c r="AG377" s="104">
        <f t="shared" si="10"/>
        <v>0</v>
      </c>
      <c r="AH377" t="e">
        <f t="shared" si="11"/>
        <v>#N/A</v>
      </c>
    </row>
    <row r="378" spans="8:34" x14ac:dyDescent="0.2">
      <c r="H378" s="5"/>
      <c r="I378" s="5"/>
      <c r="J378" s="5"/>
      <c r="K378" s="5"/>
      <c r="L378" s="95"/>
      <c r="O378" s="4"/>
      <c r="P378" s="4"/>
      <c r="AB378" s="4"/>
      <c r="AD378" s="4"/>
      <c r="AF378" t="e">
        <f>VLOOKUP(C378,'גיליון דאטה להכל'!A:H,5,0)</f>
        <v>#N/A</v>
      </c>
      <c r="AG378" s="104">
        <f t="shared" si="10"/>
        <v>0</v>
      </c>
      <c r="AH378" t="e">
        <f t="shared" si="11"/>
        <v>#N/A</v>
      </c>
    </row>
    <row r="379" spans="8:34" x14ac:dyDescent="0.2">
      <c r="H379" s="5"/>
      <c r="I379" s="5"/>
      <c r="J379" s="5"/>
      <c r="K379" s="5"/>
      <c r="L379" s="95"/>
      <c r="O379" s="4"/>
      <c r="P379" s="4"/>
      <c r="AB379" s="4"/>
      <c r="AD379" s="4"/>
      <c r="AF379" t="e">
        <f>VLOOKUP(C379,'גיליון דאטה להכל'!A:H,5,0)</f>
        <v>#N/A</v>
      </c>
      <c r="AG379" s="104">
        <f t="shared" si="10"/>
        <v>0</v>
      </c>
      <c r="AH379" t="e">
        <f t="shared" si="11"/>
        <v>#N/A</v>
      </c>
    </row>
    <row r="380" spans="8:34" x14ac:dyDescent="0.2">
      <c r="H380" s="5"/>
      <c r="I380" s="5"/>
      <c r="J380" s="5"/>
      <c r="K380" s="5"/>
      <c r="L380" s="95"/>
      <c r="O380" s="4"/>
      <c r="P380" s="4"/>
      <c r="AB380" s="4"/>
      <c r="AD380" s="4"/>
      <c r="AF380" t="e">
        <f>VLOOKUP(C380,'גיליון דאטה להכל'!A:H,5,0)</f>
        <v>#N/A</v>
      </c>
      <c r="AG380" s="104">
        <f t="shared" si="10"/>
        <v>0</v>
      </c>
      <c r="AH380" t="e">
        <f t="shared" si="11"/>
        <v>#N/A</v>
      </c>
    </row>
    <row r="381" spans="8:34" x14ac:dyDescent="0.2">
      <c r="H381" s="5"/>
      <c r="I381" s="5"/>
      <c r="J381" s="5"/>
      <c r="K381" s="5"/>
      <c r="L381" s="95"/>
      <c r="O381" s="4"/>
      <c r="P381" s="4"/>
      <c r="AB381" s="4"/>
      <c r="AD381" s="4"/>
      <c r="AF381" t="e">
        <f>VLOOKUP(C381,'גיליון דאטה להכל'!A:H,5,0)</f>
        <v>#N/A</v>
      </c>
      <c r="AG381" s="104">
        <f t="shared" si="10"/>
        <v>0</v>
      </c>
      <c r="AH381" t="e">
        <f t="shared" si="11"/>
        <v>#N/A</v>
      </c>
    </row>
    <row r="382" spans="8:34" x14ac:dyDescent="0.2">
      <c r="H382" s="5"/>
      <c r="I382" s="5"/>
      <c r="J382" s="5"/>
      <c r="K382" s="5"/>
      <c r="L382" s="95"/>
      <c r="O382" s="4"/>
      <c r="P382" s="4"/>
      <c r="AB382" s="4"/>
      <c r="AD382" s="4"/>
      <c r="AF382" t="e">
        <f>VLOOKUP(C382,'גיליון דאטה להכל'!A:H,5,0)</f>
        <v>#N/A</v>
      </c>
      <c r="AG382" s="104">
        <f t="shared" si="10"/>
        <v>0</v>
      </c>
      <c r="AH382" t="e">
        <f t="shared" si="11"/>
        <v>#N/A</v>
      </c>
    </row>
    <row r="383" spans="8:34" x14ac:dyDescent="0.2">
      <c r="H383" s="5"/>
      <c r="I383" s="5"/>
      <c r="J383" s="5"/>
      <c r="K383" s="5"/>
      <c r="L383" s="95"/>
      <c r="O383" s="4"/>
      <c r="P383" s="4"/>
      <c r="AB383" s="4"/>
      <c r="AD383" s="4"/>
      <c r="AF383" t="e">
        <f>VLOOKUP(C383,'גיליון דאטה להכל'!A:H,5,0)</f>
        <v>#N/A</v>
      </c>
      <c r="AG383" s="104">
        <f t="shared" si="10"/>
        <v>0</v>
      </c>
      <c r="AH383" t="e">
        <f t="shared" si="11"/>
        <v>#N/A</v>
      </c>
    </row>
    <row r="384" spans="8:34" x14ac:dyDescent="0.2">
      <c r="H384" s="5"/>
      <c r="I384" s="5"/>
      <c r="J384" s="5"/>
      <c r="K384" s="5"/>
      <c r="L384" s="95"/>
      <c r="O384" s="4"/>
      <c r="P384" s="4"/>
      <c r="AB384" s="4"/>
      <c r="AD384" s="4"/>
      <c r="AF384" t="e">
        <f>VLOOKUP(C384,'גיליון דאטה להכל'!A:H,5,0)</f>
        <v>#N/A</v>
      </c>
      <c r="AG384" s="104">
        <f t="shared" si="10"/>
        <v>0</v>
      </c>
      <c r="AH384" t="e">
        <f t="shared" si="11"/>
        <v>#N/A</v>
      </c>
    </row>
    <row r="385" spans="8:34" x14ac:dyDescent="0.2">
      <c r="H385" s="5"/>
      <c r="I385" s="5"/>
      <c r="J385" s="5"/>
      <c r="K385" s="5"/>
      <c r="L385" s="95"/>
      <c r="O385" s="4"/>
      <c r="P385" s="4"/>
      <c r="AB385" s="4"/>
      <c r="AD385" s="4"/>
      <c r="AF385" t="e">
        <f>VLOOKUP(C385,'גיליון דאטה להכל'!A:H,5,0)</f>
        <v>#N/A</v>
      </c>
      <c r="AG385" s="104">
        <f t="shared" si="10"/>
        <v>0</v>
      </c>
      <c r="AH385" t="e">
        <f t="shared" si="11"/>
        <v>#N/A</v>
      </c>
    </row>
    <row r="386" spans="8:34" x14ac:dyDescent="0.2">
      <c r="H386" s="5"/>
      <c r="I386" s="5"/>
      <c r="J386" s="5"/>
      <c r="K386" s="5"/>
      <c r="L386" s="95"/>
      <c r="O386" s="4"/>
      <c r="P386" s="4"/>
      <c r="AB386" s="4"/>
      <c r="AD386" s="4"/>
      <c r="AF386" t="e">
        <f>VLOOKUP(C386,'גיליון דאטה להכל'!A:H,5,0)</f>
        <v>#N/A</v>
      </c>
      <c r="AG386" s="104">
        <f t="shared" si="10"/>
        <v>0</v>
      </c>
      <c r="AH386" t="e">
        <f t="shared" si="11"/>
        <v>#N/A</v>
      </c>
    </row>
    <row r="387" spans="8:34" x14ac:dyDescent="0.2">
      <c r="H387" s="5"/>
      <c r="I387" s="5"/>
      <c r="J387" s="5"/>
      <c r="K387" s="5"/>
      <c r="L387" s="95"/>
      <c r="O387" s="4"/>
      <c r="P387" s="4"/>
      <c r="AB387" s="4"/>
      <c r="AD387" s="4"/>
      <c r="AF387" t="e">
        <f>VLOOKUP(C387,'גיליון דאטה להכל'!A:H,5,0)</f>
        <v>#N/A</v>
      </c>
      <c r="AG387" s="104">
        <f t="shared" ref="AG387:AG450" si="12">I387+H387</f>
        <v>0</v>
      </c>
      <c r="AH387" t="e">
        <f t="shared" ref="AH387:AH450" si="13">_xlfn.CONCAT(AF387,N387)</f>
        <v>#N/A</v>
      </c>
    </row>
    <row r="388" spans="8:34" x14ac:dyDescent="0.2">
      <c r="H388" s="5"/>
      <c r="I388" s="5"/>
      <c r="J388" s="5"/>
      <c r="K388" s="5"/>
      <c r="L388" s="95"/>
      <c r="O388" s="4"/>
      <c r="P388" s="4"/>
      <c r="AB388" s="4"/>
      <c r="AD388" s="4"/>
      <c r="AF388" t="e">
        <f>VLOOKUP(C388,'גיליון דאטה להכל'!A:H,5,0)</f>
        <v>#N/A</v>
      </c>
      <c r="AG388" s="104">
        <f t="shared" si="12"/>
        <v>0</v>
      </c>
      <c r="AH388" t="e">
        <f t="shared" si="13"/>
        <v>#N/A</v>
      </c>
    </row>
    <row r="389" spans="8:34" x14ac:dyDescent="0.2">
      <c r="H389" s="5"/>
      <c r="I389" s="5"/>
      <c r="J389" s="5"/>
      <c r="K389" s="5"/>
      <c r="L389" s="95"/>
      <c r="O389" s="4"/>
      <c r="P389" s="4"/>
      <c r="AB389" s="4"/>
      <c r="AD389" s="4"/>
      <c r="AF389" t="e">
        <f>VLOOKUP(C389,'גיליון דאטה להכל'!A:H,5,0)</f>
        <v>#N/A</v>
      </c>
      <c r="AG389" s="104">
        <f t="shared" si="12"/>
        <v>0</v>
      </c>
      <c r="AH389" t="e">
        <f t="shared" si="13"/>
        <v>#N/A</v>
      </c>
    </row>
    <row r="390" spans="8:34" x14ac:dyDescent="0.2">
      <c r="H390" s="5"/>
      <c r="I390" s="5"/>
      <c r="J390" s="5"/>
      <c r="K390" s="5"/>
      <c r="L390" s="95"/>
      <c r="O390" s="4"/>
      <c r="P390" s="4"/>
      <c r="AB390" s="4"/>
      <c r="AD390" s="4"/>
      <c r="AF390" t="e">
        <f>VLOOKUP(C390,'גיליון דאטה להכל'!A:H,5,0)</f>
        <v>#N/A</v>
      </c>
      <c r="AG390" s="104">
        <f t="shared" si="12"/>
        <v>0</v>
      </c>
      <c r="AH390" t="e">
        <f t="shared" si="13"/>
        <v>#N/A</v>
      </c>
    </row>
    <row r="391" spans="8:34" x14ac:dyDescent="0.2">
      <c r="H391" s="5"/>
      <c r="I391" s="5"/>
      <c r="J391" s="5"/>
      <c r="K391" s="5"/>
      <c r="L391" s="95"/>
      <c r="O391" s="4"/>
      <c r="P391" s="4"/>
      <c r="AB391" s="4"/>
      <c r="AD391" s="4"/>
      <c r="AF391" t="e">
        <f>VLOOKUP(C391,'גיליון דאטה להכל'!A:H,5,0)</f>
        <v>#N/A</v>
      </c>
      <c r="AG391" s="104">
        <f t="shared" si="12"/>
        <v>0</v>
      </c>
      <c r="AH391" t="e">
        <f t="shared" si="13"/>
        <v>#N/A</v>
      </c>
    </row>
    <row r="392" spans="8:34" x14ac:dyDescent="0.2">
      <c r="H392" s="5"/>
      <c r="I392" s="5"/>
      <c r="J392" s="5"/>
      <c r="K392" s="5"/>
      <c r="L392" s="95"/>
      <c r="O392" s="4"/>
      <c r="P392" s="4"/>
      <c r="AB392" s="4"/>
      <c r="AD392" s="4"/>
      <c r="AF392" t="e">
        <f>VLOOKUP(C392,'גיליון דאטה להכל'!A:H,5,0)</f>
        <v>#N/A</v>
      </c>
      <c r="AG392" s="104">
        <f t="shared" si="12"/>
        <v>0</v>
      </c>
      <c r="AH392" t="e">
        <f t="shared" si="13"/>
        <v>#N/A</v>
      </c>
    </row>
    <row r="393" spans="8:34" x14ac:dyDescent="0.2">
      <c r="H393" s="5"/>
      <c r="I393" s="5"/>
      <c r="J393" s="5"/>
      <c r="K393" s="5"/>
      <c r="L393" s="95"/>
      <c r="O393" s="4"/>
      <c r="P393" s="4"/>
      <c r="AB393" s="4"/>
      <c r="AD393" s="4"/>
      <c r="AF393" t="e">
        <f>VLOOKUP(C393,'גיליון דאטה להכל'!A:H,5,0)</f>
        <v>#N/A</v>
      </c>
      <c r="AG393" s="104">
        <f t="shared" si="12"/>
        <v>0</v>
      </c>
      <c r="AH393" t="e">
        <f t="shared" si="13"/>
        <v>#N/A</v>
      </c>
    </row>
    <row r="394" spans="8:34" x14ac:dyDescent="0.2">
      <c r="H394" s="5"/>
      <c r="I394" s="5"/>
      <c r="J394" s="5"/>
      <c r="K394" s="5"/>
      <c r="L394" s="95"/>
      <c r="O394" s="4"/>
      <c r="P394" s="4"/>
      <c r="AB394" s="4"/>
      <c r="AD394" s="4"/>
      <c r="AF394" t="e">
        <f>VLOOKUP(C394,'גיליון דאטה להכל'!A:H,5,0)</f>
        <v>#N/A</v>
      </c>
      <c r="AG394" s="104">
        <f t="shared" si="12"/>
        <v>0</v>
      </c>
      <c r="AH394" t="e">
        <f t="shared" si="13"/>
        <v>#N/A</v>
      </c>
    </row>
    <row r="395" spans="8:34" x14ac:dyDescent="0.2">
      <c r="H395" s="5"/>
      <c r="I395" s="5"/>
      <c r="J395" s="5"/>
      <c r="K395" s="5"/>
      <c r="L395" s="95"/>
      <c r="O395" s="4"/>
      <c r="P395" s="4"/>
      <c r="AB395" s="4"/>
      <c r="AD395" s="4"/>
      <c r="AF395" t="e">
        <f>VLOOKUP(C395,'גיליון דאטה להכל'!A:H,5,0)</f>
        <v>#N/A</v>
      </c>
      <c r="AG395" s="104">
        <f t="shared" si="12"/>
        <v>0</v>
      </c>
      <c r="AH395" t="e">
        <f t="shared" si="13"/>
        <v>#N/A</v>
      </c>
    </row>
    <row r="396" spans="8:34" x14ac:dyDescent="0.2">
      <c r="H396" s="5"/>
      <c r="I396" s="5"/>
      <c r="J396" s="5"/>
      <c r="K396" s="5"/>
      <c r="L396" s="95"/>
      <c r="O396" s="4"/>
      <c r="P396" s="4"/>
      <c r="AB396" s="4"/>
      <c r="AD396" s="4"/>
      <c r="AF396" t="e">
        <f>VLOOKUP(C396,'גיליון דאטה להכל'!A:H,5,0)</f>
        <v>#N/A</v>
      </c>
      <c r="AG396" s="104">
        <f t="shared" si="12"/>
        <v>0</v>
      </c>
      <c r="AH396" t="e">
        <f t="shared" si="13"/>
        <v>#N/A</v>
      </c>
    </row>
    <row r="397" spans="8:34" x14ac:dyDescent="0.2">
      <c r="H397" s="5"/>
      <c r="I397" s="5"/>
      <c r="J397" s="5"/>
      <c r="K397" s="5"/>
      <c r="L397" s="95"/>
      <c r="O397" s="4"/>
      <c r="P397" s="4"/>
      <c r="AB397" s="4"/>
      <c r="AD397" s="4"/>
      <c r="AF397" t="e">
        <f>VLOOKUP(C397,'גיליון דאטה להכל'!A:H,5,0)</f>
        <v>#N/A</v>
      </c>
      <c r="AG397" s="104">
        <f t="shared" si="12"/>
        <v>0</v>
      </c>
      <c r="AH397" t="e">
        <f t="shared" si="13"/>
        <v>#N/A</v>
      </c>
    </row>
    <row r="398" spans="8:34" x14ac:dyDescent="0.2">
      <c r="H398" s="5"/>
      <c r="I398" s="5"/>
      <c r="J398" s="5"/>
      <c r="K398" s="5"/>
      <c r="L398" s="95"/>
      <c r="O398" s="4"/>
      <c r="P398" s="4"/>
      <c r="AB398" s="4"/>
      <c r="AD398" s="4"/>
      <c r="AF398" t="e">
        <f>VLOOKUP(C398,'גיליון דאטה להכל'!A:H,5,0)</f>
        <v>#N/A</v>
      </c>
      <c r="AG398" s="104">
        <f t="shared" si="12"/>
        <v>0</v>
      </c>
      <c r="AH398" t="e">
        <f t="shared" si="13"/>
        <v>#N/A</v>
      </c>
    </row>
    <row r="399" spans="8:34" x14ac:dyDescent="0.2">
      <c r="H399" s="5"/>
      <c r="I399" s="5"/>
      <c r="J399" s="5"/>
      <c r="K399" s="5"/>
      <c r="L399" s="95"/>
      <c r="O399" s="4"/>
      <c r="P399" s="4"/>
      <c r="AB399" s="4"/>
      <c r="AD399" s="4"/>
      <c r="AF399" t="e">
        <f>VLOOKUP(C399,'גיליון דאטה להכל'!A:H,5,0)</f>
        <v>#N/A</v>
      </c>
      <c r="AG399" s="104">
        <f t="shared" si="12"/>
        <v>0</v>
      </c>
      <c r="AH399" t="e">
        <f t="shared" si="13"/>
        <v>#N/A</v>
      </c>
    </row>
    <row r="400" spans="8:34" x14ac:dyDescent="0.2">
      <c r="H400" s="5"/>
      <c r="I400" s="5"/>
      <c r="J400" s="5"/>
      <c r="K400" s="5"/>
      <c r="L400" s="95"/>
      <c r="O400" s="4"/>
      <c r="P400" s="4"/>
      <c r="AB400" s="4"/>
      <c r="AD400" s="4"/>
      <c r="AF400" t="e">
        <f>VLOOKUP(C400,'גיליון דאטה להכל'!A:H,5,0)</f>
        <v>#N/A</v>
      </c>
      <c r="AG400" s="104">
        <f t="shared" si="12"/>
        <v>0</v>
      </c>
      <c r="AH400" t="e">
        <f t="shared" si="13"/>
        <v>#N/A</v>
      </c>
    </row>
    <row r="401" spans="8:34" x14ac:dyDescent="0.2">
      <c r="H401" s="5"/>
      <c r="I401" s="5"/>
      <c r="J401" s="5"/>
      <c r="K401" s="5"/>
      <c r="L401" s="95"/>
      <c r="O401" s="4"/>
      <c r="P401" s="4"/>
      <c r="AB401" s="4"/>
      <c r="AD401" s="4"/>
      <c r="AF401" t="e">
        <f>VLOOKUP(C401,'גיליון דאטה להכל'!A:H,5,0)</f>
        <v>#N/A</v>
      </c>
      <c r="AG401" s="104">
        <f t="shared" si="12"/>
        <v>0</v>
      </c>
      <c r="AH401" t="e">
        <f t="shared" si="13"/>
        <v>#N/A</v>
      </c>
    </row>
    <row r="402" spans="8:34" x14ac:dyDescent="0.2">
      <c r="H402" s="5"/>
      <c r="I402" s="5"/>
      <c r="J402" s="5"/>
      <c r="K402" s="5"/>
      <c r="L402" s="95"/>
      <c r="O402" s="4"/>
      <c r="P402" s="4"/>
      <c r="AB402" s="4"/>
      <c r="AD402" s="4"/>
      <c r="AF402" t="e">
        <f>VLOOKUP(C402,'גיליון דאטה להכל'!A:H,5,0)</f>
        <v>#N/A</v>
      </c>
      <c r="AG402" s="104">
        <f t="shared" si="12"/>
        <v>0</v>
      </c>
      <c r="AH402" t="e">
        <f t="shared" si="13"/>
        <v>#N/A</v>
      </c>
    </row>
    <row r="403" spans="8:34" x14ac:dyDescent="0.2">
      <c r="H403" s="5"/>
      <c r="I403" s="5"/>
      <c r="J403" s="5"/>
      <c r="K403" s="5"/>
      <c r="L403" s="95"/>
      <c r="O403" s="4"/>
      <c r="P403" s="4"/>
      <c r="AB403" s="4"/>
      <c r="AD403" s="4"/>
      <c r="AF403" t="e">
        <f>VLOOKUP(C403,'גיליון דאטה להכל'!A:H,5,0)</f>
        <v>#N/A</v>
      </c>
      <c r="AG403" s="104">
        <f t="shared" si="12"/>
        <v>0</v>
      </c>
      <c r="AH403" t="e">
        <f t="shared" si="13"/>
        <v>#N/A</v>
      </c>
    </row>
    <row r="404" spans="8:34" x14ac:dyDescent="0.2">
      <c r="H404" s="5"/>
      <c r="I404" s="5"/>
      <c r="J404" s="5"/>
      <c r="K404" s="5"/>
      <c r="L404" s="95"/>
      <c r="O404" s="4"/>
      <c r="P404" s="4"/>
      <c r="AB404" s="4"/>
      <c r="AD404" s="4"/>
      <c r="AF404" t="e">
        <f>VLOOKUP(C404,'גיליון דאטה להכל'!A:H,5,0)</f>
        <v>#N/A</v>
      </c>
      <c r="AG404" s="104">
        <f t="shared" si="12"/>
        <v>0</v>
      </c>
      <c r="AH404" t="e">
        <f t="shared" si="13"/>
        <v>#N/A</v>
      </c>
    </row>
    <row r="405" spans="8:34" x14ac:dyDescent="0.2">
      <c r="H405" s="5"/>
      <c r="I405" s="5"/>
      <c r="J405" s="5"/>
      <c r="K405" s="5"/>
      <c r="L405" s="95"/>
      <c r="O405" s="4"/>
      <c r="P405" s="4"/>
      <c r="AB405" s="4"/>
      <c r="AD405" s="4"/>
      <c r="AF405" t="e">
        <f>VLOOKUP(C405,'גיליון דאטה להכל'!A:H,5,0)</f>
        <v>#N/A</v>
      </c>
      <c r="AG405" s="104">
        <f t="shared" si="12"/>
        <v>0</v>
      </c>
      <c r="AH405" t="e">
        <f t="shared" si="13"/>
        <v>#N/A</v>
      </c>
    </row>
    <row r="406" spans="8:34" x14ac:dyDescent="0.2">
      <c r="H406" s="5"/>
      <c r="I406" s="5"/>
      <c r="J406" s="5"/>
      <c r="K406" s="5"/>
      <c r="L406" s="95"/>
      <c r="O406" s="4"/>
      <c r="P406" s="4"/>
      <c r="AB406" s="4"/>
      <c r="AD406" s="4"/>
      <c r="AF406" t="e">
        <f>VLOOKUP(C406,'גיליון דאטה להכל'!A:H,5,0)</f>
        <v>#N/A</v>
      </c>
      <c r="AG406" s="104">
        <f t="shared" si="12"/>
        <v>0</v>
      </c>
      <c r="AH406" t="e">
        <f t="shared" si="13"/>
        <v>#N/A</v>
      </c>
    </row>
    <row r="407" spans="8:34" x14ac:dyDescent="0.2">
      <c r="H407" s="5"/>
      <c r="I407" s="5"/>
      <c r="J407" s="5"/>
      <c r="K407" s="5"/>
      <c r="L407" s="95"/>
      <c r="O407" s="4"/>
      <c r="P407" s="4"/>
      <c r="AB407" s="4"/>
      <c r="AD407" s="4"/>
      <c r="AF407" t="e">
        <f>VLOOKUP(C407,'גיליון דאטה להכל'!A:H,5,0)</f>
        <v>#N/A</v>
      </c>
      <c r="AG407" s="104">
        <f t="shared" si="12"/>
        <v>0</v>
      </c>
      <c r="AH407" t="e">
        <f t="shared" si="13"/>
        <v>#N/A</v>
      </c>
    </row>
    <row r="408" spans="8:34" x14ac:dyDescent="0.2">
      <c r="H408" s="5"/>
      <c r="I408" s="5"/>
      <c r="J408" s="5"/>
      <c r="K408" s="5"/>
      <c r="L408" s="95"/>
      <c r="O408" s="4"/>
      <c r="P408" s="4"/>
      <c r="AB408" s="4"/>
      <c r="AD408" s="4"/>
      <c r="AF408" t="e">
        <f>VLOOKUP(C408,'גיליון דאטה להכל'!A:H,5,0)</f>
        <v>#N/A</v>
      </c>
      <c r="AG408" s="104">
        <f t="shared" si="12"/>
        <v>0</v>
      </c>
      <c r="AH408" t="e">
        <f t="shared" si="13"/>
        <v>#N/A</v>
      </c>
    </row>
    <row r="409" spans="8:34" x14ac:dyDescent="0.2">
      <c r="H409" s="5"/>
      <c r="I409" s="5"/>
      <c r="J409" s="5"/>
      <c r="K409" s="5"/>
      <c r="L409" s="95"/>
      <c r="O409" s="4"/>
      <c r="P409" s="4"/>
      <c r="AB409" s="4"/>
      <c r="AD409" s="4"/>
      <c r="AF409" t="e">
        <f>VLOOKUP(C409,'גיליון דאטה להכל'!A:H,5,0)</f>
        <v>#N/A</v>
      </c>
      <c r="AG409" s="104">
        <f t="shared" si="12"/>
        <v>0</v>
      </c>
      <c r="AH409" t="e">
        <f t="shared" si="13"/>
        <v>#N/A</v>
      </c>
    </row>
    <row r="410" spans="8:34" x14ac:dyDescent="0.2">
      <c r="H410" s="5"/>
      <c r="I410" s="5"/>
      <c r="J410" s="5"/>
      <c r="K410" s="5"/>
      <c r="L410" s="95"/>
      <c r="O410" s="4"/>
      <c r="P410" s="4"/>
      <c r="AB410" s="4"/>
      <c r="AD410" s="4"/>
      <c r="AF410" t="e">
        <f>VLOOKUP(C410,'גיליון דאטה להכל'!A:H,5,0)</f>
        <v>#N/A</v>
      </c>
      <c r="AG410" s="104">
        <f t="shared" si="12"/>
        <v>0</v>
      </c>
      <c r="AH410" t="e">
        <f t="shared" si="13"/>
        <v>#N/A</v>
      </c>
    </row>
    <row r="411" spans="8:34" x14ac:dyDescent="0.2">
      <c r="H411" s="5"/>
      <c r="I411" s="5"/>
      <c r="J411" s="5"/>
      <c r="K411" s="5"/>
      <c r="L411" s="95"/>
      <c r="O411" s="4"/>
      <c r="P411" s="4"/>
      <c r="AB411" s="4"/>
      <c r="AD411" s="4"/>
      <c r="AF411" t="e">
        <f>VLOOKUP(C411,'גיליון דאטה להכל'!A:H,5,0)</f>
        <v>#N/A</v>
      </c>
      <c r="AG411" s="104">
        <f t="shared" si="12"/>
        <v>0</v>
      </c>
      <c r="AH411" t="e">
        <f t="shared" si="13"/>
        <v>#N/A</v>
      </c>
    </row>
    <row r="412" spans="8:34" x14ac:dyDescent="0.2">
      <c r="H412" s="5"/>
      <c r="I412" s="5"/>
      <c r="J412" s="5"/>
      <c r="K412" s="5"/>
      <c r="L412" s="95"/>
      <c r="O412" s="4"/>
      <c r="P412" s="4"/>
      <c r="AB412" s="4"/>
      <c r="AD412" s="4"/>
      <c r="AF412" t="e">
        <f>VLOOKUP(C412,'גיליון דאטה להכל'!A:H,5,0)</f>
        <v>#N/A</v>
      </c>
      <c r="AG412" s="104">
        <f t="shared" si="12"/>
        <v>0</v>
      </c>
      <c r="AH412" t="e">
        <f t="shared" si="13"/>
        <v>#N/A</v>
      </c>
    </row>
    <row r="413" spans="8:34" x14ac:dyDescent="0.2">
      <c r="H413" s="5"/>
      <c r="I413" s="5"/>
      <c r="J413" s="5"/>
      <c r="K413" s="5"/>
      <c r="L413" s="95"/>
      <c r="O413" s="4"/>
      <c r="P413" s="4"/>
      <c r="AB413" s="4"/>
      <c r="AD413" s="4"/>
      <c r="AF413" t="e">
        <f>VLOOKUP(C413,'גיליון דאטה להכל'!A:H,5,0)</f>
        <v>#N/A</v>
      </c>
      <c r="AG413" s="104">
        <f t="shared" si="12"/>
        <v>0</v>
      </c>
      <c r="AH413" t="e">
        <f t="shared" si="13"/>
        <v>#N/A</v>
      </c>
    </row>
    <row r="414" spans="8:34" x14ac:dyDescent="0.2">
      <c r="H414" s="5"/>
      <c r="I414" s="5"/>
      <c r="J414" s="5"/>
      <c r="K414" s="5"/>
      <c r="L414" s="95"/>
      <c r="O414" s="4"/>
      <c r="P414" s="4"/>
      <c r="AB414" s="4"/>
      <c r="AD414" s="4"/>
      <c r="AF414" t="e">
        <f>VLOOKUP(C414,'גיליון דאטה להכל'!A:H,5,0)</f>
        <v>#N/A</v>
      </c>
      <c r="AG414" s="104">
        <f t="shared" si="12"/>
        <v>0</v>
      </c>
      <c r="AH414" t="e">
        <f t="shared" si="13"/>
        <v>#N/A</v>
      </c>
    </row>
    <row r="415" spans="8:34" x14ac:dyDescent="0.2">
      <c r="H415" s="5"/>
      <c r="I415" s="5"/>
      <c r="J415" s="5"/>
      <c r="K415" s="5"/>
      <c r="L415" s="95"/>
      <c r="O415" s="4"/>
      <c r="P415" s="4"/>
      <c r="AB415" s="4"/>
      <c r="AD415" s="4"/>
      <c r="AF415" t="e">
        <f>VLOOKUP(C415,'גיליון דאטה להכל'!A:H,5,0)</f>
        <v>#N/A</v>
      </c>
      <c r="AG415" s="104">
        <f t="shared" si="12"/>
        <v>0</v>
      </c>
      <c r="AH415" t="e">
        <f t="shared" si="13"/>
        <v>#N/A</v>
      </c>
    </row>
    <row r="416" spans="8:34" x14ac:dyDescent="0.2">
      <c r="H416" s="5"/>
      <c r="I416" s="5"/>
      <c r="J416" s="5"/>
      <c r="K416" s="5"/>
      <c r="L416" s="95"/>
      <c r="O416" s="4"/>
      <c r="P416" s="4"/>
      <c r="AB416" s="4"/>
      <c r="AD416" s="4"/>
      <c r="AF416" t="e">
        <f>VLOOKUP(C416,'גיליון דאטה להכל'!A:H,5,0)</f>
        <v>#N/A</v>
      </c>
      <c r="AG416" s="104">
        <f t="shared" si="12"/>
        <v>0</v>
      </c>
      <c r="AH416" t="e">
        <f t="shared" si="13"/>
        <v>#N/A</v>
      </c>
    </row>
    <row r="417" spans="8:34" x14ac:dyDescent="0.2">
      <c r="H417" s="5"/>
      <c r="I417" s="5"/>
      <c r="J417" s="5"/>
      <c r="K417" s="5"/>
      <c r="L417" s="95"/>
      <c r="O417" s="4"/>
      <c r="P417" s="4"/>
      <c r="AB417" s="4"/>
      <c r="AD417" s="4"/>
      <c r="AF417" t="e">
        <f>VLOOKUP(C417,'גיליון דאטה להכל'!A:H,5,0)</f>
        <v>#N/A</v>
      </c>
      <c r="AG417" s="104">
        <f t="shared" si="12"/>
        <v>0</v>
      </c>
      <c r="AH417" t="e">
        <f t="shared" si="13"/>
        <v>#N/A</v>
      </c>
    </row>
    <row r="418" spans="8:34" x14ac:dyDescent="0.2">
      <c r="H418" s="5"/>
      <c r="I418" s="5"/>
      <c r="J418" s="5"/>
      <c r="K418" s="5"/>
      <c r="L418" s="95"/>
      <c r="O418" s="4"/>
      <c r="P418" s="4"/>
      <c r="AB418" s="4"/>
      <c r="AD418" s="4"/>
      <c r="AF418" t="e">
        <f>VLOOKUP(C418,'גיליון דאטה להכל'!A:H,5,0)</f>
        <v>#N/A</v>
      </c>
      <c r="AG418" s="104">
        <f t="shared" si="12"/>
        <v>0</v>
      </c>
      <c r="AH418" t="e">
        <f t="shared" si="13"/>
        <v>#N/A</v>
      </c>
    </row>
    <row r="419" spans="8:34" x14ac:dyDescent="0.2">
      <c r="H419" s="5"/>
      <c r="I419" s="5"/>
      <c r="J419" s="5"/>
      <c r="K419" s="5"/>
      <c r="L419" s="95"/>
      <c r="O419" s="4"/>
      <c r="P419" s="4"/>
      <c r="AB419" s="4"/>
      <c r="AD419" s="4"/>
      <c r="AF419" t="e">
        <f>VLOOKUP(C419,'גיליון דאטה להכל'!A:H,5,0)</f>
        <v>#N/A</v>
      </c>
      <c r="AG419" s="104">
        <f t="shared" si="12"/>
        <v>0</v>
      </c>
      <c r="AH419" t="e">
        <f t="shared" si="13"/>
        <v>#N/A</v>
      </c>
    </row>
    <row r="420" spans="8:34" x14ac:dyDescent="0.2">
      <c r="H420" s="5"/>
      <c r="I420" s="5"/>
      <c r="J420" s="5"/>
      <c r="K420" s="5"/>
      <c r="L420" s="95"/>
      <c r="O420" s="4"/>
      <c r="P420" s="4"/>
      <c r="AB420" s="4"/>
      <c r="AD420" s="4"/>
      <c r="AF420" t="e">
        <f>VLOOKUP(C420,'גיליון דאטה להכל'!A:H,5,0)</f>
        <v>#N/A</v>
      </c>
      <c r="AG420" s="104">
        <f t="shared" si="12"/>
        <v>0</v>
      </c>
      <c r="AH420" t="e">
        <f t="shared" si="13"/>
        <v>#N/A</v>
      </c>
    </row>
    <row r="421" spans="8:34" x14ac:dyDescent="0.2">
      <c r="H421" s="5"/>
      <c r="I421" s="5"/>
      <c r="J421" s="5"/>
      <c r="K421" s="5"/>
      <c r="L421" s="95"/>
      <c r="O421" s="4"/>
      <c r="P421" s="4"/>
      <c r="AB421" s="4"/>
      <c r="AD421" s="4"/>
      <c r="AF421" t="e">
        <f>VLOOKUP(C421,'גיליון דאטה להכל'!A:H,5,0)</f>
        <v>#N/A</v>
      </c>
      <c r="AG421" s="104">
        <f t="shared" si="12"/>
        <v>0</v>
      </c>
      <c r="AH421" t="e">
        <f t="shared" si="13"/>
        <v>#N/A</v>
      </c>
    </row>
    <row r="422" spans="8:34" x14ac:dyDescent="0.2">
      <c r="H422" s="5"/>
      <c r="I422" s="5"/>
      <c r="J422" s="5"/>
      <c r="K422" s="5"/>
      <c r="L422" s="95"/>
      <c r="O422" s="4"/>
      <c r="P422" s="4"/>
      <c r="AB422" s="4"/>
      <c r="AD422" s="4"/>
      <c r="AF422" t="e">
        <f>VLOOKUP(C422,'גיליון דאטה להכל'!A:H,5,0)</f>
        <v>#N/A</v>
      </c>
      <c r="AG422" s="104">
        <f t="shared" si="12"/>
        <v>0</v>
      </c>
      <c r="AH422" t="e">
        <f t="shared" si="13"/>
        <v>#N/A</v>
      </c>
    </row>
    <row r="423" spans="8:34" x14ac:dyDescent="0.2">
      <c r="H423" s="5"/>
      <c r="I423" s="5"/>
      <c r="J423" s="5"/>
      <c r="K423" s="5"/>
      <c r="L423" s="95"/>
      <c r="O423" s="4"/>
      <c r="P423" s="4"/>
      <c r="AB423" s="4"/>
      <c r="AD423" s="4"/>
      <c r="AF423" t="e">
        <f>VLOOKUP(C423,'גיליון דאטה להכל'!A:H,5,0)</f>
        <v>#N/A</v>
      </c>
      <c r="AG423" s="104">
        <f t="shared" si="12"/>
        <v>0</v>
      </c>
      <c r="AH423" t="e">
        <f t="shared" si="13"/>
        <v>#N/A</v>
      </c>
    </row>
    <row r="424" spans="8:34" x14ac:dyDescent="0.2">
      <c r="H424" s="5"/>
      <c r="I424" s="5"/>
      <c r="J424" s="5"/>
      <c r="K424" s="5"/>
      <c r="L424" s="95"/>
      <c r="O424" s="4"/>
      <c r="P424" s="4"/>
      <c r="AB424" s="4"/>
      <c r="AD424" s="4"/>
      <c r="AF424" t="e">
        <f>VLOOKUP(C424,'גיליון דאטה להכל'!A:H,5,0)</f>
        <v>#N/A</v>
      </c>
      <c r="AG424" s="104">
        <f t="shared" si="12"/>
        <v>0</v>
      </c>
      <c r="AH424" t="e">
        <f t="shared" si="13"/>
        <v>#N/A</v>
      </c>
    </row>
    <row r="425" spans="8:34" x14ac:dyDescent="0.2">
      <c r="H425" s="5"/>
      <c r="I425" s="5"/>
      <c r="J425" s="5"/>
      <c r="K425" s="5"/>
      <c r="L425" s="95"/>
      <c r="O425" s="4"/>
      <c r="P425" s="4"/>
      <c r="AB425" s="4"/>
      <c r="AD425" s="4"/>
      <c r="AF425" t="e">
        <f>VLOOKUP(C425,'גיליון דאטה להכל'!A:H,5,0)</f>
        <v>#N/A</v>
      </c>
      <c r="AG425" s="104">
        <f t="shared" si="12"/>
        <v>0</v>
      </c>
      <c r="AH425" t="e">
        <f t="shared" si="13"/>
        <v>#N/A</v>
      </c>
    </row>
    <row r="426" spans="8:34" x14ac:dyDescent="0.2">
      <c r="H426" s="5"/>
      <c r="I426" s="5"/>
      <c r="J426" s="5"/>
      <c r="K426" s="5"/>
      <c r="L426" s="95"/>
      <c r="O426" s="4"/>
      <c r="P426" s="4"/>
      <c r="AB426" s="4"/>
      <c r="AD426" s="4"/>
      <c r="AF426" t="e">
        <f>VLOOKUP(C426,'גיליון דאטה להכל'!A:H,5,0)</f>
        <v>#N/A</v>
      </c>
      <c r="AG426" s="104">
        <f t="shared" si="12"/>
        <v>0</v>
      </c>
      <c r="AH426" t="e">
        <f t="shared" si="13"/>
        <v>#N/A</v>
      </c>
    </row>
    <row r="427" spans="8:34" x14ac:dyDescent="0.2">
      <c r="H427" s="5"/>
      <c r="I427" s="5"/>
      <c r="J427" s="5"/>
      <c r="K427" s="5"/>
      <c r="L427" s="95"/>
      <c r="O427" s="4"/>
      <c r="P427" s="4"/>
      <c r="AB427" s="4"/>
      <c r="AD427" s="4"/>
      <c r="AF427" t="e">
        <f>VLOOKUP(C427,'גיליון דאטה להכל'!A:H,5,0)</f>
        <v>#N/A</v>
      </c>
      <c r="AG427" s="104">
        <f t="shared" si="12"/>
        <v>0</v>
      </c>
      <c r="AH427" t="e">
        <f t="shared" si="13"/>
        <v>#N/A</v>
      </c>
    </row>
    <row r="428" spans="8:34" x14ac:dyDescent="0.2">
      <c r="H428" s="5"/>
      <c r="I428" s="5"/>
      <c r="J428" s="5"/>
      <c r="K428" s="5"/>
      <c r="L428" s="95"/>
      <c r="O428" s="4"/>
      <c r="P428" s="4"/>
      <c r="AB428" s="4"/>
      <c r="AD428" s="4"/>
      <c r="AF428" t="e">
        <f>VLOOKUP(C428,'גיליון דאטה להכל'!A:H,5,0)</f>
        <v>#N/A</v>
      </c>
      <c r="AG428" s="104">
        <f t="shared" si="12"/>
        <v>0</v>
      </c>
      <c r="AH428" t="e">
        <f t="shared" si="13"/>
        <v>#N/A</v>
      </c>
    </row>
    <row r="429" spans="8:34" x14ac:dyDescent="0.2">
      <c r="H429" s="5"/>
      <c r="I429" s="5"/>
      <c r="J429" s="5"/>
      <c r="K429" s="5"/>
      <c r="L429" s="95"/>
      <c r="O429" s="4"/>
      <c r="P429" s="4"/>
      <c r="AB429" s="4"/>
      <c r="AD429" s="4"/>
      <c r="AF429" t="e">
        <f>VLOOKUP(C429,'גיליון דאטה להכל'!A:H,5,0)</f>
        <v>#N/A</v>
      </c>
      <c r="AG429" s="104">
        <f t="shared" si="12"/>
        <v>0</v>
      </c>
      <c r="AH429" t="e">
        <f t="shared" si="13"/>
        <v>#N/A</v>
      </c>
    </row>
    <row r="430" spans="8:34" x14ac:dyDescent="0.2">
      <c r="H430" s="5"/>
      <c r="I430" s="5"/>
      <c r="J430" s="5"/>
      <c r="K430" s="5"/>
      <c r="L430" s="95"/>
      <c r="O430" s="4"/>
      <c r="P430" s="4"/>
      <c r="AB430" s="4"/>
      <c r="AD430" s="4"/>
      <c r="AF430" t="e">
        <f>VLOOKUP(C430,'גיליון דאטה להכל'!A:H,5,0)</f>
        <v>#N/A</v>
      </c>
      <c r="AG430" s="104">
        <f t="shared" si="12"/>
        <v>0</v>
      </c>
      <c r="AH430" t="e">
        <f t="shared" si="13"/>
        <v>#N/A</v>
      </c>
    </row>
    <row r="431" spans="8:34" x14ac:dyDescent="0.2">
      <c r="H431" s="5"/>
      <c r="I431" s="5"/>
      <c r="J431" s="5"/>
      <c r="K431" s="5"/>
      <c r="L431" s="95"/>
      <c r="O431" s="4"/>
      <c r="P431" s="4"/>
      <c r="AB431" s="4"/>
      <c r="AD431" s="4"/>
      <c r="AF431" t="e">
        <f>VLOOKUP(C431,'גיליון דאטה להכל'!A:H,5,0)</f>
        <v>#N/A</v>
      </c>
      <c r="AG431" s="104">
        <f t="shared" si="12"/>
        <v>0</v>
      </c>
      <c r="AH431" t="e">
        <f t="shared" si="13"/>
        <v>#N/A</v>
      </c>
    </row>
    <row r="432" spans="8:34" x14ac:dyDescent="0.2">
      <c r="H432" s="5"/>
      <c r="I432" s="5"/>
      <c r="J432" s="5"/>
      <c r="K432" s="5"/>
      <c r="L432" s="95"/>
      <c r="O432" s="4"/>
      <c r="P432" s="4"/>
      <c r="AB432" s="4"/>
      <c r="AD432" s="4"/>
      <c r="AF432" t="e">
        <f>VLOOKUP(C432,'גיליון דאטה להכל'!A:H,5,0)</f>
        <v>#N/A</v>
      </c>
      <c r="AG432" s="104">
        <f t="shared" si="12"/>
        <v>0</v>
      </c>
      <c r="AH432" t="e">
        <f t="shared" si="13"/>
        <v>#N/A</v>
      </c>
    </row>
    <row r="433" spans="8:34" x14ac:dyDescent="0.2">
      <c r="H433" s="5"/>
      <c r="I433" s="5"/>
      <c r="J433" s="5"/>
      <c r="K433" s="5"/>
      <c r="L433" s="95"/>
      <c r="O433" s="4"/>
      <c r="P433" s="4"/>
      <c r="AB433" s="4"/>
      <c r="AD433" s="4"/>
      <c r="AF433" t="e">
        <f>VLOOKUP(C433,'גיליון דאטה להכל'!A:H,5,0)</f>
        <v>#N/A</v>
      </c>
      <c r="AG433" s="104">
        <f t="shared" si="12"/>
        <v>0</v>
      </c>
      <c r="AH433" t="e">
        <f t="shared" si="13"/>
        <v>#N/A</v>
      </c>
    </row>
    <row r="434" spans="8:34" x14ac:dyDescent="0.2">
      <c r="H434" s="5"/>
      <c r="I434" s="5"/>
      <c r="J434" s="5"/>
      <c r="K434" s="5"/>
      <c r="L434" s="95"/>
      <c r="O434" s="4"/>
      <c r="P434" s="4"/>
      <c r="AB434" s="4"/>
      <c r="AD434" s="4"/>
      <c r="AF434" t="e">
        <f>VLOOKUP(C434,'גיליון דאטה להכל'!A:H,5,0)</f>
        <v>#N/A</v>
      </c>
      <c r="AG434" s="104">
        <f t="shared" si="12"/>
        <v>0</v>
      </c>
      <c r="AH434" t="e">
        <f t="shared" si="13"/>
        <v>#N/A</v>
      </c>
    </row>
    <row r="435" spans="8:34" x14ac:dyDescent="0.2">
      <c r="H435" s="5"/>
      <c r="I435" s="5"/>
      <c r="J435" s="5"/>
      <c r="K435" s="5"/>
      <c r="L435" s="95"/>
      <c r="O435" s="4"/>
      <c r="P435" s="4"/>
      <c r="AB435" s="4"/>
      <c r="AD435" s="4"/>
      <c r="AF435" t="e">
        <f>VLOOKUP(C435,'גיליון דאטה להכל'!A:H,5,0)</f>
        <v>#N/A</v>
      </c>
      <c r="AG435" s="104">
        <f t="shared" si="12"/>
        <v>0</v>
      </c>
      <c r="AH435" t="e">
        <f t="shared" si="13"/>
        <v>#N/A</v>
      </c>
    </row>
    <row r="436" spans="8:34" x14ac:dyDescent="0.2">
      <c r="H436" s="5"/>
      <c r="I436" s="5"/>
      <c r="J436" s="5"/>
      <c r="K436" s="5"/>
      <c r="L436" s="95"/>
      <c r="O436" s="4"/>
      <c r="P436" s="4"/>
      <c r="AB436" s="4"/>
      <c r="AD436" s="4"/>
      <c r="AF436" t="e">
        <f>VLOOKUP(C436,'גיליון דאטה להכל'!A:H,5,0)</f>
        <v>#N/A</v>
      </c>
      <c r="AG436" s="104">
        <f t="shared" si="12"/>
        <v>0</v>
      </c>
      <c r="AH436" t="e">
        <f t="shared" si="13"/>
        <v>#N/A</v>
      </c>
    </row>
    <row r="437" spans="8:34" x14ac:dyDescent="0.2">
      <c r="H437" s="5"/>
      <c r="I437" s="5"/>
      <c r="J437" s="5"/>
      <c r="K437" s="5"/>
      <c r="L437" s="95"/>
      <c r="O437" s="4"/>
      <c r="P437" s="4"/>
      <c r="AB437" s="4"/>
      <c r="AD437" s="4"/>
      <c r="AF437" t="e">
        <f>VLOOKUP(C437,'גיליון דאטה להכל'!A:H,5,0)</f>
        <v>#N/A</v>
      </c>
      <c r="AG437" s="104">
        <f t="shared" si="12"/>
        <v>0</v>
      </c>
      <c r="AH437" t="e">
        <f t="shared" si="13"/>
        <v>#N/A</v>
      </c>
    </row>
    <row r="438" spans="8:34" x14ac:dyDescent="0.2">
      <c r="H438" s="5"/>
      <c r="I438" s="5"/>
      <c r="J438" s="5"/>
      <c r="K438" s="5"/>
      <c r="L438" s="95"/>
      <c r="O438" s="4"/>
      <c r="P438" s="4"/>
      <c r="AB438" s="4"/>
      <c r="AD438" s="4"/>
      <c r="AF438" t="e">
        <f>VLOOKUP(C438,'גיליון דאטה להכל'!A:H,5,0)</f>
        <v>#N/A</v>
      </c>
      <c r="AG438" s="104">
        <f t="shared" si="12"/>
        <v>0</v>
      </c>
      <c r="AH438" t="e">
        <f t="shared" si="13"/>
        <v>#N/A</v>
      </c>
    </row>
    <row r="439" spans="8:34" x14ac:dyDescent="0.2">
      <c r="H439" s="5"/>
      <c r="I439" s="5"/>
      <c r="J439" s="5"/>
      <c r="K439" s="5"/>
      <c r="L439" s="95"/>
      <c r="O439" s="4"/>
      <c r="P439" s="4"/>
      <c r="AB439" s="4"/>
      <c r="AD439" s="4"/>
      <c r="AF439" t="e">
        <f>VLOOKUP(C439,'גיליון דאטה להכל'!A:H,5,0)</f>
        <v>#N/A</v>
      </c>
      <c r="AG439" s="104">
        <f t="shared" si="12"/>
        <v>0</v>
      </c>
      <c r="AH439" t="e">
        <f t="shared" si="13"/>
        <v>#N/A</v>
      </c>
    </row>
    <row r="440" spans="8:34" x14ac:dyDescent="0.2">
      <c r="H440" s="5"/>
      <c r="I440" s="5"/>
      <c r="J440" s="5"/>
      <c r="K440" s="5"/>
      <c r="L440" s="95"/>
      <c r="O440" s="4"/>
      <c r="P440" s="4"/>
      <c r="AB440" s="4"/>
      <c r="AD440" s="4"/>
      <c r="AF440" t="e">
        <f>VLOOKUP(C440,'גיליון דאטה להכל'!A:H,5,0)</f>
        <v>#N/A</v>
      </c>
      <c r="AG440" s="104">
        <f t="shared" si="12"/>
        <v>0</v>
      </c>
      <c r="AH440" t="e">
        <f t="shared" si="13"/>
        <v>#N/A</v>
      </c>
    </row>
    <row r="441" spans="8:34" x14ac:dyDescent="0.2">
      <c r="H441" s="5"/>
      <c r="I441" s="5"/>
      <c r="J441" s="5"/>
      <c r="K441" s="5"/>
      <c r="L441" s="95"/>
      <c r="O441" s="4"/>
      <c r="P441" s="4"/>
      <c r="AB441" s="4"/>
      <c r="AD441" s="4"/>
      <c r="AF441" t="e">
        <f>VLOOKUP(C441,'גיליון דאטה להכל'!A:H,5,0)</f>
        <v>#N/A</v>
      </c>
      <c r="AG441" s="104">
        <f t="shared" si="12"/>
        <v>0</v>
      </c>
      <c r="AH441" t="e">
        <f t="shared" si="13"/>
        <v>#N/A</v>
      </c>
    </row>
    <row r="442" spans="8:34" x14ac:dyDescent="0.2">
      <c r="H442" s="5"/>
      <c r="I442" s="5"/>
      <c r="J442" s="5"/>
      <c r="K442" s="5"/>
      <c r="L442" s="95"/>
      <c r="O442" s="4"/>
      <c r="P442" s="4"/>
      <c r="AB442" s="4"/>
      <c r="AD442" s="4"/>
      <c r="AF442" t="e">
        <f>VLOOKUP(C442,'גיליון דאטה להכל'!A:H,5,0)</f>
        <v>#N/A</v>
      </c>
      <c r="AG442" s="104">
        <f t="shared" si="12"/>
        <v>0</v>
      </c>
      <c r="AH442" t="e">
        <f t="shared" si="13"/>
        <v>#N/A</v>
      </c>
    </row>
    <row r="443" spans="8:34" x14ac:dyDescent="0.2">
      <c r="H443" s="5"/>
      <c r="I443" s="5"/>
      <c r="J443" s="5"/>
      <c r="K443" s="5"/>
      <c r="L443" s="95"/>
      <c r="O443" s="4"/>
      <c r="P443" s="4"/>
      <c r="AB443" s="4"/>
      <c r="AD443" s="4"/>
      <c r="AF443" t="e">
        <f>VLOOKUP(C443,'גיליון דאטה להכל'!A:H,5,0)</f>
        <v>#N/A</v>
      </c>
      <c r="AG443" s="104">
        <f t="shared" si="12"/>
        <v>0</v>
      </c>
      <c r="AH443" t="e">
        <f t="shared" si="13"/>
        <v>#N/A</v>
      </c>
    </row>
    <row r="444" spans="8:34" x14ac:dyDescent="0.2">
      <c r="H444" s="5"/>
      <c r="I444" s="5"/>
      <c r="J444" s="5"/>
      <c r="K444" s="5"/>
      <c r="L444" s="95"/>
      <c r="O444" s="4"/>
      <c r="P444" s="4"/>
      <c r="AB444" s="4"/>
      <c r="AD444" s="4"/>
      <c r="AF444" t="e">
        <f>VLOOKUP(C444,'גיליון דאטה להכל'!A:H,5,0)</f>
        <v>#N/A</v>
      </c>
      <c r="AG444" s="104">
        <f t="shared" si="12"/>
        <v>0</v>
      </c>
      <c r="AH444" t="e">
        <f t="shared" si="13"/>
        <v>#N/A</v>
      </c>
    </row>
    <row r="445" spans="8:34" x14ac:dyDescent="0.2">
      <c r="H445" s="5"/>
      <c r="I445" s="5"/>
      <c r="J445" s="5"/>
      <c r="K445" s="5"/>
      <c r="L445" s="95"/>
      <c r="O445" s="4"/>
      <c r="P445" s="4"/>
      <c r="AB445" s="4"/>
      <c r="AD445" s="4"/>
      <c r="AF445" t="e">
        <f>VLOOKUP(C445,'גיליון דאטה להכל'!A:H,5,0)</f>
        <v>#N/A</v>
      </c>
      <c r="AG445" s="104">
        <f t="shared" si="12"/>
        <v>0</v>
      </c>
      <c r="AH445" t="e">
        <f t="shared" si="13"/>
        <v>#N/A</v>
      </c>
    </row>
    <row r="446" spans="8:34" x14ac:dyDescent="0.2">
      <c r="H446" s="5"/>
      <c r="I446" s="5"/>
      <c r="J446" s="5"/>
      <c r="K446" s="5"/>
      <c r="L446" s="95"/>
      <c r="O446" s="4"/>
      <c r="P446" s="4"/>
      <c r="AB446" s="4"/>
      <c r="AD446" s="4"/>
      <c r="AF446" t="e">
        <f>VLOOKUP(C446,'גיליון דאטה להכל'!A:H,5,0)</f>
        <v>#N/A</v>
      </c>
      <c r="AG446" s="104">
        <f t="shared" si="12"/>
        <v>0</v>
      </c>
      <c r="AH446" t="e">
        <f t="shared" si="13"/>
        <v>#N/A</v>
      </c>
    </row>
    <row r="447" spans="8:34" x14ac:dyDescent="0.2">
      <c r="H447" s="5"/>
      <c r="I447" s="5"/>
      <c r="J447" s="5"/>
      <c r="K447" s="5"/>
      <c r="L447" s="95"/>
      <c r="O447" s="4"/>
      <c r="P447" s="4"/>
      <c r="AB447" s="4"/>
      <c r="AD447" s="4"/>
      <c r="AF447" t="e">
        <f>VLOOKUP(C447,'גיליון דאטה להכל'!A:H,5,0)</f>
        <v>#N/A</v>
      </c>
      <c r="AG447" s="104">
        <f t="shared" si="12"/>
        <v>0</v>
      </c>
      <c r="AH447" t="e">
        <f t="shared" si="13"/>
        <v>#N/A</v>
      </c>
    </row>
    <row r="448" spans="8:34" x14ac:dyDescent="0.2">
      <c r="H448" s="5"/>
      <c r="I448" s="5"/>
      <c r="J448" s="5"/>
      <c r="K448" s="5"/>
      <c r="L448" s="95"/>
      <c r="O448" s="4"/>
      <c r="P448" s="4"/>
      <c r="AB448" s="4"/>
      <c r="AD448" s="4"/>
      <c r="AF448" t="e">
        <f>VLOOKUP(C448,'גיליון דאטה להכל'!A:H,5,0)</f>
        <v>#N/A</v>
      </c>
      <c r="AG448" s="104">
        <f t="shared" si="12"/>
        <v>0</v>
      </c>
      <c r="AH448" t="e">
        <f t="shared" si="13"/>
        <v>#N/A</v>
      </c>
    </row>
    <row r="449" spans="8:34" x14ac:dyDescent="0.2">
      <c r="H449" s="5"/>
      <c r="I449" s="5"/>
      <c r="J449" s="5"/>
      <c r="K449" s="5"/>
      <c r="L449" s="95"/>
      <c r="O449" s="4"/>
      <c r="P449" s="4"/>
      <c r="AB449" s="4"/>
      <c r="AD449" s="4"/>
      <c r="AF449" t="e">
        <f>VLOOKUP(C449,'גיליון דאטה להכל'!A:H,5,0)</f>
        <v>#N/A</v>
      </c>
      <c r="AG449" s="104">
        <f t="shared" si="12"/>
        <v>0</v>
      </c>
      <c r="AH449" t="e">
        <f t="shared" si="13"/>
        <v>#N/A</v>
      </c>
    </row>
    <row r="450" spans="8:34" x14ac:dyDescent="0.2">
      <c r="H450" s="5"/>
      <c r="I450" s="5"/>
      <c r="J450" s="5"/>
      <c r="K450" s="5"/>
      <c r="L450" s="95"/>
      <c r="O450" s="4"/>
      <c r="P450" s="4"/>
      <c r="AB450" s="4"/>
      <c r="AD450" s="4"/>
      <c r="AF450" t="e">
        <f>VLOOKUP(C450,'גיליון דאטה להכל'!A:H,5,0)</f>
        <v>#N/A</v>
      </c>
      <c r="AG450" s="104">
        <f t="shared" si="12"/>
        <v>0</v>
      </c>
      <c r="AH450" t="e">
        <f t="shared" si="13"/>
        <v>#N/A</v>
      </c>
    </row>
    <row r="451" spans="8:34" x14ac:dyDescent="0.2">
      <c r="H451" s="5"/>
      <c r="I451" s="5"/>
      <c r="J451" s="5"/>
      <c r="K451" s="5"/>
      <c r="L451" s="95"/>
      <c r="O451" s="4"/>
      <c r="P451" s="4"/>
      <c r="AB451" s="4"/>
      <c r="AD451" s="4"/>
      <c r="AF451" t="e">
        <f>VLOOKUP(C451,'גיליון דאטה להכל'!A:H,5,0)</f>
        <v>#N/A</v>
      </c>
      <c r="AG451" s="104">
        <f t="shared" ref="AG451:AG514" si="14">I451+H451</f>
        <v>0</v>
      </c>
      <c r="AH451" t="e">
        <f t="shared" ref="AH451:AH514" si="15">_xlfn.CONCAT(AF451,N451)</f>
        <v>#N/A</v>
      </c>
    </row>
    <row r="452" spans="8:34" x14ac:dyDescent="0.2">
      <c r="H452" s="5"/>
      <c r="I452" s="5"/>
      <c r="J452" s="5"/>
      <c r="K452" s="5"/>
      <c r="L452" s="95"/>
      <c r="O452" s="4"/>
      <c r="P452" s="4"/>
      <c r="AB452" s="4"/>
      <c r="AD452" s="4"/>
      <c r="AF452" t="e">
        <f>VLOOKUP(C452,'גיליון דאטה להכל'!A:H,5,0)</f>
        <v>#N/A</v>
      </c>
      <c r="AG452" s="104">
        <f t="shared" si="14"/>
        <v>0</v>
      </c>
      <c r="AH452" t="e">
        <f t="shared" si="15"/>
        <v>#N/A</v>
      </c>
    </row>
    <row r="453" spans="8:34" x14ac:dyDescent="0.2">
      <c r="H453" s="5"/>
      <c r="I453" s="5"/>
      <c r="J453" s="5"/>
      <c r="K453" s="5"/>
      <c r="L453" s="95"/>
      <c r="O453" s="4"/>
      <c r="P453" s="4"/>
      <c r="AB453" s="4"/>
      <c r="AD453" s="4"/>
      <c r="AF453" t="e">
        <f>VLOOKUP(C453,'גיליון דאטה להכל'!A:H,5,0)</f>
        <v>#N/A</v>
      </c>
      <c r="AG453" s="104">
        <f t="shared" si="14"/>
        <v>0</v>
      </c>
      <c r="AH453" t="e">
        <f t="shared" si="15"/>
        <v>#N/A</v>
      </c>
    </row>
    <row r="454" spans="8:34" x14ac:dyDescent="0.2">
      <c r="H454" s="5"/>
      <c r="I454" s="5"/>
      <c r="J454" s="5"/>
      <c r="K454" s="5"/>
      <c r="L454" s="95"/>
      <c r="O454" s="4"/>
      <c r="P454" s="4"/>
      <c r="AB454" s="4"/>
      <c r="AD454" s="4"/>
      <c r="AF454" t="e">
        <f>VLOOKUP(C454,'גיליון דאטה להכל'!A:H,5,0)</f>
        <v>#N/A</v>
      </c>
      <c r="AG454" s="104">
        <f t="shared" si="14"/>
        <v>0</v>
      </c>
      <c r="AH454" t="e">
        <f t="shared" si="15"/>
        <v>#N/A</v>
      </c>
    </row>
    <row r="455" spans="8:34" x14ac:dyDescent="0.2">
      <c r="H455" s="5"/>
      <c r="I455" s="5"/>
      <c r="J455" s="5"/>
      <c r="K455" s="5"/>
      <c r="L455" s="95"/>
      <c r="O455" s="4"/>
      <c r="P455" s="4"/>
      <c r="AB455" s="4"/>
      <c r="AD455" s="4"/>
      <c r="AF455" t="e">
        <f>VLOOKUP(C455,'גיליון דאטה להכל'!A:H,5,0)</f>
        <v>#N/A</v>
      </c>
      <c r="AG455" s="104">
        <f t="shared" si="14"/>
        <v>0</v>
      </c>
      <c r="AH455" t="e">
        <f t="shared" si="15"/>
        <v>#N/A</v>
      </c>
    </row>
    <row r="456" spans="8:34" x14ac:dyDescent="0.2">
      <c r="H456" s="5"/>
      <c r="I456" s="5"/>
      <c r="J456" s="5"/>
      <c r="K456" s="5"/>
      <c r="L456" s="95"/>
      <c r="O456" s="4"/>
      <c r="P456" s="4"/>
      <c r="AB456" s="4"/>
      <c r="AD456" s="4"/>
      <c r="AF456" t="e">
        <f>VLOOKUP(C456,'גיליון דאטה להכל'!A:H,5,0)</f>
        <v>#N/A</v>
      </c>
      <c r="AG456" s="104">
        <f t="shared" si="14"/>
        <v>0</v>
      </c>
      <c r="AH456" t="e">
        <f t="shared" si="15"/>
        <v>#N/A</v>
      </c>
    </row>
    <row r="457" spans="8:34" x14ac:dyDescent="0.2">
      <c r="H457" s="5"/>
      <c r="I457" s="5"/>
      <c r="J457" s="5"/>
      <c r="K457" s="5"/>
      <c r="L457" s="95"/>
      <c r="O457" s="4"/>
      <c r="P457" s="4"/>
      <c r="AB457" s="4"/>
      <c r="AD457" s="4"/>
      <c r="AF457" t="e">
        <f>VLOOKUP(C457,'גיליון דאטה להכל'!A:H,5,0)</f>
        <v>#N/A</v>
      </c>
      <c r="AG457" s="104">
        <f t="shared" si="14"/>
        <v>0</v>
      </c>
      <c r="AH457" t="e">
        <f t="shared" si="15"/>
        <v>#N/A</v>
      </c>
    </row>
    <row r="458" spans="8:34" x14ac:dyDescent="0.2">
      <c r="H458" s="5"/>
      <c r="I458" s="5"/>
      <c r="J458" s="5"/>
      <c r="K458" s="5"/>
      <c r="L458" s="95"/>
      <c r="O458" s="4"/>
      <c r="P458" s="4"/>
      <c r="AB458" s="4"/>
      <c r="AD458" s="4"/>
      <c r="AF458" t="e">
        <f>VLOOKUP(C458,'גיליון דאטה להכל'!A:H,5,0)</f>
        <v>#N/A</v>
      </c>
      <c r="AG458" s="104">
        <f t="shared" si="14"/>
        <v>0</v>
      </c>
      <c r="AH458" t="e">
        <f t="shared" si="15"/>
        <v>#N/A</v>
      </c>
    </row>
    <row r="459" spans="8:34" x14ac:dyDescent="0.2">
      <c r="H459" s="5"/>
      <c r="I459" s="5"/>
      <c r="J459" s="5"/>
      <c r="K459" s="5"/>
      <c r="L459" s="95"/>
      <c r="O459" s="4"/>
      <c r="P459" s="4"/>
      <c r="AB459" s="4"/>
      <c r="AD459" s="4"/>
      <c r="AF459" t="e">
        <f>VLOOKUP(C459,'גיליון דאטה להכל'!A:H,5,0)</f>
        <v>#N/A</v>
      </c>
      <c r="AG459" s="104">
        <f t="shared" si="14"/>
        <v>0</v>
      </c>
      <c r="AH459" t="e">
        <f t="shared" si="15"/>
        <v>#N/A</v>
      </c>
    </row>
    <row r="460" spans="8:34" x14ac:dyDescent="0.2">
      <c r="H460" s="5"/>
      <c r="I460" s="5"/>
      <c r="J460" s="5"/>
      <c r="K460" s="5"/>
      <c r="L460" s="95"/>
      <c r="O460" s="4"/>
      <c r="P460" s="4"/>
      <c r="AB460" s="4"/>
      <c r="AD460" s="4"/>
      <c r="AF460" t="e">
        <f>VLOOKUP(C460,'גיליון דאטה להכל'!A:H,5,0)</f>
        <v>#N/A</v>
      </c>
      <c r="AG460" s="104">
        <f t="shared" si="14"/>
        <v>0</v>
      </c>
      <c r="AH460" t="e">
        <f t="shared" si="15"/>
        <v>#N/A</v>
      </c>
    </row>
    <row r="461" spans="8:34" x14ac:dyDescent="0.2">
      <c r="H461" s="5"/>
      <c r="I461" s="5"/>
      <c r="J461" s="5"/>
      <c r="K461" s="5"/>
      <c r="L461" s="95"/>
      <c r="O461" s="4"/>
      <c r="P461" s="4"/>
      <c r="AB461" s="4"/>
      <c r="AD461" s="4"/>
      <c r="AF461" t="e">
        <f>VLOOKUP(C461,'גיליון דאטה להכל'!A:H,5,0)</f>
        <v>#N/A</v>
      </c>
      <c r="AG461" s="104">
        <f t="shared" si="14"/>
        <v>0</v>
      </c>
      <c r="AH461" t="e">
        <f t="shared" si="15"/>
        <v>#N/A</v>
      </c>
    </row>
    <row r="462" spans="8:34" x14ac:dyDescent="0.2">
      <c r="H462" s="5"/>
      <c r="I462" s="5"/>
      <c r="J462" s="5"/>
      <c r="K462" s="5"/>
      <c r="L462" s="95"/>
      <c r="O462" s="4"/>
      <c r="P462" s="4"/>
      <c r="AB462" s="4"/>
      <c r="AD462" s="4"/>
      <c r="AF462" t="e">
        <f>VLOOKUP(C462,'גיליון דאטה להכל'!A:H,5,0)</f>
        <v>#N/A</v>
      </c>
      <c r="AG462" s="104">
        <f t="shared" si="14"/>
        <v>0</v>
      </c>
      <c r="AH462" t="e">
        <f t="shared" si="15"/>
        <v>#N/A</v>
      </c>
    </row>
    <row r="463" spans="8:34" x14ac:dyDescent="0.2">
      <c r="H463" s="5"/>
      <c r="I463" s="5"/>
      <c r="J463" s="5"/>
      <c r="K463" s="5"/>
      <c r="L463" s="95"/>
      <c r="O463" s="4"/>
      <c r="P463" s="4"/>
      <c r="AB463" s="4"/>
      <c r="AD463" s="4"/>
      <c r="AF463" t="e">
        <f>VLOOKUP(C463,'גיליון דאטה להכל'!A:H,5,0)</f>
        <v>#N/A</v>
      </c>
      <c r="AG463" s="104">
        <f t="shared" si="14"/>
        <v>0</v>
      </c>
      <c r="AH463" t="e">
        <f t="shared" si="15"/>
        <v>#N/A</v>
      </c>
    </row>
    <row r="464" spans="8:34" x14ac:dyDescent="0.2">
      <c r="H464" s="5"/>
      <c r="I464" s="5"/>
      <c r="J464" s="5"/>
      <c r="K464" s="5"/>
      <c r="L464" s="95"/>
      <c r="O464" s="4"/>
      <c r="P464" s="4"/>
      <c r="AB464" s="4"/>
      <c r="AD464" s="4"/>
      <c r="AF464" t="e">
        <f>VLOOKUP(C464,'גיליון דאטה להכל'!A:H,5,0)</f>
        <v>#N/A</v>
      </c>
      <c r="AG464" s="104">
        <f t="shared" si="14"/>
        <v>0</v>
      </c>
      <c r="AH464" t="e">
        <f t="shared" si="15"/>
        <v>#N/A</v>
      </c>
    </row>
    <row r="465" spans="8:34" x14ac:dyDescent="0.2">
      <c r="H465" s="5"/>
      <c r="I465" s="5"/>
      <c r="J465" s="5"/>
      <c r="K465" s="5"/>
      <c r="L465" s="95"/>
      <c r="O465" s="4"/>
      <c r="P465" s="4"/>
      <c r="AB465" s="4"/>
      <c r="AD465" s="4"/>
      <c r="AF465" t="e">
        <f>VLOOKUP(C465,'גיליון דאטה להכל'!A:H,5,0)</f>
        <v>#N/A</v>
      </c>
      <c r="AG465" s="104">
        <f t="shared" si="14"/>
        <v>0</v>
      </c>
      <c r="AH465" t="e">
        <f t="shared" si="15"/>
        <v>#N/A</v>
      </c>
    </row>
    <row r="466" spans="8:34" x14ac:dyDescent="0.2">
      <c r="H466" s="5"/>
      <c r="I466" s="5"/>
      <c r="J466" s="5"/>
      <c r="K466" s="5"/>
      <c r="L466" s="95"/>
      <c r="O466" s="4"/>
      <c r="P466" s="4"/>
      <c r="AB466" s="4"/>
      <c r="AD466" s="4"/>
      <c r="AF466" t="e">
        <f>VLOOKUP(C466,'גיליון דאטה להכל'!A:H,5,0)</f>
        <v>#N/A</v>
      </c>
      <c r="AG466" s="104">
        <f t="shared" si="14"/>
        <v>0</v>
      </c>
      <c r="AH466" t="e">
        <f t="shared" si="15"/>
        <v>#N/A</v>
      </c>
    </row>
    <row r="467" spans="8:34" x14ac:dyDescent="0.2">
      <c r="H467" s="5"/>
      <c r="I467" s="5"/>
      <c r="J467" s="5"/>
      <c r="K467" s="5"/>
      <c r="L467" s="95"/>
      <c r="O467" s="4"/>
      <c r="P467" s="4"/>
      <c r="AB467" s="4"/>
      <c r="AD467" s="4"/>
      <c r="AF467" t="e">
        <f>VLOOKUP(C467,'גיליון דאטה להכל'!A:H,5,0)</f>
        <v>#N/A</v>
      </c>
      <c r="AG467" s="104">
        <f t="shared" si="14"/>
        <v>0</v>
      </c>
      <c r="AH467" t="e">
        <f t="shared" si="15"/>
        <v>#N/A</v>
      </c>
    </row>
    <row r="468" spans="8:34" x14ac:dyDescent="0.2">
      <c r="H468" s="5"/>
      <c r="I468" s="5"/>
      <c r="J468" s="5"/>
      <c r="K468" s="5"/>
      <c r="L468" s="95"/>
      <c r="O468" s="4"/>
      <c r="P468" s="4"/>
      <c r="AB468" s="4"/>
      <c r="AD468" s="4"/>
      <c r="AF468" t="e">
        <f>VLOOKUP(C468,'גיליון דאטה להכל'!A:H,5,0)</f>
        <v>#N/A</v>
      </c>
      <c r="AG468" s="104">
        <f t="shared" si="14"/>
        <v>0</v>
      </c>
      <c r="AH468" t="e">
        <f t="shared" si="15"/>
        <v>#N/A</v>
      </c>
    </row>
    <row r="469" spans="8:34" x14ac:dyDescent="0.2">
      <c r="H469" s="5"/>
      <c r="I469" s="5"/>
      <c r="J469" s="5"/>
      <c r="K469" s="5"/>
      <c r="L469" s="95"/>
      <c r="O469" s="4"/>
      <c r="P469" s="4"/>
      <c r="AB469" s="4"/>
      <c r="AD469" s="4"/>
      <c r="AF469" t="e">
        <f>VLOOKUP(C469,'גיליון דאטה להכל'!A:H,5,0)</f>
        <v>#N/A</v>
      </c>
      <c r="AG469" s="104">
        <f t="shared" si="14"/>
        <v>0</v>
      </c>
      <c r="AH469" t="e">
        <f t="shared" si="15"/>
        <v>#N/A</v>
      </c>
    </row>
    <row r="470" spans="8:34" x14ac:dyDescent="0.2">
      <c r="H470" s="5"/>
      <c r="I470" s="5"/>
      <c r="J470" s="5"/>
      <c r="K470" s="5"/>
      <c r="L470" s="95"/>
      <c r="O470" s="4"/>
      <c r="P470" s="4"/>
      <c r="AB470" s="4"/>
      <c r="AD470" s="4"/>
      <c r="AF470" t="e">
        <f>VLOOKUP(C470,'גיליון דאטה להכל'!A:H,5,0)</f>
        <v>#N/A</v>
      </c>
      <c r="AG470" s="104">
        <f t="shared" si="14"/>
        <v>0</v>
      </c>
      <c r="AH470" t="e">
        <f t="shared" si="15"/>
        <v>#N/A</v>
      </c>
    </row>
    <row r="471" spans="8:34" x14ac:dyDescent="0.2">
      <c r="H471" s="5"/>
      <c r="I471" s="5"/>
      <c r="J471" s="5"/>
      <c r="K471" s="5"/>
      <c r="L471" s="95"/>
      <c r="O471" s="4"/>
      <c r="P471" s="4"/>
      <c r="AB471" s="4"/>
      <c r="AD471" s="4"/>
      <c r="AF471" t="e">
        <f>VLOOKUP(C471,'גיליון דאטה להכל'!A:H,5,0)</f>
        <v>#N/A</v>
      </c>
      <c r="AG471" s="104">
        <f t="shared" si="14"/>
        <v>0</v>
      </c>
      <c r="AH471" t="e">
        <f t="shared" si="15"/>
        <v>#N/A</v>
      </c>
    </row>
    <row r="472" spans="8:34" x14ac:dyDescent="0.2">
      <c r="H472" s="5"/>
      <c r="I472" s="5"/>
      <c r="J472" s="5"/>
      <c r="K472" s="5"/>
      <c r="L472" s="95"/>
      <c r="O472" s="4"/>
      <c r="P472" s="4"/>
      <c r="AB472" s="4"/>
      <c r="AD472" s="4"/>
      <c r="AF472" t="e">
        <f>VLOOKUP(C472,'גיליון דאטה להכל'!A:H,5,0)</f>
        <v>#N/A</v>
      </c>
      <c r="AG472" s="104">
        <f t="shared" si="14"/>
        <v>0</v>
      </c>
      <c r="AH472" t="e">
        <f t="shared" si="15"/>
        <v>#N/A</v>
      </c>
    </row>
    <row r="473" spans="8:34" x14ac:dyDescent="0.2">
      <c r="H473" s="5"/>
      <c r="I473" s="5"/>
      <c r="J473" s="5"/>
      <c r="K473" s="5"/>
      <c r="L473" s="95"/>
      <c r="O473" s="4"/>
      <c r="P473" s="4"/>
      <c r="AB473" s="4"/>
      <c r="AD473" s="4"/>
      <c r="AF473" t="e">
        <f>VLOOKUP(C473,'גיליון דאטה להכל'!A:H,5,0)</f>
        <v>#N/A</v>
      </c>
      <c r="AG473" s="104">
        <f t="shared" si="14"/>
        <v>0</v>
      </c>
      <c r="AH473" t="e">
        <f t="shared" si="15"/>
        <v>#N/A</v>
      </c>
    </row>
    <row r="474" spans="8:34" x14ac:dyDescent="0.2">
      <c r="H474" s="5"/>
      <c r="I474" s="5"/>
      <c r="J474" s="5"/>
      <c r="K474" s="5"/>
      <c r="L474" s="95"/>
      <c r="O474" s="4"/>
      <c r="P474" s="4"/>
      <c r="AB474" s="4"/>
      <c r="AD474" s="4"/>
      <c r="AF474" t="e">
        <f>VLOOKUP(C474,'גיליון דאטה להכל'!A:H,5,0)</f>
        <v>#N/A</v>
      </c>
      <c r="AG474" s="104">
        <f t="shared" si="14"/>
        <v>0</v>
      </c>
      <c r="AH474" t="e">
        <f t="shared" si="15"/>
        <v>#N/A</v>
      </c>
    </row>
    <row r="475" spans="8:34" x14ac:dyDescent="0.2">
      <c r="H475" s="5"/>
      <c r="I475" s="5"/>
      <c r="J475" s="5"/>
      <c r="K475" s="5"/>
      <c r="L475" s="95"/>
      <c r="O475" s="4"/>
      <c r="P475" s="4"/>
      <c r="AB475" s="4"/>
      <c r="AD475" s="4"/>
      <c r="AF475" t="e">
        <f>VLOOKUP(C475,'גיליון דאטה להכל'!A:H,5,0)</f>
        <v>#N/A</v>
      </c>
      <c r="AG475" s="104">
        <f t="shared" si="14"/>
        <v>0</v>
      </c>
      <c r="AH475" t="e">
        <f t="shared" si="15"/>
        <v>#N/A</v>
      </c>
    </row>
    <row r="476" spans="8:34" x14ac:dyDescent="0.2">
      <c r="H476" s="5"/>
      <c r="I476" s="5"/>
      <c r="J476" s="5"/>
      <c r="K476" s="5"/>
      <c r="L476" s="95"/>
      <c r="O476" s="4"/>
      <c r="P476" s="4"/>
      <c r="AB476" s="4"/>
      <c r="AD476" s="4"/>
      <c r="AF476" t="e">
        <f>VLOOKUP(C476,'גיליון דאטה להכל'!A:H,5,0)</f>
        <v>#N/A</v>
      </c>
      <c r="AG476" s="104">
        <f t="shared" si="14"/>
        <v>0</v>
      </c>
      <c r="AH476" t="e">
        <f t="shared" si="15"/>
        <v>#N/A</v>
      </c>
    </row>
    <row r="477" spans="8:34" x14ac:dyDescent="0.2">
      <c r="H477" s="5"/>
      <c r="I477" s="5"/>
      <c r="J477" s="5"/>
      <c r="K477" s="5"/>
      <c r="L477" s="95"/>
      <c r="O477" s="4"/>
      <c r="P477" s="4"/>
      <c r="AB477" s="4"/>
      <c r="AD477" s="4"/>
      <c r="AF477" t="e">
        <f>VLOOKUP(C477,'גיליון דאטה להכל'!A:H,5,0)</f>
        <v>#N/A</v>
      </c>
      <c r="AG477" s="104">
        <f t="shared" si="14"/>
        <v>0</v>
      </c>
      <c r="AH477" t="e">
        <f t="shared" si="15"/>
        <v>#N/A</v>
      </c>
    </row>
    <row r="478" spans="8:34" x14ac:dyDescent="0.2">
      <c r="H478" s="5"/>
      <c r="I478" s="5"/>
      <c r="J478" s="5"/>
      <c r="K478" s="5"/>
      <c r="L478" s="95"/>
      <c r="O478" s="4"/>
      <c r="P478" s="4"/>
      <c r="AB478" s="4"/>
      <c r="AD478" s="4"/>
      <c r="AF478" t="e">
        <f>VLOOKUP(C478,'גיליון דאטה להכל'!A:H,5,0)</f>
        <v>#N/A</v>
      </c>
      <c r="AG478" s="104">
        <f t="shared" si="14"/>
        <v>0</v>
      </c>
      <c r="AH478" t="e">
        <f t="shared" si="15"/>
        <v>#N/A</v>
      </c>
    </row>
    <row r="479" spans="8:34" x14ac:dyDescent="0.2">
      <c r="H479" s="5"/>
      <c r="I479" s="5"/>
      <c r="J479" s="5"/>
      <c r="K479" s="5"/>
      <c r="L479" s="95"/>
      <c r="O479" s="4"/>
      <c r="P479" s="4"/>
      <c r="AB479" s="4"/>
      <c r="AD479" s="4"/>
      <c r="AF479" t="e">
        <f>VLOOKUP(C479,'גיליון דאטה להכל'!A:H,5,0)</f>
        <v>#N/A</v>
      </c>
      <c r="AG479" s="104">
        <f t="shared" si="14"/>
        <v>0</v>
      </c>
      <c r="AH479" t="e">
        <f t="shared" si="15"/>
        <v>#N/A</v>
      </c>
    </row>
    <row r="480" spans="8:34" x14ac:dyDescent="0.2">
      <c r="H480" s="5"/>
      <c r="I480" s="5"/>
      <c r="J480" s="5"/>
      <c r="K480" s="5"/>
      <c r="L480" s="95"/>
      <c r="O480" s="4"/>
      <c r="P480" s="4"/>
      <c r="AB480" s="4"/>
      <c r="AD480" s="4"/>
      <c r="AF480" t="e">
        <f>VLOOKUP(C480,'גיליון דאטה להכל'!A:H,5,0)</f>
        <v>#N/A</v>
      </c>
      <c r="AG480" s="104">
        <f t="shared" si="14"/>
        <v>0</v>
      </c>
      <c r="AH480" t="e">
        <f t="shared" si="15"/>
        <v>#N/A</v>
      </c>
    </row>
    <row r="481" spans="8:34" x14ac:dyDescent="0.2">
      <c r="H481" s="5"/>
      <c r="I481" s="5"/>
      <c r="J481" s="5"/>
      <c r="K481" s="5"/>
      <c r="L481" s="95"/>
      <c r="O481" s="4"/>
      <c r="P481" s="4"/>
      <c r="AB481" s="4"/>
      <c r="AD481" s="4"/>
      <c r="AF481" t="e">
        <f>VLOOKUP(C481,'גיליון דאטה להכל'!A:H,5,0)</f>
        <v>#N/A</v>
      </c>
      <c r="AG481" s="104">
        <f t="shared" si="14"/>
        <v>0</v>
      </c>
      <c r="AH481" t="e">
        <f t="shared" si="15"/>
        <v>#N/A</v>
      </c>
    </row>
    <row r="482" spans="8:34" x14ac:dyDescent="0.2">
      <c r="H482" s="5"/>
      <c r="I482" s="5"/>
      <c r="J482" s="5"/>
      <c r="K482" s="5"/>
      <c r="L482" s="95"/>
      <c r="O482" s="4"/>
      <c r="P482" s="4"/>
      <c r="AB482" s="4"/>
      <c r="AD482" s="4"/>
      <c r="AF482" t="e">
        <f>VLOOKUP(C482,'גיליון דאטה להכל'!A:H,5,0)</f>
        <v>#N/A</v>
      </c>
      <c r="AG482" s="104">
        <f t="shared" si="14"/>
        <v>0</v>
      </c>
      <c r="AH482" t="e">
        <f t="shared" si="15"/>
        <v>#N/A</v>
      </c>
    </row>
    <row r="483" spans="8:34" x14ac:dyDescent="0.2">
      <c r="H483" s="5"/>
      <c r="I483" s="5"/>
      <c r="J483" s="5"/>
      <c r="K483" s="5"/>
      <c r="L483" s="95"/>
      <c r="O483" s="4"/>
      <c r="P483" s="4"/>
      <c r="AB483" s="4"/>
      <c r="AD483" s="4"/>
      <c r="AF483" t="e">
        <f>VLOOKUP(C483,'גיליון דאטה להכל'!A:H,5,0)</f>
        <v>#N/A</v>
      </c>
      <c r="AG483" s="104">
        <f t="shared" si="14"/>
        <v>0</v>
      </c>
      <c r="AH483" t="e">
        <f t="shared" si="15"/>
        <v>#N/A</v>
      </c>
    </row>
    <row r="484" spans="8:34" x14ac:dyDescent="0.2">
      <c r="H484" s="5"/>
      <c r="I484" s="5"/>
      <c r="J484" s="5"/>
      <c r="K484" s="5"/>
      <c r="L484" s="95"/>
      <c r="O484" s="4"/>
      <c r="P484" s="4"/>
      <c r="AB484" s="4"/>
      <c r="AD484" s="4"/>
      <c r="AF484" t="e">
        <f>VLOOKUP(C484,'גיליון דאטה להכל'!A:H,5,0)</f>
        <v>#N/A</v>
      </c>
      <c r="AG484" s="104">
        <f t="shared" si="14"/>
        <v>0</v>
      </c>
      <c r="AH484" t="e">
        <f t="shared" si="15"/>
        <v>#N/A</v>
      </c>
    </row>
    <row r="485" spans="8:34" x14ac:dyDescent="0.2">
      <c r="H485" s="5"/>
      <c r="I485" s="5"/>
      <c r="J485" s="5"/>
      <c r="K485" s="5"/>
      <c r="L485" s="95"/>
      <c r="O485" s="4"/>
      <c r="P485" s="4"/>
      <c r="AB485" s="4"/>
      <c r="AD485" s="4"/>
      <c r="AF485" t="e">
        <f>VLOOKUP(C485,'גיליון דאטה להכל'!A:H,5,0)</f>
        <v>#N/A</v>
      </c>
      <c r="AG485" s="104">
        <f t="shared" si="14"/>
        <v>0</v>
      </c>
      <c r="AH485" t="e">
        <f t="shared" si="15"/>
        <v>#N/A</v>
      </c>
    </row>
    <row r="486" spans="8:34" x14ac:dyDescent="0.2">
      <c r="H486" s="5"/>
      <c r="I486" s="5"/>
      <c r="J486" s="5"/>
      <c r="K486" s="5"/>
      <c r="L486" s="95"/>
      <c r="O486" s="4"/>
      <c r="P486" s="4"/>
      <c r="AB486" s="4"/>
      <c r="AD486" s="4"/>
      <c r="AF486" t="e">
        <f>VLOOKUP(C486,'גיליון דאטה להכל'!A:H,5,0)</f>
        <v>#N/A</v>
      </c>
      <c r="AG486" s="104">
        <f t="shared" si="14"/>
        <v>0</v>
      </c>
      <c r="AH486" t="e">
        <f t="shared" si="15"/>
        <v>#N/A</v>
      </c>
    </row>
    <row r="487" spans="8:34" x14ac:dyDescent="0.2">
      <c r="H487" s="5"/>
      <c r="I487" s="5"/>
      <c r="J487" s="5"/>
      <c r="K487" s="5"/>
      <c r="L487" s="95"/>
      <c r="O487" s="4"/>
      <c r="P487" s="4"/>
      <c r="AB487" s="4"/>
      <c r="AD487" s="4"/>
      <c r="AF487" t="e">
        <f>VLOOKUP(C487,'גיליון דאטה להכל'!A:H,5,0)</f>
        <v>#N/A</v>
      </c>
      <c r="AG487" s="104">
        <f t="shared" si="14"/>
        <v>0</v>
      </c>
      <c r="AH487" t="e">
        <f t="shared" si="15"/>
        <v>#N/A</v>
      </c>
    </row>
    <row r="488" spans="8:34" x14ac:dyDescent="0.2">
      <c r="H488" s="5"/>
      <c r="I488" s="5"/>
      <c r="J488" s="5"/>
      <c r="K488" s="5"/>
      <c r="L488" s="95"/>
      <c r="O488" s="4"/>
      <c r="P488" s="4"/>
      <c r="AB488" s="4"/>
      <c r="AD488" s="4"/>
      <c r="AF488" t="e">
        <f>VLOOKUP(C488,'גיליון דאטה להכל'!A:H,5,0)</f>
        <v>#N/A</v>
      </c>
      <c r="AG488" s="104">
        <f t="shared" si="14"/>
        <v>0</v>
      </c>
      <c r="AH488" t="e">
        <f t="shared" si="15"/>
        <v>#N/A</v>
      </c>
    </row>
    <row r="489" spans="8:34" x14ac:dyDescent="0.2">
      <c r="H489" s="5"/>
      <c r="I489" s="5"/>
      <c r="J489" s="5"/>
      <c r="K489" s="5"/>
      <c r="L489" s="95"/>
      <c r="O489" s="4"/>
      <c r="P489" s="4"/>
      <c r="AB489" s="4"/>
      <c r="AD489" s="4"/>
      <c r="AF489" t="e">
        <f>VLOOKUP(C489,'גיליון דאטה להכל'!A:H,5,0)</f>
        <v>#N/A</v>
      </c>
      <c r="AG489" s="104">
        <f t="shared" si="14"/>
        <v>0</v>
      </c>
      <c r="AH489" t="e">
        <f t="shared" si="15"/>
        <v>#N/A</v>
      </c>
    </row>
    <row r="490" spans="8:34" x14ac:dyDescent="0.2">
      <c r="H490" s="5"/>
      <c r="I490" s="5"/>
      <c r="J490" s="5"/>
      <c r="K490" s="5"/>
      <c r="L490" s="95"/>
      <c r="O490" s="4"/>
      <c r="P490" s="4"/>
      <c r="AB490" s="4"/>
      <c r="AD490" s="4"/>
      <c r="AF490" t="e">
        <f>VLOOKUP(C490,'גיליון דאטה להכל'!A:H,5,0)</f>
        <v>#N/A</v>
      </c>
      <c r="AG490" s="104">
        <f t="shared" si="14"/>
        <v>0</v>
      </c>
      <c r="AH490" t="e">
        <f t="shared" si="15"/>
        <v>#N/A</v>
      </c>
    </row>
    <row r="491" spans="8:34" x14ac:dyDescent="0.2">
      <c r="H491" s="5"/>
      <c r="I491" s="5"/>
      <c r="J491" s="5"/>
      <c r="K491" s="5"/>
      <c r="L491" s="95"/>
      <c r="O491" s="4"/>
      <c r="P491" s="4"/>
      <c r="AB491" s="4"/>
      <c r="AD491" s="4"/>
      <c r="AF491" t="e">
        <f>VLOOKUP(C491,'גיליון דאטה להכל'!A:H,5,0)</f>
        <v>#N/A</v>
      </c>
      <c r="AG491" s="104">
        <f t="shared" si="14"/>
        <v>0</v>
      </c>
      <c r="AH491" t="e">
        <f t="shared" si="15"/>
        <v>#N/A</v>
      </c>
    </row>
    <row r="492" spans="8:34" x14ac:dyDescent="0.2">
      <c r="H492" s="5"/>
      <c r="I492" s="5"/>
      <c r="J492" s="5"/>
      <c r="K492" s="5"/>
      <c r="L492" s="95"/>
      <c r="O492" s="4"/>
      <c r="P492" s="4"/>
      <c r="AB492" s="4"/>
      <c r="AD492" s="4"/>
      <c r="AF492" t="e">
        <f>VLOOKUP(C492,'גיליון דאטה להכל'!A:H,5,0)</f>
        <v>#N/A</v>
      </c>
      <c r="AG492" s="104">
        <f t="shared" si="14"/>
        <v>0</v>
      </c>
      <c r="AH492" t="e">
        <f t="shared" si="15"/>
        <v>#N/A</v>
      </c>
    </row>
    <row r="493" spans="8:34" x14ac:dyDescent="0.2">
      <c r="H493" s="5"/>
      <c r="I493" s="5"/>
      <c r="J493" s="5"/>
      <c r="K493" s="5"/>
      <c r="L493" s="95"/>
      <c r="O493" s="4"/>
      <c r="P493" s="4"/>
      <c r="AB493" s="4"/>
      <c r="AD493" s="4"/>
      <c r="AF493" t="e">
        <f>VLOOKUP(C493,'גיליון דאטה להכל'!A:H,5,0)</f>
        <v>#N/A</v>
      </c>
      <c r="AG493" s="104">
        <f t="shared" si="14"/>
        <v>0</v>
      </c>
      <c r="AH493" t="e">
        <f t="shared" si="15"/>
        <v>#N/A</v>
      </c>
    </row>
    <row r="494" spans="8:34" x14ac:dyDescent="0.2">
      <c r="H494" s="5"/>
      <c r="I494" s="5"/>
      <c r="J494" s="5"/>
      <c r="K494" s="5"/>
      <c r="L494" s="95"/>
      <c r="O494" s="4"/>
      <c r="P494" s="4"/>
      <c r="AB494" s="4"/>
      <c r="AD494" s="4"/>
      <c r="AF494" t="e">
        <f>VLOOKUP(C494,'גיליון דאטה להכל'!A:H,5,0)</f>
        <v>#N/A</v>
      </c>
      <c r="AG494" s="104">
        <f t="shared" si="14"/>
        <v>0</v>
      </c>
      <c r="AH494" t="e">
        <f t="shared" si="15"/>
        <v>#N/A</v>
      </c>
    </row>
    <row r="495" spans="8:34" x14ac:dyDescent="0.2">
      <c r="H495" s="5"/>
      <c r="I495" s="5"/>
      <c r="J495" s="5"/>
      <c r="K495" s="5"/>
      <c r="L495" s="95"/>
      <c r="O495" s="4"/>
      <c r="P495" s="4"/>
      <c r="AB495" s="4"/>
      <c r="AD495" s="4"/>
      <c r="AF495" t="e">
        <f>VLOOKUP(C495,'גיליון דאטה להכל'!A:H,5,0)</f>
        <v>#N/A</v>
      </c>
      <c r="AG495" s="104">
        <f t="shared" si="14"/>
        <v>0</v>
      </c>
      <c r="AH495" t="e">
        <f t="shared" si="15"/>
        <v>#N/A</v>
      </c>
    </row>
    <row r="496" spans="8:34" x14ac:dyDescent="0.2">
      <c r="H496" s="5"/>
      <c r="I496" s="5"/>
      <c r="J496" s="5"/>
      <c r="K496" s="5"/>
      <c r="L496" s="95"/>
      <c r="O496" s="4"/>
      <c r="P496" s="4"/>
      <c r="AB496" s="4"/>
      <c r="AD496" s="4"/>
      <c r="AF496" t="e">
        <f>VLOOKUP(C496,'גיליון דאטה להכל'!A:H,5,0)</f>
        <v>#N/A</v>
      </c>
      <c r="AG496" s="104">
        <f t="shared" si="14"/>
        <v>0</v>
      </c>
      <c r="AH496" t="e">
        <f t="shared" si="15"/>
        <v>#N/A</v>
      </c>
    </row>
    <row r="497" spans="8:34" x14ac:dyDescent="0.2">
      <c r="H497" s="5"/>
      <c r="I497" s="5"/>
      <c r="J497" s="5"/>
      <c r="K497" s="5"/>
      <c r="L497" s="95"/>
      <c r="O497" s="4"/>
      <c r="P497" s="4"/>
      <c r="AB497" s="4"/>
      <c r="AD497" s="4"/>
      <c r="AF497" t="e">
        <f>VLOOKUP(C497,'גיליון דאטה להכל'!A:H,5,0)</f>
        <v>#N/A</v>
      </c>
      <c r="AG497" s="104">
        <f t="shared" si="14"/>
        <v>0</v>
      </c>
      <c r="AH497" t="e">
        <f t="shared" si="15"/>
        <v>#N/A</v>
      </c>
    </row>
    <row r="498" spans="8:34" x14ac:dyDescent="0.2">
      <c r="H498" s="5"/>
      <c r="I498" s="5"/>
      <c r="J498" s="5"/>
      <c r="K498" s="5"/>
      <c r="L498" s="95"/>
      <c r="O498" s="4"/>
      <c r="P498" s="4"/>
      <c r="AB498" s="4"/>
      <c r="AD498" s="4"/>
      <c r="AF498" t="e">
        <f>VLOOKUP(C498,'גיליון דאטה להכל'!A:H,5,0)</f>
        <v>#N/A</v>
      </c>
      <c r="AG498" s="104">
        <f t="shared" si="14"/>
        <v>0</v>
      </c>
      <c r="AH498" t="e">
        <f t="shared" si="15"/>
        <v>#N/A</v>
      </c>
    </row>
    <row r="499" spans="8:34" x14ac:dyDescent="0.2">
      <c r="H499" s="5"/>
      <c r="I499" s="5"/>
      <c r="J499" s="5"/>
      <c r="K499" s="5"/>
      <c r="L499" s="95"/>
      <c r="O499" s="4"/>
      <c r="P499" s="4"/>
      <c r="AB499" s="4"/>
      <c r="AD499" s="4"/>
      <c r="AF499" t="e">
        <f>VLOOKUP(C499,'גיליון דאטה להכל'!A:H,5,0)</f>
        <v>#N/A</v>
      </c>
      <c r="AG499" s="104">
        <f t="shared" si="14"/>
        <v>0</v>
      </c>
      <c r="AH499" t="e">
        <f t="shared" si="15"/>
        <v>#N/A</v>
      </c>
    </row>
    <row r="500" spans="8:34" x14ac:dyDescent="0.2">
      <c r="H500" s="5"/>
      <c r="I500" s="5"/>
      <c r="J500" s="5"/>
      <c r="K500" s="5"/>
      <c r="L500" s="95"/>
      <c r="O500" s="4"/>
      <c r="P500" s="4"/>
      <c r="AB500" s="4"/>
      <c r="AD500" s="4"/>
      <c r="AF500" t="e">
        <f>VLOOKUP(C500,'גיליון דאטה להכל'!A:H,5,0)</f>
        <v>#N/A</v>
      </c>
      <c r="AG500" s="104">
        <f t="shared" si="14"/>
        <v>0</v>
      </c>
      <c r="AH500" t="e">
        <f t="shared" si="15"/>
        <v>#N/A</v>
      </c>
    </row>
    <row r="501" spans="8:34" x14ac:dyDescent="0.2">
      <c r="H501" s="5"/>
      <c r="I501" s="5"/>
      <c r="J501" s="5"/>
      <c r="K501" s="5"/>
      <c r="L501" s="95"/>
      <c r="O501" s="4"/>
      <c r="P501" s="4"/>
      <c r="AB501" s="4"/>
      <c r="AD501" s="4"/>
      <c r="AF501" t="e">
        <f>VLOOKUP(C501,'גיליון דאטה להכל'!A:H,5,0)</f>
        <v>#N/A</v>
      </c>
      <c r="AG501" s="104">
        <f t="shared" si="14"/>
        <v>0</v>
      </c>
      <c r="AH501" t="e">
        <f t="shared" si="15"/>
        <v>#N/A</v>
      </c>
    </row>
    <row r="502" spans="8:34" x14ac:dyDescent="0.2">
      <c r="H502" s="5"/>
      <c r="I502" s="5"/>
      <c r="J502" s="5"/>
      <c r="K502" s="5"/>
      <c r="L502" s="95"/>
      <c r="O502" s="4"/>
      <c r="P502" s="4"/>
      <c r="AB502" s="4"/>
      <c r="AD502" s="4"/>
      <c r="AF502" t="e">
        <f>VLOOKUP(C502,'גיליון דאטה להכל'!A:H,5,0)</f>
        <v>#N/A</v>
      </c>
      <c r="AG502" s="104">
        <f t="shared" si="14"/>
        <v>0</v>
      </c>
      <c r="AH502" t="e">
        <f t="shared" si="15"/>
        <v>#N/A</v>
      </c>
    </row>
    <row r="503" spans="8:34" x14ac:dyDescent="0.2">
      <c r="H503" s="5"/>
      <c r="I503" s="5"/>
      <c r="J503" s="5"/>
      <c r="K503" s="5"/>
      <c r="L503" s="95"/>
      <c r="O503" s="4"/>
      <c r="P503" s="4"/>
      <c r="AB503" s="4"/>
      <c r="AD503" s="4"/>
      <c r="AF503" t="e">
        <f>VLOOKUP(C503,'גיליון דאטה להכל'!A:H,5,0)</f>
        <v>#N/A</v>
      </c>
      <c r="AG503" s="104">
        <f t="shared" si="14"/>
        <v>0</v>
      </c>
      <c r="AH503" t="e">
        <f t="shared" si="15"/>
        <v>#N/A</v>
      </c>
    </row>
    <row r="504" spans="8:34" x14ac:dyDescent="0.2">
      <c r="H504" s="5"/>
      <c r="I504" s="5"/>
      <c r="J504" s="5"/>
      <c r="K504" s="5"/>
      <c r="L504" s="95"/>
      <c r="O504" s="4"/>
      <c r="P504" s="4"/>
      <c r="AB504" s="4"/>
      <c r="AD504" s="4"/>
      <c r="AF504" t="e">
        <f>VLOOKUP(C504,'גיליון דאטה להכל'!A:H,5,0)</f>
        <v>#N/A</v>
      </c>
      <c r="AG504" s="104">
        <f t="shared" si="14"/>
        <v>0</v>
      </c>
      <c r="AH504" t="e">
        <f t="shared" si="15"/>
        <v>#N/A</v>
      </c>
    </row>
    <row r="505" spans="8:34" x14ac:dyDescent="0.2">
      <c r="H505" s="5"/>
      <c r="I505" s="5"/>
      <c r="J505" s="5"/>
      <c r="K505" s="5"/>
      <c r="L505" s="95"/>
      <c r="O505" s="4"/>
      <c r="P505" s="4"/>
      <c r="AB505" s="4"/>
      <c r="AD505" s="4"/>
      <c r="AF505" t="e">
        <f>VLOOKUP(C505,'גיליון דאטה להכל'!A:H,5,0)</f>
        <v>#N/A</v>
      </c>
      <c r="AG505" s="104">
        <f t="shared" si="14"/>
        <v>0</v>
      </c>
      <c r="AH505" t="e">
        <f t="shared" si="15"/>
        <v>#N/A</v>
      </c>
    </row>
    <row r="506" spans="8:34" x14ac:dyDescent="0.2">
      <c r="H506" s="5"/>
      <c r="I506" s="5"/>
      <c r="J506" s="5"/>
      <c r="K506" s="5"/>
      <c r="L506" s="95"/>
      <c r="O506" s="4"/>
      <c r="P506" s="4"/>
      <c r="AB506" s="4"/>
      <c r="AD506" s="4"/>
      <c r="AF506" t="e">
        <f>VLOOKUP(C506,'גיליון דאטה להכל'!A:H,5,0)</f>
        <v>#N/A</v>
      </c>
      <c r="AG506" s="104">
        <f t="shared" si="14"/>
        <v>0</v>
      </c>
      <c r="AH506" t="e">
        <f t="shared" si="15"/>
        <v>#N/A</v>
      </c>
    </row>
    <row r="507" spans="8:34" x14ac:dyDescent="0.2">
      <c r="H507" s="5"/>
      <c r="I507" s="5"/>
      <c r="J507" s="5"/>
      <c r="K507" s="5"/>
      <c r="L507" s="95"/>
      <c r="O507" s="4"/>
      <c r="P507" s="4"/>
      <c r="AB507" s="4"/>
      <c r="AD507" s="4"/>
      <c r="AF507" t="e">
        <f>VLOOKUP(C507,'גיליון דאטה להכל'!A:H,5,0)</f>
        <v>#N/A</v>
      </c>
      <c r="AG507" s="104">
        <f t="shared" si="14"/>
        <v>0</v>
      </c>
      <c r="AH507" t="e">
        <f t="shared" si="15"/>
        <v>#N/A</v>
      </c>
    </row>
    <row r="508" spans="8:34" x14ac:dyDescent="0.2">
      <c r="H508" s="5"/>
      <c r="I508" s="5"/>
      <c r="J508" s="5"/>
      <c r="K508" s="5"/>
      <c r="L508" s="95"/>
      <c r="O508" s="4"/>
      <c r="P508" s="4"/>
      <c r="AB508" s="4"/>
      <c r="AD508" s="4"/>
      <c r="AF508" t="e">
        <f>VLOOKUP(C508,'גיליון דאטה להכל'!A:H,5,0)</f>
        <v>#N/A</v>
      </c>
      <c r="AG508" s="104">
        <f t="shared" si="14"/>
        <v>0</v>
      </c>
      <c r="AH508" t="e">
        <f t="shared" si="15"/>
        <v>#N/A</v>
      </c>
    </row>
    <row r="509" spans="8:34" x14ac:dyDescent="0.2">
      <c r="H509" s="5"/>
      <c r="I509" s="5"/>
      <c r="J509" s="5"/>
      <c r="K509" s="5"/>
      <c r="L509" s="95"/>
      <c r="O509" s="4"/>
      <c r="P509" s="4"/>
      <c r="AB509" s="4"/>
      <c r="AD509" s="4"/>
      <c r="AF509" t="e">
        <f>VLOOKUP(C509,'גיליון דאטה להכל'!A:H,5,0)</f>
        <v>#N/A</v>
      </c>
      <c r="AG509" s="104">
        <f t="shared" si="14"/>
        <v>0</v>
      </c>
      <c r="AH509" t="e">
        <f t="shared" si="15"/>
        <v>#N/A</v>
      </c>
    </row>
    <row r="510" spans="8:34" x14ac:dyDescent="0.2">
      <c r="H510" s="5"/>
      <c r="I510" s="5"/>
      <c r="J510" s="5"/>
      <c r="K510" s="5"/>
      <c r="L510" s="95"/>
      <c r="O510" s="4"/>
      <c r="P510" s="4"/>
      <c r="AB510" s="4"/>
      <c r="AD510" s="4"/>
      <c r="AF510" t="e">
        <f>VLOOKUP(C510,'גיליון דאטה להכל'!A:H,5,0)</f>
        <v>#N/A</v>
      </c>
      <c r="AG510" s="104">
        <f t="shared" si="14"/>
        <v>0</v>
      </c>
      <c r="AH510" t="e">
        <f t="shared" si="15"/>
        <v>#N/A</v>
      </c>
    </row>
    <row r="511" spans="8:34" x14ac:dyDescent="0.2">
      <c r="H511" s="5"/>
      <c r="I511" s="5"/>
      <c r="J511" s="5"/>
      <c r="K511" s="5"/>
      <c r="L511" s="95"/>
      <c r="O511" s="4"/>
      <c r="P511" s="4"/>
      <c r="AB511" s="4"/>
      <c r="AD511" s="4"/>
      <c r="AF511" t="e">
        <f>VLOOKUP(C511,'גיליון דאטה להכל'!A:H,5,0)</f>
        <v>#N/A</v>
      </c>
      <c r="AG511" s="104">
        <f t="shared" si="14"/>
        <v>0</v>
      </c>
      <c r="AH511" t="e">
        <f t="shared" si="15"/>
        <v>#N/A</v>
      </c>
    </row>
    <row r="512" spans="8:34" x14ac:dyDescent="0.2">
      <c r="H512" s="5"/>
      <c r="I512" s="5"/>
      <c r="J512" s="5"/>
      <c r="K512" s="5"/>
      <c r="L512" s="95"/>
      <c r="O512" s="4"/>
      <c r="P512" s="4"/>
      <c r="AB512" s="4"/>
      <c r="AD512" s="4"/>
      <c r="AF512" t="e">
        <f>VLOOKUP(C512,'גיליון דאטה להכל'!A:H,5,0)</f>
        <v>#N/A</v>
      </c>
      <c r="AG512" s="104">
        <f t="shared" si="14"/>
        <v>0</v>
      </c>
      <c r="AH512" t="e">
        <f t="shared" si="15"/>
        <v>#N/A</v>
      </c>
    </row>
    <row r="513" spans="8:34" x14ac:dyDescent="0.2">
      <c r="H513" s="5"/>
      <c r="I513" s="5"/>
      <c r="J513" s="5"/>
      <c r="K513" s="5"/>
      <c r="L513" s="95"/>
      <c r="O513" s="4"/>
      <c r="P513" s="4"/>
      <c r="AB513" s="4"/>
      <c r="AD513" s="4"/>
      <c r="AF513" t="e">
        <f>VLOOKUP(C513,'גיליון דאטה להכל'!A:H,5,0)</f>
        <v>#N/A</v>
      </c>
      <c r="AG513" s="104">
        <f t="shared" si="14"/>
        <v>0</v>
      </c>
      <c r="AH513" t="e">
        <f t="shared" si="15"/>
        <v>#N/A</v>
      </c>
    </row>
    <row r="514" spans="8:34" x14ac:dyDescent="0.2">
      <c r="H514" s="5"/>
      <c r="I514" s="5"/>
      <c r="J514" s="5"/>
      <c r="K514" s="5"/>
      <c r="L514" s="95"/>
      <c r="O514" s="4"/>
      <c r="P514" s="4"/>
      <c r="AB514" s="4"/>
      <c r="AD514" s="4"/>
      <c r="AF514" t="e">
        <f>VLOOKUP(C514,'גיליון דאטה להכל'!A:H,5,0)</f>
        <v>#N/A</v>
      </c>
      <c r="AG514" s="104">
        <f t="shared" si="14"/>
        <v>0</v>
      </c>
      <c r="AH514" t="e">
        <f t="shared" si="15"/>
        <v>#N/A</v>
      </c>
    </row>
    <row r="515" spans="8:34" x14ac:dyDescent="0.2">
      <c r="H515" s="5"/>
      <c r="I515" s="5"/>
      <c r="J515" s="5"/>
      <c r="K515" s="5"/>
      <c r="L515" s="95"/>
      <c r="O515" s="4"/>
      <c r="P515" s="4"/>
      <c r="AB515" s="4"/>
      <c r="AD515" s="4"/>
      <c r="AF515" t="e">
        <f>VLOOKUP(C515,'גיליון דאטה להכל'!A:H,5,0)</f>
        <v>#N/A</v>
      </c>
      <c r="AG515" s="104">
        <f t="shared" ref="AG515:AG578" si="16">I515+H515</f>
        <v>0</v>
      </c>
      <c r="AH515" t="e">
        <f t="shared" ref="AH515:AH578" si="17">_xlfn.CONCAT(AF515,N515)</f>
        <v>#N/A</v>
      </c>
    </row>
    <row r="516" spans="8:34" x14ac:dyDescent="0.2">
      <c r="H516" s="5"/>
      <c r="I516" s="5"/>
      <c r="J516" s="5"/>
      <c r="K516" s="5"/>
      <c r="L516" s="95"/>
      <c r="O516" s="4"/>
      <c r="P516" s="4"/>
      <c r="AB516" s="4"/>
      <c r="AD516" s="4"/>
      <c r="AF516" t="e">
        <f>VLOOKUP(C516,'גיליון דאטה להכל'!A:H,5,0)</f>
        <v>#N/A</v>
      </c>
      <c r="AG516" s="104">
        <f t="shared" si="16"/>
        <v>0</v>
      </c>
      <c r="AH516" t="e">
        <f t="shared" si="17"/>
        <v>#N/A</v>
      </c>
    </row>
    <row r="517" spans="8:34" x14ac:dyDescent="0.2">
      <c r="H517" s="5"/>
      <c r="I517" s="5"/>
      <c r="J517" s="5"/>
      <c r="K517" s="5"/>
      <c r="L517" s="95"/>
      <c r="O517" s="4"/>
      <c r="P517" s="4"/>
      <c r="AB517" s="4"/>
      <c r="AD517" s="4"/>
      <c r="AF517" t="e">
        <f>VLOOKUP(C517,'גיליון דאטה להכל'!A:H,5,0)</f>
        <v>#N/A</v>
      </c>
      <c r="AG517" s="104">
        <f t="shared" si="16"/>
        <v>0</v>
      </c>
      <c r="AH517" t="e">
        <f t="shared" si="17"/>
        <v>#N/A</v>
      </c>
    </row>
    <row r="518" spans="8:34" x14ac:dyDescent="0.2">
      <c r="H518" s="5"/>
      <c r="I518" s="5"/>
      <c r="J518" s="5"/>
      <c r="K518" s="5"/>
      <c r="L518" s="95"/>
      <c r="O518" s="4"/>
      <c r="P518" s="4"/>
      <c r="AB518" s="4"/>
      <c r="AD518" s="4"/>
      <c r="AF518" t="e">
        <f>VLOOKUP(C518,'גיליון דאטה להכל'!A:H,5,0)</f>
        <v>#N/A</v>
      </c>
      <c r="AG518" s="104">
        <f t="shared" si="16"/>
        <v>0</v>
      </c>
      <c r="AH518" t="e">
        <f t="shared" si="17"/>
        <v>#N/A</v>
      </c>
    </row>
    <row r="519" spans="8:34" x14ac:dyDescent="0.2">
      <c r="H519" s="5"/>
      <c r="I519" s="5"/>
      <c r="J519" s="5"/>
      <c r="K519" s="5"/>
      <c r="L519" s="95"/>
      <c r="O519" s="4"/>
      <c r="P519" s="4"/>
      <c r="AB519" s="4"/>
      <c r="AD519" s="4"/>
      <c r="AF519" t="e">
        <f>VLOOKUP(C519,'גיליון דאטה להכל'!A:H,5,0)</f>
        <v>#N/A</v>
      </c>
      <c r="AG519" s="104">
        <f t="shared" si="16"/>
        <v>0</v>
      </c>
      <c r="AH519" t="e">
        <f t="shared" si="17"/>
        <v>#N/A</v>
      </c>
    </row>
    <row r="520" spans="8:34" x14ac:dyDescent="0.2">
      <c r="H520" s="5"/>
      <c r="I520" s="5"/>
      <c r="J520" s="5"/>
      <c r="K520" s="5"/>
      <c r="L520" s="95"/>
      <c r="O520" s="4"/>
      <c r="P520" s="4"/>
      <c r="AB520" s="4"/>
      <c r="AD520" s="4"/>
      <c r="AF520" t="e">
        <f>VLOOKUP(C520,'גיליון דאטה להכל'!A:H,5,0)</f>
        <v>#N/A</v>
      </c>
      <c r="AG520" s="104">
        <f t="shared" si="16"/>
        <v>0</v>
      </c>
      <c r="AH520" t="e">
        <f t="shared" si="17"/>
        <v>#N/A</v>
      </c>
    </row>
    <row r="521" spans="8:34" x14ac:dyDescent="0.2">
      <c r="H521" s="5"/>
      <c r="I521" s="5"/>
      <c r="J521" s="5"/>
      <c r="K521" s="5"/>
      <c r="L521" s="95"/>
      <c r="O521" s="4"/>
      <c r="P521" s="4"/>
      <c r="AB521" s="4"/>
      <c r="AD521" s="4"/>
      <c r="AF521" t="e">
        <f>VLOOKUP(C521,'גיליון דאטה להכל'!A:H,5,0)</f>
        <v>#N/A</v>
      </c>
      <c r="AG521" s="104">
        <f t="shared" si="16"/>
        <v>0</v>
      </c>
      <c r="AH521" t="e">
        <f t="shared" si="17"/>
        <v>#N/A</v>
      </c>
    </row>
    <row r="522" spans="8:34" x14ac:dyDescent="0.2">
      <c r="H522" s="5"/>
      <c r="I522" s="5"/>
      <c r="J522" s="5"/>
      <c r="K522" s="5"/>
      <c r="L522" s="95"/>
      <c r="O522" s="4"/>
      <c r="P522" s="4"/>
      <c r="AB522" s="4"/>
      <c r="AD522" s="4"/>
      <c r="AF522" t="e">
        <f>VLOOKUP(C522,'גיליון דאטה להכל'!A:H,5,0)</f>
        <v>#N/A</v>
      </c>
      <c r="AG522" s="104">
        <f t="shared" si="16"/>
        <v>0</v>
      </c>
      <c r="AH522" t="e">
        <f t="shared" si="17"/>
        <v>#N/A</v>
      </c>
    </row>
    <row r="523" spans="8:34" x14ac:dyDescent="0.2">
      <c r="H523" s="5"/>
      <c r="I523" s="5"/>
      <c r="J523" s="5"/>
      <c r="K523" s="5"/>
      <c r="L523" s="95"/>
      <c r="O523" s="4"/>
      <c r="P523" s="4"/>
      <c r="AB523" s="4"/>
      <c r="AD523" s="4"/>
      <c r="AF523" t="e">
        <f>VLOOKUP(C523,'גיליון דאטה להכל'!A:H,5,0)</f>
        <v>#N/A</v>
      </c>
      <c r="AG523" s="104">
        <f t="shared" si="16"/>
        <v>0</v>
      </c>
      <c r="AH523" t="e">
        <f t="shared" si="17"/>
        <v>#N/A</v>
      </c>
    </row>
    <row r="524" spans="8:34" x14ac:dyDescent="0.2">
      <c r="H524" s="5"/>
      <c r="I524" s="5"/>
      <c r="J524" s="5"/>
      <c r="K524" s="5"/>
      <c r="L524" s="95"/>
      <c r="O524" s="4"/>
      <c r="P524" s="4"/>
      <c r="AB524" s="4"/>
      <c r="AD524" s="4"/>
      <c r="AF524" t="e">
        <f>VLOOKUP(C524,'גיליון דאטה להכל'!A:H,5,0)</f>
        <v>#N/A</v>
      </c>
      <c r="AG524" s="104">
        <f t="shared" si="16"/>
        <v>0</v>
      </c>
      <c r="AH524" t="e">
        <f t="shared" si="17"/>
        <v>#N/A</v>
      </c>
    </row>
    <row r="525" spans="8:34" x14ac:dyDescent="0.2">
      <c r="H525" s="5"/>
      <c r="I525" s="5"/>
      <c r="J525" s="5"/>
      <c r="K525" s="5"/>
      <c r="L525" s="95"/>
      <c r="O525" s="4"/>
      <c r="P525" s="4"/>
      <c r="AB525" s="4"/>
      <c r="AD525" s="4"/>
      <c r="AF525" t="e">
        <f>VLOOKUP(C525,'גיליון דאטה להכל'!A:H,5,0)</f>
        <v>#N/A</v>
      </c>
      <c r="AG525" s="104">
        <f t="shared" si="16"/>
        <v>0</v>
      </c>
      <c r="AH525" t="e">
        <f t="shared" si="17"/>
        <v>#N/A</v>
      </c>
    </row>
    <row r="526" spans="8:34" x14ac:dyDescent="0.2">
      <c r="H526" s="5"/>
      <c r="I526" s="5"/>
      <c r="J526" s="5"/>
      <c r="K526" s="5"/>
      <c r="L526" s="95"/>
      <c r="O526" s="4"/>
      <c r="P526" s="4"/>
      <c r="AB526" s="4"/>
      <c r="AD526" s="4"/>
      <c r="AF526" t="e">
        <f>VLOOKUP(C526,'גיליון דאטה להכל'!A:H,5,0)</f>
        <v>#N/A</v>
      </c>
      <c r="AG526" s="104">
        <f t="shared" si="16"/>
        <v>0</v>
      </c>
      <c r="AH526" t="e">
        <f t="shared" si="17"/>
        <v>#N/A</v>
      </c>
    </row>
    <row r="527" spans="8:34" x14ac:dyDescent="0.2">
      <c r="H527" s="5"/>
      <c r="I527" s="5"/>
      <c r="J527" s="5"/>
      <c r="K527" s="5"/>
      <c r="L527" s="95"/>
      <c r="O527" s="4"/>
      <c r="P527" s="4"/>
      <c r="AB527" s="4"/>
      <c r="AD527" s="4"/>
      <c r="AF527" t="e">
        <f>VLOOKUP(C527,'גיליון דאטה להכל'!A:H,5,0)</f>
        <v>#N/A</v>
      </c>
      <c r="AG527" s="104">
        <f t="shared" si="16"/>
        <v>0</v>
      </c>
      <c r="AH527" t="e">
        <f t="shared" si="17"/>
        <v>#N/A</v>
      </c>
    </row>
    <row r="528" spans="8:34" x14ac:dyDescent="0.2">
      <c r="H528" s="5"/>
      <c r="I528" s="5"/>
      <c r="J528" s="5"/>
      <c r="K528" s="5"/>
      <c r="L528" s="95"/>
      <c r="O528" s="4"/>
      <c r="P528" s="4"/>
      <c r="AB528" s="4"/>
      <c r="AD528" s="4"/>
      <c r="AF528" t="e">
        <f>VLOOKUP(C528,'גיליון דאטה להכל'!A:H,5,0)</f>
        <v>#N/A</v>
      </c>
      <c r="AG528" s="104">
        <f t="shared" si="16"/>
        <v>0</v>
      </c>
      <c r="AH528" t="e">
        <f t="shared" si="17"/>
        <v>#N/A</v>
      </c>
    </row>
    <row r="529" spans="8:34" x14ac:dyDescent="0.2">
      <c r="H529" s="5"/>
      <c r="I529" s="5"/>
      <c r="J529" s="5"/>
      <c r="K529" s="5"/>
      <c r="L529" s="95"/>
      <c r="O529" s="4"/>
      <c r="P529" s="4"/>
      <c r="AB529" s="4"/>
      <c r="AD529" s="4"/>
      <c r="AF529" t="e">
        <f>VLOOKUP(C529,'גיליון דאטה להכל'!A:H,5,0)</f>
        <v>#N/A</v>
      </c>
      <c r="AG529" s="104">
        <f t="shared" si="16"/>
        <v>0</v>
      </c>
      <c r="AH529" t="e">
        <f t="shared" si="17"/>
        <v>#N/A</v>
      </c>
    </row>
    <row r="530" spans="8:34" x14ac:dyDescent="0.2">
      <c r="H530" s="5"/>
      <c r="I530" s="5"/>
      <c r="J530" s="5"/>
      <c r="K530" s="5"/>
      <c r="L530" s="95"/>
      <c r="O530" s="4"/>
      <c r="P530" s="4"/>
      <c r="AB530" s="4"/>
      <c r="AD530" s="4"/>
      <c r="AF530" t="e">
        <f>VLOOKUP(C530,'גיליון דאטה להכל'!A:H,5,0)</f>
        <v>#N/A</v>
      </c>
      <c r="AG530" s="104">
        <f t="shared" si="16"/>
        <v>0</v>
      </c>
      <c r="AH530" t="e">
        <f t="shared" si="17"/>
        <v>#N/A</v>
      </c>
    </row>
    <row r="531" spans="8:34" x14ac:dyDescent="0.2">
      <c r="H531" s="5"/>
      <c r="I531" s="5"/>
      <c r="J531" s="5"/>
      <c r="K531" s="5"/>
      <c r="L531" s="95"/>
      <c r="O531" s="4"/>
      <c r="P531" s="4"/>
      <c r="AB531" s="4"/>
      <c r="AD531" s="4"/>
      <c r="AF531" t="e">
        <f>VLOOKUP(C531,'גיליון דאטה להכל'!A:H,5,0)</f>
        <v>#N/A</v>
      </c>
      <c r="AG531" s="104">
        <f t="shared" si="16"/>
        <v>0</v>
      </c>
      <c r="AH531" t="e">
        <f t="shared" si="17"/>
        <v>#N/A</v>
      </c>
    </row>
    <row r="532" spans="8:34" x14ac:dyDescent="0.2">
      <c r="H532" s="5"/>
      <c r="I532" s="5"/>
      <c r="J532" s="5"/>
      <c r="K532" s="5"/>
      <c r="L532" s="95"/>
      <c r="O532" s="4"/>
      <c r="P532" s="4"/>
      <c r="AB532" s="4"/>
      <c r="AD532" s="4"/>
      <c r="AF532" t="e">
        <f>VLOOKUP(C532,'גיליון דאטה להכל'!A:H,5,0)</f>
        <v>#N/A</v>
      </c>
      <c r="AG532" s="104">
        <f t="shared" si="16"/>
        <v>0</v>
      </c>
      <c r="AH532" t="e">
        <f t="shared" si="17"/>
        <v>#N/A</v>
      </c>
    </row>
    <row r="533" spans="8:34" x14ac:dyDescent="0.2">
      <c r="H533" s="5"/>
      <c r="I533" s="5"/>
      <c r="J533" s="5"/>
      <c r="K533" s="5"/>
      <c r="L533" s="95"/>
      <c r="O533" s="4"/>
      <c r="P533" s="4"/>
      <c r="AB533" s="4"/>
      <c r="AD533" s="4"/>
      <c r="AF533" t="e">
        <f>VLOOKUP(C533,'גיליון דאטה להכל'!A:H,5,0)</f>
        <v>#N/A</v>
      </c>
      <c r="AG533" s="104">
        <f t="shared" si="16"/>
        <v>0</v>
      </c>
      <c r="AH533" t="e">
        <f t="shared" si="17"/>
        <v>#N/A</v>
      </c>
    </row>
    <row r="534" spans="8:34" x14ac:dyDescent="0.2">
      <c r="H534" s="5"/>
      <c r="I534" s="5"/>
      <c r="J534" s="5"/>
      <c r="K534" s="5"/>
      <c r="L534" s="95"/>
      <c r="O534" s="4"/>
      <c r="P534" s="4"/>
      <c r="AB534" s="4"/>
      <c r="AD534" s="4"/>
      <c r="AF534" t="e">
        <f>VLOOKUP(C534,'גיליון דאטה להכל'!A:H,5,0)</f>
        <v>#N/A</v>
      </c>
      <c r="AG534" s="104">
        <f t="shared" si="16"/>
        <v>0</v>
      </c>
      <c r="AH534" t="e">
        <f t="shared" si="17"/>
        <v>#N/A</v>
      </c>
    </row>
    <row r="535" spans="8:34" x14ac:dyDescent="0.2">
      <c r="H535" s="5"/>
      <c r="I535" s="5"/>
      <c r="J535" s="5"/>
      <c r="K535" s="5"/>
      <c r="L535" s="95"/>
      <c r="O535" s="4"/>
      <c r="P535" s="4"/>
      <c r="AB535" s="4"/>
      <c r="AD535" s="4"/>
      <c r="AF535" t="e">
        <f>VLOOKUP(C535,'גיליון דאטה להכל'!A:H,5,0)</f>
        <v>#N/A</v>
      </c>
      <c r="AG535" s="104">
        <f t="shared" si="16"/>
        <v>0</v>
      </c>
      <c r="AH535" t="e">
        <f t="shared" si="17"/>
        <v>#N/A</v>
      </c>
    </row>
    <row r="536" spans="8:34" x14ac:dyDescent="0.2">
      <c r="H536" s="5"/>
      <c r="I536" s="5"/>
      <c r="J536" s="5"/>
      <c r="K536" s="5"/>
      <c r="L536" s="95"/>
      <c r="O536" s="4"/>
      <c r="P536" s="4"/>
      <c r="AB536" s="4"/>
      <c r="AD536" s="4"/>
      <c r="AF536" t="e">
        <f>VLOOKUP(C536,'גיליון דאטה להכל'!A:H,5,0)</f>
        <v>#N/A</v>
      </c>
      <c r="AG536" s="104">
        <f t="shared" si="16"/>
        <v>0</v>
      </c>
      <c r="AH536" t="e">
        <f t="shared" si="17"/>
        <v>#N/A</v>
      </c>
    </row>
    <row r="537" spans="8:34" x14ac:dyDescent="0.2">
      <c r="H537" s="5"/>
      <c r="I537" s="5"/>
      <c r="J537" s="5"/>
      <c r="K537" s="5"/>
      <c r="L537" s="95"/>
      <c r="O537" s="4"/>
      <c r="P537" s="4"/>
      <c r="AB537" s="4"/>
      <c r="AD537" s="4"/>
      <c r="AF537" t="e">
        <f>VLOOKUP(C537,'גיליון דאטה להכל'!A:H,5,0)</f>
        <v>#N/A</v>
      </c>
      <c r="AG537" s="104">
        <f t="shared" si="16"/>
        <v>0</v>
      </c>
      <c r="AH537" t="e">
        <f t="shared" si="17"/>
        <v>#N/A</v>
      </c>
    </row>
    <row r="538" spans="8:34" x14ac:dyDescent="0.2">
      <c r="H538" s="5"/>
      <c r="I538" s="5"/>
      <c r="J538" s="5"/>
      <c r="K538" s="5"/>
      <c r="L538" s="95"/>
      <c r="O538" s="4"/>
      <c r="P538" s="4"/>
      <c r="AB538" s="4"/>
      <c r="AD538" s="4"/>
      <c r="AF538" t="e">
        <f>VLOOKUP(C538,'גיליון דאטה להכל'!A:H,5,0)</f>
        <v>#N/A</v>
      </c>
      <c r="AG538" s="104">
        <f t="shared" si="16"/>
        <v>0</v>
      </c>
      <c r="AH538" t="e">
        <f t="shared" si="17"/>
        <v>#N/A</v>
      </c>
    </row>
    <row r="539" spans="8:34" x14ac:dyDescent="0.2">
      <c r="H539" s="5"/>
      <c r="I539" s="5"/>
      <c r="J539" s="5"/>
      <c r="K539" s="5"/>
      <c r="L539" s="95"/>
      <c r="O539" s="4"/>
      <c r="P539" s="4"/>
      <c r="AB539" s="4"/>
      <c r="AD539" s="4"/>
      <c r="AF539" t="e">
        <f>VLOOKUP(C539,'גיליון דאטה להכל'!A:H,5,0)</f>
        <v>#N/A</v>
      </c>
      <c r="AG539" s="104">
        <f t="shared" si="16"/>
        <v>0</v>
      </c>
      <c r="AH539" t="e">
        <f t="shared" si="17"/>
        <v>#N/A</v>
      </c>
    </row>
    <row r="540" spans="8:34" x14ac:dyDescent="0.2">
      <c r="H540" s="5"/>
      <c r="I540" s="5"/>
      <c r="J540" s="5"/>
      <c r="K540" s="5"/>
      <c r="L540" s="95"/>
      <c r="O540" s="4"/>
      <c r="P540" s="4"/>
      <c r="AB540" s="4"/>
      <c r="AD540" s="4"/>
      <c r="AF540" t="e">
        <f>VLOOKUP(C540,'גיליון דאטה להכל'!A:H,5,0)</f>
        <v>#N/A</v>
      </c>
      <c r="AG540" s="104">
        <f t="shared" si="16"/>
        <v>0</v>
      </c>
      <c r="AH540" t="e">
        <f t="shared" si="17"/>
        <v>#N/A</v>
      </c>
    </row>
    <row r="541" spans="8:34" x14ac:dyDescent="0.2">
      <c r="H541" s="5"/>
      <c r="I541" s="5"/>
      <c r="J541" s="5"/>
      <c r="K541" s="5"/>
      <c r="L541" s="95"/>
      <c r="O541" s="4"/>
      <c r="P541" s="4"/>
      <c r="AB541" s="4"/>
      <c r="AD541" s="4"/>
      <c r="AF541" t="e">
        <f>VLOOKUP(C541,'גיליון דאטה להכל'!A:H,5,0)</f>
        <v>#N/A</v>
      </c>
      <c r="AG541" s="104">
        <f t="shared" si="16"/>
        <v>0</v>
      </c>
      <c r="AH541" t="e">
        <f t="shared" si="17"/>
        <v>#N/A</v>
      </c>
    </row>
    <row r="542" spans="8:34" x14ac:dyDescent="0.2">
      <c r="H542" s="5"/>
      <c r="I542" s="5"/>
      <c r="J542" s="5"/>
      <c r="K542" s="5"/>
      <c r="L542" s="95"/>
      <c r="O542" s="4"/>
      <c r="P542" s="4"/>
      <c r="AB542" s="4"/>
      <c r="AD542" s="4"/>
      <c r="AF542" t="e">
        <f>VLOOKUP(C542,'גיליון דאטה להכל'!A:H,5,0)</f>
        <v>#N/A</v>
      </c>
      <c r="AG542" s="104">
        <f t="shared" si="16"/>
        <v>0</v>
      </c>
      <c r="AH542" t="e">
        <f t="shared" si="17"/>
        <v>#N/A</v>
      </c>
    </row>
    <row r="543" spans="8:34" x14ac:dyDescent="0.2">
      <c r="H543" s="5"/>
      <c r="I543" s="5"/>
      <c r="J543" s="5"/>
      <c r="K543" s="5"/>
      <c r="L543" s="95"/>
      <c r="O543" s="4"/>
      <c r="P543" s="4"/>
      <c r="AB543" s="4"/>
      <c r="AD543" s="4"/>
      <c r="AF543" t="e">
        <f>VLOOKUP(C543,'גיליון דאטה להכל'!A:H,5,0)</f>
        <v>#N/A</v>
      </c>
      <c r="AG543" s="104">
        <f t="shared" si="16"/>
        <v>0</v>
      </c>
      <c r="AH543" t="e">
        <f t="shared" si="17"/>
        <v>#N/A</v>
      </c>
    </row>
    <row r="544" spans="8:34" x14ac:dyDescent="0.2">
      <c r="H544" s="5"/>
      <c r="I544" s="5"/>
      <c r="J544" s="5"/>
      <c r="K544" s="5"/>
      <c r="L544" s="95"/>
      <c r="O544" s="4"/>
      <c r="P544" s="4"/>
      <c r="AB544" s="4"/>
      <c r="AD544" s="4"/>
      <c r="AF544" t="e">
        <f>VLOOKUP(C544,'גיליון דאטה להכל'!A:H,5,0)</f>
        <v>#N/A</v>
      </c>
      <c r="AG544" s="104">
        <f t="shared" si="16"/>
        <v>0</v>
      </c>
      <c r="AH544" t="e">
        <f t="shared" si="17"/>
        <v>#N/A</v>
      </c>
    </row>
    <row r="545" spans="8:34" x14ac:dyDescent="0.2">
      <c r="H545" s="5"/>
      <c r="I545" s="5"/>
      <c r="J545" s="5"/>
      <c r="K545" s="5"/>
      <c r="L545" s="95"/>
      <c r="O545" s="4"/>
      <c r="P545" s="4"/>
      <c r="AB545" s="4"/>
      <c r="AD545" s="4"/>
      <c r="AF545" t="e">
        <f>VLOOKUP(C545,'גיליון דאטה להכל'!A:H,5,0)</f>
        <v>#N/A</v>
      </c>
      <c r="AG545" s="104">
        <f t="shared" si="16"/>
        <v>0</v>
      </c>
      <c r="AH545" t="e">
        <f t="shared" si="17"/>
        <v>#N/A</v>
      </c>
    </row>
    <row r="546" spans="8:34" x14ac:dyDescent="0.2">
      <c r="H546" s="5"/>
      <c r="I546" s="5"/>
      <c r="J546" s="5"/>
      <c r="K546" s="5"/>
      <c r="L546" s="95"/>
      <c r="O546" s="4"/>
      <c r="P546" s="4"/>
      <c r="AB546" s="4"/>
      <c r="AD546" s="4"/>
      <c r="AF546" t="e">
        <f>VLOOKUP(C546,'גיליון דאטה להכל'!A:H,5,0)</f>
        <v>#N/A</v>
      </c>
      <c r="AG546" s="104">
        <f t="shared" si="16"/>
        <v>0</v>
      </c>
      <c r="AH546" t="e">
        <f t="shared" si="17"/>
        <v>#N/A</v>
      </c>
    </row>
    <row r="547" spans="8:34" x14ac:dyDescent="0.2">
      <c r="H547" s="5"/>
      <c r="I547" s="5"/>
      <c r="J547" s="5"/>
      <c r="K547" s="5"/>
      <c r="L547" s="95"/>
      <c r="O547" s="4"/>
      <c r="P547" s="4"/>
      <c r="AB547" s="4"/>
      <c r="AD547" s="4"/>
      <c r="AF547" t="e">
        <f>VLOOKUP(C547,'גיליון דאטה להכל'!A:H,5,0)</f>
        <v>#N/A</v>
      </c>
      <c r="AG547" s="104">
        <f t="shared" si="16"/>
        <v>0</v>
      </c>
      <c r="AH547" t="e">
        <f t="shared" si="17"/>
        <v>#N/A</v>
      </c>
    </row>
    <row r="548" spans="8:34" x14ac:dyDescent="0.2">
      <c r="H548" s="5"/>
      <c r="I548" s="5"/>
      <c r="J548" s="5"/>
      <c r="K548" s="5"/>
      <c r="L548" s="95"/>
      <c r="O548" s="4"/>
      <c r="P548" s="4"/>
      <c r="AB548" s="4"/>
      <c r="AD548" s="4"/>
      <c r="AF548" t="e">
        <f>VLOOKUP(C548,'גיליון דאטה להכל'!A:H,5,0)</f>
        <v>#N/A</v>
      </c>
      <c r="AG548" s="104">
        <f t="shared" si="16"/>
        <v>0</v>
      </c>
      <c r="AH548" t="e">
        <f t="shared" si="17"/>
        <v>#N/A</v>
      </c>
    </row>
    <row r="549" spans="8:34" x14ac:dyDescent="0.2">
      <c r="H549" s="5"/>
      <c r="I549" s="5"/>
      <c r="J549" s="5"/>
      <c r="K549" s="5"/>
      <c r="L549" s="95"/>
      <c r="O549" s="4"/>
      <c r="P549" s="4"/>
      <c r="AB549" s="4"/>
      <c r="AD549" s="4"/>
      <c r="AF549" t="e">
        <f>VLOOKUP(C549,'גיליון דאטה להכל'!A:H,5,0)</f>
        <v>#N/A</v>
      </c>
      <c r="AG549" s="104">
        <f t="shared" si="16"/>
        <v>0</v>
      </c>
      <c r="AH549" t="e">
        <f t="shared" si="17"/>
        <v>#N/A</v>
      </c>
    </row>
    <row r="550" spans="8:34" x14ac:dyDescent="0.2">
      <c r="H550" s="5"/>
      <c r="I550" s="5"/>
      <c r="J550" s="5"/>
      <c r="K550" s="5"/>
      <c r="L550" s="95"/>
      <c r="O550" s="4"/>
      <c r="P550" s="4"/>
      <c r="AB550" s="4"/>
      <c r="AD550" s="4"/>
      <c r="AF550" t="e">
        <f>VLOOKUP(C550,'גיליון דאטה להכל'!A:H,5,0)</f>
        <v>#N/A</v>
      </c>
      <c r="AG550" s="104">
        <f t="shared" si="16"/>
        <v>0</v>
      </c>
      <c r="AH550" t="e">
        <f t="shared" si="17"/>
        <v>#N/A</v>
      </c>
    </row>
    <row r="551" spans="8:34" x14ac:dyDescent="0.2">
      <c r="H551" s="5"/>
      <c r="I551" s="5"/>
      <c r="J551" s="5"/>
      <c r="K551" s="5"/>
      <c r="L551" s="95"/>
      <c r="O551" s="4"/>
      <c r="P551" s="4"/>
      <c r="AB551" s="4"/>
      <c r="AD551" s="4"/>
      <c r="AF551" t="e">
        <f>VLOOKUP(C551,'גיליון דאטה להכל'!A:H,5,0)</f>
        <v>#N/A</v>
      </c>
      <c r="AG551" s="104">
        <f t="shared" si="16"/>
        <v>0</v>
      </c>
      <c r="AH551" t="e">
        <f t="shared" si="17"/>
        <v>#N/A</v>
      </c>
    </row>
    <row r="552" spans="8:34" x14ac:dyDescent="0.2">
      <c r="H552" s="5"/>
      <c r="I552" s="5"/>
      <c r="J552" s="5"/>
      <c r="K552" s="5"/>
      <c r="L552" s="95"/>
      <c r="O552" s="4"/>
      <c r="P552" s="4"/>
      <c r="AB552" s="4"/>
      <c r="AD552" s="4"/>
      <c r="AF552" t="e">
        <f>VLOOKUP(C552,'גיליון דאטה להכל'!A:H,5,0)</f>
        <v>#N/A</v>
      </c>
      <c r="AG552" s="104">
        <f t="shared" si="16"/>
        <v>0</v>
      </c>
      <c r="AH552" t="e">
        <f t="shared" si="17"/>
        <v>#N/A</v>
      </c>
    </row>
    <row r="553" spans="8:34" x14ac:dyDescent="0.2">
      <c r="H553" s="5"/>
      <c r="I553" s="5"/>
      <c r="J553" s="5"/>
      <c r="K553" s="5"/>
      <c r="L553" s="95"/>
      <c r="O553" s="4"/>
      <c r="P553" s="4"/>
      <c r="AB553" s="4"/>
      <c r="AD553" s="4"/>
      <c r="AF553" t="e">
        <f>VLOOKUP(C553,'גיליון דאטה להכל'!A:H,5,0)</f>
        <v>#N/A</v>
      </c>
      <c r="AG553" s="104">
        <f t="shared" si="16"/>
        <v>0</v>
      </c>
      <c r="AH553" t="e">
        <f t="shared" si="17"/>
        <v>#N/A</v>
      </c>
    </row>
    <row r="554" spans="8:34" x14ac:dyDescent="0.2">
      <c r="H554" s="5"/>
      <c r="I554" s="5"/>
      <c r="J554" s="5"/>
      <c r="K554" s="5"/>
      <c r="L554" s="95"/>
      <c r="O554" s="4"/>
      <c r="P554" s="4"/>
      <c r="AB554" s="4"/>
      <c r="AD554" s="4"/>
      <c r="AF554" t="e">
        <f>VLOOKUP(C554,'גיליון דאטה להכל'!A:H,5,0)</f>
        <v>#N/A</v>
      </c>
      <c r="AG554" s="104">
        <f t="shared" si="16"/>
        <v>0</v>
      </c>
      <c r="AH554" t="e">
        <f t="shared" si="17"/>
        <v>#N/A</v>
      </c>
    </row>
    <row r="555" spans="8:34" x14ac:dyDescent="0.2">
      <c r="H555" s="5"/>
      <c r="I555" s="5"/>
      <c r="J555" s="5"/>
      <c r="K555" s="5"/>
      <c r="L555" s="95"/>
      <c r="O555" s="4"/>
      <c r="P555" s="4"/>
      <c r="AB555" s="4"/>
      <c r="AD555" s="4"/>
      <c r="AF555" t="e">
        <f>VLOOKUP(C555,'גיליון דאטה להכל'!A:H,5,0)</f>
        <v>#N/A</v>
      </c>
      <c r="AG555" s="104">
        <f t="shared" si="16"/>
        <v>0</v>
      </c>
      <c r="AH555" t="e">
        <f t="shared" si="17"/>
        <v>#N/A</v>
      </c>
    </row>
    <row r="556" spans="8:34" x14ac:dyDescent="0.2">
      <c r="H556" s="5"/>
      <c r="I556" s="5"/>
      <c r="J556" s="5"/>
      <c r="K556" s="5"/>
      <c r="L556" s="95"/>
      <c r="O556" s="4"/>
      <c r="P556" s="4"/>
      <c r="AB556" s="4"/>
      <c r="AD556" s="4"/>
      <c r="AF556" t="e">
        <f>VLOOKUP(C556,'גיליון דאטה להכל'!A:H,5,0)</f>
        <v>#N/A</v>
      </c>
      <c r="AG556" s="104">
        <f t="shared" si="16"/>
        <v>0</v>
      </c>
      <c r="AH556" t="e">
        <f t="shared" si="17"/>
        <v>#N/A</v>
      </c>
    </row>
    <row r="557" spans="8:34" x14ac:dyDescent="0.2">
      <c r="H557" s="5"/>
      <c r="I557" s="5"/>
      <c r="J557" s="5"/>
      <c r="K557" s="5"/>
      <c r="L557" s="95"/>
      <c r="O557" s="4"/>
      <c r="P557" s="4"/>
      <c r="AB557" s="4"/>
      <c r="AD557" s="4"/>
      <c r="AF557" t="e">
        <f>VLOOKUP(C557,'גיליון דאטה להכל'!A:H,5,0)</f>
        <v>#N/A</v>
      </c>
      <c r="AG557" s="104">
        <f t="shared" si="16"/>
        <v>0</v>
      </c>
      <c r="AH557" t="e">
        <f t="shared" si="17"/>
        <v>#N/A</v>
      </c>
    </row>
    <row r="558" spans="8:34" x14ac:dyDescent="0.2">
      <c r="H558" s="5"/>
      <c r="I558" s="5"/>
      <c r="J558" s="5"/>
      <c r="K558" s="5"/>
      <c r="L558" s="95"/>
      <c r="O558" s="4"/>
      <c r="P558" s="4"/>
      <c r="AB558" s="4"/>
      <c r="AD558" s="4"/>
      <c r="AF558" t="e">
        <f>VLOOKUP(C558,'גיליון דאטה להכל'!A:H,5,0)</f>
        <v>#N/A</v>
      </c>
      <c r="AG558" s="104">
        <f t="shared" si="16"/>
        <v>0</v>
      </c>
      <c r="AH558" t="e">
        <f t="shared" si="17"/>
        <v>#N/A</v>
      </c>
    </row>
    <row r="559" spans="8:34" x14ac:dyDescent="0.2">
      <c r="H559" s="5"/>
      <c r="I559" s="5"/>
      <c r="J559" s="5"/>
      <c r="K559" s="5"/>
      <c r="L559" s="95"/>
      <c r="O559" s="4"/>
      <c r="P559" s="4"/>
      <c r="AB559" s="4"/>
      <c r="AD559" s="4"/>
      <c r="AF559" t="e">
        <f>VLOOKUP(C559,'גיליון דאטה להכל'!A:H,5,0)</f>
        <v>#N/A</v>
      </c>
      <c r="AG559" s="104">
        <f t="shared" si="16"/>
        <v>0</v>
      </c>
      <c r="AH559" t="e">
        <f t="shared" si="17"/>
        <v>#N/A</v>
      </c>
    </row>
    <row r="560" spans="8:34" x14ac:dyDescent="0.2">
      <c r="H560" s="5"/>
      <c r="I560" s="5"/>
      <c r="J560" s="5"/>
      <c r="K560" s="5"/>
      <c r="L560" s="95"/>
      <c r="O560" s="4"/>
      <c r="P560" s="4"/>
      <c r="AB560" s="4"/>
      <c r="AD560" s="4"/>
      <c r="AF560" t="e">
        <f>VLOOKUP(C560,'גיליון דאטה להכל'!A:H,5,0)</f>
        <v>#N/A</v>
      </c>
      <c r="AG560" s="104">
        <f t="shared" si="16"/>
        <v>0</v>
      </c>
      <c r="AH560" t="e">
        <f t="shared" si="17"/>
        <v>#N/A</v>
      </c>
    </row>
    <row r="561" spans="8:34" x14ac:dyDescent="0.2">
      <c r="H561" s="5"/>
      <c r="I561" s="5"/>
      <c r="J561" s="5"/>
      <c r="K561" s="5"/>
      <c r="L561" s="95"/>
      <c r="O561" s="4"/>
      <c r="P561" s="4"/>
      <c r="AB561" s="4"/>
      <c r="AD561" s="4"/>
      <c r="AF561" t="e">
        <f>VLOOKUP(C561,'גיליון דאטה להכל'!A:H,5,0)</f>
        <v>#N/A</v>
      </c>
      <c r="AG561" s="104">
        <f t="shared" si="16"/>
        <v>0</v>
      </c>
      <c r="AH561" t="e">
        <f t="shared" si="17"/>
        <v>#N/A</v>
      </c>
    </row>
    <row r="562" spans="8:34" x14ac:dyDescent="0.2">
      <c r="H562" s="5"/>
      <c r="I562" s="5"/>
      <c r="J562" s="5"/>
      <c r="K562" s="5"/>
      <c r="L562" s="95"/>
      <c r="O562" s="4"/>
      <c r="P562" s="4"/>
      <c r="AB562" s="4"/>
      <c r="AD562" s="4"/>
      <c r="AF562" t="e">
        <f>VLOOKUP(C562,'גיליון דאטה להכל'!A:H,5,0)</f>
        <v>#N/A</v>
      </c>
      <c r="AG562" s="104">
        <f t="shared" si="16"/>
        <v>0</v>
      </c>
      <c r="AH562" t="e">
        <f t="shared" si="17"/>
        <v>#N/A</v>
      </c>
    </row>
    <row r="563" spans="8:34" x14ac:dyDescent="0.2">
      <c r="H563" s="5"/>
      <c r="I563" s="5"/>
      <c r="J563" s="5"/>
      <c r="K563" s="5"/>
      <c r="L563" s="95"/>
      <c r="O563" s="4"/>
      <c r="P563" s="4"/>
      <c r="AB563" s="4"/>
      <c r="AD563" s="4"/>
      <c r="AF563" t="e">
        <f>VLOOKUP(C563,'גיליון דאטה להכל'!A:H,5,0)</f>
        <v>#N/A</v>
      </c>
      <c r="AG563" s="104">
        <f t="shared" si="16"/>
        <v>0</v>
      </c>
      <c r="AH563" t="e">
        <f t="shared" si="17"/>
        <v>#N/A</v>
      </c>
    </row>
    <row r="564" spans="8:34" x14ac:dyDescent="0.2">
      <c r="H564" s="5"/>
      <c r="I564" s="5"/>
      <c r="J564" s="5"/>
      <c r="K564" s="5"/>
      <c r="L564" s="95"/>
      <c r="O564" s="4"/>
      <c r="P564" s="4"/>
      <c r="AB564" s="4"/>
      <c r="AD564" s="4"/>
      <c r="AF564" t="e">
        <f>VLOOKUP(C564,'גיליון דאטה להכל'!A:H,5,0)</f>
        <v>#N/A</v>
      </c>
      <c r="AG564" s="104">
        <f t="shared" si="16"/>
        <v>0</v>
      </c>
      <c r="AH564" t="e">
        <f t="shared" si="17"/>
        <v>#N/A</v>
      </c>
    </row>
    <row r="565" spans="8:34" x14ac:dyDescent="0.2">
      <c r="H565" s="5"/>
      <c r="I565" s="5"/>
      <c r="J565" s="5"/>
      <c r="K565" s="5"/>
      <c r="O565" s="4"/>
      <c r="P565" s="4"/>
      <c r="AB565" s="4"/>
      <c r="AD565" s="4"/>
      <c r="AF565" t="e">
        <f>VLOOKUP(C565,'גיליון דאטה להכל'!A:H,5,0)</f>
        <v>#N/A</v>
      </c>
      <c r="AG565" s="104">
        <f t="shared" si="16"/>
        <v>0</v>
      </c>
      <c r="AH565" t="e">
        <f t="shared" si="17"/>
        <v>#N/A</v>
      </c>
    </row>
    <row r="566" spans="8:34" x14ac:dyDescent="0.2">
      <c r="H566" s="5"/>
      <c r="I566" s="5"/>
      <c r="J566" s="5"/>
      <c r="K566" s="5"/>
      <c r="O566" s="4"/>
      <c r="P566" s="4"/>
      <c r="AB566" s="4"/>
      <c r="AD566" s="4"/>
      <c r="AF566" t="e">
        <f>VLOOKUP(C566,'גיליון דאטה להכל'!A:H,5,0)</f>
        <v>#N/A</v>
      </c>
      <c r="AG566" s="104">
        <f t="shared" si="16"/>
        <v>0</v>
      </c>
      <c r="AH566" t="e">
        <f t="shared" si="17"/>
        <v>#N/A</v>
      </c>
    </row>
    <row r="567" spans="8:34" x14ac:dyDescent="0.2">
      <c r="H567" s="5"/>
      <c r="I567" s="5"/>
      <c r="J567" s="5"/>
      <c r="K567" s="5"/>
      <c r="O567" s="4"/>
      <c r="P567" s="4"/>
      <c r="AB567" s="4"/>
      <c r="AD567" s="4"/>
      <c r="AF567" t="e">
        <f>VLOOKUP(C567,'גיליון דאטה להכל'!A:H,5,0)</f>
        <v>#N/A</v>
      </c>
      <c r="AG567" s="104">
        <f t="shared" si="16"/>
        <v>0</v>
      </c>
      <c r="AH567" t="e">
        <f t="shared" si="17"/>
        <v>#N/A</v>
      </c>
    </row>
    <row r="568" spans="8:34" x14ac:dyDescent="0.2">
      <c r="H568" s="5"/>
      <c r="I568" s="5"/>
      <c r="J568" s="5"/>
      <c r="K568" s="5"/>
      <c r="O568" s="4"/>
      <c r="P568" s="4"/>
      <c r="AB568" s="4"/>
      <c r="AD568" s="4"/>
      <c r="AF568" t="e">
        <f>VLOOKUP(C568,'גיליון דאטה להכל'!A:H,5,0)</f>
        <v>#N/A</v>
      </c>
      <c r="AG568" s="104">
        <f t="shared" si="16"/>
        <v>0</v>
      </c>
      <c r="AH568" t="e">
        <f t="shared" si="17"/>
        <v>#N/A</v>
      </c>
    </row>
    <row r="569" spans="8:34" x14ac:dyDescent="0.2">
      <c r="H569" s="7"/>
      <c r="I569" s="5"/>
      <c r="J569" s="5"/>
      <c r="K569" s="5"/>
      <c r="O569" s="4"/>
      <c r="P569" s="4"/>
      <c r="AB569" s="4"/>
      <c r="AD569" s="4"/>
      <c r="AF569" t="e">
        <f>VLOOKUP(C569,'גיליון דאטה להכל'!A:H,5,0)</f>
        <v>#N/A</v>
      </c>
      <c r="AG569" s="104">
        <f t="shared" si="16"/>
        <v>0</v>
      </c>
      <c r="AH569" t="e">
        <f t="shared" si="17"/>
        <v>#N/A</v>
      </c>
    </row>
    <row r="570" spans="8:34" x14ac:dyDescent="0.2">
      <c r="H570" s="5"/>
      <c r="I570" s="5"/>
      <c r="J570" s="5"/>
      <c r="K570" s="5"/>
      <c r="O570" s="4"/>
      <c r="P570" s="4"/>
      <c r="AB570" s="4"/>
      <c r="AD570" s="4"/>
      <c r="AF570" t="e">
        <f>VLOOKUP(C570,'גיליון דאטה להכל'!A:H,5,0)</f>
        <v>#N/A</v>
      </c>
      <c r="AG570" s="104">
        <f t="shared" si="16"/>
        <v>0</v>
      </c>
      <c r="AH570" t="e">
        <f t="shared" si="17"/>
        <v>#N/A</v>
      </c>
    </row>
    <row r="571" spans="8:34" x14ac:dyDescent="0.2">
      <c r="H571" s="5"/>
      <c r="I571" s="5"/>
      <c r="J571" s="5"/>
      <c r="K571" s="5"/>
      <c r="O571" s="4"/>
      <c r="P571" s="4"/>
      <c r="AB571" s="4"/>
      <c r="AD571" s="4"/>
      <c r="AF571" t="e">
        <f>VLOOKUP(C571,'גיליון דאטה להכל'!A:H,5,0)</f>
        <v>#N/A</v>
      </c>
      <c r="AG571" s="104">
        <f t="shared" si="16"/>
        <v>0</v>
      </c>
      <c r="AH571" t="e">
        <f t="shared" si="17"/>
        <v>#N/A</v>
      </c>
    </row>
    <row r="572" spans="8:34" x14ac:dyDescent="0.2">
      <c r="H572" s="5"/>
      <c r="I572" s="5"/>
      <c r="J572" s="5"/>
      <c r="K572" s="5"/>
      <c r="O572" s="4"/>
      <c r="P572" s="4"/>
      <c r="AB572" s="4"/>
      <c r="AD572" s="4"/>
      <c r="AF572" t="e">
        <f>VLOOKUP(C572,'גיליון דאטה להכל'!A:H,5,0)</f>
        <v>#N/A</v>
      </c>
      <c r="AG572" s="104">
        <f t="shared" si="16"/>
        <v>0</v>
      </c>
      <c r="AH572" t="e">
        <f t="shared" si="17"/>
        <v>#N/A</v>
      </c>
    </row>
    <row r="573" spans="8:34" x14ac:dyDescent="0.2">
      <c r="H573" s="5"/>
      <c r="I573" s="5"/>
      <c r="J573" s="5"/>
      <c r="K573" s="5"/>
      <c r="O573" s="4"/>
      <c r="P573" s="4"/>
      <c r="AB573" s="4"/>
      <c r="AD573" s="4"/>
      <c r="AF573" t="e">
        <f>VLOOKUP(C573,'גיליון דאטה להכל'!A:H,5,0)</f>
        <v>#N/A</v>
      </c>
      <c r="AG573" s="104">
        <f t="shared" si="16"/>
        <v>0</v>
      </c>
      <c r="AH573" t="e">
        <f t="shared" si="17"/>
        <v>#N/A</v>
      </c>
    </row>
    <row r="574" spans="8:34" x14ac:dyDescent="0.2">
      <c r="H574" s="5"/>
      <c r="I574" s="5"/>
      <c r="J574" s="5"/>
      <c r="K574" s="5"/>
      <c r="O574" s="4"/>
      <c r="P574" s="4"/>
      <c r="AB574" s="4"/>
      <c r="AD574" s="4"/>
      <c r="AF574" t="e">
        <f>VLOOKUP(C574,'גיליון דאטה להכל'!A:H,5,0)</f>
        <v>#N/A</v>
      </c>
      <c r="AG574" s="104">
        <f t="shared" si="16"/>
        <v>0</v>
      </c>
      <c r="AH574" t="e">
        <f t="shared" si="17"/>
        <v>#N/A</v>
      </c>
    </row>
    <row r="575" spans="8:34" x14ac:dyDescent="0.2">
      <c r="H575" s="5"/>
      <c r="I575" s="5"/>
      <c r="J575" s="5"/>
      <c r="K575" s="5"/>
      <c r="O575" s="4"/>
      <c r="P575" s="4"/>
      <c r="AB575" s="4"/>
      <c r="AD575" s="4"/>
      <c r="AF575" t="e">
        <f>VLOOKUP(C575,'גיליון דאטה להכל'!A:H,5,0)</f>
        <v>#N/A</v>
      </c>
      <c r="AG575" s="104">
        <f t="shared" si="16"/>
        <v>0</v>
      </c>
      <c r="AH575" t="e">
        <f t="shared" si="17"/>
        <v>#N/A</v>
      </c>
    </row>
    <row r="576" spans="8:34" x14ac:dyDescent="0.2">
      <c r="H576" s="5"/>
      <c r="I576" s="5"/>
      <c r="J576" s="5"/>
      <c r="K576" s="5"/>
      <c r="O576" s="4"/>
      <c r="P576" s="4"/>
      <c r="AB576" s="4"/>
      <c r="AD576" s="4"/>
      <c r="AF576" t="e">
        <f>VLOOKUP(C576,'גיליון דאטה להכל'!A:H,5,0)</f>
        <v>#N/A</v>
      </c>
      <c r="AG576" s="104">
        <f t="shared" si="16"/>
        <v>0</v>
      </c>
      <c r="AH576" t="e">
        <f t="shared" si="17"/>
        <v>#N/A</v>
      </c>
    </row>
    <row r="577" spans="8:34" x14ac:dyDescent="0.2">
      <c r="H577" s="5"/>
      <c r="I577" s="5"/>
      <c r="J577" s="5"/>
      <c r="K577" s="5"/>
      <c r="O577" s="4"/>
      <c r="P577" s="4"/>
      <c r="AB577" s="4"/>
      <c r="AD577" s="4"/>
      <c r="AF577" t="e">
        <f>VLOOKUP(C577,'גיליון דאטה להכל'!A:H,5,0)</f>
        <v>#N/A</v>
      </c>
      <c r="AG577" s="104">
        <f t="shared" si="16"/>
        <v>0</v>
      </c>
      <c r="AH577" t="e">
        <f t="shared" si="17"/>
        <v>#N/A</v>
      </c>
    </row>
    <row r="578" spans="8:34" x14ac:dyDescent="0.2">
      <c r="H578" s="5"/>
      <c r="I578" s="5"/>
      <c r="J578" s="5"/>
      <c r="K578" s="5"/>
      <c r="O578" s="4"/>
      <c r="P578" s="4"/>
      <c r="AB578" s="4"/>
      <c r="AD578" s="4"/>
      <c r="AF578" t="e">
        <f>VLOOKUP(C578,'גיליון דאטה להכל'!A:H,5,0)</f>
        <v>#N/A</v>
      </c>
      <c r="AG578" s="104">
        <f t="shared" si="16"/>
        <v>0</v>
      </c>
      <c r="AH578" t="e">
        <f t="shared" si="17"/>
        <v>#N/A</v>
      </c>
    </row>
    <row r="579" spans="8:34" x14ac:dyDescent="0.2">
      <c r="H579" s="5"/>
      <c r="I579" s="5"/>
      <c r="J579" s="5"/>
      <c r="K579" s="5"/>
      <c r="L579" s="95"/>
      <c r="O579" s="4"/>
      <c r="P579" s="4"/>
      <c r="AB579" s="4"/>
      <c r="AD579" s="4"/>
      <c r="AF579" t="e">
        <f>VLOOKUP(C579,'גיליון דאטה להכל'!A:H,5,0)</f>
        <v>#N/A</v>
      </c>
      <c r="AG579" s="104">
        <f t="shared" ref="AG579:AG642" si="18">I579+H579</f>
        <v>0</v>
      </c>
      <c r="AH579" t="e">
        <f t="shared" ref="AH579:AH642" si="19">_xlfn.CONCAT(AF579,N579)</f>
        <v>#N/A</v>
      </c>
    </row>
    <row r="580" spans="8:34" x14ac:dyDescent="0.2">
      <c r="H580" s="5"/>
      <c r="I580" s="5"/>
      <c r="J580" s="5"/>
      <c r="K580" s="5"/>
      <c r="L580" s="95"/>
      <c r="O580" s="4"/>
      <c r="P580" s="4"/>
      <c r="AB580" s="4"/>
      <c r="AD580" s="4"/>
      <c r="AF580" t="e">
        <f>VLOOKUP(C580,'גיליון דאטה להכל'!A:H,5,0)</f>
        <v>#N/A</v>
      </c>
      <c r="AG580" s="104">
        <f t="shared" si="18"/>
        <v>0</v>
      </c>
      <c r="AH580" t="e">
        <f t="shared" si="19"/>
        <v>#N/A</v>
      </c>
    </row>
    <row r="581" spans="8:34" x14ac:dyDescent="0.2">
      <c r="H581" s="5"/>
      <c r="I581" s="5"/>
      <c r="J581" s="5"/>
      <c r="K581" s="5"/>
      <c r="L581" s="95"/>
      <c r="O581" s="4"/>
      <c r="P581" s="4"/>
      <c r="AB581" s="4"/>
      <c r="AD581" s="4"/>
      <c r="AF581" t="e">
        <f>VLOOKUP(C581,'גיליון דאטה להכל'!A:H,5,0)</f>
        <v>#N/A</v>
      </c>
      <c r="AG581" s="104">
        <f t="shared" si="18"/>
        <v>0</v>
      </c>
      <c r="AH581" t="e">
        <f t="shared" si="19"/>
        <v>#N/A</v>
      </c>
    </row>
    <row r="582" spans="8:34" x14ac:dyDescent="0.2">
      <c r="H582" s="5"/>
      <c r="I582" s="5"/>
      <c r="J582" s="5"/>
      <c r="K582" s="5"/>
      <c r="L582" s="95"/>
      <c r="O582" s="4"/>
      <c r="P582" s="4"/>
      <c r="AB582" s="4"/>
      <c r="AD582" s="4"/>
      <c r="AF582" t="e">
        <f>VLOOKUP(C582,'גיליון דאטה להכל'!A:H,5,0)</f>
        <v>#N/A</v>
      </c>
      <c r="AG582" s="104">
        <f t="shared" si="18"/>
        <v>0</v>
      </c>
      <c r="AH582" t="e">
        <f t="shared" si="19"/>
        <v>#N/A</v>
      </c>
    </row>
    <row r="583" spans="8:34" x14ac:dyDescent="0.2">
      <c r="H583" s="5"/>
      <c r="I583" s="5"/>
      <c r="J583" s="5"/>
      <c r="K583" s="5"/>
      <c r="L583" s="95"/>
      <c r="O583" s="4"/>
      <c r="P583" s="4"/>
      <c r="AB583" s="4"/>
      <c r="AD583" s="4"/>
      <c r="AF583" t="e">
        <f>VLOOKUP(C583,'גיליון דאטה להכל'!A:H,5,0)</f>
        <v>#N/A</v>
      </c>
      <c r="AG583" s="104">
        <f t="shared" si="18"/>
        <v>0</v>
      </c>
      <c r="AH583" t="e">
        <f t="shared" si="19"/>
        <v>#N/A</v>
      </c>
    </row>
    <row r="584" spans="8:34" x14ac:dyDescent="0.2">
      <c r="H584" s="5"/>
      <c r="I584" s="5"/>
      <c r="J584" s="5"/>
      <c r="K584" s="5"/>
      <c r="L584" s="95"/>
      <c r="O584" s="4"/>
      <c r="P584" s="4"/>
      <c r="AB584" s="4"/>
      <c r="AD584" s="4"/>
      <c r="AF584" t="e">
        <f>VLOOKUP(C584,'גיליון דאטה להכל'!A:H,5,0)</f>
        <v>#N/A</v>
      </c>
      <c r="AG584" s="104">
        <f t="shared" si="18"/>
        <v>0</v>
      </c>
      <c r="AH584" t="e">
        <f t="shared" si="19"/>
        <v>#N/A</v>
      </c>
    </row>
    <row r="585" spans="8:34" x14ac:dyDescent="0.2">
      <c r="H585" s="5"/>
      <c r="I585" s="5"/>
      <c r="J585" s="5"/>
      <c r="K585" s="5"/>
      <c r="L585" s="95"/>
      <c r="O585" s="4"/>
      <c r="P585" s="4"/>
      <c r="AB585" s="4"/>
      <c r="AD585" s="4"/>
      <c r="AF585" t="e">
        <f>VLOOKUP(C585,'גיליון דאטה להכל'!A:H,5,0)</f>
        <v>#N/A</v>
      </c>
      <c r="AG585" s="104">
        <f t="shared" si="18"/>
        <v>0</v>
      </c>
      <c r="AH585" t="e">
        <f t="shared" si="19"/>
        <v>#N/A</v>
      </c>
    </row>
    <row r="586" spans="8:34" x14ac:dyDescent="0.2">
      <c r="H586" s="5"/>
      <c r="I586" s="5"/>
      <c r="J586" s="5"/>
      <c r="K586" s="5"/>
      <c r="L586" s="95"/>
      <c r="O586" s="4"/>
      <c r="P586" s="4"/>
      <c r="AB586" s="4"/>
      <c r="AD586" s="4"/>
      <c r="AF586" t="e">
        <f>VLOOKUP(C586,'גיליון דאטה להכל'!A:H,5,0)</f>
        <v>#N/A</v>
      </c>
      <c r="AG586" s="104">
        <f t="shared" si="18"/>
        <v>0</v>
      </c>
      <c r="AH586" t="e">
        <f t="shared" si="19"/>
        <v>#N/A</v>
      </c>
    </row>
    <row r="587" spans="8:34" x14ac:dyDescent="0.2">
      <c r="H587" s="5"/>
      <c r="I587" s="5"/>
      <c r="J587" s="5"/>
      <c r="K587" s="5"/>
      <c r="L587" s="95"/>
      <c r="O587" s="4"/>
      <c r="P587" s="4"/>
      <c r="AB587" s="4"/>
      <c r="AD587" s="4"/>
      <c r="AF587" t="e">
        <f>VLOOKUP(C587,'גיליון דאטה להכל'!A:H,5,0)</f>
        <v>#N/A</v>
      </c>
      <c r="AG587" s="104">
        <f t="shared" si="18"/>
        <v>0</v>
      </c>
      <c r="AH587" t="e">
        <f t="shared" si="19"/>
        <v>#N/A</v>
      </c>
    </row>
    <row r="588" spans="8:34" x14ac:dyDescent="0.2">
      <c r="H588" s="5"/>
      <c r="I588" s="5"/>
      <c r="J588" s="5"/>
      <c r="K588" s="5"/>
      <c r="L588" s="95"/>
      <c r="O588" s="4"/>
      <c r="P588" s="4"/>
      <c r="AB588" s="4"/>
      <c r="AD588" s="4"/>
      <c r="AF588" t="e">
        <f>VLOOKUP(C588,'גיליון דאטה להכל'!A:H,5,0)</f>
        <v>#N/A</v>
      </c>
      <c r="AG588" s="104">
        <f t="shared" si="18"/>
        <v>0</v>
      </c>
      <c r="AH588" t="e">
        <f t="shared" si="19"/>
        <v>#N/A</v>
      </c>
    </row>
    <row r="589" spans="8:34" x14ac:dyDescent="0.2">
      <c r="H589" s="5"/>
      <c r="I589" s="5"/>
      <c r="J589" s="5"/>
      <c r="K589" s="5"/>
      <c r="L589" s="95"/>
      <c r="O589" s="4"/>
      <c r="P589" s="4"/>
      <c r="AB589" s="4"/>
      <c r="AD589" s="4"/>
      <c r="AF589" t="e">
        <f>VLOOKUP(C589,'גיליון דאטה להכל'!A:H,5,0)</f>
        <v>#N/A</v>
      </c>
      <c r="AG589" s="104">
        <f t="shared" si="18"/>
        <v>0</v>
      </c>
      <c r="AH589" t="e">
        <f t="shared" si="19"/>
        <v>#N/A</v>
      </c>
    </row>
    <row r="590" spans="8:34" x14ac:dyDescent="0.2">
      <c r="H590" s="5"/>
      <c r="I590" s="5"/>
      <c r="J590" s="5"/>
      <c r="K590" s="5"/>
      <c r="L590" s="95"/>
      <c r="O590" s="4"/>
      <c r="P590" s="4"/>
      <c r="AB590" s="4"/>
      <c r="AD590" s="4"/>
      <c r="AF590" t="e">
        <f>VLOOKUP(C590,'גיליון דאטה להכל'!A:H,5,0)</f>
        <v>#N/A</v>
      </c>
      <c r="AG590" s="104">
        <f t="shared" si="18"/>
        <v>0</v>
      </c>
      <c r="AH590" t="e">
        <f t="shared" si="19"/>
        <v>#N/A</v>
      </c>
    </row>
    <row r="591" spans="8:34" x14ac:dyDescent="0.2">
      <c r="H591" s="5"/>
      <c r="I591" s="5"/>
      <c r="J591" s="5"/>
      <c r="K591" s="5"/>
      <c r="L591" s="95"/>
      <c r="O591" s="4"/>
      <c r="P591" s="4"/>
      <c r="AB591" s="4"/>
      <c r="AD591" s="4"/>
      <c r="AF591" t="e">
        <f>VLOOKUP(C591,'גיליון דאטה להכל'!A:H,5,0)</f>
        <v>#N/A</v>
      </c>
      <c r="AG591" s="104">
        <f t="shared" si="18"/>
        <v>0</v>
      </c>
      <c r="AH591" t="e">
        <f t="shared" si="19"/>
        <v>#N/A</v>
      </c>
    </row>
    <row r="592" spans="8:34" x14ac:dyDescent="0.2">
      <c r="H592" s="5"/>
      <c r="I592" s="5"/>
      <c r="J592" s="5"/>
      <c r="K592" s="5"/>
      <c r="L592" s="95"/>
      <c r="O592" s="4"/>
      <c r="P592" s="4"/>
      <c r="AB592" s="4"/>
      <c r="AD592" s="4"/>
      <c r="AF592" t="e">
        <f>VLOOKUP(C592,'גיליון דאטה להכל'!A:H,5,0)</f>
        <v>#N/A</v>
      </c>
      <c r="AG592" s="104">
        <f t="shared" si="18"/>
        <v>0</v>
      </c>
      <c r="AH592" t="e">
        <f t="shared" si="19"/>
        <v>#N/A</v>
      </c>
    </row>
    <row r="593" spans="8:34" x14ac:dyDescent="0.2">
      <c r="H593" s="5"/>
      <c r="I593" s="5"/>
      <c r="J593" s="5"/>
      <c r="K593" s="5"/>
      <c r="L593" s="95"/>
      <c r="O593" s="4"/>
      <c r="P593" s="4"/>
      <c r="AB593" s="4"/>
      <c r="AD593" s="4"/>
      <c r="AF593" t="e">
        <f>VLOOKUP(C593,'גיליון דאטה להכל'!A:H,5,0)</f>
        <v>#N/A</v>
      </c>
      <c r="AG593" s="104">
        <f t="shared" si="18"/>
        <v>0</v>
      </c>
      <c r="AH593" t="e">
        <f t="shared" si="19"/>
        <v>#N/A</v>
      </c>
    </row>
    <row r="594" spans="8:34" x14ac:dyDescent="0.2">
      <c r="H594" s="5"/>
      <c r="I594" s="5"/>
      <c r="J594" s="5"/>
      <c r="K594" s="5"/>
      <c r="L594" s="95"/>
      <c r="O594" s="4"/>
      <c r="P594" s="4"/>
      <c r="AB594" s="4"/>
      <c r="AD594" s="4"/>
      <c r="AF594" t="e">
        <f>VLOOKUP(C594,'גיליון דאטה להכל'!A:H,5,0)</f>
        <v>#N/A</v>
      </c>
      <c r="AG594" s="104">
        <f t="shared" si="18"/>
        <v>0</v>
      </c>
      <c r="AH594" t="e">
        <f t="shared" si="19"/>
        <v>#N/A</v>
      </c>
    </row>
    <row r="595" spans="8:34" x14ac:dyDescent="0.2">
      <c r="H595" s="5"/>
      <c r="I595" s="5"/>
      <c r="J595" s="5"/>
      <c r="K595" s="5"/>
      <c r="L595" s="95"/>
      <c r="O595" s="4"/>
      <c r="P595" s="4"/>
      <c r="AB595" s="4"/>
      <c r="AD595" s="4"/>
      <c r="AF595" t="e">
        <f>VLOOKUP(C595,'גיליון דאטה להכל'!A:H,5,0)</f>
        <v>#N/A</v>
      </c>
      <c r="AG595" s="104">
        <f t="shared" si="18"/>
        <v>0</v>
      </c>
      <c r="AH595" t="e">
        <f t="shared" si="19"/>
        <v>#N/A</v>
      </c>
    </row>
    <row r="596" spans="8:34" x14ac:dyDescent="0.2">
      <c r="H596" s="5"/>
      <c r="I596" s="5"/>
      <c r="J596" s="5"/>
      <c r="K596" s="5"/>
      <c r="L596" s="95"/>
      <c r="O596" s="4"/>
      <c r="P596" s="4"/>
      <c r="AB596" s="4"/>
      <c r="AD596" s="4"/>
      <c r="AF596" t="e">
        <f>VLOOKUP(C596,'גיליון דאטה להכל'!A:H,5,0)</f>
        <v>#N/A</v>
      </c>
      <c r="AG596" s="104">
        <f t="shared" si="18"/>
        <v>0</v>
      </c>
      <c r="AH596" t="e">
        <f t="shared" si="19"/>
        <v>#N/A</v>
      </c>
    </row>
    <row r="597" spans="8:34" x14ac:dyDescent="0.2">
      <c r="H597" s="5"/>
      <c r="I597" s="5"/>
      <c r="J597" s="5"/>
      <c r="K597" s="5"/>
      <c r="L597" s="95"/>
      <c r="O597" s="4"/>
      <c r="P597" s="4"/>
      <c r="AB597" s="4"/>
      <c r="AD597" s="4"/>
      <c r="AF597" t="e">
        <f>VLOOKUP(C597,'גיליון דאטה להכל'!A:H,5,0)</f>
        <v>#N/A</v>
      </c>
      <c r="AG597" s="104">
        <f t="shared" si="18"/>
        <v>0</v>
      </c>
      <c r="AH597" t="e">
        <f t="shared" si="19"/>
        <v>#N/A</v>
      </c>
    </row>
    <row r="598" spans="8:34" x14ac:dyDescent="0.2">
      <c r="H598" s="5"/>
      <c r="I598" s="5"/>
      <c r="J598" s="5"/>
      <c r="K598" s="5"/>
      <c r="L598" s="95"/>
      <c r="O598" s="4"/>
      <c r="P598" s="4"/>
      <c r="AB598" s="4"/>
      <c r="AD598" s="4"/>
      <c r="AF598" t="e">
        <f>VLOOKUP(C598,'גיליון דאטה להכל'!A:H,5,0)</f>
        <v>#N/A</v>
      </c>
      <c r="AG598" s="104">
        <f t="shared" si="18"/>
        <v>0</v>
      </c>
      <c r="AH598" t="e">
        <f t="shared" si="19"/>
        <v>#N/A</v>
      </c>
    </row>
    <row r="599" spans="8:34" x14ac:dyDescent="0.2">
      <c r="H599" s="5"/>
      <c r="I599" s="5"/>
      <c r="J599" s="5"/>
      <c r="K599" s="5"/>
      <c r="O599" s="4"/>
      <c r="P599" s="4"/>
      <c r="AB599" s="4"/>
      <c r="AD599" s="4"/>
      <c r="AF599" t="e">
        <f>VLOOKUP(C599,'גיליון דאטה להכל'!A:H,5,0)</f>
        <v>#N/A</v>
      </c>
      <c r="AG599" s="104">
        <f t="shared" si="18"/>
        <v>0</v>
      </c>
      <c r="AH599" t="e">
        <f t="shared" si="19"/>
        <v>#N/A</v>
      </c>
    </row>
    <row r="600" spans="8:34" x14ac:dyDescent="0.2">
      <c r="H600" s="5"/>
      <c r="I600" s="5"/>
      <c r="J600" s="5"/>
      <c r="K600" s="5"/>
      <c r="L600" s="95"/>
      <c r="O600" s="4"/>
      <c r="P600" s="4"/>
      <c r="AB600" s="4"/>
      <c r="AD600" s="4"/>
      <c r="AF600" t="e">
        <f>VLOOKUP(C600,'גיליון דאטה להכל'!A:H,5,0)</f>
        <v>#N/A</v>
      </c>
      <c r="AG600" s="104">
        <f t="shared" si="18"/>
        <v>0</v>
      </c>
      <c r="AH600" t="e">
        <f t="shared" si="19"/>
        <v>#N/A</v>
      </c>
    </row>
    <row r="601" spans="8:34" x14ac:dyDescent="0.2">
      <c r="H601" s="5"/>
      <c r="I601" s="5"/>
      <c r="J601" s="5"/>
      <c r="K601" s="5"/>
      <c r="L601" s="95"/>
      <c r="O601" s="4"/>
      <c r="P601" s="4"/>
      <c r="AB601" s="4"/>
      <c r="AD601" s="4"/>
      <c r="AF601" t="e">
        <f>VLOOKUP(C601,'גיליון דאטה להכל'!A:H,5,0)</f>
        <v>#N/A</v>
      </c>
      <c r="AG601" s="104">
        <f t="shared" si="18"/>
        <v>0</v>
      </c>
      <c r="AH601" t="e">
        <f t="shared" si="19"/>
        <v>#N/A</v>
      </c>
    </row>
    <row r="602" spans="8:34" x14ac:dyDescent="0.2">
      <c r="H602" s="5"/>
      <c r="I602" s="5"/>
      <c r="J602" s="5"/>
      <c r="K602" s="5"/>
      <c r="L602" s="95"/>
      <c r="O602" s="4"/>
      <c r="P602" s="4"/>
      <c r="AB602" s="4"/>
      <c r="AD602" s="4"/>
      <c r="AF602" t="e">
        <f>VLOOKUP(C602,'גיליון דאטה להכל'!A:H,5,0)</f>
        <v>#N/A</v>
      </c>
      <c r="AG602" s="104">
        <f t="shared" si="18"/>
        <v>0</v>
      </c>
      <c r="AH602" t="e">
        <f t="shared" si="19"/>
        <v>#N/A</v>
      </c>
    </row>
    <row r="603" spans="8:34" x14ac:dyDescent="0.2">
      <c r="H603" s="5"/>
      <c r="I603" s="5"/>
      <c r="J603" s="5"/>
      <c r="K603" s="5"/>
      <c r="L603" s="95"/>
      <c r="O603" s="4"/>
      <c r="P603" s="4"/>
      <c r="AB603" s="4"/>
      <c r="AD603" s="4"/>
      <c r="AF603" t="e">
        <f>VLOOKUP(C603,'גיליון דאטה להכל'!A:H,5,0)</f>
        <v>#N/A</v>
      </c>
      <c r="AG603" s="104">
        <f t="shared" si="18"/>
        <v>0</v>
      </c>
      <c r="AH603" t="e">
        <f t="shared" si="19"/>
        <v>#N/A</v>
      </c>
    </row>
    <row r="604" spans="8:34" x14ac:dyDescent="0.2">
      <c r="H604" s="5"/>
      <c r="I604" s="5"/>
      <c r="J604" s="5"/>
      <c r="K604" s="5"/>
      <c r="L604" s="95"/>
      <c r="O604" s="4"/>
      <c r="P604" s="4"/>
      <c r="AB604" s="4"/>
      <c r="AD604" s="4"/>
      <c r="AF604" t="e">
        <f>VLOOKUP(C604,'גיליון דאטה להכל'!A:H,5,0)</f>
        <v>#N/A</v>
      </c>
      <c r="AG604" s="104">
        <f t="shared" si="18"/>
        <v>0</v>
      </c>
      <c r="AH604" t="e">
        <f t="shared" si="19"/>
        <v>#N/A</v>
      </c>
    </row>
    <row r="605" spans="8:34" x14ac:dyDescent="0.2">
      <c r="H605" s="5"/>
      <c r="I605" s="5"/>
      <c r="J605" s="5"/>
      <c r="K605" s="5"/>
      <c r="L605" s="95"/>
      <c r="O605" s="4"/>
      <c r="P605" s="4"/>
      <c r="AB605" s="4"/>
      <c r="AD605" s="4"/>
      <c r="AF605" t="e">
        <f>VLOOKUP(C605,'גיליון דאטה להכל'!A:H,5,0)</f>
        <v>#N/A</v>
      </c>
      <c r="AG605" s="104">
        <f t="shared" si="18"/>
        <v>0</v>
      </c>
      <c r="AH605" t="e">
        <f t="shared" si="19"/>
        <v>#N/A</v>
      </c>
    </row>
    <row r="606" spans="8:34" x14ac:dyDescent="0.2">
      <c r="H606" s="5"/>
      <c r="I606" s="5"/>
      <c r="J606" s="5"/>
      <c r="K606" s="5"/>
      <c r="L606" s="95"/>
      <c r="O606" s="4"/>
      <c r="P606" s="4"/>
      <c r="AB606" s="4"/>
      <c r="AD606" s="4"/>
      <c r="AF606" t="e">
        <f>VLOOKUP(C606,'גיליון דאטה להכל'!A:H,5,0)</f>
        <v>#N/A</v>
      </c>
      <c r="AG606" s="104">
        <f t="shared" si="18"/>
        <v>0</v>
      </c>
      <c r="AH606" t="e">
        <f t="shared" si="19"/>
        <v>#N/A</v>
      </c>
    </row>
    <row r="607" spans="8:34" x14ac:dyDescent="0.2">
      <c r="H607" s="5"/>
      <c r="I607" s="5"/>
      <c r="J607" s="5"/>
      <c r="K607" s="5"/>
      <c r="L607" s="95"/>
      <c r="O607" s="4"/>
      <c r="P607" s="4"/>
      <c r="AB607" s="4"/>
      <c r="AD607" s="4"/>
      <c r="AF607" t="e">
        <f>VLOOKUP(C607,'גיליון דאטה להכל'!A:H,5,0)</f>
        <v>#N/A</v>
      </c>
      <c r="AG607" s="104">
        <f t="shared" si="18"/>
        <v>0</v>
      </c>
      <c r="AH607" t="e">
        <f t="shared" si="19"/>
        <v>#N/A</v>
      </c>
    </row>
    <row r="608" spans="8:34" x14ac:dyDescent="0.2">
      <c r="H608" s="5"/>
      <c r="I608" s="5"/>
      <c r="J608" s="5"/>
      <c r="K608" s="5"/>
      <c r="L608" s="95"/>
      <c r="O608" s="4"/>
      <c r="P608" s="4"/>
      <c r="AB608" s="4"/>
      <c r="AD608" s="4"/>
      <c r="AF608" t="e">
        <f>VLOOKUP(C608,'גיליון דאטה להכל'!A:H,5,0)</f>
        <v>#N/A</v>
      </c>
      <c r="AG608" s="104">
        <f t="shared" si="18"/>
        <v>0</v>
      </c>
      <c r="AH608" t="e">
        <f t="shared" si="19"/>
        <v>#N/A</v>
      </c>
    </row>
    <row r="609" spans="8:34" x14ac:dyDescent="0.2">
      <c r="H609" s="5"/>
      <c r="I609" s="5"/>
      <c r="J609" s="5"/>
      <c r="K609" s="5"/>
      <c r="L609" s="95"/>
      <c r="O609" s="4"/>
      <c r="P609" s="4"/>
      <c r="AB609" s="4"/>
      <c r="AD609" s="4"/>
      <c r="AF609" t="e">
        <f>VLOOKUP(C609,'גיליון דאטה להכל'!A:H,5,0)</f>
        <v>#N/A</v>
      </c>
      <c r="AG609" s="104">
        <f t="shared" si="18"/>
        <v>0</v>
      </c>
      <c r="AH609" t="e">
        <f t="shared" si="19"/>
        <v>#N/A</v>
      </c>
    </row>
    <row r="610" spans="8:34" x14ac:dyDescent="0.2">
      <c r="H610" s="5"/>
      <c r="I610" s="5"/>
      <c r="J610" s="5"/>
      <c r="K610" s="5"/>
      <c r="L610" s="95"/>
      <c r="O610" s="4"/>
      <c r="P610" s="4"/>
      <c r="AB610" s="4"/>
      <c r="AD610" s="4"/>
      <c r="AF610" t="e">
        <f>VLOOKUP(C610,'גיליון דאטה להכל'!A:H,5,0)</f>
        <v>#N/A</v>
      </c>
      <c r="AG610" s="104">
        <f t="shared" si="18"/>
        <v>0</v>
      </c>
      <c r="AH610" t="e">
        <f t="shared" si="19"/>
        <v>#N/A</v>
      </c>
    </row>
    <row r="611" spans="8:34" x14ac:dyDescent="0.2">
      <c r="H611" s="5"/>
      <c r="I611" s="5"/>
      <c r="J611" s="5"/>
      <c r="K611" s="5"/>
      <c r="L611" s="95"/>
      <c r="O611" s="4"/>
      <c r="P611" s="4"/>
      <c r="AB611" s="4"/>
      <c r="AD611" s="4"/>
      <c r="AF611" t="e">
        <f>VLOOKUP(C611,'גיליון דאטה להכל'!A:H,5,0)</f>
        <v>#N/A</v>
      </c>
      <c r="AG611" s="104">
        <f t="shared" si="18"/>
        <v>0</v>
      </c>
      <c r="AH611" t="e">
        <f t="shared" si="19"/>
        <v>#N/A</v>
      </c>
    </row>
    <row r="612" spans="8:34" x14ac:dyDescent="0.2">
      <c r="H612" s="5"/>
      <c r="I612" s="5"/>
      <c r="J612" s="5"/>
      <c r="K612" s="5"/>
      <c r="L612" s="95"/>
      <c r="O612" s="4"/>
      <c r="P612" s="4"/>
      <c r="AB612" s="4"/>
      <c r="AD612" s="4"/>
      <c r="AF612" t="e">
        <f>VLOOKUP(C612,'גיליון דאטה להכל'!A:H,5,0)</f>
        <v>#N/A</v>
      </c>
      <c r="AG612" s="104">
        <f t="shared" si="18"/>
        <v>0</v>
      </c>
      <c r="AH612" t="e">
        <f t="shared" si="19"/>
        <v>#N/A</v>
      </c>
    </row>
    <row r="613" spans="8:34" x14ac:dyDescent="0.2">
      <c r="H613" s="5"/>
      <c r="I613" s="5"/>
      <c r="J613" s="5"/>
      <c r="K613" s="5"/>
      <c r="L613" s="95"/>
      <c r="O613" s="4"/>
      <c r="P613" s="4"/>
      <c r="AB613" s="4"/>
      <c r="AD613" s="4"/>
      <c r="AF613" t="e">
        <f>VLOOKUP(C613,'גיליון דאטה להכל'!A:H,5,0)</f>
        <v>#N/A</v>
      </c>
      <c r="AG613" s="104">
        <f t="shared" si="18"/>
        <v>0</v>
      </c>
      <c r="AH613" t="e">
        <f t="shared" si="19"/>
        <v>#N/A</v>
      </c>
    </row>
    <row r="614" spans="8:34" x14ac:dyDescent="0.2">
      <c r="H614" s="5"/>
      <c r="I614" s="5"/>
      <c r="J614" s="5"/>
      <c r="K614" s="5"/>
      <c r="L614" s="95"/>
      <c r="O614" s="4"/>
      <c r="P614" s="4"/>
      <c r="AB614" s="4"/>
      <c r="AD614" s="4"/>
      <c r="AF614" t="e">
        <f>VLOOKUP(C614,'גיליון דאטה להכל'!A:H,5,0)</f>
        <v>#N/A</v>
      </c>
      <c r="AG614" s="104">
        <f t="shared" si="18"/>
        <v>0</v>
      </c>
      <c r="AH614" t="e">
        <f t="shared" si="19"/>
        <v>#N/A</v>
      </c>
    </row>
    <row r="615" spans="8:34" x14ac:dyDescent="0.2">
      <c r="H615" s="5"/>
      <c r="I615" s="5"/>
      <c r="J615" s="5"/>
      <c r="K615" s="5"/>
      <c r="L615" s="95"/>
      <c r="O615" s="4"/>
      <c r="P615" s="4"/>
      <c r="AB615" s="4"/>
      <c r="AD615" s="4"/>
      <c r="AF615" t="e">
        <f>VLOOKUP(C615,'גיליון דאטה להכל'!A:H,5,0)</f>
        <v>#N/A</v>
      </c>
      <c r="AG615" s="104">
        <f t="shared" si="18"/>
        <v>0</v>
      </c>
      <c r="AH615" t="e">
        <f t="shared" si="19"/>
        <v>#N/A</v>
      </c>
    </row>
    <row r="616" spans="8:34" x14ac:dyDescent="0.2">
      <c r="H616" s="5"/>
      <c r="I616" s="5"/>
      <c r="J616" s="5"/>
      <c r="K616" s="5"/>
      <c r="L616" s="95"/>
      <c r="O616" s="4"/>
      <c r="P616" s="4"/>
      <c r="AB616" s="4"/>
      <c r="AD616" s="4"/>
      <c r="AF616" t="e">
        <f>VLOOKUP(C616,'גיליון דאטה להכל'!A:H,5,0)</f>
        <v>#N/A</v>
      </c>
      <c r="AG616" s="104">
        <f t="shared" si="18"/>
        <v>0</v>
      </c>
      <c r="AH616" t="e">
        <f t="shared" si="19"/>
        <v>#N/A</v>
      </c>
    </row>
    <row r="617" spans="8:34" x14ac:dyDescent="0.2">
      <c r="H617" s="5"/>
      <c r="I617" s="5"/>
      <c r="J617" s="5"/>
      <c r="K617" s="5"/>
      <c r="L617" s="95"/>
      <c r="O617" s="4"/>
      <c r="P617" s="4"/>
      <c r="AB617" s="4"/>
      <c r="AD617" s="4"/>
      <c r="AF617" t="e">
        <f>VLOOKUP(C617,'גיליון דאטה להכל'!A:H,5,0)</f>
        <v>#N/A</v>
      </c>
      <c r="AG617" s="104">
        <f t="shared" si="18"/>
        <v>0</v>
      </c>
      <c r="AH617" t="e">
        <f t="shared" si="19"/>
        <v>#N/A</v>
      </c>
    </row>
    <row r="618" spans="8:34" x14ac:dyDescent="0.2">
      <c r="H618" s="5"/>
      <c r="I618" s="5"/>
      <c r="J618" s="5"/>
      <c r="K618" s="5"/>
      <c r="L618" s="95"/>
      <c r="O618" s="4"/>
      <c r="P618" s="4"/>
      <c r="AB618" s="4"/>
      <c r="AD618" s="4"/>
      <c r="AF618" t="e">
        <f>VLOOKUP(C618,'גיליון דאטה להכל'!A:H,5,0)</f>
        <v>#N/A</v>
      </c>
      <c r="AG618" s="104">
        <f t="shared" si="18"/>
        <v>0</v>
      </c>
      <c r="AH618" t="e">
        <f t="shared" si="19"/>
        <v>#N/A</v>
      </c>
    </row>
    <row r="619" spans="8:34" x14ac:dyDescent="0.2">
      <c r="H619" s="5"/>
      <c r="I619" s="5"/>
      <c r="J619" s="5"/>
      <c r="K619" s="5"/>
      <c r="L619" s="95"/>
      <c r="O619" s="4"/>
      <c r="P619" s="4"/>
      <c r="AB619" s="4"/>
      <c r="AD619" s="4"/>
      <c r="AF619" t="e">
        <f>VLOOKUP(C619,'גיליון דאטה להכל'!A:H,5,0)</f>
        <v>#N/A</v>
      </c>
      <c r="AG619" s="104">
        <f t="shared" si="18"/>
        <v>0</v>
      </c>
      <c r="AH619" t="e">
        <f t="shared" si="19"/>
        <v>#N/A</v>
      </c>
    </row>
    <row r="620" spans="8:34" x14ac:dyDescent="0.2">
      <c r="H620" s="5"/>
      <c r="I620" s="5"/>
      <c r="J620" s="5"/>
      <c r="K620" s="5"/>
      <c r="L620" s="95"/>
      <c r="O620" s="4"/>
      <c r="P620" s="4"/>
      <c r="AB620" s="4"/>
      <c r="AD620" s="4"/>
      <c r="AF620" t="e">
        <f>VLOOKUP(C620,'גיליון דאטה להכל'!A:H,5,0)</f>
        <v>#N/A</v>
      </c>
      <c r="AG620" s="104">
        <f t="shared" si="18"/>
        <v>0</v>
      </c>
      <c r="AH620" t="e">
        <f t="shared" si="19"/>
        <v>#N/A</v>
      </c>
    </row>
    <row r="621" spans="8:34" x14ac:dyDescent="0.2">
      <c r="H621" s="5"/>
      <c r="I621" s="5"/>
      <c r="J621" s="5"/>
      <c r="K621" s="5"/>
      <c r="L621" s="95"/>
      <c r="O621" s="4"/>
      <c r="P621" s="4"/>
      <c r="AB621" s="4"/>
      <c r="AD621" s="4"/>
      <c r="AF621" t="e">
        <f>VLOOKUP(C621,'גיליון דאטה להכל'!A:H,5,0)</f>
        <v>#N/A</v>
      </c>
      <c r="AG621" s="104">
        <f t="shared" si="18"/>
        <v>0</v>
      </c>
      <c r="AH621" t="e">
        <f t="shared" si="19"/>
        <v>#N/A</v>
      </c>
    </row>
    <row r="622" spans="8:34" x14ac:dyDescent="0.2">
      <c r="H622" s="5"/>
      <c r="I622" s="5"/>
      <c r="J622" s="5"/>
      <c r="K622" s="5"/>
      <c r="L622" s="95"/>
      <c r="O622" s="4"/>
      <c r="P622" s="4"/>
      <c r="AB622" s="4"/>
      <c r="AD622" s="4"/>
      <c r="AF622" t="e">
        <f>VLOOKUP(C622,'גיליון דאטה להכל'!A:H,5,0)</f>
        <v>#N/A</v>
      </c>
      <c r="AG622" s="104">
        <f t="shared" si="18"/>
        <v>0</v>
      </c>
      <c r="AH622" t="e">
        <f t="shared" si="19"/>
        <v>#N/A</v>
      </c>
    </row>
    <row r="623" spans="8:34" x14ac:dyDescent="0.2">
      <c r="H623" s="5"/>
      <c r="I623" s="5"/>
      <c r="J623" s="5"/>
      <c r="K623" s="5"/>
      <c r="L623" s="95"/>
      <c r="O623" s="4"/>
      <c r="P623" s="4"/>
      <c r="AB623" s="4"/>
      <c r="AD623" s="4"/>
      <c r="AF623" t="e">
        <f>VLOOKUP(C623,'גיליון דאטה להכל'!A:H,5,0)</f>
        <v>#N/A</v>
      </c>
      <c r="AG623" s="104">
        <f t="shared" si="18"/>
        <v>0</v>
      </c>
      <c r="AH623" t="e">
        <f t="shared" si="19"/>
        <v>#N/A</v>
      </c>
    </row>
    <row r="624" spans="8:34" x14ac:dyDescent="0.2">
      <c r="H624" s="5"/>
      <c r="I624" s="5"/>
      <c r="J624" s="5"/>
      <c r="K624" s="5"/>
      <c r="L624" s="95"/>
      <c r="O624" s="4"/>
      <c r="P624" s="4"/>
      <c r="AB624" s="4"/>
      <c r="AD624" s="4"/>
      <c r="AF624" t="e">
        <f>VLOOKUP(C624,'גיליון דאטה להכל'!A:H,5,0)</f>
        <v>#N/A</v>
      </c>
      <c r="AG624" s="104">
        <f t="shared" si="18"/>
        <v>0</v>
      </c>
      <c r="AH624" t="e">
        <f t="shared" si="19"/>
        <v>#N/A</v>
      </c>
    </row>
    <row r="625" spans="8:34" x14ac:dyDescent="0.2">
      <c r="H625" s="5"/>
      <c r="I625" s="5"/>
      <c r="J625" s="5"/>
      <c r="K625" s="5"/>
      <c r="L625" s="95"/>
      <c r="O625" s="4"/>
      <c r="P625" s="4"/>
      <c r="AB625" s="4"/>
      <c r="AD625" s="4"/>
      <c r="AF625" t="e">
        <f>VLOOKUP(C625,'גיליון דאטה להכל'!A:H,5,0)</f>
        <v>#N/A</v>
      </c>
      <c r="AG625" s="104">
        <f t="shared" si="18"/>
        <v>0</v>
      </c>
      <c r="AH625" t="e">
        <f t="shared" si="19"/>
        <v>#N/A</v>
      </c>
    </row>
    <row r="626" spans="8:34" x14ac:dyDescent="0.2">
      <c r="H626" s="5"/>
      <c r="I626" s="5"/>
      <c r="J626" s="5"/>
      <c r="K626" s="5"/>
      <c r="L626" s="95"/>
      <c r="O626" s="4"/>
      <c r="P626" s="4"/>
      <c r="AB626" s="4"/>
      <c r="AD626" s="4"/>
      <c r="AF626" t="e">
        <f>VLOOKUP(C626,'גיליון דאטה להכל'!A:H,5,0)</f>
        <v>#N/A</v>
      </c>
      <c r="AG626" s="104">
        <f t="shared" si="18"/>
        <v>0</v>
      </c>
      <c r="AH626" t="e">
        <f t="shared" si="19"/>
        <v>#N/A</v>
      </c>
    </row>
    <row r="627" spans="8:34" x14ac:dyDescent="0.2">
      <c r="H627" s="5"/>
      <c r="I627" s="5"/>
      <c r="J627" s="5"/>
      <c r="K627" s="5"/>
      <c r="L627" s="95"/>
      <c r="O627" s="4"/>
      <c r="P627" s="4"/>
      <c r="AB627" s="4"/>
      <c r="AD627" s="4"/>
      <c r="AF627" t="e">
        <f>VLOOKUP(C627,'גיליון דאטה להכל'!A:H,5,0)</f>
        <v>#N/A</v>
      </c>
      <c r="AG627" s="104">
        <f t="shared" si="18"/>
        <v>0</v>
      </c>
      <c r="AH627" t="e">
        <f t="shared" si="19"/>
        <v>#N/A</v>
      </c>
    </row>
    <row r="628" spans="8:34" x14ac:dyDescent="0.2">
      <c r="H628" s="5"/>
      <c r="I628" s="5"/>
      <c r="J628" s="5"/>
      <c r="K628" s="5"/>
      <c r="L628" s="95"/>
      <c r="O628" s="4"/>
      <c r="P628" s="4"/>
      <c r="AB628" s="4"/>
      <c r="AD628" s="4"/>
      <c r="AF628" t="e">
        <f>VLOOKUP(C628,'גיליון דאטה להכל'!A:H,5,0)</f>
        <v>#N/A</v>
      </c>
      <c r="AG628" s="104">
        <f t="shared" si="18"/>
        <v>0</v>
      </c>
      <c r="AH628" t="e">
        <f t="shared" si="19"/>
        <v>#N/A</v>
      </c>
    </row>
    <row r="629" spans="8:34" x14ac:dyDescent="0.2">
      <c r="H629" s="5"/>
      <c r="I629" s="5"/>
      <c r="J629" s="5"/>
      <c r="K629" s="5"/>
      <c r="L629" s="95"/>
      <c r="O629" s="4"/>
      <c r="P629" s="4"/>
      <c r="AB629" s="4"/>
      <c r="AD629" s="4"/>
      <c r="AF629" t="e">
        <f>VLOOKUP(C629,'גיליון דאטה להכל'!A:H,5,0)</f>
        <v>#N/A</v>
      </c>
      <c r="AG629" s="104">
        <f t="shared" si="18"/>
        <v>0</v>
      </c>
      <c r="AH629" t="e">
        <f t="shared" si="19"/>
        <v>#N/A</v>
      </c>
    </row>
    <row r="630" spans="8:34" x14ac:dyDescent="0.2">
      <c r="H630" s="5"/>
      <c r="I630" s="5"/>
      <c r="J630" s="5"/>
      <c r="K630" s="5"/>
      <c r="L630" s="95"/>
      <c r="O630" s="4"/>
      <c r="P630" s="4"/>
      <c r="AB630" s="4"/>
      <c r="AD630" s="4"/>
      <c r="AF630" t="e">
        <f>VLOOKUP(C630,'גיליון דאטה להכל'!A:H,5,0)</f>
        <v>#N/A</v>
      </c>
      <c r="AG630" s="104">
        <f t="shared" si="18"/>
        <v>0</v>
      </c>
      <c r="AH630" t="e">
        <f t="shared" si="19"/>
        <v>#N/A</v>
      </c>
    </row>
    <row r="631" spans="8:34" x14ac:dyDescent="0.2">
      <c r="H631" s="5"/>
      <c r="I631" s="5"/>
      <c r="J631" s="5"/>
      <c r="K631" s="5"/>
      <c r="L631" s="95"/>
      <c r="O631" s="4"/>
      <c r="P631" s="4"/>
      <c r="AB631" s="4"/>
      <c r="AD631" s="4"/>
      <c r="AF631" t="e">
        <f>VLOOKUP(C631,'גיליון דאטה להכל'!A:H,5,0)</f>
        <v>#N/A</v>
      </c>
      <c r="AG631" s="104">
        <f t="shared" si="18"/>
        <v>0</v>
      </c>
      <c r="AH631" t="e">
        <f t="shared" si="19"/>
        <v>#N/A</v>
      </c>
    </row>
    <row r="632" spans="8:34" x14ac:dyDescent="0.2">
      <c r="H632" s="5"/>
      <c r="I632" s="5"/>
      <c r="J632" s="5"/>
      <c r="K632" s="5"/>
      <c r="L632" s="95"/>
      <c r="O632" s="4"/>
      <c r="P632" s="4"/>
      <c r="AB632" s="4"/>
      <c r="AD632" s="4"/>
      <c r="AF632" t="e">
        <f>VLOOKUP(C632,'גיליון דאטה להכל'!A:H,5,0)</f>
        <v>#N/A</v>
      </c>
      <c r="AG632" s="104">
        <f t="shared" si="18"/>
        <v>0</v>
      </c>
      <c r="AH632" t="e">
        <f t="shared" si="19"/>
        <v>#N/A</v>
      </c>
    </row>
    <row r="633" spans="8:34" x14ac:dyDescent="0.2">
      <c r="H633" s="5"/>
      <c r="I633" s="5"/>
      <c r="J633" s="5"/>
      <c r="K633" s="5"/>
      <c r="L633" s="95"/>
      <c r="O633" s="4"/>
      <c r="P633" s="4"/>
      <c r="AB633" s="4"/>
      <c r="AD633" s="4"/>
      <c r="AF633" t="e">
        <f>VLOOKUP(C633,'גיליון דאטה להכל'!A:H,5,0)</f>
        <v>#N/A</v>
      </c>
      <c r="AG633" s="104">
        <f t="shared" si="18"/>
        <v>0</v>
      </c>
      <c r="AH633" t="e">
        <f t="shared" si="19"/>
        <v>#N/A</v>
      </c>
    </row>
    <row r="634" spans="8:34" x14ac:dyDescent="0.2">
      <c r="H634" s="5"/>
      <c r="I634" s="5"/>
      <c r="J634" s="5"/>
      <c r="K634" s="5"/>
      <c r="L634" s="95"/>
      <c r="O634" s="4"/>
      <c r="P634" s="4"/>
      <c r="AB634" s="4"/>
      <c r="AD634" s="4"/>
      <c r="AF634" t="e">
        <f>VLOOKUP(C634,'גיליון דאטה להכל'!A:H,5,0)</f>
        <v>#N/A</v>
      </c>
      <c r="AG634" s="104">
        <f t="shared" si="18"/>
        <v>0</v>
      </c>
      <c r="AH634" t="e">
        <f t="shared" si="19"/>
        <v>#N/A</v>
      </c>
    </row>
    <row r="635" spans="8:34" x14ac:dyDescent="0.2">
      <c r="H635" s="5"/>
      <c r="I635" s="5"/>
      <c r="J635" s="5"/>
      <c r="K635" s="5"/>
      <c r="L635" s="95"/>
      <c r="O635" s="4"/>
      <c r="P635" s="4"/>
      <c r="AB635" s="4"/>
      <c r="AD635" s="4"/>
      <c r="AF635" t="e">
        <f>VLOOKUP(C635,'גיליון דאטה להכל'!A:H,5,0)</f>
        <v>#N/A</v>
      </c>
      <c r="AG635" s="104">
        <f t="shared" si="18"/>
        <v>0</v>
      </c>
      <c r="AH635" t="e">
        <f t="shared" si="19"/>
        <v>#N/A</v>
      </c>
    </row>
    <row r="636" spans="8:34" x14ac:dyDescent="0.2">
      <c r="H636" s="5"/>
      <c r="I636" s="5"/>
      <c r="J636" s="5"/>
      <c r="K636" s="5"/>
      <c r="L636" s="95"/>
      <c r="O636" s="4"/>
      <c r="P636" s="4"/>
      <c r="AB636" s="4"/>
      <c r="AD636" s="4"/>
      <c r="AF636" t="e">
        <f>VLOOKUP(C636,'גיליון דאטה להכל'!A:H,5,0)</f>
        <v>#N/A</v>
      </c>
      <c r="AG636" s="104">
        <f t="shared" si="18"/>
        <v>0</v>
      </c>
      <c r="AH636" t="e">
        <f t="shared" si="19"/>
        <v>#N/A</v>
      </c>
    </row>
    <row r="637" spans="8:34" x14ac:dyDescent="0.2">
      <c r="H637" s="5"/>
      <c r="I637" s="5"/>
      <c r="J637" s="5"/>
      <c r="K637" s="5"/>
      <c r="L637" s="95"/>
      <c r="O637" s="4"/>
      <c r="P637" s="4"/>
      <c r="AB637" s="4"/>
      <c r="AD637" s="4"/>
      <c r="AF637" t="e">
        <f>VLOOKUP(C637,'גיליון דאטה להכל'!A:H,5,0)</f>
        <v>#N/A</v>
      </c>
      <c r="AG637" s="104">
        <f t="shared" si="18"/>
        <v>0</v>
      </c>
      <c r="AH637" t="e">
        <f t="shared" si="19"/>
        <v>#N/A</v>
      </c>
    </row>
    <row r="638" spans="8:34" x14ac:dyDescent="0.2">
      <c r="H638" s="5"/>
      <c r="I638" s="5"/>
      <c r="J638" s="5"/>
      <c r="K638" s="5"/>
      <c r="L638" s="95"/>
      <c r="O638" s="4"/>
      <c r="P638" s="4"/>
      <c r="AB638" s="4"/>
      <c r="AD638" s="4"/>
      <c r="AF638" t="e">
        <f>VLOOKUP(C638,'גיליון דאטה להכל'!A:H,5,0)</f>
        <v>#N/A</v>
      </c>
      <c r="AG638" s="104">
        <f t="shared" si="18"/>
        <v>0</v>
      </c>
      <c r="AH638" t="e">
        <f t="shared" si="19"/>
        <v>#N/A</v>
      </c>
    </row>
    <row r="639" spans="8:34" x14ac:dyDescent="0.2">
      <c r="H639" s="5"/>
      <c r="I639" s="5"/>
      <c r="J639" s="5"/>
      <c r="K639" s="5"/>
      <c r="L639" s="95"/>
      <c r="O639" s="4"/>
      <c r="P639" s="4"/>
      <c r="AB639" s="4"/>
      <c r="AD639" s="4"/>
      <c r="AF639" t="e">
        <f>VLOOKUP(C639,'גיליון דאטה להכל'!A:H,5,0)</f>
        <v>#N/A</v>
      </c>
      <c r="AG639" s="104">
        <f t="shared" si="18"/>
        <v>0</v>
      </c>
      <c r="AH639" t="e">
        <f t="shared" si="19"/>
        <v>#N/A</v>
      </c>
    </row>
    <row r="640" spans="8:34" x14ac:dyDescent="0.2">
      <c r="H640" s="5"/>
      <c r="I640" s="5"/>
      <c r="J640" s="5"/>
      <c r="K640" s="5"/>
      <c r="L640" s="95"/>
      <c r="O640" s="4"/>
      <c r="P640" s="4"/>
      <c r="AB640" s="4"/>
      <c r="AD640" s="4"/>
      <c r="AF640" t="e">
        <f>VLOOKUP(C640,'גיליון דאטה להכל'!A:H,5,0)</f>
        <v>#N/A</v>
      </c>
      <c r="AG640" s="104">
        <f t="shared" si="18"/>
        <v>0</v>
      </c>
      <c r="AH640" t="e">
        <f t="shared" si="19"/>
        <v>#N/A</v>
      </c>
    </row>
    <row r="641" spans="8:34" x14ac:dyDescent="0.2">
      <c r="H641" s="5"/>
      <c r="I641" s="5"/>
      <c r="J641" s="5"/>
      <c r="K641" s="5"/>
      <c r="L641" s="95"/>
      <c r="O641" s="4"/>
      <c r="P641" s="4"/>
      <c r="AB641" s="4"/>
      <c r="AD641" s="4"/>
      <c r="AF641" t="e">
        <f>VLOOKUP(C641,'גיליון דאטה להכל'!A:H,5,0)</f>
        <v>#N/A</v>
      </c>
      <c r="AG641" s="104">
        <f t="shared" si="18"/>
        <v>0</v>
      </c>
      <c r="AH641" t="e">
        <f t="shared" si="19"/>
        <v>#N/A</v>
      </c>
    </row>
    <row r="642" spans="8:34" x14ac:dyDescent="0.2">
      <c r="H642" s="5"/>
      <c r="I642" s="5"/>
      <c r="J642" s="5"/>
      <c r="K642" s="5"/>
      <c r="L642" s="95"/>
      <c r="O642" s="4"/>
      <c r="P642" s="4"/>
      <c r="AB642" s="4"/>
      <c r="AD642" s="4"/>
      <c r="AF642" t="e">
        <f>VLOOKUP(C642,'גיליון דאטה להכל'!A:H,5,0)</f>
        <v>#N/A</v>
      </c>
      <c r="AG642" s="104">
        <f t="shared" si="18"/>
        <v>0</v>
      </c>
      <c r="AH642" t="e">
        <f t="shared" si="19"/>
        <v>#N/A</v>
      </c>
    </row>
    <row r="643" spans="8:34" x14ac:dyDescent="0.2">
      <c r="H643" s="5"/>
      <c r="I643" s="5"/>
      <c r="J643" s="5"/>
      <c r="K643" s="5"/>
      <c r="L643" s="95"/>
      <c r="O643" s="4"/>
      <c r="P643" s="4"/>
      <c r="AB643" s="4"/>
      <c r="AD643" s="4"/>
      <c r="AF643" t="e">
        <f>VLOOKUP(C643,'גיליון דאטה להכל'!A:H,5,0)</f>
        <v>#N/A</v>
      </c>
      <c r="AG643" s="104">
        <f t="shared" ref="AG643:AG706" si="20">I643+H643</f>
        <v>0</v>
      </c>
      <c r="AH643" t="e">
        <f t="shared" ref="AH643:AH706" si="21">_xlfn.CONCAT(AF643,N643)</f>
        <v>#N/A</v>
      </c>
    </row>
    <row r="644" spans="8:34" x14ac:dyDescent="0.2">
      <c r="H644" s="5"/>
      <c r="I644" s="5"/>
      <c r="J644" s="5"/>
      <c r="K644" s="5"/>
      <c r="L644" s="95"/>
      <c r="O644" s="4"/>
      <c r="P644" s="4"/>
      <c r="AB644" s="4"/>
      <c r="AD644" s="4"/>
      <c r="AF644" t="e">
        <f>VLOOKUP(C644,'גיליון דאטה להכל'!A:H,5,0)</f>
        <v>#N/A</v>
      </c>
      <c r="AG644" s="104">
        <f t="shared" si="20"/>
        <v>0</v>
      </c>
      <c r="AH644" t="e">
        <f t="shared" si="21"/>
        <v>#N/A</v>
      </c>
    </row>
    <row r="645" spans="8:34" x14ac:dyDescent="0.2">
      <c r="H645" s="5"/>
      <c r="I645" s="5"/>
      <c r="J645" s="5"/>
      <c r="K645" s="5"/>
      <c r="L645" s="95"/>
      <c r="O645" s="4"/>
      <c r="P645" s="4"/>
      <c r="AB645" s="4"/>
      <c r="AD645" s="4"/>
      <c r="AF645" t="e">
        <f>VLOOKUP(C645,'גיליון דאטה להכל'!A:H,5,0)</f>
        <v>#N/A</v>
      </c>
      <c r="AG645" s="104">
        <f t="shared" si="20"/>
        <v>0</v>
      </c>
      <c r="AH645" t="e">
        <f t="shared" si="21"/>
        <v>#N/A</v>
      </c>
    </row>
    <row r="646" spans="8:34" x14ac:dyDescent="0.2">
      <c r="H646" s="5"/>
      <c r="I646" s="5"/>
      <c r="J646" s="5"/>
      <c r="K646" s="5"/>
      <c r="L646" s="95"/>
      <c r="O646" s="4"/>
      <c r="P646" s="4"/>
      <c r="AB646" s="4"/>
      <c r="AD646" s="4"/>
      <c r="AF646" t="e">
        <f>VLOOKUP(C646,'גיליון דאטה להכל'!A:H,5,0)</f>
        <v>#N/A</v>
      </c>
      <c r="AG646" s="104">
        <f t="shared" si="20"/>
        <v>0</v>
      </c>
      <c r="AH646" t="e">
        <f t="shared" si="21"/>
        <v>#N/A</v>
      </c>
    </row>
    <row r="647" spans="8:34" x14ac:dyDescent="0.2">
      <c r="H647" s="5"/>
      <c r="I647" s="5"/>
      <c r="J647" s="5"/>
      <c r="K647" s="5"/>
      <c r="L647" s="95"/>
      <c r="O647" s="4"/>
      <c r="P647" s="4"/>
      <c r="AB647" s="4"/>
      <c r="AD647" s="4"/>
      <c r="AF647" t="e">
        <f>VLOOKUP(C647,'גיליון דאטה להכל'!A:H,5,0)</f>
        <v>#N/A</v>
      </c>
      <c r="AG647" s="104">
        <f t="shared" si="20"/>
        <v>0</v>
      </c>
      <c r="AH647" t="e">
        <f t="shared" si="21"/>
        <v>#N/A</v>
      </c>
    </row>
    <row r="648" spans="8:34" x14ac:dyDescent="0.2">
      <c r="H648" s="5"/>
      <c r="I648" s="5"/>
      <c r="J648" s="5"/>
      <c r="K648" s="5"/>
      <c r="L648" s="95"/>
      <c r="O648" s="4"/>
      <c r="P648" s="4"/>
      <c r="AB648" s="4"/>
      <c r="AD648" s="4"/>
      <c r="AF648" t="e">
        <f>VLOOKUP(C648,'גיליון דאטה להכל'!A:H,5,0)</f>
        <v>#N/A</v>
      </c>
      <c r="AG648" s="104">
        <f t="shared" si="20"/>
        <v>0</v>
      </c>
      <c r="AH648" t="e">
        <f t="shared" si="21"/>
        <v>#N/A</v>
      </c>
    </row>
    <row r="649" spans="8:34" x14ac:dyDescent="0.2">
      <c r="H649" s="5"/>
      <c r="I649" s="5"/>
      <c r="J649" s="5"/>
      <c r="K649" s="5"/>
      <c r="L649" s="95"/>
      <c r="O649" s="4"/>
      <c r="P649" s="4"/>
      <c r="AB649" s="4"/>
      <c r="AD649" s="4"/>
      <c r="AF649" t="e">
        <f>VLOOKUP(C649,'גיליון דאטה להכל'!A:H,5,0)</f>
        <v>#N/A</v>
      </c>
      <c r="AG649" s="104">
        <f t="shared" si="20"/>
        <v>0</v>
      </c>
      <c r="AH649" t="e">
        <f t="shared" si="21"/>
        <v>#N/A</v>
      </c>
    </row>
    <row r="650" spans="8:34" x14ac:dyDescent="0.2">
      <c r="H650" s="5"/>
      <c r="I650" s="5"/>
      <c r="J650" s="5"/>
      <c r="K650" s="5"/>
      <c r="L650" s="95"/>
      <c r="O650" s="4"/>
      <c r="P650" s="4"/>
      <c r="AB650" s="4"/>
      <c r="AD650" s="4"/>
      <c r="AF650" t="e">
        <f>VLOOKUP(C650,'גיליון דאטה להכל'!A:H,5,0)</f>
        <v>#N/A</v>
      </c>
      <c r="AG650" s="104">
        <f t="shared" si="20"/>
        <v>0</v>
      </c>
      <c r="AH650" t="e">
        <f t="shared" si="21"/>
        <v>#N/A</v>
      </c>
    </row>
    <row r="651" spans="8:34" x14ac:dyDescent="0.2">
      <c r="H651" s="5"/>
      <c r="I651" s="5"/>
      <c r="J651" s="5"/>
      <c r="K651" s="5"/>
      <c r="L651" s="95"/>
      <c r="O651" s="4"/>
      <c r="P651" s="4"/>
      <c r="AB651" s="4"/>
      <c r="AD651" s="4"/>
      <c r="AF651" t="e">
        <f>VLOOKUP(C651,'גיליון דאטה להכל'!A:H,5,0)</f>
        <v>#N/A</v>
      </c>
      <c r="AG651" s="104">
        <f t="shared" si="20"/>
        <v>0</v>
      </c>
      <c r="AH651" t="e">
        <f t="shared" si="21"/>
        <v>#N/A</v>
      </c>
    </row>
    <row r="652" spans="8:34" x14ac:dyDescent="0.2">
      <c r="H652" s="5"/>
      <c r="I652" s="5"/>
      <c r="J652" s="5"/>
      <c r="K652" s="5"/>
      <c r="O652" s="4"/>
      <c r="P652" s="4"/>
      <c r="AB652" s="4"/>
      <c r="AD652" s="4"/>
      <c r="AF652" t="e">
        <f>VLOOKUP(C652,'גיליון דאטה להכל'!A:H,5,0)</f>
        <v>#N/A</v>
      </c>
      <c r="AG652" s="104">
        <f t="shared" si="20"/>
        <v>0</v>
      </c>
      <c r="AH652" t="e">
        <f t="shared" si="21"/>
        <v>#N/A</v>
      </c>
    </row>
    <row r="653" spans="8:34" x14ac:dyDescent="0.2">
      <c r="H653" s="5"/>
      <c r="I653" s="5"/>
      <c r="J653" s="5"/>
      <c r="K653" s="5"/>
      <c r="L653" s="95"/>
      <c r="O653" s="4"/>
      <c r="P653" s="4"/>
      <c r="AB653" s="4"/>
      <c r="AD653" s="4"/>
      <c r="AF653" t="e">
        <f>VLOOKUP(C653,'גיליון דאטה להכל'!A:H,5,0)</f>
        <v>#N/A</v>
      </c>
      <c r="AG653" s="104">
        <f t="shared" si="20"/>
        <v>0</v>
      </c>
      <c r="AH653" t="e">
        <f t="shared" si="21"/>
        <v>#N/A</v>
      </c>
    </row>
    <row r="654" spans="8:34" x14ac:dyDescent="0.2">
      <c r="H654" s="5"/>
      <c r="I654" s="5"/>
      <c r="J654" s="5"/>
      <c r="K654" s="5"/>
      <c r="L654" s="95"/>
      <c r="O654" s="4"/>
      <c r="P654" s="4"/>
      <c r="AB654" s="4"/>
      <c r="AD654" s="4"/>
      <c r="AF654" t="e">
        <f>VLOOKUP(C654,'גיליון דאטה להכל'!A:H,5,0)</f>
        <v>#N/A</v>
      </c>
      <c r="AG654" s="104">
        <f t="shared" si="20"/>
        <v>0</v>
      </c>
      <c r="AH654" t="e">
        <f t="shared" si="21"/>
        <v>#N/A</v>
      </c>
    </row>
    <row r="655" spans="8:34" x14ac:dyDescent="0.2">
      <c r="H655" s="5"/>
      <c r="I655" s="5"/>
      <c r="J655" s="5"/>
      <c r="K655" s="5"/>
      <c r="L655" s="95"/>
      <c r="O655" s="4"/>
      <c r="P655" s="4"/>
      <c r="AB655" s="4"/>
      <c r="AD655" s="4"/>
      <c r="AF655" t="e">
        <f>VLOOKUP(C655,'גיליון דאטה להכל'!A:H,5,0)</f>
        <v>#N/A</v>
      </c>
      <c r="AG655" s="104">
        <f t="shared" si="20"/>
        <v>0</v>
      </c>
      <c r="AH655" t="e">
        <f t="shared" si="21"/>
        <v>#N/A</v>
      </c>
    </row>
    <row r="656" spans="8:34" x14ac:dyDescent="0.2">
      <c r="H656" s="5"/>
      <c r="I656" s="5"/>
      <c r="J656" s="5"/>
      <c r="K656" s="5"/>
      <c r="L656" s="95"/>
      <c r="O656" s="4"/>
      <c r="P656" s="4"/>
      <c r="AB656" s="4"/>
      <c r="AD656" s="4"/>
      <c r="AF656" t="e">
        <f>VLOOKUP(C656,'גיליון דאטה להכל'!A:H,5,0)</f>
        <v>#N/A</v>
      </c>
      <c r="AG656" s="104">
        <f t="shared" si="20"/>
        <v>0</v>
      </c>
      <c r="AH656" t="e">
        <f t="shared" si="21"/>
        <v>#N/A</v>
      </c>
    </row>
    <row r="657" spans="8:34" x14ac:dyDescent="0.2">
      <c r="H657" s="5"/>
      <c r="I657" s="5"/>
      <c r="J657" s="5"/>
      <c r="K657" s="5"/>
      <c r="O657" s="4"/>
      <c r="P657" s="4"/>
      <c r="AB657" s="4"/>
      <c r="AD657" s="4"/>
      <c r="AF657" t="e">
        <f>VLOOKUP(C657,'גיליון דאטה להכל'!A:H,5,0)</f>
        <v>#N/A</v>
      </c>
      <c r="AG657" s="104">
        <f t="shared" si="20"/>
        <v>0</v>
      </c>
      <c r="AH657" t="e">
        <f t="shared" si="21"/>
        <v>#N/A</v>
      </c>
    </row>
    <row r="658" spans="8:34" x14ac:dyDescent="0.2">
      <c r="H658" s="5"/>
      <c r="I658" s="5"/>
      <c r="J658" s="5"/>
      <c r="K658" s="5"/>
      <c r="O658" s="4"/>
      <c r="P658" s="4"/>
      <c r="AB658" s="4"/>
      <c r="AD658" s="4"/>
      <c r="AF658" t="e">
        <f>VLOOKUP(C658,'גיליון דאטה להכל'!A:H,5,0)</f>
        <v>#N/A</v>
      </c>
      <c r="AG658" s="104">
        <f t="shared" si="20"/>
        <v>0</v>
      </c>
      <c r="AH658" t="e">
        <f t="shared" si="21"/>
        <v>#N/A</v>
      </c>
    </row>
    <row r="659" spans="8:34" x14ac:dyDescent="0.2">
      <c r="H659" s="5"/>
      <c r="I659" s="5"/>
      <c r="J659" s="5"/>
      <c r="K659" s="5"/>
      <c r="L659" s="95"/>
      <c r="O659" s="4"/>
      <c r="P659" s="4"/>
      <c r="AB659" s="4"/>
      <c r="AD659" s="4"/>
      <c r="AF659" t="e">
        <f>VLOOKUP(C659,'גיליון דאטה להכל'!A:H,5,0)</f>
        <v>#N/A</v>
      </c>
      <c r="AG659" s="104">
        <f t="shared" si="20"/>
        <v>0</v>
      </c>
      <c r="AH659" t="e">
        <f t="shared" si="21"/>
        <v>#N/A</v>
      </c>
    </row>
    <row r="660" spans="8:34" x14ac:dyDescent="0.2">
      <c r="H660" s="5"/>
      <c r="I660" s="5"/>
      <c r="J660" s="5"/>
      <c r="K660" s="5"/>
      <c r="L660" s="95"/>
      <c r="O660" s="4"/>
      <c r="P660" s="4"/>
      <c r="AB660" s="4"/>
      <c r="AD660" s="4"/>
      <c r="AF660" t="e">
        <f>VLOOKUP(C660,'גיליון דאטה להכל'!A:H,5,0)</f>
        <v>#N/A</v>
      </c>
      <c r="AG660" s="104">
        <f t="shared" si="20"/>
        <v>0</v>
      </c>
      <c r="AH660" t="e">
        <f t="shared" si="21"/>
        <v>#N/A</v>
      </c>
    </row>
    <row r="661" spans="8:34" x14ac:dyDescent="0.2">
      <c r="H661" s="5"/>
      <c r="I661" s="5"/>
      <c r="J661" s="5"/>
      <c r="K661" s="5"/>
      <c r="L661" s="95"/>
      <c r="O661" s="4"/>
      <c r="P661" s="4"/>
      <c r="AB661" s="4"/>
      <c r="AD661" s="4"/>
      <c r="AF661" t="e">
        <f>VLOOKUP(C661,'גיליון דאטה להכל'!A:H,5,0)</f>
        <v>#N/A</v>
      </c>
      <c r="AG661" s="104">
        <f t="shared" si="20"/>
        <v>0</v>
      </c>
      <c r="AH661" t="e">
        <f t="shared" si="21"/>
        <v>#N/A</v>
      </c>
    </row>
    <row r="662" spans="8:34" x14ac:dyDescent="0.2">
      <c r="H662" s="5"/>
      <c r="I662" s="5"/>
      <c r="J662" s="5"/>
      <c r="K662" s="5"/>
      <c r="L662" s="95"/>
      <c r="O662" s="4"/>
      <c r="P662" s="4"/>
      <c r="AB662" s="4"/>
      <c r="AD662" s="4"/>
      <c r="AF662" t="e">
        <f>VLOOKUP(C662,'גיליון דאטה להכל'!A:H,5,0)</f>
        <v>#N/A</v>
      </c>
      <c r="AG662" s="104">
        <f t="shared" si="20"/>
        <v>0</v>
      </c>
      <c r="AH662" t="e">
        <f t="shared" si="21"/>
        <v>#N/A</v>
      </c>
    </row>
    <row r="663" spans="8:34" x14ac:dyDescent="0.2">
      <c r="H663" s="5"/>
      <c r="I663" s="5"/>
      <c r="J663" s="5"/>
      <c r="K663" s="5"/>
      <c r="L663" s="95"/>
      <c r="O663" s="4"/>
      <c r="P663" s="4"/>
      <c r="AB663" s="4"/>
      <c r="AD663" s="4"/>
      <c r="AF663" t="e">
        <f>VLOOKUP(C663,'גיליון דאטה להכל'!A:H,5,0)</f>
        <v>#N/A</v>
      </c>
      <c r="AG663" s="104">
        <f t="shared" si="20"/>
        <v>0</v>
      </c>
      <c r="AH663" t="e">
        <f t="shared" si="21"/>
        <v>#N/A</v>
      </c>
    </row>
    <row r="664" spans="8:34" x14ac:dyDescent="0.2">
      <c r="H664" s="5"/>
      <c r="I664" s="5"/>
      <c r="J664" s="5"/>
      <c r="K664" s="5"/>
      <c r="L664" s="95"/>
      <c r="O664" s="4"/>
      <c r="P664" s="4"/>
      <c r="AB664" s="4"/>
      <c r="AD664" s="4"/>
      <c r="AF664" t="e">
        <f>VLOOKUP(C664,'גיליון דאטה להכל'!A:H,5,0)</f>
        <v>#N/A</v>
      </c>
      <c r="AG664" s="104">
        <f t="shared" si="20"/>
        <v>0</v>
      </c>
      <c r="AH664" t="e">
        <f t="shared" si="21"/>
        <v>#N/A</v>
      </c>
    </row>
    <row r="665" spans="8:34" x14ac:dyDescent="0.2">
      <c r="H665" s="5"/>
      <c r="I665" s="5"/>
      <c r="J665" s="5"/>
      <c r="K665" s="5"/>
      <c r="L665" s="95"/>
      <c r="O665" s="4"/>
      <c r="P665" s="4"/>
      <c r="AB665" s="4"/>
      <c r="AD665" s="4"/>
      <c r="AF665" t="e">
        <f>VLOOKUP(C665,'גיליון דאטה להכל'!A:H,5,0)</f>
        <v>#N/A</v>
      </c>
      <c r="AG665" s="104">
        <f t="shared" si="20"/>
        <v>0</v>
      </c>
      <c r="AH665" t="e">
        <f t="shared" si="21"/>
        <v>#N/A</v>
      </c>
    </row>
    <row r="666" spans="8:34" x14ac:dyDescent="0.2">
      <c r="H666" s="5"/>
      <c r="I666" s="5"/>
      <c r="J666" s="5"/>
      <c r="K666" s="5"/>
      <c r="L666" s="95"/>
      <c r="O666" s="4"/>
      <c r="P666" s="4"/>
      <c r="AB666" s="4"/>
      <c r="AD666" s="4"/>
      <c r="AF666" t="e">
        <f>VLOOKUP(C666,'גיליון דאטה להכל'!A:H,5,0)</f>
        <v>#N/A</v>
      </c>
      <c r="AG666" s="104">
        <f t="shared" si="20"/>
        <v>0</v>
      </c>
      <c r="AH666" t="e">
        <f t="shared" si="21"/>
        <v>#N/A</v>
      </c>
    </row>
    <row r="667" spans="8:34" x14ac:dyDescent="0.2">
      <c r="H667" s="5"/>
      <c r="I667" s="5"/>
      <c r="J667" s="5"/>
      <c r="K667" s="5"/>
      <c r="L667" s="95"/>
      <c r="O667" s="4"/>
      <c r="P667" s="4"/>
      <c r="AB667" s="4"/>
      <c r="AD667" s="4"/>
      <c r="AF667" t="e">
        <f>VLOOKUP(C667,'גיליון דאטה להכל'!A:H,5,0)</f>
        <v>#N/A</v>
      </c>
      <c r="AG667" s="104">
        <f t="shared" si="20"/>
        <v>0</v>
      </c>
      <c r="AH667" t="e">
        <f t="shared" si="21"/>
        <v>#N/A</v>
      </c>
    </row>
    <row r="668" spans="8:34" x14ac:dyDescent="0.2">
      <c r="H668" s="5"/>
      <c r="I668" s="5"/>
      <c r="J668" s="5"/>
      <c r="K668" s="5"/>
      <c r="L668" s="95"/>
      <c r="O668" s="4"/>
      <c r="P668" s="4"/>
      <c r="AB668" s="4"/>
      <c r="AD668" s="4"/>
      <c r="AF668" t="e">
        <f>VLOOKUP(C668,'גיליון דאטה להכל'!A:H,5,0)</f>
        <v>#N/A</v>
      </c>
      <c r="AG668" s="104">
        <f t="shared" si="20"/>
        <v>0</v>
      </c>
      <c r="AH668" t="e">
        <f t="shared" si="21"/>
        <v>#N/A</v>
      </c>
    </row>
    <row r="669" spans="8:34" x14ac:dyDescent="0.2">
      <c r="H669" s="5"/>
      <c r="I669" s="5"/>
      <c r="J669" s="5"/>
      <c r="K669" s="5"/>
      <c r="L669" s="95"/>
      <c r="O669" s="4"/>
      <c r="P669" s="4"/>
      <c r="AB669" s="4"/>
      <c r="AD669" s="4"/>
      <c r="AF669" t="e">
        <f>VLOOKUP(C669,'גיליון דאטה להכל'!A:H,5,0)</f>
        <v>#N/A</v>
      </c>
      <c r="AG669" s="104">
        <f t="shared" si="20"/>
        <v>0</v>
      </c>
      <c r="AH669" t="e">
        <f t="shared" si="21"/>
        <v>#N/A</v>
      </c>
    </row>
    <row r="670" spans="8:34" x14ac:dyDescent="0.2">
      <c r="H670" s="5"/>
      <c r="I670" s="5"/>
      <c r="J670" s="5"/>
      <c r="K670" s="5"/>
      <c r="L670" s="95"/>
      <c r="O670" s="4"/>
      <c r="P670" s="4"/>
      <c r="AB670" s="4"/>
      <c r="AD670" s="4"/>
      <c r="AF670" t="e">
        <f>VLOOKUP(C670,'גיליון דאטה להכל'!A:H,5,0)</f>
        <v>#N/A</v>
      </c>
      <c r="AG670" s="104">
        <f t="shared" si="20"/>
        <v>0</v>
      </c>
      <c r="AH670" t="e">
        <f t="shared" si="21"/>
        <v>#N/A</v>
      </c>
    </row>
    <row r="671" spans="8:34" x14ac:dyDescent="0.2">
      <c r="H671" s="5"/>
      <c r="I671" s="5"/>
      <c r="J671" s="5"/>
      <c r="K671" s="5"/>
      <c r="L671" s="95"/>
      <c r="O671" s="4"/>
      <c r="P671" s="4"/>
      <c r="AB671" s="4"/>
      <c r="AD671" s="4"/>
      <c r="AF671" t="e">
        <f>VLOOKUP(C671,'גיליון דאטה להכל'!A:H,5,0)</f>
        <v>#N/A</v>
      </c>
      <c r="AG671" s="104">
        <f t="shared" si="20"/>
        <v>0</v>
      </c>
      <c r="AH671" t="e">
        <f t="shared" si="21"/>
        <v>#N/A</v>
      </c>
    </row>
    <row r="672" spans="8:34" x14ac:dyDescent="0.2">
      <c r="H672" s="5"/>
      <c r="I672" s="5"/>
      <c r="J672" s="5"/>
      <c r="K672" s="5"/>
      <c r="L672" s="95"/>
      <c r="O672" s="4"/>
      <c r="P672" s="4"/>
      <c r="AB672" s="4"/>
      <c r="AD672" s="4"/>
      <c r="AF672" t="e">
        <f>VLOOKUP(C672,'גיליון דאטה להכל'!A:H,5,0)</f>
        <v>#N/A</v>
      </c>
      <c r="AG672" s="104">
        <f t="shared" si="20"/>
        <v>0</v>
      </c>
      <c r="AH672" t="e">
        <f t="shared" si="21"/>
        <v>#N/A</v>
      </c>
    </row>
    <row r="673" spans="8:34" x14ac:dyDescent="0.2">
      <c r="H673" s="5"/>
      <c r="I673" s="5"/>
      <c r="J673" s="5"/>
      <c r="K673" s="5"/>
      <c r="L673" s="95"/>
      <c r="O673" s="4"/>
      <c r="P673" s="4"/>
      <c r="AB673" s="4"/>
      <c r="AD673" s="4"/>
      <c r="AF673" t="e">
        <f>VLOOKUP(C673,'גיליון דאטה להכל'!A:H,5,0)</f>
        <v>#N/A</v>
      </c>
      <c r="AG673" s="104">
        <f t="shared" si="20"/>
        <v>0</v>
      </c>
      <c r="AH673" t="e">
        <f t="shared" si="21"/>
        <v>#N/A</v>
      </c>
    </row>
    <row r="674" spans="8:34" x14ac:dyDescent="0.2">
      <c r="H674" s="5"/>
      <c r="I674" s="5"/>
      <c r="J674" s="5"/>
      <c r="K674" s="5"/>
      <c r="L674" s="95"/>
      <c r="O674" s="4"/>
      <c r="P674" s="4"/>
      <c r="AB674" s="4"/>
      <c r="AD674" s="4"/>
      <c r="AF674" t="e">
        <f>VLOOKUP(C674,'גיליון דאטה להכל'!A:H,5,0)</f>
        <v>#N/A</v>
      </c>
      <c r="AG674" s="104">
        <f t="shared" si="20"/>
        <v>0</v>
      </c>
      <c r="AH674" t="e">
        <f t="shared" si="21"/>
        <v>#N/A</v>
      </c>
    </row>
    <row r="675" spans="8:34" x14ac:dyDescent="0.2">
      <c r="H675" s="5"/>
      <c r="I675" s="5"/>
      <c r="J675" s="5"/>
      <c r="K675" s="5"/>
      <c r="L675" s="95"/>
      <c r="O675" s="4"/>
      <c r="P675" s="4"/>
      <c r="AB675" s="4"/>
      <c r="AD675" s="4"/>
      <c r="AF675" t="e">
        <f>VLOOKUP(C675,'גיליון דאטה להכל'!A:H,5,0)</f>
        <v>#N/A</v>
      </c>
      <c r="AG675" s="104">
        <f t="shared" si="20"/>
        <v>0</v>
      </c>
      <c r="AH675" t="e">
        <f t="shared" si="21"/>
        <v>#N/A</v>
      </c>
    </row>
    <row r="676" spans="8:34" x14ac:dyDescent="0.2">
      <c r="H676" s="5"/>
      <c r="I676" s="5"/>
      <c r="J676" s="5"/>
      <c r="K676" s="5"/>
      <c r="L676" s="95"/>
      <c r="O676" s="4"/>
      <c r="P676" s="4"/>
      <c r="AB676" s="4"/>
      <c r="AD676" s="4"/>
      <c r="AF676" t="e">
        <f>VLOOKUP(C676,'גיליון דאטה להכל'!A:H,5,0)</f>
        <v>#N/A</v>
      </c>
      <c r="AG676" s="104">
        <f t="shared" si="20"/>
        <v>0</v>
      </c>
      <c r="AH676" t="e">
        <f t="shared" si="21"/>
        <v>#N/A</v>
      </c>
    </row>
    <row r="677" spans="8:34" x14ac:dyDescent="0.2">
      <c r="H677" s="5"/>
      <c r="I677" s="5"/>
      <c r="J677" s="5"/>
      <c r="K677" s="5"/>
      <c r="L677" s="95"/>
      <c r="O677" s="4"/>
      <c r="P677" s="4"/>
      <c r="AB677" s="4"/>
      <c r="AD677" s="4"/>
      <c r="AF677" t="e">
        <f>VLOOKUP(C677,'גיליון דאטה להכל'!A:H,5,0)</f>
        <v>#N/A</v>
      </c>
      <c r="AG677" s="104">
        <f t="shared" si="20"/>
        <v>0</v>
      </c>
      <c r="AH677" t="e">
        <f t="shared" si="21"/>
        <v>#N/A</v>
      </c>
    </row>
    <row r="678" spans="8:34" x14ac:dyDescent="0.2">
      <c r="H678" s="5"/>
      <c r="I678" s="5"/>
      <c r="J678" s="5"/>
      <c r="K678" s="5"/>
      <c r="L678" s="95"/>
      <c r="O678" s="4"/>
      <c r="P678" s="4"/>
      <c r="AB678" s="4"/>
      <c r="AD678" s="4"/>
      <c r="AF678" t="e">
        <f>VLOOKUP(C678,'גיליון דאטה להכל'!A:H,5,0)</f>
        <v>#N/A</v>
      </c>
      <c r="AG678" s="104">
        <f t="shared" si="20"/>
        <v>0</v>
      </c>
      <c r="AH678" t="e">
        <f t="shared" si="21"/>
        <v>#N/A</v>
      </c>
    </row>
    <row r="679" spans="8:34" x14ac:dyDescent="0.2">
      <c r="H679" s="5"/>
      <c r="I679" s="5"/>
      <c r="J679" s="5"/>
      <c r="K679" s="5"/>
      <c r="L679" s="95"/>
      <c r="O679" s="4"/>
      <c r="P679" s="4"/>
      <c r="AB679" s="4"/>
      <c r="AD679" s="4"/>
      <c r="AF679" t="e">
        <f>VLOOKUP(C679,'גיליון דאטה להכל'!A:H,5,0)</f>
        <v>#N/A</v>
      </c>
      <c r="AG679" s="104">
        <f t="shared" si="20"/>
        <v>0</v>
      </c>
      <c r="AH679" t="e">
        <f t="shared" si="21"/>
        <v>#N/A</v>
      </c>
    </row>
    <row r="680" spans="8:34" x14ac:dyDescent="0.2">
      <c r="H680" s="5"/>
      <c r="I680" s="5"/>
      <c r="J680" s="5"/>
      <c r="K680" s="5"/>
      <c r="L680" s="95"/>
      <c r="O680" s="4"/>
      <c r="P680" s="4"/>
      <c r="AB680" s="4"/>
      <c r="AD680" s="4"/>
      <c r="AF680" t="e">
        <f>VLOOKUP(C680,'גיליון דאטה להכל'!A:H,5,0)</f>
        <v>#N/A</v>
      </c>
      <c r="AG680" s="104">
        <f t="shared" si="20"/>
        <v>0</v>
      </c>
      <c r="AH680" t="e">
        <f t="shared" si="21"/>
        <v>#N/A</v>
      </c>
    </row>
    <row r="681" spans="8:34" x14ac:dyDescent="0.2">
      <c r="H681" s="5"/>
      <c r="I681" s="5"/>
      <c r="J681" s="5"/>
      <c r="K681" s="5"/>
      <c r="L681" s="95"/>
      <c r="O681" s="4"/>
      <c r="P681" s="4"/>
      <c r="AB681" s="4"/>
      <c r="AD681" s="4"/>
      <c r="AF681" t="e">
        <f>VLOOKUP(C681,'גיליון דאטה להכל'!A:H,5,0)</f>
        <v>#N/A</v>
      </c>
      <c r="AG681" s="104">
        <f t="shared" si="20"/>
        <v>0</v>
      </c>
      <c r="AH681" t="e">
        <f t="shared" si="21"/>
        <v>#N/A</v>
      </c>
    </row>
    <row r="682" spans="8:34" x14ac:dyDescent="0.2">
      <c r="H682" s="5"/>
      <c r="I682" s="5"/>
      <c r="J682" s="5"/>
      <c r="K682" s="5"/>
      <c r="L682" s="95"/>
      <c r="O682" s="4"/>
      <c r="P682" s="4"/>
      <c r="AB682" s="4"/>
      <c r="AD682" s="4"/>
      <c r="AF682" t="e">
        <f>VLOOKUP(C682,'גיליון דאטה להכל'!A:H,5,0)</f>
        <v>#N/A</v>
      </c>
      <c r="AG682" s="104">
        <f t="shared" si="20"/>
        <v>0</v>
      </c>
      <c r="AH682" t="e">
        <f t="shared" si="21"/>
        <v>#N/A</v>
      </c>
    </row>
    <row r="683" spans="8:34" x14ac:dyDescent="0.2">
      <c r="H683" s="5"/>
      <c r="I683" s="5"/>
      <c r="J683" s="5"/>
      <c r="K683" s="5"/>
      <c r="L683" s="95"/>
      <c r="O683" s="4"/>
      <c r="P683" s="4"/>
      <c r="AB683" s="4"/>
      <c r="AD683" s="4"/>
      <c r="AF683" t="e">
        <f>VLOOKUP(C683,'גיליון דאטה להכל'!A:H,5,0)</f>
        <v>#N/A</v>
      </c>
      <c r="AG683" s="104">
        <f t="shared" si="20"/>
        <v>0</v>
      </c>
      <c r="AH683" t="e">
        <f t="shared" si="21"/>
        <v>#N/A</v>
      </c>
    </row>
    <row r="684" spans="8:34" x14ac:dyDescent="0.2">
      <c r="H684" s="5"/>
      <c r="I684" s="5"/>
      <c r="J684" s="5"/>
      <c r="K684" s="5"/>
      <c r="L684" s="95"/>
      <c r="O684" s="4"/>
      <c r="P684" s="4"/>
      <c r="AB684" s="4"/>
      <c r="AD684" s="4"/>
      <c r="AF684" t="e">
        <f>VLOOKUP(C684,'גיליון דאטה להכל'!A:H,5,0)</f>
        <v>#N/A</v>
      </c>
      <c r="AG684" s="104">
        <f t="shared" si="20"/>
        <v>0</v>
      </c>
      <c r="AH684" t="e">
        <f t="shared" si="21"/>
        <v>#N/A</v>
      </c>
    </row>
    <row r="685" spans="8:34" x14ac:dyDescent="0.2">
      <c r="H685" s="5"/>
      <c r="I685" s="5"/>
      <c r="J685" s="5"/>
      <c r="K685" s="5"/>
      <c r="L685" s="95"/>
      <c r="O685" s="4"/>
      <c r="P685" s="4"/>
      <c r="AB685" s="4"/>
      <c r="AD685" s="4"/>
      <c r="AF685" t="e">
        <f>VLOOKUP(C685,'גיליון דאטה להכל'!A:H,5,0)</f>
        <v>#N/A</v>
      </c>
      <c r="AG685" s="104">
        <f t="shared" si="20"/>
        <v>0</v>
      </c>
      <c r="AH685" t="e">
        <f t="shared" si="21"/>
        <v>#N/A</v>
      </c>
    </row>
    <row r="686" spans="8:34" x14ac:dyDescent="0.2">
      <c r="H686" s="5"/>
      <c r="I686" s="5"/>
      <c r="J686" s="5"/>
      <c r="K686" s="5"/>
      <c r="L686" s="95"/>
      <c r="O686" s="4"/>
      <c r="P686" s="4"/>
      <c r="AB686" s="4"/>
      <c r="AD686" s="4"/>
      <c r="AF686" t="e">
        <f>VLOOKUP(C686,'גיליון דאטה להכל'!A:H,5,0)</f>
        <v>#N/A</v>
      </c>
      <c r="AG686" s="104">
        <f t="shared" si="20"/>
        <v>0</v>
      </c>
      <c r="AH686" t="e">
        <f t="shared" si="21"/>
        <v>#N/A</v>
      </c>
    </row>
    <row r="687" spans="8:34" x14ac:dyDescent="0.2">
      <c r="H687" s="5"/>
      <c r="I687" s="5"/>
      <c r="J687" s="5"/>
      <c r="K687" s="5"/>
      <c r="L687" s="95"/>
      <c r="O687" s="4"/>
      <c r="P687" s="4"/>
      <c r="AB687" s="4"/>
      <c r="AD687" s="4"/>
      <c r="AF687" t="e">
        <f>VLOOKUP(C687,'גיליון דאטה להכל'!A:H,5,0)</f>
        <v>#N/A</v>
      </c>
      <c r="AG687" s="104">
        <f t="shared" si="20"/>
        <v>0</v>
      </c>
      <c r="AH687" t="e">
        <f t="shared" si="21"/>
        <v>#N/A</v>
      </c>
    </row>
    <row r="688" spans="8:34" x14ac:dyDescent="0.2">
      <c r="H688" s="5"/>
      <c r="I688" s="5"/>
      <c r="J688" s="5"/>
      <c r="K688" s="5"/>
      <c r="L688" s="95"/>
      <c r="O688" s="4"/>
      <c r="P688" s="4"/>
      <c r="AB688" s="4"/>
      <c r="AD688" s="4"/>
      <c r="AF688" t="e">
        <f>VLOOKUP(C688,'גיליון דאטה להכל'!A:H,5,0)</f>
        <v>#N/A</v>
      </c>
      <c r="AG688" s="104">
        <f t="shared" si="20"/>
        <v>0</v>
      </c>
      <c r="AH688" t="e">
        <f t="shared" si="21"/>
        <v>#N/A</v>
      </c>
    </row>
    <row r="689" spans="8:34" x14ac:dyDescent="0.2">
      <c r="H689" s="5"/>
      <c r="I689" s="5"/>
      <c r="J689" s="5"/>
      <c r="K689" s="5"/>
      <c r="L689" s="95"/>
      <c r="O689" s="4"/>
      <c r="P689" s="4"/>
      <c r="AB689" s="4"/>
      <c r="AD689" s="4"/>
      <c r="AF689" t="e">
        <f>VLOOKUP(C689,'גיליון דאטה להכל'!A:H,5,0)</f>
        <v>#N/A</v>
      </c>
      <c r="AG689" s="104">
        <f t="shared" si="20"/>
        <v>0</v>
      </c>
      <c r="AH689" t="e">
        <f t="shared" si="21"/>
        <v>#N/A</v>
      </c>
    </row>
    <row r="690" spans="8:34" x14ac:dyDescent="0.2">
      <c r="H690" s="5"/>
      <c r="I690" s="5"/>
      <c r="J690" s="5"/>
      <c r="K690" s="5"/>
      <c r="L690" s="95"/>
      <c r="O690" s="4"/>
      <c r="P690" s="4"/>
      <c r="AB690" s="4"/>
      <c r="AD690" s="4"/>
      <c r="AF690" t="e">
        <f>VLOOKUP(C690,'גיליון דאטה להכל'!A:H,5,0)</f>
        <v>#N/A</v>
      </c>
      <c r="AG690" s="104">
        <f t="shared" si="20"/>
        <v>0</v>
      </c>
      <c r="AH690" t="e">
        <f t="shared" si="21"/>
        <v>#N/A</v>
      </c>
    </row>
    <row r="691" spans="8:34" x14ac:dyDescent="0.2">
      <c r="H691" s="5"/>
      <c r="I691" s="5"/>
      <c r="J691" s="5"/>
      <c r="K691" s="5"/>
      <c r="L691" s="95"/>
      <c r="O691" s="4"/>
      <c r="P691" s="4"/>
      <c r="AB691" s="4"/>
      <c r="AD691" s="4"/>
      <c r="AF691" t="e">
        <f>VLOOKUP(C691,'גיליון דאטה להכל'!A:H,5,0)</f>
        <v>#N/A</v>
      </c>
      <c r="AG691" s="104">
        <f t="shared" si="20"/>
        <v>0</v>
      </c>
      <c r="AH691" t="e">
        <f t="shared" si="21"/>
        <v>#N/A</v>
      </c>
    </row>
    <row r="692" spans="8:34" x14ac:dyDescent="0.2">
      <c r="H692" s="5"/>
      <c r="I692" s="5"/>
      <c r="J692" s="5"/>
      <c r="K692" s="5"/>
      <c r="L692" s="95"/>
      <c r="O692" s="4"/>
      <c r="P692" s="4"/>
      <c r="AB692" s="4"/>
      <c r="AD692" s="4"/>
      <c r="AF692" t="e">
        <f>VLOOKUP(C692,'גיליון דאטה להכל'!A:H,5,0)</f>
        <v>#N/A</v>
      </c>
      <c r="AG692" s="104">
        <f t="shared" si="20"/>
        <v>0</v>
      </c>
      <c r="AH692" t="e">
        <f t="shared" si="21"/>
        <v>#N/A</v>
      </c>
    </row>
    <row r="693" spans="8:34" x14ac:dyDescent="0.2">
      <c r="H693" s="5"/>
      <c r="I693" s="5"/>
      <c r="J693" s="5"/>
      <c r="K693" s="5"/>
      <c r="L693" s="95"/>
      <c r="O693" s="4"/>
      <c r="P693" s="4"/>
      <c r="AB693" s="4"/>
      <c r="AD693" s="4"/>
      <c r="AF693" t="e">
        <f>VLOOKUP(C693,'גיליון דאטה להכל'!A:H,5,0)</f>
        <v>#N/A</v>
      </c>
      <c r="AG693" s="104">
        <f t="shared" si="20"/>
        <v>0</v>
      </c>
      <c r="AH693" t="e">
        <f t="shared" si="21"/>
        <v>#N/A</v>
      </c>
    </row>
    <row r="694" spans="8:34" x14ac:dyDescent="0.2">
      <c r="H694" s="5"/>
      <c r="I694" s="5"/>
      <c r="J694" s="5"/>
      <c r="K694" s="5"/>
      <c r="L694" s="95"/>
      <c r="O694" s="4"/>
      <c r="P694" s="4"/>
      <c r="AB694" s="4"/>
      <c r="AD694" s="4"/>
      <c r="AF694" t="e">
        <f>VLOOKUP(C694,'גיליון דאטה להכל'!A:H,5,0)</f>
        <v>#N/A</v>
      </c>
      <c r="AG694" s="104">
        <f t="shared" si="20"/>
        <v>0</v>
      </c>
      <c r="AH694" t="e">
        <f t="shared" si="21"/>
        <v>#N/A</v>
      </c>
    </row>
    <row r="695" spans="8:34" x14ac:dyDescent="0.2">
      <c r="H695" s="5"/>
      <c r="I695" s="5"/>
      <c r="J695" s="5"/>
      <c r="K695" s="5"/>
      <c r="L695" s="95"/>
      <c r="O695" s="4"/>
      <c r="P695" s="4"/>
      <c r="AB695" s="4"/>
      <c r="AD695" s="4"/>
      <c r="AF695" t="e">
        <f>VLOOKUP(C695,'גיליון דאטה להכל'!A:H,5,0)</f>
        <v>#N/A</v>
      </c>
      <c r="AG695" s="104">
        <f t="shared" si="20"/>
        <v>0</v>
      </c>
      <c r="AH695" t="e">
        <f t="shared" si="21"/>
        <v>#N/A</v>
      </c>
    </row>
    <row r="696" spans="8:34" x14ac:dyDescent="0.2">
      <c r="H696" s="5"/>
      <c r="I696" s="5"/>
      <c r="J696" s="5"/>
      <c r="K696" s="5"/>
      <c r="L696" s="95"/>
      <c r="O696" s="4"/>
      <c r="P696" s="4"/>
      <c r="AB696" s="4"/>
      <c r="AD696" s="4"/>
      <c r="AF696" t="e">
        <f>VLOOKUP(C696,'גיליון דאטה להכל'!A:H,5,0)</f>
        <v>#N/A</v>
      </c>
      <c r="AG696" s="104">
        <f t="shared" si="20"/>
        <v>0</v>
      </c>
      <c r="AH696" t="e">
        <f t="shared" si="21"/>
        <v>#N/A</v>
      </c>
    </row>
    <row r="697" spans="8:34" x14ac:dyDescent="0.2">
      <c r="H697" s="5"/>
      <c r="I697" s="5"/>
      <c r="J697" s="5"/>
      <c r="K697" s="5"/>
      <c r="L697" s="95"/>
      <c r="O697" s="4"/>
      <c r="P697" s="4"/>
      <c r="AB697" s="4"/>
      <c r="AD697" s="4"/>
      <c r="AF697" t="e">
        <f>VLOOKUP(C697,'גיליון דאטה להכל'!A:H,5,0)</f>
        <v>#N/A</v>
      </c>
      <c r="AG697" s="104">
        <f t="shared" si="20"/>
        <v>0</v>
      </c>
      <c r="AH697" t="e">
        <f t="shared" si="21"/>
        <v>#N/A</v>
      </c>
    </row>
    <row r="698" spans="8:34" x14ac:dyDescent="0.2">
      <c r="H698" s="5"/>
      <c r="I698" s="5"/>
      <c r="J698" s="5"/>
      <c r="K698" s="5"/>
      <c r="L698" s="95"/>
      <c r="O698" s="4"/>
      <c r="P698" s="4"/>
      <c r="AB698" s="4"/>
      <c r="AD698" s="4"/>
      <c r="AF698" t="e">
        <f>VLOOKUP(C698,'גיליון דאטה להכל'!A:H,5,0)</f>
        <v>#N/A</v>
      </c>
      <c r="AG698" s="104">
        <f t="shared" si="20"/>
        <v>0</v>
      </c>
      <c r="AH698" t="e">
        <f t="shared" si="21"/>
        <v>#N/A</v>
      </c>
    </row>
    <row r="699" spans="8:34" x14ac:dyDescent="0.2">
      <c r="H699" s="5"/>
      <c r="I699" s="5"/>
      <c r="J699" s="5"/>
      <c r="K699" s="5"/>
      <c r="L699" s="95"/>
      <c r="O699" s="4"/>
      <c r="P699" s="4"/>
      <c r="AB699" s="4"/>
      <c r="AD699" s="4"/>
      <c r="AF699" t="e">
        <f>VLOOKUP(C699,'גיליון דאטה להכל'!A:H,5,0)</f>
        <v>#N/A</v>
      </c>
      <c r="AG699" s="104">
        <f t="shared" si="20"/>
        <v>0</v>
      </c>
      <c r="AH699" t="e">
        <f t="shared" si="21"/>
        <v>#N/A</v>
      </c>
    </row>
    <row r="700" spans="8:34" x14ac:dyDescent="0.2">
      <c r="H700" s="5"/>
      <c r="I700" s="5"/>
      <c r="J700" s="5"/>
      <c r="K700" s="5"/>
      <c r="L700" s="95"/>
      <c r="O700" s="4"/>
      <c r="P700" s="4"/>
      <c r="AB700" s="4"/>
      <c r="AD700" s="4"/>
      <c r="AF700" t="e">
        <f>VLOOKUP(C700,'גיליון דאטה להכל'!A:H,5,0)</f>
        <v>#N/A</v>
      </c>
      <c r="AG700" s="104">
        <f t="shared" si="20"/>
        <v>0</v>
      </c>
      <c r="AH700" t="e">
        <f t="shared" si="21"/>
        <v>#N/A</v>
      </c>
    </row>
    <row r="701" spans="8:34" x14ac:dyDescent="0.2">
      <c r="H701" s="5"/>
      <c r="I701" s="5"/>
      <c r="J701" s="5"/>
      <c r="K701" s="5"/>
      <c r="L701" s="95"/>
      <c r="O701" s="4"/>
      <c r="P701" s="4"/>
      <c r="AB701" s="4"/>
      <c r="AD701" s="4"/>
      <c r="AF701" t="e">
        <f>VLOOKUP(C701,'גיליון דאטה להכל'!A:H,5,0)</f>
        <v>#N/A</v>
      </c>
      <c r="AG701" s="104">
        <f t="shared" si="20"/>
        <v>0</v>
      </c>
      <c r="AH701" t="e">
        <f t="shared" si="21"/>
        <v>#N/A</v>
      </c>
    </row>
    <row r="702" spans="8:34" x14ac:dyDescent="0.2">
      <c r="H702" s="5"/>
      <c r="I702" s="5"/>
      <c r="J702" s="5"/>
      <c r="K702" s="5"/>
      <c r="L702" s="95"/>
      <c r="O702" s="4"/>
      <c r="P702" s="4"/>
      <c r="AB702" s="4"/>
      <c r="AD702" s="4"/>
      <c r="AF702" t="e">
        <f>VLOOKUP(C702,'גיליון דאטה להכל'!A:H,5,0)</f>
        <v>#N/A</v>
      </c>
      <c r="AG702" s="104">
        <f t="shared" si="20"/>
        <v>0</v>
      </c>
      <c r="AH702" t="e">
        <f t="shared" si="21"/>
        <v>#N/A</v>
      </c>
    </row>
    <row r="703" spans="8:34" x14ac:dyDescent="0.2">
      <c r="H703" s="5"/>
      <c r="I703" s="5"/>
      <c r="J703" s="5"/>
      <c r="K703" s="5"/>
      <c r="L703" s="95"/>
      <c r="O703" s="4"/>
      <c r="P703" s="4"/>
      <c r="AB703" s="4"/>
      <c r="AD703" s="4"/>
      <c r="AF703" t="e">
        <f>VLOOKUP(C703,'גיליון דאטה להכל'!A:H,5,0)</f>
        <v>#N/A</v>
      </c>
      <c r="AG703" s="104">
        <f t="shared" si="20"/>
        <v>0</v>
      </c>
      <c r="AH703" t="e">
        <f t="shared" si="21"/>
        <v>#N/A</v>
      </c>
    </row>
    <row r="704" spans="8:34" x14ac:dyDescent="0.2">
      <c r="H704" s="5"/>
      <c r="I704" s="5"/>
      <c r="J704" s="5"/>
      <c r="K704" s="5"/>
      <c r="L704" s="95"/>
      <c r="O704" s="4"/>
      <c r="P704" s="4"/>
      <c r="AB704" s="4"/>
      <c r="AD704" s="4"/>
      <c r="AF704" t="e">
        <f>VLOOKUP(C704,'גיליון דאטה להכל'!A:H,5,0)</f>
        <v>#N/A</v>
      </c>
      <c r="AG704" s="104">
        <f t="shared" si="20"/>
        <v>0</v>
      </c>
      <c r="AH704" t="e">
        <f t="shared" si="21"/>
        <v>#N/A</v>
      </c>
    </row>
    <row r="705" spans="8:34" x14ac:dyDescent="0.2">
      <c r="H705" s="5"/>
      <c r="I705" s="5"/>
      <c r="J705" s="5"/>
      <c r="K705" s="5"/>
      <c r="L705" s="95"/>
      <c r="O705" s="4"/>
      <c r="P705" s="4"/>
      <c r="AB705" s="4"/>
      <c r="AD705" s="4"/>
      <c r="AF705" t="e">
        <f>VLOOKUP(C705,'גיליון דאטה להכל'!A:H,5,0)</f>
        <v>#N/A</v>
      </c>
      <c r="AG705" s="104">
        <f t="shared" si="20"/>
        <v>0</v>
      </c>
      <c r="AH705" t="e">
        <f t="shared" si="21"/>
        <v>#N/A</v>
      </c>
    </row>
    <row r="706" spans="8:34" x14ac:dyDescent="0.2">
      <c r="H706" s="5"/>
      <c r="I706" s="5"/>
      <c r="J706" s="5"/>
      <c r="K706" s="5"/>
      <c r="L706" s="95"/>
      <c r="O706" s="4"/>
      <c r="P706" s="4"/>
      <c r="AB706" s="4"/>
      <c r="AD706" s="4"/>
      <c r="AF706" t="e">
        <f>VLOOKUP(C706,'גיליון דאטה להכל'!A:H,5,0)</f>
        <v>#N/A</v>
      </c>
      <c r="AG706" s="104">
        <f t="shared" si="20"/>
        <v>0</v>
      </c>
      <c r="AH706" t="e">
        <f t="shared" si="21"/>
        <v>#N/A</v>
      </c>
    </row>
    <row r="707" spans="8:34" x14ac:dyDescent="0.2">
      <c r="H707" s="5"/>
      <c r="I707" s="5"/>
      <c r="J707" s="5"/>
      <c r="K707" s="5"/>
      <c r="L707" s="95"/>
      <c r="O707" s="4"/>
      <c r="P707" s="4"/>
      <c r="AB707" s="4"/>
      <c r="AD707" s="4"/>
      <c r="AF707" t="e">
        <f>VLOOKUP(C707,'גיליון דאטה להכל'!A:H,5,0)</f>
        <v>#N/A</v>
      </c>
      <c r="AG707" s="104">
        <f t="shared" ref="AG707:AG770" si="22">I707+H707</f>
        <v>0</v>
      </c>
      <c r="AH707" t="e">
        <f t="shared" ref="AH707:AH770" si="23">_xlfn.CONCAT(AF707,N707)</f>
        <v>#N/A</v>
      </c>
    </row>
    <row r="708" spans="8:34" x14ac:dyDescent="0.2">
      <c r="H708" s="5"/>
      <c r="I708" s="5"/>
      <c r="J708" s="5"/>
      <c r="K708" s="5"/>
      <c r="L708" s="95"/>
      <c r="O708" s="4"/>
      <c r="P708" s="4"/>
      <c r="AB708" s="4"/>
      <c r="AD708" s="4"/>
      <c r="AF708" t="e">
        <f>VLOOKUP(C708,'גיליון דאטה להכל'!A:H,5,0)</f>
        <v>#N/A</v>
      </c>
      <c r="AG708" s="104">
        <f t="shared" si="22"/>
        <v>0</v>
      </c>
      <c r="AH708" t="e">
        <f t="shared" si="23"/>
        <v>#N/A</v>
      </c>
    </row>
    <row r="709" spans="8:34" x14ac:dyDescent="0.2">
      <c r="H709" s="5"/>
      <c r="I709" s="5"/>
      <c r="J709" s="5"/>
      <c r="K709" s="5"/>
      <c r="L709" s="95"/>
      <c r="O709" s="4"/>
      <c r="P709" s="4"/>
      <c r="AB709" s="4"/>
      <c r="AD709" s="4"/>
      <c r="AF709" t="e">
        <f>VLOOKUP(C709,'גיליון דאטה להכל'!A:H,5,0)</f>
        <v>#N/A</v>
      </c>
      <c r="AG709" s="104">
        <f t="shared" si="22"/>
        <v>0</v>
      </c>
      <c r="AH709" t="e">
        <f t="shared" si="23"/>
        <v>#N/A</v>
      </c>
    </row>
    <row r="710" spans="8:34" x14ac:dyDescent="0.2">
      <c r="H710" s="5"/>
      <c r="I710" s="5"/>
      <c r="J710" s="5"/>
      <c r="K710" s="5"/>
      <c r="L710" s="95"/>
      <c r="O710" s="4"/>
      <c r="P710" s="4"/>
      <c r="AB710" s="4"/>
      <c r="AD710" s="4"/>
      <c r="AF710" t="e">
        <f>VLOOKUP(C710,'גיליון דאטה להכל'!A:H,5,0)</f>
        <v>#N/A</v>
      </c>
      <c r="AG710" s="104">
        <f t="shared" si="22"/>
        <v>0</v>
      </c>
      <c r="AH710" t="e">
        <f t="shared" si="23"/>
        <v>#N/A</v>
      </c>
    </row>
    <row r="711" spans="8:34" x14ac:dyDescent="0.2">
      <c r="H711" s="5"/>
      <c r="I711" s="5"/>
      <c r="J711" s="5"/>
      <c r="K711" s="5"/>
      <c r="L711" s="95"/>
      <c r="O711" s="4"/>
      <c r="P711" s="4"/>
      <c r="AB711" s="4"/>
      <c r="AD711" s="4"/>
      <c r="AF711" t="e">
        <f>VLOOKUP(C711,'גיליון דאטה להכל'!A:H,5,0)</f>
        <v>#N/A</v>
      </c>
      <c r="AG711" s="104">
        <f t="shared" si="22"/>
        <v>0</v>
      </c>
      <c r="AH711" t="e">
        <f t="shared" si="23"/>
        <v>#N/A</v>
      </c>
    </row>
    <row r="712" spans="8:34" x14ac:dyDescent="0.2">
      <c r="H712" s="5"/>
      <c r="I712" s="5"/>
      <c r="J712" s="5"/>
      <c r="K712" s="5"/>
      <c r="L712" s="95"/>
      <c r="O712" s="4"/>
      <c r="P712" s="4"/>
      <c r="AB712" s="4"/>
      <c r="AD712" s="4"/>
      <c r="AF712" t="e">
        <f>VLOOKUP(C712,'גיליון דאטה להכל'!A:H,5,0)</f>
        <v>#N/A</v>
      </c>
      <c r="AG712" s="104">
        <f t="shared" si="22"/>
        <v>0</v>
      </c>
      <c r="AH712" t="e">
        <f t="shared" si="23"/>
        <v>#N/A</v>
      </c>
    </row>
    <row r="713" spans="8:34" x14ac:dyDescent="0.2">
      <c r="H713" s="5"/>
      <c r="I713" s="5"/>
      <c r="J713" s="5"/>
      <c r="K713" s="5"/>
      <c r="L713" s="95"/>
      <c r="O713" s="4"/>
      <c r="P713" s="4"/>
      <c r="AB713" s="4"/>
      <c r="AD713" s="4"/>
      <c r="AF713" t="e">
        <f>VLOOKUP(C713,'גיליון דאטה להכל'!A:H,5,0)</f>
        <v>#N/A</v>
      </c>
      <c r="AG713" s="104">
        <f t="shared" si="22"/>
        <v>0</v>
      </c>
      <c r="AH713" t="e">
        <f t="shared" si="23"/>
        <v>#N/A</v>
      </c>
    </row>
    <row r="714" spans="8:34" x14ac:dyDescent="0.2">
      <c r="H714" s="5"/>
      <c r="I714" s="5"/>
      <c r="J714" s="5"/>
      <c r="K714" s="5"/>
      <c r="L714" s="95"/>
      <c r="O714" s="4"/>
      <c r="P714" s="4"/>
      <c r="AB714" s="4"/>
      <c r="AD714" s="4"/>
      <c r="AF714" t="e">
        <f>VLOOKUP(C714,'גיליון דאטה להכל'!A:H,5,0)</f>
        <v>#N/A</v>
      </c>
      <c r="AG714" s="104">
        <f t="shared" si="22"/>
        <v>0</v>
      </c>
      <c r="AH714" t="e">
        <f t="shared" si="23"/>
        <v>#N/A</v>
      </c>
    </row>
    <row r="715" spans="8:34" x14ac:dyDescent="0.2">
      <c r="H715" s="5"/>
      <c r="I715" s="5"/>
      <c r="J715" s="5"/>
      <c r="K715" s="5"/>
      <c r="L715" s="95"/>
      <c r="O715" s="4"/>
      <c r="P715" s="4"/>
      <c r="AB715" s="4"/>
      <c r="AD715" s="4"/>
      <c r="AF715" t="e">
        <f>VLOOKUP(C715,'גיליון דאטה להכל'!A:H,5,0)</f>
        <v>#N/A</v>
      </c>
      <c r="AG715" s="104">
        <f t="shared" si="22"/>
        <v>0</v>
      </c>
      <c r="AH715" t="e">
        <f t="shared" si="23"/>
        <v>#N/A</v>
      </c>
    </row>
    <row r="716" spans="8:34" x14ac:dyDescent="0.2">
      <c r="H716" s="5"/>
      <c r="I716" s="5"/>
      <c r="J716" s="5"/>
      <c r="K716" s="5"/>
      <c r="L716" s="95"/>
      <c r="O716" s="4"/>
      <c r="P716" s="4"/>
      <c r="AB716" s="4"/>
      <c r="AD716" s="4"/>
      <c r="AF716" t="e">
        <f>VLOOKUP(C716,'גיליון דאטה להכל'!A:H,5,0)</f>
        <v>#N/A</v>
      </c>
      <c r="AG716" s="104">
        <f t="shared" si="22"/>
        <v>0</v>
      </c>
      <c r="AH716" t="e">
        <f t="shared" si="23"/>
        <v>#N/A</v>
      </c>
    </row>
    <row r="717" spans="8:34" x14ac:dyDescent="0.2">
      <c r="H717" s="5"/>
      <c r="I717" s="5"/>
      <c r="J717" s="5"/>
      <c r="K717" s="5"/>
      <c r="L717" s="95"/>
      <c r="O717" s="4"/>
      <c r="P717" s="4"/>
      <c r="AB717" s="4"/>
      <c r="AD717" s="4"/>
      <c r="AF717" t="e">
        <f>VLOOKUP(C717,'גיליון דאטה להכל'!A:H,5,0)</f>
        <v>#N/A</v>
      </c>
      <c r="AG717" s="104">
        <f t="shared" si="22"/>
        <v>0</v>
      </c>
      <c r="AH717" t="e">
        <f t="shared" si="23"/>
        <v>#N/A</v>
      </c>
    </row>
    <row r="718" spans="8:34" x14ac:dyDescent="0.2">
      <c r="H718" s="5"/>
      <c r="I718" s="5"/>
      <c r="J718" s="5"/>
      <c r="K718" s="5"/>
      <c r="L718" s="95"/>
      <c r="O718" s="4"/>
      <c r="P718" s="4"/>
      <c r="AB718" s="4"/>
      <c r="AD718" s="4"/>
      <c r="AF718" t="e">
        <f>VLOOKUP(C718,'גיליון דאטה להכל'!A:H,5,0)</f>
        <v>#N/A</v>
      </c>
      <c r="AG718" s="104">
        <f t="shared" si="22"/>
        <v>0</v>
      </c>
      <c r="AH718" t="e">
        <f t="shared" si="23"/>
        <v>#N/A</v>
      </c>
    </row>
    <row r="719" spans="8:34" x14ac:dyDescent="0.2">
      <c r="H719" s="5"/>
      <c r="I719" s="5"/>
      <c r="J719" s="5"/>
      <c r="K719" s="5"/>
      <c r="L719" s="95"/>
      <c r="O719" s="4"/>
      <c r="P719" s="4"/>
      <c r="AB719" s="4"/>
      <c r="AD719" s="4"/>
      <c r="AF719" t="e">
        <f>VLOOKUP(C719,'גיליון דאטה להכל'!A:H,5,0)</f>
        <v>#N/A</v>
      </c>
      <c r="AG719" s="104">
        <f t="shared" si="22"/>
        <v>0</v>
      </c>
      <c r="AH719" t="e">
        <f t="shared" si="23"/>
        <v>#N/A</v>
      </c>
    </row>
    <row r="720" spans="8:34" x14ac:dyDescent="0.2">
      <c r="H720" s="5"/>
      <c r="I720" s="5"/>
      <c r="J720" s="5"/>
      <c r="K720" s="5"/>
      <c r="L720" s="95"/>
      <c r="O720" s="4"/>
      <c r="P720" s="4"/>
      <c r="AB720" s="4"/>
      <c r="AD720" s="4"/>
      <c r="AF720" t="e">
        <f>VLOOKUP(C720,'גיליון דאטה להכל'!A:H,5,0)</f>
        <v>#N/A</v>
      </c>
      <c r="AG720" s="104">
        <f t="shared" si="22"/>
        <v>0</v>
      </c>
      <c r="AH720" t="e">
        <f t="shared" si="23"/>
        <v>#N/A</v>
      </c>
    </row>
    <row r="721" spans="8:34" x14ac:dyDescent="0.2">
      <c r="H721" s="5"/>
      <c r="I721" s="5"/>
      <c r="J721" s="5"/>
      <c r="K721" s="5"/>
      <c r="L721" s="95"/>
      <c r="O721" s="4"/>
      <c r="P721" s="4"/>
      <c r="AB721" s="4"/>
      <c r="AD721" s="4"/>
      <c r="AF721" t="e">
        <f>VLOOKUP(C721,'גיליון דאטה להכל'!A:H,5,0)</f>
        <v>#N/A</v>
      </c>
      <c r="AG721" s="104">
        <f t="shared" si="22"/>
        <v>0</v>
      </c>
      <c r="AH721" t="e">
        <f t="shared" si="23"/>
        <v>#N/A</v>
      </c>
    </row>
    <row r="722" spans="8:34" x14ac:dyDescent="0.2">
      <c r="H722" s="5"/>
      <c r="I722" s="5"/>
      <c r="J722" s="5"/>
      <c r="K722" s="5"/>
      <c r="L722" s="95"/>
      <c r="O722" s="4"/>
      <c r="P722" s="4"/>
      <c r="AB722" s="4"/>
      <c r="AD722" s="4"/>
      <c r="AF722" t="e">
        <f>VLOOKUP(C722,'גיליון דאטה להכל'!A:H,5,0)</f>
        <v>#N/A</v>
      </c>
      <c r="AG722" s="104">
        <f t="shared" si="22"/>
        <v>0</v>
      </c>
      <c r="AH722" t="e">
        <f t="shared" si="23"/>
        <v>#N/A</v>
      </c>
    </row>
    <row r="723" spans="8:34" x14ac:dyDescent="0.2">
      <c r="H723" s="5"/>
      <c r="I723" s="5"/>
      <c r="J723" s="5"/>
      <c r="K723" s="5"/>
      <c r="L723" s="95"/>
      <c r="O723" s="4"/>
      <c r="P723" s="4"/>
      <c r="AB723" s="4"/>
      <c r="AD723" s="4"/>
      <c r="AF723" t="e">
        <f>VLOOKUP(C723,'גיליון דאטה להכל'!A:H,5,0)</f>
        <v>#N/A</v>
      </c>
      <c r="AG723" s="104">
        <f t="shared" si="22"/>
        <v>0</v>
      </c>
      <c r="AH723" t="e">
        <f t="shared" si="23"/>
        <v>#N/A</v>
      </c>
    </row>
    <row r="724" spans="8:34" x14ac:dyDescent="0.2">
      <c r="H724" s="5"/>
      <c r="I724" s="5"/>
      <c r="J724" s="5"/>
      <c r="K724" s="5"/>
      <c r="O724" s="4"/>
      <c r="P724" s="4"/>
      <c r="AB724" s="4"/>
      <c r="AD724" s="4"/>
      <c r="AF724" t="e">
        <f>VLOOKUP(C724,'גיליון דאטה להכל'!A:H,5,0)</f>
        <v>#N/A</v>
      </c>
      <c r="AG724" s="104">
        <f t="shared" si="22"/>
        <v>0</v>
      </c>
      <c r="AH724" t="e">
        <f t="shared" si="23"/>
        <v>#N/A</v>
      </c>
    </row>
    <row r="725" spans="8:34" x14ac:dyDescent="0.2">
      <c r="H725" s="5"/>
      <c r="I725" s="5"/>
      <c r="J725" s="5"/>
      <c r="K725" s="5"/>
      <c r="O725" s="4"/>
      <c r="P725" s="4"/>
      <c r="AB725" s="4"/>
      <c r="AD725" s="4"/>
      <c r="AF725" t="e">
        <f>VLOOKUP(C725,'גיליון דאטה להכל'!A:H,5,0)</f>
        <v>#N/A</v>
      </c>
      <c r="AG725" s="104">
        <f t="shared" si="22"/>
        <v>0</v>
      </c>
      <c r="AH725" t="e">
        <f t="shared" si="23"/>
        <v>#N/A</v>
      </c>
    </row>
    <row r="726" spans="8:34" x14ac:dyDescent="0.2">
      <c r="H726" s="5"/>
      <c r="I726" s="5"/>
      <c r="J726" s="5"/>
      <c r="K726" s="5"/>
      <c r="O726" s="4"/>
      <c r="P726" s="4"/>
      <c r="AB726" s="4"/>
      <c r="AD726" s="4"/>
      <c r="AF726" t="e">
        <f>VLOOKUP(C726,'גיליון דאטה להכל'!A:H,5,0)</f>
        <v>#N/A</v>
      </c>
      <c r="AG726" s="104">
        <f t="shared" si="22"/>
        <v>0</v>
      </c>
      <c r="AH726" t="e">
        <f t="shared" si="23"/>
        <v>#N/A</v>
      </c>
    </row>
    <row r="727" spans="8:34" x14ac:dyDescent="0.2">
      <c r="H727" s="5"/>
      <c r="I727" s="5"/>
      <c r="J727" s="5"/>
      <c r="K727" s="5"/>
      <c r="O727" s="4"/>
      <c r="P727" s="4"/>
      <c r="AB727" s="4"/>
      <c r="AD727" s="4"/>
      <c r="AF727" t="e">
        <f>VLOOKUP(C727,'גיליון דאטה להכל'!A:H,5,0)</f>
        <v>#N/A</v>
      </c>
      <c r="AG727" s="104">
        <f t="shared" si="22"/>
        <v>0</v>
      </c>
      <c r="AH727" t="e">
        <f t="shared" si="23"/>
        <v>#N/A</v>
      </c>
    </row>
    <row r="728" spans="8:34" x14ac:dyDescent="0.2">
      <c r="H728" s="5"/>
      <c r="I728" s="5"/>
      <c r="J728" s="5"/>
      <c r="K728" s="5"/>
      <c r="O728" s="4"/>
      <c r="P728" s="4"/>
      <c r="AB728" s="4"/>
      <c r="AD728" s="4"/>
      <c r="AF728" t="e">
        <f>VLOOKUP(C728,'גיליון דאטה להכל'!A:H,5,0)</f>
        <v>#N/A</v>
      </c>
      <c r="AG728" s="104">
        <f t="shared" si="22"/>
        <v>0</v>
      </c>
      <c r="AH728" t="e">
        <f t="shared" si="23"/>
        <v>#N/A</v>
      </c>
    </row>
    <row r="729" spans="8:34" x14ac:dyDescent="0.2">
      <c r="H729" s="5"/>
      <c r="I729" s="5"/>
      <c r="J729" s="5"/>
      <c r="K729" s="5"/>
      <c r="O729" s="4"/>
      <c r="P729" s="4"/>
      <c r="AB729" s="4"/>
      <c r="AD729" s="4"/>
      <c r="AF729" t="e">
        <f>VLOOKUP(C729,'גיליון דאטה להכל'!A:H,5,0)</f>
        <v>#N/A</v>
      </c>
      <c r="AG729" s="104">
        <f t="shared" si="22"/>
        <v>0</v>
      </c>
      <c r="AH729" t="e">
        <f t="shared" si="23"/>
        <v>#N/A</v>
      </c>
    </row>
    <row r="730" spans="8:34" x14ac:dyDescent="0.2">
      <c r="H730" s="5"/>
      <c r="I730" s="5"/>
      <c r="J730" s="5"/>
      <c r="K730" s="5"/>
      <c r="O730" s="4"/>
      <c r="P730" s="4"/>
      <c r="AB730" s="4"/>
      <c r="AD730" s="4"/>
      <c r="AF730" t="e">
        <f>VLOOKUP(C730,'גיליון דאטה להכל'!A:H,5,0)</f>
        <v>#N/A</v>
      </c>
      <c r="AG730" s="104">
        <f t="shared" si="22"/>
        <v>0</v>
      </c>
      <c r="AH730" t="e">
        <f t="shared" si="23"/>
        <v>#N/A</v>
      </c>
    </row>
    <row r="731" spans="8:34" x14ac:dyDescent="0.2">
      <c r="H731" s="5"/>
      <c r="I731" s="5"/>
      <c r="J731" s="5"/>
      <c r="K731" s="5"/>
      <c r="O731" s="4"/>
      <c r="P731" s="4"/>
      <c r="AB731" s="4"/>
      <c r="AD731" s="4"/>
      <c r="AF731" t="e">
        <f>VLOOKUP(C731,'גיליון דאטה להכל'!A:H,5,0)</f>
        <v>#N/A</v>
      </c>
      <c r="AG731" s="104">
        <f t="shared" si="22"/>
        <v>0</v>
      </c>
      <c r="AH731" t="e">
        <f t="shared" si="23"/>
        <v>#N/A</v>
      </c>
    </row>
    <row r="732" spans="8:34" x14ac:dyDescent="0.2">
      <c r="H732" s="5"/>
      <c r="I732" s="5"/>
      <c r="J732" s="5"/>
      <c r="K732" s="5"/>
      <c r="L732" s="95"/>
      <c r="O732" s="4"/>
      <c r="P732" s="4"/>
      <c r="AB732" s="4"/>
      <c r="AD732" s="4"/>
      <c r="AF732" t="e">
        <f>VLOOKUP(C732,'גיליון דאטה להכל'!A:H,5,0)</f>
        <v>#N/A</v>
      </c>
      <c r="AG732" s="104">
        <f t="shared" si="22"/>
        <v>0</v>
      </c>
      <c r="AH732" t="e">
        <f t="shared" si="23"/>
        <v>#N/A</v>
      </c>
    </row>
    <row r="733" spans="8:34" x14ac:dyDescent="0.2">
      <c r="H733" s="5"/>
      <c r="I733" s="5"/>
      <c r="J733" s="5"/>
      <c r="K733" s="5"/>
      <c r="L733" s="95"/>
      <c r="O733" s="4"/>
      <c r="P733" s="4"/>
      <c r="AB733" s="4"/>
      <c r="AD733" s="4"/>
      <c r="AF733" t="e">
        <f>VLOOKUP(C733,'גיליון דאטה להכל'!A:H,5,0)</f>
        <v>#N/A</v>
      </c>
      <c r="AG733" s="104">
        <f t="shared" si="22"/>
        <v>0</v>
      </c>
      <c r="AH733" t="e">
        <f t="shared" si="23"/>
        <v>#N/A</v>
      </c>
    </row>
    <row r="734" spans="8:34" x14ac:dyDescent="0.2">
      <c r="H734" s="5"/>
      <c r="I734" s="5"/>
      <c r="J734" s="5"/>
      <c r="K734" s="5"/>
      <c r="L734" s="95"/>
      <c r="O734" s="4"/>
      <c r="P734" s="4"/>
      <c r="AB734" s="4"/>
      <c r="AD734" s="4"/>
      <c r="AF734" t="e">
        <f>VLOOKUP(C734,'גיליון דאטה להכל'!A:H,5,0)</f>
        <v>#N/A</v>
      </c>
      <c r="AG734" s="104">
        <f t="shared" si="22"/>
        <v>0</v>
      </c>
      <c r="AH734" t="e">
        <f t="shared" si="23"/>
        <v>#N/A</v>
      </c>
    </row>
    <row r="735" spans="8:34" x14ac:dyDescent="0.2">
      <c r="H735" s="5"/>
      <c r="I735" s="5"/>
      <c r="J735" s="5"/>
      <c r="K735" s="5"/>
      <c r="L735" s="95"/>
      <c r="O735" s="4"/>
      <c r="P735" s="4"/>
      <c r="AB735" s="4"/>
      <c r="AD735" s="4"/>
      <c r="AF735" t="e">
        <f>VLOOKUP(C735,'גיליון דאטה להכל'!A:H,5,0)</f>
        <v>#N/A</v>
      </c>
      <c r="AG735" s="104">
        <f t="shared" si="22"/>
        <v>0</v>
      </c>
      <c r="AH735" t="e">
        <f t="shared" si="23"/>
        <v>#N/A</v>
      </c>
    </row>
    <row r="736" spans="8:34" x14ac:dyDescent="0.2">
      <c r="H736" s="5"/>
      <c r="I736" s="5"/>
      <c r="J736" s="5"/>
      <c r="K736" s="5"/>
      <c r="L736" s="95"/>
      <c r="O736" s="4"/>
      <c r="P736" s="4"/>
      <c r="AB736" s="4"/>
      <c r="AD736" s="4"/>
      <c r="AF736" t="e">
        <f>VLOOKUP(C736,'גיליון דאטה להכל'!A:H,5,0)</f>
        <v>#N/A</v>
      </c>
      <c r="AG736" s="104">
        <f t="shared" si="22"/>
        <v>0</v>
      </c>
      <c r="AH736" t="e">
        <f t="shared" si="23"/>
        <v>#N/A</v>
      </c>
    </row>
    <row r="737" spans="8:34" x14ac:dyDescent="0.2">
      <c r="H737" s="5"/>
      <c r="I737" s="5"/>
      <c r="J737" s="5"/>
      <c r="K737" s="5"/>
      <c r="L737" s="95"/>
      <c r="O737" s="4"/>
      <c r="P737" s="4"/>
      <c r="AB737" s="4"/>
      <c r="AD737" s="4"/>
      <c r="AF737" t="e">
        <f>VLOOKUP(C737,'גיליון דאטה להכל'!A:H,5,0)</f>
        <v>#N/A</v>
      </c>
      <c r="AG737" s="104">
        <f t="shared" si="22"/>
        <v>0</v>
      </c>
      <c r="AH737" t="e">
        <f t="shared" si="23"/>
        <v>#N/A</v>
      </c>
    </row>
    <row r="738" spans="8:34" x14ac:dyDescent="0.2">
      <c r="H738" s="5"/>
      <c r="I738" s="5"/>
      <c r="J738" s="5"/>
      <c r="K738" s="5"/>
      <c r="L738" s="95"/>
      <c r="O738" s="4"/>
      <c r="P738" s="4"/>
      <c r="AB738" s="4"/>
      <c r="AD738" s="4"/>
      <c r="AF738" t="e">
        <f>VLOOKUP(C738,'גיליון דאטה להכל'!A:H,5,0)</f>
        <v>#N/A</v>
      </c>
      <c r="AG738" s="104">
        <f t="shared" si="22"/>
        <v>0</v>
      </c>
      <c r="AH738" t="e">
        <f t="shared" si="23"/>
        <v>#N/A</v>
      </c>
    </row>
    <row r="739" spans="8:34" x14ac:dyDescent="0.2">
      <c r="H739" s="5"/>
      <c r="I739" s="5"/>
      <c r="J739" s="5"/>
      <c r="K739" s="5"/>
      <c r="L739" s="95"/>
      <c r="O739" s="4"/>
      <c r="P739" s="4"/>
      <c r="AB739" s="4"/>
      <c r="AD739" s="4"/>
      <c r="AF739" t="e">
        <f>VLOOKUP(C739,'גיליון דאטה להכל'!A:H,5,0)</f>
        <v>#N/A</v>
      </c>
      <c r="AG739" s="104">
        <f t="shared" si="22"/>
        <v>0</v>
      </c>
      <c r="AH739" t="e">
        <f t="shared" si="23"/>
        <v>#N/A</v>
      </c>
    </row>
    <row r="740" spans="8:34" x14ac:dyDescent="0.2">
      <c r="H740" s="5"/>
      <c r="I740" s="5"/>
      <c r="J740" s="5"/>
      <c r="K740" s="5"/>
      <c r="L740" s="95"/>
      <c r="O740" s="4"/>
      <c r="P740" s="4"/>
      <c r="AB740" s="4"/>
      <c r="AD740" s="4"/>
      <c r="AF740" t="e">
        <f>VLOOKUP(C740,'גיליון דאטה להכל'!A:H,5,0)</f>
        <v>#N/A</v>
      </c>
      <c r="AG740" s="104">
        <f t="shared" si="22"/>
        <v>0</v>
      </c>
      <c r="AH740" t="e">
        <f t="shared" si="23"/>
        <v>#N/A</v>
      </c>
    </row>
    <row r="741" spans="8:34" x14ac:dyDescent="0.2">
      <c r="H741" s="5"/>
      <c r="I741" s="5"/>
      <c r="J741" s="5"/>
      <c r="K741" s="5"/>
      <c r="L741" s="95"/>
      <c r="O741" s="4"/>
      <c r="P741" s="4"/>
      <c r="AB741" s="4"/>
      <c r="AD741" s="4"/>
      <c r="AF741" t="e">
        <f>VLOOKUP(C741,'גיליון דאטה להכל'!A:H,5,0)</f>
        <v>#N/A</v>
      </c>
      <c r="AG741" s="104">
        <f t="shared" si="22"/>
        <v>0</v>
      </c>
      <c r="AH741" t="e">
        <f t="shared" si="23"/>
        <v>#N/A</v>
      </c>
    </row>
    <row r="742" spans="8:34" x14ac:dyDescent="0.2">
      <c r="H742" s="5"/>
      <c r="I742" s="5"/>
      <c r="J742" s="5"/>
      <c r="K742" s="5"/>
      <c r="L742" s="95"/>
      <c r="O742" s="4"/>
      <c r="P742" s="4"/>
      <c r="AB742" s="4"/>
      <c r="AD742" s="4"/>
      <c r="AF742" t="e">
        <f>VLOOKUP(C742,'גיליון דאטה להכל'!A:H,5,0)</f>
        <v>#N/A</v>
      </c>
      <c r="AG742" s="104">
        <f t="shared" si="22"/>
        <v>0</v>
      </c>
      <c r="AH742" t="e">
        <f t="shared" si="23"/>
        <v>#N/A</v>
      </c>
    </row>
    <row r="743" spans="8:34" x14ac:dyDescent="0.2">
      <c r="H743" s="5"/>
      <c r="I743" s="5"/>
      <c r="J743" s="5"/>
      <c r="K743" s="5"/>
      <c r="L743" s="95"/>
      <c r="O743" s="4"/>
      <c r="P743" s="4"/>
      <c r="AB743" s="4"/>
      <c r="AD743" s="4"/>
      <c r="AF743" t="e">
        <f>VLOOKUP(C743,'גיליון דאטה להכל'!A:H,5,0)</f>
        <v>#N/A</v>
      </c>
      <c r="AG743" s="104">
        <f t="shared" si="22"/>
        <v>0</v>
      </c>
      <c r="AH743" t="e">
        <f t="shared" si="23"/>
        <v>#N/A</v>
      </c>
    </row>
    <row r="744" spans="8:34" x14ac:dyDescent="0.2">
      <c r="H744" s="5"/>
      <c r="I744" s="5"/>
      <c r="J744" s="5"/>
      <c r="K744" s="5"/>
      <c r="L744" s="95"/>
      <c r="O744" s="4"/>
      <c r="P744" s="4"/>
      <c r="AB744" s="4"/>
      <c r="AD744" s="4"/>
      <c r="AF744" t="e">
        <f>VLOOKUP(C744,'גיליון דאטה להכל'!A:H,5,0)</f>
        <v>#N/A</v>
      </c>
      <c r="AG744" s="104">
        <f t="shared" si="22"/>
        <v>0</v>
      </c>
      <c r="AH744" t="e">
        <f t="shared" si="23"/>
        <v>#N/A</v>
      </c>
    </row>
    <row r="745" spans="8:34" x14ac:dyDescent="0.2">
      <c r="H745" s="5"/>
      <c r="I745" s="5"/>
      <c r="J745" s="5"/>
      <c r="K745" s="5"/>
      <c r="L745" s="95"/>
      <c r="O745" s="4"/>
      <c r="P745" s="4"/>
      <c r="AB745" s="4"/>
      <c r="AD745" s="4"/>
      <c r="AF745" t="e">
        <f>VLOOKUP(C745,'גיליון דאטה להכל'!A:H,5,0)</f>
        <v>#N/A</v>
      </c>
      <c r="AG745" s="104">
        <f t="shared" si="22"/>
        <v>0</v>
      </c>
      <c r="AH745" t="e">
        <f t="shared" si="23"/>
        <v>#N/A</v>
      </c>
    </row>
    <row r="746" spans="8:34" x14ac:dyDescent="0.2">
      <c r="H746" s="5"/>
      <c r="I746" s="5"/>
      <c r="J746" s="5"/>
      <c r="K746" s="5"/>
      <c r="L746" s="95"/>
      <c r="O746" s="4"/>
      <c r="P746" s="4"/>
      <c r="AB746" s="4"/>
      <c r="AD746" s="4"/>
      <c r="AF746" t="e">
        <f>VLOOKUP(C746,'גיליון דאטה להכל'!A:H,5,0)</f>
        <v>#N/A</v>
      </c>
      <c r="AG746" s="104">
        <f t="shared" si="22"/>
        <v>0</v>
      </c>
      <c r="AH746" t="e">
        <f t="shared" si="23"/>
        <v>#N/A</v>
      </c>
    </row>
    <row r="747" spans="8:34" x14ac:dyDescent="0.2">
      <c r="H747" s="5"/>
      <c r="I747" s="5"/>
      <c r="J747" s="5"/>
      <c r="K747" s="5"/>
      <c r="L747" s="95"/>
      <c r="O747" s="4"/>
      <c r="P747" s="4"/>
      <c r="AB747" s="4"/>
      <c r="AD747" s="4"/>
      <c r="AF747" t="e">
        <f>VLOOKUP(C747,'גיליון דאטה להכל'!A:H,5,0)</f>
        <v>#N/A</v>
      </c>
      <c r="AG747" s="104">
        <f t="shared" si="22"/>
        <v>0</v>
      </c>
      <c r="AH747" t="e">
        <f t="shared" si="23"/>
        <v>#N/A</v>
      </c>
    </row>
    <row r="748" spans="8:34" x14ac:dyDescent="0.2">
      <c r="H748" s="5"/>
      <c r="I748" s="5"/>
      <c r="J748" s="5"/>
      <c r="K748" s="5"/>
      <c r="L748" s="95"/>
      <c r="O748" s="4"/>
      <c r="P748" s="4"/>
      <c r="AB748" s="4"/>
      <c r="AD748" s="4"/>
      <c r="AF748" t="e">
        <f>VLOOKUP(C748,'גיליון דאטה להכל'!A:H,5,0)</f>
        <v>#N/A</v>
      </c>
      <c r="AG748" s="104">
        <f t="shared" si="22"/>
        <v>0</v>
      </c>
      <c r="AH748" t="e">
        <f t="shared" si="23"/>
        <v>#N/A</v>
      </c>
    </row>
    <row r="749" spans="8:34" x14ac:dyDescent="0.2">
      <c r="H749" s="5"/>
      <c r="I749" s="5"/>
      <c r="J749" s="5"/>
      <c r="K749" s="5"/>
      <c r="L749" s="95"/>
      <c r="O749" s="4"/>
      <c r="P749" s="4"/>
      <c r="AB749" s="4"/>
      <c r="AD749" s="4"/>
      <c r="AF749" t="e">
        <f>VLOOKUP(C749,'גיליון דאטה להכל'!A:H,5,0)</f>
        <v>#N/A</v>
      </c>
      <c r="AG749" s="104">
        <f t="shared" si="22"/>
        <v>0</v>
      </c>
      <c r="AH749" t="e">
        <f t="shared" si="23"/>
        <v>#N/A</v>
      </c>
    </row>
    <row r="750" spans="8:34" x14ac:dyDescent="0.2">
      <c r="H750" s="5"/>
      <c r="I750" s="5"/>
      <c r="J750" s="5"/>
      <c r="K750" s="5"/>
      <c r="L750" s="95"/>
      <c r="O750" s="4"/>
      <c r="P750" s="4"/>
      <c r="AB750" s="4"/>
      <c r="AD750" s="4"/>
      <c r="AF750" t="e">
        <f>VLOOKUP(C750,'גיליון דאטה להכל'!A:H,5,0)</f>
        <v>#N/A</v>
      </c>
      <c r="AG750" s="104">
        <f t="shared" si="22"/>
        <v>0</v>
      </c>
      <c r="AH750" t="e">
        <f t="shared" si="23"/>
        <v>#N/A</v>
      </c>
    </row>
    <row r="751" spans="8:34" x14ac:dyDescent="0.2">
      <c r="H751" s="5"/>
      <c r="I751" s="5"/>
      <c r="J751" s="5"/>
      <c r="K751" s="5"/>
      <c r="L751" s="95"/>
      <c r="O751" s="4"/>
      <c r="P751" s="4"/>
      <c r="AB751" s="4"/>
      <c r="AD751" s="4"/>
      <c r="AF751" t="e">
        <f>VLOOKUP(C751,'גיליון דאטה להכל'!A:H,5,0)</f>
        <v>#N/A</v>
      </c>
      <c r="AG751" s="104">
        <f t="shared" si="22"/>
        <v>0</v>
      </c>
      <c r="AH751" t="e">
        <f t="shared" si="23"/>
        <v>#N/A</v>
      </c>
    </row>
    <row r="752" spans="8:34" x14ac:dyDescent="0.2">
      <c r="H752" s="5"/>
      <c r="I752" s="5"/>
      <c r="J752" s="5"/>
      <c r="K752" s="5"/>
      <c r="L752" s="95"/>
      <c r="O752" s="4"/>
      <c r="P752" s="4"/>
      <c r="AB752" s="4"/>
      <c r="AD752" s="4"/>
      <c r="AF752" t="e">
        <f>VLOOKUP(C752,'גיליון דאטה להכל'!A:H,5,0)</f>
        <v>#N/A</v>
      </c>
      <c r="AG752" s="104">
        <f t="shared" si="22"/>
        <v>0</v>
      </c>
      <c r="AH752" t="e">
        <f t="shared" si="23"/>
        <v>#N/A</v>
      </c>
    </row>
    <row r="753" spans="8:34" x14ac:dyDescent="0.2">
      <c r="H753" s="5"/>
      <c r="I753" s="5"/>
      <c r="J753" s="5"/>
      <c r="K753" s="5"/>
      <c r="L753" s="95"/>
      <c r="O753" s="4"/>
      <c r="P753" s="4"/>
      <c r="AB753" s="4"/>
      <c r="AD753" s="4"/>
      <c r="AF753" t="e">
        <f>VLOOKUP(C753,'גיליון דאטה להכל'!A:H,5,0)</f>
        <v>#N/A</v>
      </c>
      <c r="AG753" s="104">
        <f t="shared" si="22"/>
        <v>0</v>
      </c>
      <c r="AH753" t="e">
        <f t="shared" si="23"/>
        <v>#N/A</v>
      </c>
    </row>
    <row r="754" spans="8:34" x14ac:dyDescent="0.2">
      <c r="H754" s="5"/>
      <c r="I754" s="5"/>
      <c r="J754" s="5"/>
      <c r="K754" s="5"/>
      <c r="L754" s="95"/>
      <c r="O754" s="4"/>
      <c r="P754" s="4"/>
      <c r="AB754" s="4"/>
      <c r="AD754" s="4"/>
      <c r="AF754" t="e">
        <f>VLOOKUP(C754,'גיליון דאטה להכל'!A:H,5,0)</f>
        <v>#N/A</v>
      </c>
      <c r="AG754" s="104">
        <f t="shared" si="22"/>
        <v>0</v>
      </c>
      <c r="AH754" t="e">
        <f t="shared" si="23"/>
        <v>#N/A</v>
      </c>
    </row>
    <row r="755" spans="8:34" x14ac:dyDescent="0.2">
      <c r="H755" s="5"/>
      <c r="I755" s="5"/>
      <c r="J755" s="5"/>
      <c r="K755" s="5"/>
      <c r="L755" s="95"/>
      <c r="O755" s="4"/>
      <c r="P755" s="4"/>
      <c r="AB755" s="4"/>
      <c r="AD755" s="4"/>
      <c r="AF755" t="e">
        <f>VLOOKUP(C755,'גיליון דאטה להכל'!A:H,5,0)</f>
        <v>#N/A</v>
      </c>
      <c r="AG755" s="104">
        <f t="shared" si="22"/>
        <v>0</v>
      </c>
      <c r="AH755" t="e">
        <f t="shared" si="23"/>
        <v>#N/A</v>
      </c>
    </row>
    <row r="756" spans="8:34" x14ac:dyDescent="0.2">
      <c r="H756" s="5"/>
      <c r="I756" s="5"/>
      <c r="J756" s="5"/>
      <c r="K756" s="5"/>
      <c r="L756" s="95"/>
      <c r="O756" s="4"/>
      <c r="P756" s="4"/>
      <c r="AB756" s="4"/>
      <c r="AD756" s="4"/>
      <c r="AF756" t="e">
        <f>VLOOKUP(C756,'גיליון דאטה להכל'!A:H,5,0)</f>
        <v>#N/A</v>
      </c>
      <c r="AG756" s="104">
        <f t="shared" si="22"/>
        <v>0</v>
      </c>
      <c r="AH756" t="e">
        <f t="shared" si="23"/>
        <v>#N/A</v>
      </c>
    </row>
    <row r="757" spans="8:34" x14ac:dyDescent="0.2">
      <c r="H757" s="5"/>
      <c r="I757" s="5"/>
      <c r="J757" s="5"/>
      <c r="K757" s="5"/>
      <c r="L757" s="95"/>
      <c r="O757" s="4"/>
      <c r="P757" s="4"/>
      <c r="AB757" s="4"/>
      <c r="AD757" s="4"/>
      <c r="AF757" t="e">
        <f>VLOOKUP(C757,'גיליון דאטה להכל'!A:H,5,0)</f>
        <v>#N/A</v>
      </c>
      <c r="AG757" s="104">
        <f t="shared" si="22"/>
        <v>0</v>
      </c>
      <c r="AH757" t="e">
        <f t="shared" si="23"/>
        <v>#N/A</v>
      </c>
    </row>
    <row r="758" spans="8:34" x14ac:dyDescent="0.2">
      <c r="H758" s="5"/>
      <c r="I758" s="5"/>
      <c r="J758" s="5"/>
      <c r="K758" s="5"/>
      <c r="L758" s="95"/>
      <c r="O758" s="4"/>
      <c r="P758" s="4"/>
      <c r="AB758" s="4"/>
      <c r="AD758" s="4"/>
      <c r="AF758" t="e">
        <f>VLOOKUP(C758,'גיליון דאטה להכל'!A:H,5,0)</f>
        <v>#N/A</v>
      </c>
      <c r="AG758" s="104">
        <f t="shared" si="22"/>
        <v>0</v>
      </c>
      <c r="AH758" t="e">
        <f t="shared" si="23"/>
        <v>#N/A</v>
      </c>
    </row>
    <row r="759" spans="8:34" x14ac:dyDescent="0.2">
      <c r="H759" s="5"/>
      <c r="I759" s="5"/>
      <c r="J759" s="5"/>
      <c r="K759" s="5"/>
      <c r="L759" s="95"/>
      <c r="O759" s="4"/>
      <c r="P759" s="4"/>
      <c r="AB759" s="4"/>
      <c r="AD759" s="4"/>
      <c r="AF759" t="e">
        <f>VLOOKUP(C759,'גיליון דאטה להכל'!A:H,5,0)</f>
        <v>#N/A</v>
      </c>
      <c r="AG759" s="104">
        <f t="shared" si="22"/>
        <v>0</v>
      </c>
      <c r="AH759" t="e">
        <f t="shared" si="23"/>
        <v>#N/A</v>
      </c>
    </row>
    <row r="760" spans="8:34" x14ac:dyDescent="0.2">
      <c r="H760" s="5"/>
      <c r="I760" s="5"/>
      <c r="J760" s="5"/>
      <c r="K760" s="5"/>
      <c r="L760" s="95"/>
      <c r="O760" s="4"/>
      <c r="P760" s="4"/>
      <c r="AB760" s="4"/>
      <c r="AD760" s="4"/>
      <c r="AF760" t="e">
        <f>VLOOKUP(C760,'גיליון דאטה להכל'!A:H,5,0)</f>
        <v>#N/A</v>
      </c>
      <c r="AG760" s="104">
        <f t="shared" si="22"/>
        <v>0</v>
      </c>
      <c r="AH760" t="e">
        <f t="shared" si="23"/>
        <v>#N/A</v>
      </c>
    </row>
    <row r="761" spans="8:34" x14ac:dyDescent="0.2">
      <c r="H761" s="5"/>
      <c r="I761" s="5"/>
      <c r="J761" s="5"/>
      <c r="K761" s="5"/>
      <c r="L761" s="95"/>
      <c r="O761" s="4"/>
      <c r="P761" s="4"/>
      <c r="AB761" s="4"/>
      <c r="AD761" s="4"/>
      <c r="AF761" t="e">
        <f>VLOOKUP(C761,'גיליון דאטה להכל'!A:H,5,0)</f>
        <v>#N/A</v>
      </c>
      <c r="AG761" s="104">
        <f t="shared" si="22"/>
        <v>0</v>
      </c>
      <c r="AH761" t="e">
        <f t="shared" si="23"/>
        <v>#N/A</v>
      </c>
    </row>
    <row r="762" spans="8:34" x14ac:dyDescent="0.2">
      <c r="H762" s="5"/>
      <c r="I762" s="5"/>
      <c r="J762" s="5"/>
      <c r="K762" s="5"/>
      <c r="L762" s="95"/>
      <c r="O762" s="4"/>
      <c r="P762" s="4"/>
      <c r="AB762" s="4"/>
      <c r="AD762" s="4"/>
      <c r="AF762" t="e">
        <f>VLOOKUP(C762,'גיליון דאטה להכל'!A:H,5,0)</f>
        <v>#N/A</v>
      </c>
      <c r="AG762" s="104">
        <f t="shared" si="22"/>
        <v>0</v>
      </c>
      <c r="AH762" t="e">
        <f t="shared" si="23"/>
        <v>#N/A</v>
      </c>
    </row>
    <row r="763" spans="8:34" x14ac:dyDescent="0.2">
      <c r="H763" s="5"/>
      <c r="I763" s="5"/>
      <c r="J763" s="5"/>
      <c r="K763" s="5"/>
      <c r="L763" s="95"/>
      <c r="O763" s="4"/>
      <c r="P763" s="4"/>
      <c r="AB763" s="4"/>
      <c r="AD763" s="4"/>
      <c r="AF763" t="e">
        <f>VLOOKUP(C763,'גיליון דאטה להכל'!A:H,5,0)</f>
        <v>#N/A</v>
      </c>
      <c r="AG763" s="104">
        <f t="shared" si="22"/>
        <v>0</v>
      </c>
      <c r="AH763" t="e">
        <f t="shared" si="23"/>
        <v>#N/A</v>
      </c>
    </row>
    <row r="764" spans="8:34" x14ac:dyDescent="0.2">
      <c r="H764" s="5"/>
      <c r="I764" s="5"/>
      <c r="J764" s="5"/>
      <c r="K764" s="5"/>
      <c r="L764" s="95"/>
      <c r="O764" s="4"/>
      <c r="P764" s="4"/>
      <c r="AB764" s="4"/>
      <c r="AD764" s="4"/>
      <c r="AF764" t="e">
        <f>VLOOKUP(C764,'גיליון דאטה להכל'!A:H,5,0)</f>
        <v>#N/A</v>
      </c>
      <c r="AG764" s="104">
        <f t="shared" si="22"/>
        <v>0</v>
      </c>
      <c r="AH764" t="e">
        <f t="shared" si="23"/>
        <v>#N/A</v>
      </c>
    </row>
    <row r="765" spans="8:34" x14ac:dyDescent="0.2">
      <c r="H765" s="5"/>
      <c r="I765" s="5"/>
      <c r="J765" s="5"/>
      <c r="K765" s="5"/>
      <c r="L765" s="95"/>
      <c r="O765" s="4"/>
      <c r="P765" s="4"/>
      <c r="AB765" s="4"/>
      <c r="AD765" s="4"/>
      <c r="AF765" t="e">
        <f>VLOOKUP(C765,'גיליון דאטה להכל'!A:H,5,0)</f>
        <v>#N/A</v>
      </c>
      <c r="AG765" s="104">
        <f t="shared" si="22"/>
        <v>0</v>
      </c>
      <c r="AH765" t="e">
        <f t="shared" si="23"/>
        <v>#N/A</v>
      </c>
    </row>
    <row r="766" spans="8:34" x14ac:dyDescent="0.2">
      <c r="H766" s="5"/>
      <c r="I766" s="5"/>
      <c r="J766" s="5"/>
      <c r="K766" s="5"/>
      <c r="L766" s="95"/>
      <c r="O766" s="4"/>
      <c r="P766" s="4"/>
      <c r="AB766" s="4"/>
      <c r="AD766" s="4"/>
      <c r="AF766" t="e">
        <f>VLOOKUP(C766,'גיליון דאטה להכל'!A:H,5,0)</f>
        <v>#N/A</v>
      </c>
      <c r="AG766" s="104">
        <f t="shared" si="22"/>
        <v>0</v>
      </c>
      <c r="AH766" t="e">
        <f t="shared" si="23"/>
        <v>#N/A</v>
      </c>
    </row>
    <row r="767" spans="8:34" x14ac:dyDescent="0.2">
      <c r="H767" s="5"/>
      <c r="I767" s="5"/>
      <c r="J767" s="5"/>
      <c r="K767" s="5"/>
      <c r="L767" s="95"/>
      <c r="O767" s="4"/>
      <c r="P767" s="4"/>
      <c r="AB767" s="4"/>
      <c r="AD767" s="4"/>
      <c r="AF767" t="e">
        <f>VLOOKUP(C767,'גיליון דאטה להכל'!A:H,5,0)</f>
        <v>#N/A</v>
      </c>
      <c r="AG767" s="104">
        <f t="shared" si="22"/>
        <v>0</v>
      </c>
      <c r="AH767" t="e">
        <f t="shared" si="23"/>
        <v>#N/A</v>
      </c>
    </row>
    <row r="768" spans="8:34" x14ac:dyDescent="0.2">
      <c r="H768" s="5"/>
      <c r="I768" s="5"/>
      <c r="J768" s="5"/>
      <c r="K768" s="5"/>
      <c r="L768" s="95"/>
      <c r="O768" s="4"/>
      <c r="P768" s="4"/>
      <c r="AB768" s="4"/>
      <c r="AD768" s="4"/>
      <c r="AF768" t="e">
        <f>VLOOKUP(C768,'גיליון דאטה להכל'!A:H,5,0)</f>
        <v>#N/A</v>
      </c>
      <c r="AG768" s="104">
        <f t="shared" si="22"/>
        <v>0</v>
      </c>
      <c r="AH768" t="e">
        <f t="shared" si="23"/>
        <v>#N/A</v>
      </c>
    </row>
    <row r="769" spans="8:34" x14ac:dyDescent="0.2">
      <c r="H769" s="5"/>
      <c r="I769" s="5"/>
      <c r="J769" s="5"/>
      <c r="K769" s="5"/>
      <c r="L769" s="95"/>
      <c r="O769" s="4"/>
      <c r="P769" s="4"/>
      <c r="AB769" s="4"/>
      <c r="AD769" s="4"/>
      <c r="AF769" t="e">
        <f>VLOOKUP(C769,'גיליון דאטה להכל'!A:H,5,0)</f>
        <v>#N/A</v>
      </c>
      <c r="AG769" s="104">
        <f t="shared" si="22"/>
        <v>0</v>
      </c>
      <c r="AH769" t="e">
        <f t="shared" si="23"/>
        <v>#N/A</v>
      </c>
    </row>
    <row r="770" spans="8:34" x14ac:dyDescent="0.2">
      <c r="H770" s="5"/>
      <c r="I770" s="5"/>
      <c r="J770" s="5"/>
      <c r="K770" s="5"/>
      <c r="L770" s="95"/>
      <c r="O770" s="4"/>
      <c r="P770" s="4"/>
      <c r="AB770" s="4"/>
      <c r="AD770" s="4"/>
      <c r="AF770" t="e">
        <f>VLOOKUP(C770,'גיליון דאטה להכל'!A:H,5,0)</f>
        <v>#N/A</v>
      </c>
      <c r="AG770" s="104">
        <f t="shared" si="22"/>
        <v>0</v>
      </c>
      <c r="AH770" t="e">
        <f t="shared" si="23"/>
        <v>#N/A</v>
      </c>
    </row>
    <row r="771" spans="8:34" x14ac:dyDescent="0.2">
      <c r="H771" s="5"/>
      <c r="I771" s="5"/>
      <c r="J771" s="5"/>
      <c r="K771" s="5"/>
      <c r="L771" s="95"/>
      <c r="O771" s="4"/>
      <c r="P771" s="4"/>
      <c r="AB771" s="4"/>
      <c r="AD771" s="4"/>
      <c r="AF771" t="e">
        <f>VLOOKUP(C771,'גיליון דאטה להכל'!A:H,5,0)</f>
        <v>#N/A</v>
      </c>
      <c r="AG771" s="104">
        <f t="shared" ref="AG771:AG834" si="24">I771+H771</f>
        <v>0</v>
      </c>
      <c r="AH771" t="e">
        <f t="shared" ref="AH771:AH834" si="25">_xlfn.CONCAT(AF771,N771)</f>
        <v>#N/A</v>
      </c>
    </row>
    <row r="772" spans="8:34" x14ac:dyDescent="0.2">
      <c r="H772" s="5"/>
      <c r="I772" s="5"/>
      <c r="J772" s="5"/>
      <c r="K772" s="5"/>
      <c r="L772" s="95"/>
      <c r="O772" s="4"/>
      <c r="P772" s="4"/>
      <c r="AB772" s="4"/>
      <c r="AD772" s="4"/>
      <c r="AF772" t="e">
        <f>VLOOKUP(C772,'גיליון דאטה להכל'!A:H,5,0)</f>
        <v>#N/A</v>
      </c>
      <c r="AG772" s="104">
        <f t="shared" si="24"/>
        <v>0</v>
      </c>
      <c r="AH772" t="e">
        <f t="shared" si="25"/>
        <v>#N/A</v>
      </c>
    </row>
    <row r="773" spans="8:34" x14ac:dyDescent="0.2">
      <c r="H773" s="5"/>
      <c r="I773" s="5"/>
      <c r="J773" s="5"/>
      <c r="K773" s="5"/>
      <c r="L773" s="95"/>
      <c r="O773" s="4"/>
      <c r="P773" s="4"/>
      <c r="AB773" s="4"/>
      <c r="AD773" s="4"/>
      <c r="AF773" t="e">
        <f>VLOOKUP(C773,'גיליון דאטה להכל'!A:H,5,0)</f>
        <v>#N/A</v>
      </c>
      <c r="AG773" s="104">
        <f t="shared" si="24"/>
        <v>0</v>
      </c>
      <c r="AH773" t="e">
        <f t="shared" si="25"/>
        <v>#N/A</v>
      </c>
    </row>
    <row r="774" spans="8:34" x14ac:dyDescent="0.2">
      <c r="H774" s="5"/>
      <c r="I774" s="5"/>
      <c r="J774" s="5"/>
      <c r="K774" s="5"/>
      <c r="L774" s="95"/>
      <c r="O774" s="4"/>
      <c r="P774" s="4"/>
      <c r="AB774" s="4"/>
      <c r="AD774" s="4"/>
      <c r="AF774" t="e">
        <f>VLOOKUP(C774,'גיליון דאטה להכל'!A:H,5,0)</f>
        <v>#N/A</v>
      </c>
      <c r="AG774" s="104">
        <f t="shared" si="24"/>
        <v>0</v>
      </c>
      <c r="AH774" t="e">
        <f t="shared" si="25"/>
        <v>#N/A</v>
      </c>
    </row>
    <row r="775" spans="8:34" x14ac:dyDescent="0.2">
      <c r="H775" s="5"/>
      <c r="I775" s="5"/>
      <c r="J775" s="5"/>
      <c r="K775" s="5"/>
      <c r="L775" s="95"/>
      <c r="O775" s="4"/>
      <c r="P775" s="4"/>
      <c r="AB775" s="4"/>
      <c r="AD775" s="4"/>
      <c r="AF775" t="e">
        <f>VLOOKUP(C775,'גיליון דאטה להכל'!A:H,5,0)</f>
        <v>#N/A</v>
      </c>
      <c r="AG775" s="104">
        <f t="shared" si="24"/>
        <v>0</v>
      </c>
      <c r="AH775" t="e">
        <f t="shared" si="25"/>
        <v>#N/A</v>
      </c>
    </row>
    <row r="776" spans="8:34" x14ac:dyDescent="0.2">
      <c r="H776" s="5"/>
      <c r="I776" s="5"/>
      <c r="J776" s="5"/>
      <c r="K776" s="5"/>
      <c r="L776" s="95"/>
      <c r="O776" s="4"/>
      <c r="P776" s="4"/>
      <c r="AB776" s="4"/>
      <c r="AD776" s="4"/>
      <c r="AF776" t="e">
        <f>VLOOKUP(C776,'גיליון דאטה להכל'!A:H,5,0)</f>
        <v>#N/A</v>
      </c>
      <c r="AG776" s="104">
        <f t="shared" si="24"/>
        <v>0</v>
      </c>
      <c r="AH776" t="e">
        <f t="shared" si="25"/>
        <v>#N/A</v>
      </c>
    </row>
    <row r="777" spans="8:34" x14ac:dyDescent="0.2">
      <c r="H777" s="5"/>
      <c r="I777" s="5"/>
      <c r="J777" s="5"/>
      <c r="K777" s="5"/>
      <c r="O777" s="4"/>
      <c r="P777" s="4"/>
      <c r="AB777" s="4"/>
      <c r="AD777" s="4"/>
      <c r="AF777" t="e">
        <f>VLOOKUP(C777,'גיליון דאטה להכל'!A:H,5,0)</f>
        <v>#N/A</v>
      </c>
      <c r="AG777" s="104">
        <f t="shared" si="24"/>
        <v>0</v>
      </c>
      <c r="AH777" t="e">
        <f t="shared" si="25"/>
        <v>#N/A</v>
      </c>
    </row>
    <row r="778" spans="8:34" x14ac:dyDescent="0.2">
      <c r="H778" s="5"/>
      <c r="I778" s="5"/>
      <c r="J778" s="5"/>
      <c r="K778" s="5"/>
      <c r="L778" s="95"/>
      <c r="O778" s="4"/>
      <c r="P778" s="4"/>
      <c r="AB778" s="4"/>
      <c r="AD778" s="4"/>
      <c r="AF778" t="e">
        <f>VLOOKUP(C778,'גיליון דאטה להכל'!A:H,5,0)</f>
        <v>#N/A</v>
      </c>
      <c r="AG778" s="104">
        <f t="shared" si="24"/>
        <v>0</v>
      </c>
      <c r="AH778" t="e">
        <f t="shared" si="25"/>
        <v>#N/A</v>
      </c>
    </row>
    <row r="779" spans="8:34" x14ac:dyDescent="0.2">
      <c r="H779" s="5"/>
      <c r="I779" s="5"/>
      <c r="J779" s="5"/>
      <c r="K779" s="5"/>
      <c r="L779" s="95"/>
      <c r="O779" s="4"/>
      <c r="P779" s="4"/>
      <c r="AB779" s="4"/>
      <c r="AD779" s="4"/>
      <c r="AF779" t="e">
        <f>VLOOKUP(C779,'גיליון דאטה להכל'!A:H,5,0)</f>
        <v>#N/A</v>
      </c>
      <c r="AG779" s="104">
        <f t="shared" si="24"/>
        <v>0</v>
      </c>
      <c r="AH779" t="e">
        <f t="shared" si="25"/>
        <v>#N/A</v>
      </c>
    </row>
    <row r="780" spans="8:34" x14ac:dyDescent="0.2">
      <c r="H780" s="5"/>
      <c r="I780" s="5"/>
      <c r="J780" s="5"/>
      <c r="K780" s="5"/>
      <c r="L780" s="95"/>
      <c r="O780" s="4"/>
      <c r="P780" s="4"/>
      <c r="AB780" s="4"/>
      <c r="AD780" s="4"/>
      <c r="AF780" t="e">
        <f>VLOOKUP(C780,'גיליון דאטה להכל'!A:H,5,0)</f>
        <v>#N/A</v>
      </c>
      <c r="AG780" s="104">
        <f t="shared" si="24"/>
        <v>0</v>
      </c>
      <c r="AH780" t="e">
        <f t="shared" si="25"/>
        <v>#N/A</v>
      </c>
    </row>
    <row r="781" spans="8:34" x14ac:dyDescent="0.2">
      <c r="H781" s="5"/>
      <c r="I781" s="5"/>
      <c r="J781" s="5"/>
      <c r="K781" s="5"/>
      <c r="L781" s="95"/>
      <c r="O781" s="4"/>
      <c r="P781" s="4"/>
      <c r="AB781" s="4"/>
      <c r="AD781" s="4"/>
      <c r="AF781" t="e">
        <f>VLOOKUP(C781,'גיליון דאטה להכל'!A:H,5,0)</f>
        <v>#N/A</v>
      </c>
      <c r="AG781" s="104">
        <f t="shared" si="24"/>
        <v>0</v>
      </c>
      <c r="AH781" t="e">
        <f t="shared" si="25"/>
        <v>#N/A</v>
      </c>
    </row>
    <row r="782" spans="8:34" x14ac:dyDescent="0.2">
      <c r="H782" s="5"/>
      <c r="I782" s="5"/>
      <c r="J782" s="5"/>
      <c r="K782" s="5"/>
      <c r="L782" s="95"/>
      <c r="O782" s="4"/>
      <c r="P782" s="4"/>
      <c r="AB782" s="4"/>
      <c r="AD782" s="4"/>
      <c r="AF782" t="e">
        <f>VLOOKUP(C782,'גיליון דאטה להכל'!A:H,5,0)</f>
        <v>#N/A</v>
      </c>
      <c r="AG782" s="104">
        <f t="shared" si="24"/>
        <v>0</v>
      </c>
      <c r="AH782" t="e">
        <f t="shared" si="25"/>
        <v>#N/A</v>
      </c>
    </row>
    <row r="783" spans="8:34" x14ac:dyDescent="0.2">
      <c r="H783" s="5"/>
      <c r="I783" s="5"/>
      <c r="J783" s="5"/>
      <c r="K783" s="5"/>
      <c r="L783" s="95"/>
      <c r="O783" s="4"/>
      <c r="P783" s="4"/>
      <c r="AB783" s="4"/>
      <c r="AD783" s="4"/>
      <c r="AF783" t="e">
        <f>VLOOKUP(C783,'גיליון דאטה להכל'!A:H,5,0)</f>
        <v>#N/A</v>
      </c>
      <c r="AG783" s="104">
        <f t="shared" si="24"/>
        <v>0</v>
      </c>
      <c r="AH783" t="e">
        <f t="shared" si="25"/>
        <v>#N/A</v>
      </c>
    </row>
    <row r="784" spans="8:34" x14ac:dyDescent="0.2">
      <c r="H784" s="5"/>
      <c r="I784" s="5"/>
      <c r="J784" s="5"/>
      <c r="K784" s="5"/>
      <c r="L784" s="95"/>
      <c r="O784" s="4"/>
      <c r="P784" s="4"/>
      <c r="AB784" s="4"/>
      <c r="AD784" s="4"/>
      <c r="AF784" t="e">
        <f>VLOOKUP(C784,'גיליון דאטה להכל'!A:H,5,0)</f>
        <v>#N/A</v>
      </c>
      <c r="AG784" s="104">
        <f t="shared" si="24"/>
        <v>0</v>
      </c>
      <c r="AH784" t="e">
        <f t="shared" si="25"/>
        <v>#N/A</v>
      </c>
    </row>
    <row r="785" spans="8:34" x14ac:dyDescent="0.2">
      <c r="H785" s="5"/>
      <c r="I785" s="5"/>
      <c r="J785" s="5"/>
      <c r="K785" s="5"/>
      <c r="L785" s="95"/>
      <c r="O785" s="4"/>
      <c r="P785" s="4"/>
      <c r="AB785" s="4"/>
      <c r="AD785" s="4"/>
      <c r="AF785" t="e">
        <f>VLOOKUP(C785,'גיליון דאטה להכל'!A:H,5,0)</f>
        <v>#N/A</v>
      </c>
      <c r="AG785" s="104">
        <f t="shared" si="24"/>
        <v>0</v>
      </c>
      <c r="AH785" t="e">
        <f t="shared" si="25"/>
        <v>#N/A</v>
      </c>
    </row>
    <row r="786" spans="8:34" x14ac:dyDescent="0.2">
      <c r="H786" s="5"/>
      <c r="I786" s="5"/>
      <c r="J786" s="5"/>
      <c r="K786" s="5"/>
      <c r="L786" s="95"/>
      <c r="O786" s="4"/>
      <c r="P786" s="4"/>
      <c r="AB786" s="4"/>
      <c r="AD786" s="4"/>
      <c r="AF786" t="e">
        <f>VLOOKUP(C786,'גיליון דאטה להכל'!A:H,5,0)</f>
        <v>#N/A</v>
      </c>
      <c r="AG786" s="104">
        <f t="shared" si="24"/>
        <v>0</v>
      </c>
      <c r="AH786" t="e">
        <f t="shared" si="25"/>
        <v>#N/A</v>
      </c>
    </row>
    <row r="787" spans="8:34" x14ac:dyDescent="0.2">
      <c r="H787" s="5"/>
      <c r="I787" s="5"/>
      <c r="J787" s="5"/>
      <c r="K787" s="5"/>
      <c r="L787" s="95"/>
      <c r="O787" s="4"/>
      <c r="P787" s="4"/>
      <c r="AB787" s="4"/>
      <c r="AD787" s="4"/>
      <c r="AF787" t="e">
        <f>VLOOKUP(C787,'גיליון דאטה להכל'!A:H,5,0)</f>
        <v>#N/A</v>
      </c>
      <c r="AG787" s="104">
        <f t="shared" si="24"/>
        <v>0</v>
      </c>
      <c r="AH787" t="e">
        <f t="shared" si="25"/>
        <v>#N/A</v>
      </c>
    </row>
    <row r="788" spans="8:34" x14ac:dyDescent="0.2">
      <c r="H788" s="5"/>
      <c r="I788" s="5"/>
      <c r="J788" s="5"/>
      <c r="K788" s="5"/>
      <c r="L788" s="95"/>
      <c r="O788" s="4"/>
      <c r="P788" s="4"/>
      <c r="AB788" s="4"/>
      <c r="AD788" s="4"/>
      <c r="AF788" t="e">
        <f>VLOOKUP(C788,'גיליון דאטה להכל'!A:H,5,0)</f>
        <v>#N/A</v>
      </c>
      <c r="AG788" s="104">
        <f t="shared" si="24"/>
        <v>0</v>
      </c>
      <c r="AH788" t="e">
        <f t="shared" si="25"/>
        <v>#N/A</v>
      </c>
    </row>
    <row r="789" spans="8:34" x14ac:dyDescent="0.2">
      <c r="H789" s="5"/>
      <c r="I789" s="5"/>
      <c r="J789" s="5"/>
      <c r="K789" s="5"/>
      <c r="L789" s="95"/>
      <c r="O789" s="4"/>
      <c r="P789" s="4"/>
      <c r="AB789" s="4"/>
      <c r="AD789" s="4"/>
      <c r="AF789" t="e">
        <f>VLOOKUP(C789,'גיליון דאטה להכל'!A:H,5,0)</f>
        <v>#N/A</v>
      </c>
      <c r="AG789" s="104">
        <f t="shared" si="24"/>
        <v>0</v>
      </c>
      <c r="AH789" t="e">
        <f t="shared" si="25"/>
        <v>#N/A</v>
      </c>
    </row>
    <row r="790" spans="8:34" x14ac:dyDescent="0.2">
      <c r="H790" s="5"/>
      <c r="I790" s="5"/>
      <c r="J790" s="5"/>
      <c r="K790" s="5"/>
      <c r="L790" s="95"/>
      <c r="O790" s="4"/>
      <c r="P790" s="4"/>
      <c r="AB790" s="4"/>
      <c r="AD790" s="4"/>
      <c r="AF790" t="e">
        <f>VLOOKUP(C790,'גיליון דאטה להכל'!A:H,5,0)</f>
        <v>#N/A</v>
      </c>
      <c r="AG790" s="104">
        <f t="shared" si="24"/>
        <v>0</v>
      </c>
      <c r="AH790" t="e">
        <f t="shared" si="25"/>
        <v>#N/A</v>
      </c>
    </row>
    <row r="791" spans="8:34" x14ac:dyDescent="0.2">
      <c r="H791" s="5"/>
      <c r="I791" s="5"/>
      <c r="J791" s="5"/>
      <c r="K791" s="5"/>
      <c r="L791" s="95"/>
      <c r="O791" s="4"/>
      <c r="P791" s="4"/>
      <c r="AB791" s="4"/>
      <c r="AD791" s="4"/>
      <c r="AF791" t="e">
        <f>VLOOKUP(C791,'גיליון דאטה להכל'!A:H,5,0)</f>
        <v>#N/A</v>
      </c>
      <c r="AG791" s="104">
        <f t="shared" si="24"/>
        <v>0</v>
      </c>
      <c r="AH791" t="e">
        <f t="shared" si="25"/>
        <v>#N/A</v>
      </c>
    </row>
    <row r="792" spans="8:34" x14ac:dyDescent="0.2">
      <c r="H792" s="5"/>
      <c r="I792" s="5"/>
      <c r="J792" s="5"/>
      <c r="K792" s="5"/>
      <c r="L792" s="95"/>
      <c r="O792" s="4"/>
      <c r="P792" s="4"/>
      <c r="AB792" s="4"/>
      <c r="AD792" s="4"/>
      <c r="AF792" t="e">
        <f>VLOOKUP(C792,'גיליון דאטה להכל'!A:H,5,0)</f>
        <v>#N/A</v>
      </c>
      <c r="AG792" s="104">
        <f t="shared" si="24"/>
        <v>0</v>
      </c>
      <c r="AH792" t="e">
        <f t="shared" si="25"/>
        <v>#N/A</v>
      </c>
    </row>
    <row r="793" spans="8:34" x14ac:dyDescent="0.2">
      <c r="H793" s="5"/>
      <c r="I793" s="5"/>
      <c r="J793" s="5"/>
      <c r="K793" s="5"/>
      <c r="L793" s="95"/>
      <c r="O793" s="4"/>
      <c r="P793" s="4"/>
      <c r="AB793" s="4"/>
      <c r="AD793" s="4"/>
      <c r="AF793" t="e">
        <f>VLOOKUP(C793,'גיליון דאטה להכל'!A:H,5,0)</f>
        <v>#N/A</v>
      </c>
      <c r="AG793" s="104">
        <f t="shared" si="24"/>
        <v>0</v>
      </c>
      <c r="AH793" t="e">
        <f t="shared" si="25"/>
        <v>#N/A</v>
      </c>
    </row>
    <row r="794" spans="8:34" x14ac:dyDescent="0.2">
      <c r="H794" s="5"/>
      <c r="I794" s="5"/>
      <c r="J794" s="5"/>
      <c r="K794" s="5"/>
      <c r="L794" s="95"/>
      <c r="O794" s="4"/>
      <c r="P794" s="4"/>
      <c r="AB794" s="4"/>
      <c r="AD794" s="4"/>
      <c r="AF794" t="e">
        <f>VLOOKUP(C794,'גיליון דאטה להכל'!A:H,5,0)</f>
        <v>#N/A</v>
      </c>
      <c r="AG794" s="104">
        <f t="shared" si="24"/>
        <v>0</v>
      </c>
      <c r="AH794" t="e">
        <f t="shared" si="25"/>
        <v>#N/A</v>
      </c>
    </row>
    <row r="795" spans="8:34" x14ac:dyDescent="0.2">
      <c r="H795" s="5"/>
      <c r="I795" s="5"/>
      <c r="J795" s="5"/>
      <c r="K795" s="5"/>
      <c r="L795" s="95"/>
      <c r="O795" s="4"/>
      <c r="P795" s="4"/>
      <c r="AB795" s="4"/>
      <c r="AD795" s="4"/>
      <c r="AF795" t="e">
        <f>VLOOKUP(C795,'גיליון דאטה להכל'!A:H,5,0)</f>
        <v>#N/A</v>
      </c>
      <c r="AG795" s="104">
        <f t="shared" si="24"/>
        <v>0</v>
      </c>
      <c r="AH795" t="e">
        <f t="shared" si="25"/>
        <v>#N/A</v>
      </c>
    </row>
    <row r="796" spans="8:34" x14ac:dyDescent="0.2">
      <c r="H796" s="5"/>
      <c r="I796" s="5"/>
      <c r="J796" s="5"/>
      <c r="K796" s="5"/>
      <c r="L796" s="95"/>
      <c r="O796" s="4"/>
      <c r="P796" s="4"/>
      <c r="AB796" s="4"/>
      <c r="AD796" s="4"/>
      <c r="AF796" t="e">
        <f>VLOOKUP(C796,'גיליון דאטה להכל'!A:H,5,0)</f>
        <v>#N/A</v>
      </c>
      <c r="AG796" s="104">
        <f t="shared" si="24"/>
        <v>0</v>
      </c>
      <c r="AH796" t="e">
        <f t="shared" si="25"/>
        <v>#N/A</v>
      </c>
    </row>
    <row r="797" spans="8:34" x14ac:dyDescent="0.2">
      <c r="H797" s="5"/>
      <c r="I797" s="5"/>
      <c r="J797" s="5"/>
      <c r="K797" s="5"/>
      <c r="L797" s="95"/>
      <c r="O797" s="4"/>
      <c r="P797" s="4"/>
      <c r="AB797" s="4"/>
      <c r="AD797" s="4"/>
      <c r="AF797" t="e">
        <f>VLOOKUP(C797,'גיליון דאטה להכל'!A:H,5,0)</f>
        <v>#N/A</v>
      </c>
      <c r="AG797" s="104">
        <f t="shared" si="24"/>
        <v>0</v>
      </c>
      <c r="AH797" t="e">
        <f t="shared" si="25"/>
        <v>#N/A</v>
      </c>
    </row>
    <row r="798" spans="8:34" x14ac:dyDescent="0.2">
      <c r="H798" s="5"/>
      <c r="I798" s="5"/>
      <c r="J798" s="5"/>
      <c r="K798" s="5"/>
      <c r="L798" s="95"/>
      <c r="O798" s="4"/>
      <c r="P798" s="4"/>
      <c r="AB798" s="4"/>
      <c r="AD798" s="4"/>
      <c r="AF798" t="e">
        <f>VLOOKUP(C798,'גיליון דאטה להכל'!A:H,5,0)</f>
        <v>#N/A</v>
      </c>
      <c r="AG798" s="104">
        <f t="shared" si="24"/>
        <v>0</v>
      </c>
      <c r="AH798" t="e">
        <f t="shared" si="25"/>
        <v>#N/A</v>
      </c>
    </row>
    <row r="799" spans="8:34" x14ac:dyDescent="0.2">
      <c r="H799" s="5"/>
      <c r="I799" s="5"/>
      <c r="J799" s="5"/>
      <c r="K799" s="5"/>
      <c r="L799" s="95"/>
      <c r="O799" s="4"/>
      <c r="P799" s="4"/>
      <c r="AB799" s="4"/>
      <c r="AD799" s="4"/>
      <c r="AF799" t="e">
        <f>VLOOKUP(C799,'גיליון דאטה להכל'!A:H,5,0)</f>
        <v>#N/A</v>
      </c>
      <c r="AG799" s="104">
        <f t="shared" si="24"/>
        <v>0</v>
      </c>
      <c r="AH799" t="e">
        <f t="shared" si="25"/>
        <v>#N/A</v>
      </c>
    </row>
    <row r="800" spans="8:34" x14ac:dyDescent="0.2">
      <c r="H800" s="5"/>
      <c r="I800" s="5"/>
      <c r="J800" s="5"/>
      <c r="K800" s="5"/>
      <c r="L800" s="95"/>
      <c r="O800" s="4"/>
      <c r="P800" s="4"/>
      <c r="AB800" s="4"/>
      <c r="AD800" s="4"/>
      <c r="AF800" t="e">
        <f>VLOOKUP(C800,'גיליון דאטה להכל'!A:H,5,0)</f>
        <v>#N/A</v>
      </c>
      <c r="AG800" s="104">
        <f t="shared" si="24"/>
        <v>0</v>
      </c>
      <c r="AH800" t="e">
        <f t="shared" si="25"/>
        <v>#N/A</v>
      </c>
    </row>
    <row r="801" spans="8:34" x14ac:dyDescent="0.2">
      <c r="H801" s="5"/>
      <c r="I801" s="5"/>
      <c r="J801" s="5"/>
      <c r="K801" s="5"/>
      <c r="L801" s="95"/>
      <c r="O801" s="4"/>
      <c r="P801" s="4"/>
      <c r="AB801" s="4"/>
      <c r="AD801" s="4"/>
      <c r="AF801" t="e">
        <f>VLOOKUP(C801,'גיליון דאטה להכל'!A:H,5,0)</f>
        <v>#N/A</v>
      </c>
      <c r="AG801" s="104">
        <f t="shared" si="24"/>
        <v>0</v>
      </c>
      <c r="AH801" t="e">
        <f t="shared" si="25"/>
        <v>#N/A</v>
      </c>
    </row>
    <row r="802" spans="8:34" x14ac:dyDescent="0.2">
      <c r="H802" s="5"/>
      <c r="I802" s="5"/>
      <c r="J802" s="5"/>
      <c r="K802" s="5"/>
      <c r="L802" s="95"/>
      <c r="O802" s="4"/>
      <c r="P802" s="4"/>
      <c r="AB802" s="4"/>
      <c r="AD802" s="4"/>
      <c r="AF802" t="e">
        <f>VLOOKUP(C802,'גיליון דאטה להכל'!A:H,5,0)</f>
        <v>#N/A</v>
      </c>
      <c r="AG802" s="104">
        <f t="shared" si="24"/>
        <v>0</v>
      </c>
      <c r="AH802" t="e">
        <f t="shared" si="25"/>
        <v>#N/A</v>
      </c>
    </row>
    <row r="803" spans="8:34" x14ac:dyDescent="0.2">
      <c r="H803" s="5"/>
      <c r="I803" s="5"/>
      <c r="J803" s="5"/>
      <c r="K803" s="5"/>
      <c r="L803" s="95"/>
      <c r="O803" s="4"/>
      <c r="P803" s="4"/>
      <c r="AB803" s="4"/>
      <c r="AD803" s="4"/>
      <c r="AF803" t="e">
        <f>VLOOKUP(C803,'גיליון דאטה להכל'!A:H,5,0)</f>
        <v>#N/A</v>
      </c>
      <c r="AG803" s="104">
        <f t="shared" si="24"/>
        <v>0</v>
      </c>
      <c r="AH803" t="e">
        <f t="shared" si="25"/>
        <v>#N/A</v>
      </c>
    </row>
    <row r="804" spans="8:34" x14ac:dyDescent="0.2">
      <c r="H804" s="5"/>
      <c r="I804" s="5"/>
      <c r="J804" s="5"/>
      <c r="K804" s="5"/>
      <c r="L804" s="95"/>
      <c r="O804" s="4"/>
      <c r="P804" s="4"/>
      <c r="AB804" s="4"/>
      <c r="AD804" s="4"/>
      <c r="AF804" t="e">
        <f>VLOOKUP(C804,'גיליון דאטה להכל'!A:H,5,0)</f>
        <v>#N/A</v>
      </c>
      <c r="AG804" s="104">
        <f t="shared" si="24"/>
        <v>0</v>
      </c>
      <c r="AH804" t="e">
        <f t="shared" si="25"/>
        <v>#N/A</v>
      </c>
    </row>
    <row r="805" spans="8:34" x14ac:dyDescent="0.2">
      <c r="H805" s="5"/>
      <c r="I805" s="5"/>
      <c r="J805" s="5"/>
      <c r="K805" s="5"/>
      <c r="L805" s="95"/>
      <c r="O805" s="4"/>
      <c r="P805" s="4"/>
      <c r="AB805" s="4"/>
      <c r="AD805" s="4"/>
      <c r="AF805" t="e">
        <f>VLOOKUP(C805,'גיליון דאטה להכל'!A:H,5,0)</f>
        <v>#N/A</v>
      </c>
      <c r="AG805" s="104">
        <f t="shared" si="24"/>
        <v>0</v>
      </c>
      <c r="AH805" t="e">
        <f t="shared" si="25"/>
        <v>#N/A</v>
      </c>
    </row>
    <row r="806" spans="8:34" x14ac:dyDescent="0.2">
      <c r="H806" s="5"/>
      <c r="I806" s="5"/>
      <c r="J806" s="5"/>
      <c r="K806" s="5"/>
      <c r="L806" s="95"/>
      <c r="O806" s="4"/>
      <c r="P806" s="4"/>
      <c r="AB806" s="4"/>
      <c r="AD806" s="4"/>
      <c r="AF806" t="e">
        <f>VLOOKUP(C806,'גיליון דאטה להכל'!A:H,5,0)</f>
        <v>#N/A</v>
      </c>
      <c r="AG806" s="104">
        <f t="shared" si="24"/>
        <v>0</v>
      </c>
      <c r="AH806" t="e">
        <f t="shared" si="25"/>
        <v>#N/A</v>
      </c>
    </row>
    <row r="807" spans="8:34" x14ac:dyDescent="0.2">
      <c r="H807" s="5"/>
      <c r="I807" s="5"/>
      <c r="J807" s="5"/>
      <c r="K807" s="5"/>
      <c r="L807" s="95"/>
      <c r="O807" s="4"/>
      <c r="P807" s="4"/>
      <c r="AB807" s="4"/>
      <c r="AD807" s="4"/>
      <c r="AF807" t="e">
        <f>VLOOKUP(C807,'גיליון דאטה להכל'!A:H,5,0)</f>
        <v>#N/A</v>
      </c>
      <c r="AG807" s="104">
        <f t="shared" si="24"/>
        <v>0</v>
      </c>
      <c r="AH807" t="e">
        <f t="shared" si="25"/>
        <v>#N/A</v>
      </c>
    </row>
    <row r="808" spans="8:34" x14ac:dyDescent="0.2">
      <c r="H808" s="5"/>
      <c r="I808" s="5"/>
      <c r="J808" s="5"/>
      <c r="K808" s="5"/>
      <c r="L808" s="95"/>
      <c r="O808" s="4"/>
      <c r="P808" s="4"/>
      <c r="AB808" s="4"/>
      <c r="AD808" s="4"/>
      <c r="AF808" t="e">
        <f>VLOOKUP(C808,'גיליון דאטה להכל'!A:H,5,0)</f>
        <v>#N/A</v>
      </c>
      <c r="AG808" s="104">
        <f t="shared" si="24"/>
        <v>0</v>
      </c>
      <c r="AH808" t="e">
        <f t="shared" si="25"/>
        <v>#N/A</v>
      </c>
    </row>
    <row r="809" spans="8:34" x14ac:dyDescent="0.2">
      <c r="H809" s="5"/>
      <c r="I809" s="5"/>
      <c r="J809" s="5"/>
      <c r="K809" s="5"/>
      <c r="L809" s="95"/>
      <c r="O809" s="4"/>
      <c r="P809" s="4"/>
      <c r="AB809" s="4"/>
      <c r="AD809" s="4"/>
      <c r="AF809" t="e">
        <f>VLOOKUP(C809,'גיליון דאטה להכל'!A:H,5,0)</f>
        <v>#N/A</v>
      </c>
      <c r="AG809" s="104">
        <f t="shared" si="24"/>
        <v>0</v>
      </c>
      <c r="AH809" t="e">
        <f t="shared" si="25"/>
        <v>#N/A</v>
      </c>
    </row>
    <row r="810" spans="8:34" x14ac:dyDescent="0.2">
      <c r="H810" s="5"/>
      <c r="I810" s="5"/>
      <c r="J810" s="5"/>
      <c r="K810" s="5"/>
      <c r="L810" s="95"/>
      <c r="O810" s="4"/>
      <c r="P810" s="4"/>
      <c r="AB810" s="4"/>
      <c r="AD810" s="4"/>
      <c r="AF810" t="e">
        <f>VLOOKUP(C810,'גיליון דאטה להכל'!A:H,5,0)</f>
        <v>#N/A</v>
      </c>
      <c r="AG810" s="104">
        <f t="shared" si="24"/>
        <v>0</v>
      </c>
      <c r="AH810" t="e">
        <f t="shared" si="25"/>
        <v>#N/A</v>
      </c>
    </row>
    <row r="811" spans="8:34" x14ac:dyDescent="0.2">
      <c r="H811" s="5"/>
      <c r="I811" s="5"/>
      <c r="J811" s="5"/>
      <c r="K811" s="5"/>
      <c r="L811" s="95"/>
      <c r="O811" s="4"/>
      <c r="P811" s="4"/>
      <c r="AB811" s="4"/>
      <c r="AD811" s="4"/>
      <c r="AF811" t="e">
        <f>VLOOKUP(C811,'גיליון דאטה להכל'!A:H,5,0)</f>
        <v>#N/A</v>
      </c>
      <c r="AG811" s="104">
        <f t="shared" si="24"/>
        <v>0</v>
      </c>
      <c r="AH811" t="e">
        <f t="shared" si="25"/>
        <v>#N/A</v>
      </c>
    </row>
    <row r="812" spans="8:34" x14ac:dyDescent="0.2">
      <c r="H812" s="5"/>
      <c r="I812" s="5"/>
      <c r="J812" s="5"/>
      <c r="K812" s="5"/>
      <c r="L812" s="95"/>
      <c r="O812" s="4"/>
      <c r="P812" s="4"/>
      <c r="AB812" s="4"/>
      <c r="AD812" s="4"/>
      <c r="AF812" t="e">
        <f>VLOOKUP(C812,'גיליון דאטה להכל'!A:H,5,0)</f>
        <v>#N/A</v>
      </c>
      <c r="AG812" s="104">
        <f t="shared" si="24"/>
        <v>0</v>
      </c>
      <c r="AH812" t="e">
        <f t="shared" si="25"/>
        <v>#N/A</v>
      </c>
    </row>
    <row r="813" spans="8:34" x14ac:dyDescent="0.2">
      <c r="H813" s="5"/>
      <c r="I813" s="5"/>
      <c r="J813" s="5"/>
      <c r="K813" s="5"/>
      <c r="L813" s="95"/>
      <c r="O813" s="4"/>
      <c r="P813" s="4"/>
      <c r="AB813" s="4"/>
      <c r="AD813" s="4"/>
      <c r="AF813" t="e">
        <f>VLOOKUP(C813,'גיליון דאטה להכל'!A:H,5,0)</f>
        <v>#N/A</v>
      </c>
      <c r="AG813" s="104">
        <f t="shared" si="24"/>
        <v>0</v>
      </c>
      <c r="AH813" t="e">
        <f t="shared" si="25"/>
        <v>#N/A</v>
      </c>
    </row>
    <row r="814" spans="8:34" x14ac:dyDescent="0.2">
      <c r="H814" s="5"/>
      <c r="I814" s="5"/>
      <c r="J814" s="5"/>
      <c r="K814" s="5"/>
      <c r="L814" s="95"/>
      <c r="O814" s="4"/>
      <c r="P814" s="4"/>
      <c r="AB814" s="4"/>
      <c r="AD814" s="4"/>
      <c r="AF814" t="e">
        <f>VLOOKUP(C814,'גיליון דאטה להכל'!A:H,5,0)</f>
        <v>#N/A</v>
      </c>
      <c r="AG814" s="104">
        <f t="shared" si="24"/>
        <v>0</v>
      </c>
      <c r="AH814" t="e">
        <f t="shared" si="25"/>
        <v>#N/A</v>
      </c>
    </row>
    <row r="815" spans="8:34" x14ac:dyDescent="0.2">
      <c r="H815" s="5"/>
      <c r="I815" s="5"/>
      <c r="J815" s="5"/>
      <c r="K815" s="5"/>
      <c r="L815" s="95"/>
      <c r="O815" s="4"/>
      <c r="P815" s="4"/>
      <c r="AB815" s="4"/>
      <c r="AD815" s="4"/>
      <c r="AF815" t="e">
        <f>VLOOKUP(C815,'גיליון דאטה להכל'!A:H,5,0)</f>
        <v>#N/A</v>
      </c>
      <c r="AG815" s="104">
        <f t="shared" si="24"/>
        <v>0</v>
      </c>
      <c r="AH815" t="e">
        <f t="shared" si="25"/>
        <v>#N/A</v>
      </c>
    </row>
    <row r="816" spans="8:34" x14ac:dyDescent="0.2">
      <c r="H816" s="5"/>
      <c r="I816" s="5"/>
      <c r="J816" s="5"/>
      <c r="K816" s="5"/>
      <c r="L816" s="95"/>
      <c r="O816" s="4"/>
      <c r="P816" s="4"/>
      <c r="AB816" s="4"/>
      <c r="AD816" s="4"/>
      <c r="AF816" t="e">
        <f>VLOOKUP(C816,'גיליון דאטה להכל'!A:H,5,0)</f>
        <v>#N/A</v>
      </c>
      <c r="AG816" s="104">
        <f t="shared" si="24"/>
        <v>0</v>
      </c>
      <c r="AH816" t="e">
        <f t="shared" si="25"/>
        <v>#N/A</v>
      </c>
    </row>
    <row r="817" spans="8:34" x14ac:dyDescent="0.2">
      <c r="H817" s="5"/>
      <c r="I817" s="5"/>
      <c r="J817" s="5"/>
      <c r="K817" s="5"/>
      <c r="L817" s="95"/>
      <c r="O817" s="4"/>
      <c r="P817" s="4"/>
      <c r="AB817" s="4"/>
      <c r="AD817" s="4"/>
      <c r="AF817" t="e">
        <f>VLOOKUP(C817,'גיליון דאטה להכל'!A:H,5,0)</f>
        <v>#N/A</v>
      </c>
      <c r="AG817" s="104">
        <f t="shared" si="24"/>
        <v>0</v>
      </c>
      <c r="AH817" t="e">
        <f t="shared" si="25"/>
        <v>#N/A</v>
      </c>
    </row>
    <row r="818" spans="8:34" x14ac:dyDescent="0.2">
      <c r="H818" s="5"/>
      <c r="I818" s="5"/>
      <c r="J818" s="5"/>
      <c r="K818" s="5"/>
      <c r="L818" s="95"/>
      <c r="O818" s="4"/>
      <c r="P818" s="4"/>
      <c r="AB818" s="4"/>
      <c r="AD818" s="4"/>
      <c r="AF818" t="e">
        <f>VLOOKUP(C818,'גיליון דאטה להכל'!A:H,5,0)</f>
        <v>#N/A</v>
      </c>
      <c r="AG818" s="104">
        <f t="shared" si="24"/>
        <v>0</v>
      </c>
      <c r="AH818" t="e">
        <f t="shared" si="25"/>
        <v>#N/A</v>
      </c>
    </row>
    <row r="819" spans="8:34" x14ac:dyDescent="0.2">
      <c r="H819" s="5"/>
      <c r="I819" s="5"/>
      <c r="J819" s="5"/>
      <c r="K819" s="5"/>
      <c r="L819" s="95"/>
      <c r="O819" s="4"/>
      <c r="P819" s="4"/>
      <c r="AB819" s="4"/>
      <c r="AD819" s="4"/>
      <c r="AF819" t="e">
        <f>VLOOKUP(C819,'גיליון דאטה להכל'!A:H,5,0)</f>
        <v>#N/A</v>
      </c>
      <c r="AG819" s="104">
        <f t="shared" si="24"/>
        <v>0</v>
      </c>
      <c r="AH819" t="e">
        <f t="shared" si="25"/>
        <v>#N/A</v>
      </c>
    </row>
    <row r="820" spans="8:34" x14ac:dyDescent="0.2">
      <c r="H820" s="5"/>
      <c r="I820" s="5"/>
      <c r="J820" s="5"/>
      <c r="K820" s="5"/>
      <c r="L820" s="95"/>
      <c r="O820" s="4"/>
      <c r="P820" s="4"/>
      <c r="AB820" s="4"/>
      <c r="AD820" s="4"/>
      <c r="AF820" t="e">
        <f>VLOOKUP(C820,'גיליון דאטה להכל'!A:H,5,0)</f>
        <v>#N/A</v>
      </c>
      <c r="AG820" s="104">
        <f t="shared" si="24"/>
        <v>0</v>
      </c>
      <c r="AH820" t="e">
        <f t="shared" si="25"/>
        <v>#N/A</v>
      </c>
    </row>
    <row r="821" spans="8:34" x14ac:dyDescent="0.2">
      <c r="H821" s="5"/>
      <c r="I821" s="5"/>
      <c r="J821" s="5"/>
      <c r="K821" s="5"/>
      <c r="L821" s="95"/>
      <c r="O821" s="4"/>
      <c r="P821" s="4"/>
      <c r="AB821" s="4"/>
      <c r="AD821" s="4"/>
      <c r="AF821" t="e">
        <f>VLOOKUP(C821,'גיליון דאטה להכל'!A:H,5,0)</f>
        <v>#N/A</v>
      </c>
      <c r="AG821" s="104">
        <f t="shared" si="24"/>
        <v>0</v>
      </c>
      <c r="AH821" t="e">
        <f t="shared" si="25"/>
        <v>#N/A</v>
      </c>
    </row>
    <row r="822" spans="8:34" x14ac:dyDescent="0.2">
      <c r="H822" s="5"/>
      <c r="I822" s="5"/>
      <c r="J822" s="5"/>
      <c r="K822" s="5"/>
      <c r="L822" s="95"/>
      <c r="O822" s="4"/>
      <c r="P822" s="4"/>
      <c r="AB822" s="4"/>
      <c r="AD822" s="4"/>
      <c r="AF822" t="e">
        <f>VLOOKUP(C822,'גיליון דאטה להכל'!A:H,5,0)</f>
        <v>#N/A</v>
      </c>
      <c r="AG822" s="104">
        <f t="shared" si="24"/>
        <v>0</v>
      </c>
      <c r="AH822" t="e">
        <f t="shared" si="25"/>
        <v>#N/A</v>
      </c>
    </row>
    <row r="823" spans="8:34" x14ac:dyDescent="0.2">
      <c r="H823" s="5"/>
      <c r="I823" s="5"/>
      <c r="J823" s="5"/>
      <c r="K823" s="5"/>
      <c r="L823" s="95"/>
      <c r="O823" s="4"/>
      <c r="P823" s="4"/>
      <c r="AB823" s="4"/>
      <c r="AD823" s="4"/>
      <c r="AF823" t="e">
        <f>VLOOKUP(C823,'גיליון דאטה להכל'!A:H,5,0)</f>
        <v>#N/A</v>
      </c>
      <c r="AG823" s="104">
        <f t="shared" si="24"/>
        <v>0</v>
      </c>
      <c r="AH823" t="e">
        <f t="shared" si="25"/>
        <v>#N/A</v>
      </c>
    </row>
    <row r="824" spans="8:34" x14ac:dyDescent="0.2">
      <c r="H824" s="5"/>
      <c r="I824" s="5"/>
      <c r="J824" s="5"/>
      <c r="K824" s="5"/>
      <c r="L824" s="95"/>
      <c r="O824" s="4"/>
      <c r="P824" s="4"/>
      <c r="AB824" s="4"/>
      <c r="AD824" s="4"/>
      <c r="AF824" t="e">
        <f>VLOOKUP(C824,'גיליון דאטה להכל'!A:H,5,0)</f>
        <v>#N/A</v>
      </c>
      <c r="AG824" s="104">
        <f t="shared" si="24"/>
        <v>0</v>
      </c>
      <c r="AH824" t="e">
        <f t="shared" si="25"/>
        <v>#N/A</v>
      </c>
    </row>
    <row r="825" spans="8:34" x14ac:dyDescent="0.2">
      <c r="H825" s="5"/>
      <c r="I825" s="5"/>
      <c r="J825" s="5"/>
      <c r="K825" s="5"/>
      <c r="L825" s="95"/>
      <c r="O825" s="4"/>
      <c r="P825" s="4"/>
      <c r="AB825" s="4"/>
      <c r="AD825" s="4"/>
      <c r="AF825" t="e">
        <f>VLOOKUP(C825,'גיליון דאטה להכל'!A:H,5,0)</f>
        <v>#N/A</v>
      </c>
      <c r="AG825" s="104">
        <f t="shared" si="24"/>
        <v>0</v>
      </c>
      <c r="AH825" t="e">
        <f t="shared" si="25"/>
        <v>#N/A</v>
      </c>
    </row>
    <row r="826" spans="8:34" x14ac:dyDescent="0.2">
      <c r="H826" s="5"/>
      <c r="I826" s="5"/>
      <c r="J826" s="5"/>
      <c r="K826" s="5"/>
      <c r="L826" s="95"/>
      <c r="O826" s="4"/>
      <c r="P826" s="4"/>
      <c r="AB826" s="4"/>
      <c r="AD826" s="4"/>
      <c r="AF826" t="e">
        <f>VLOOKUP(C826,'גיליון דאטה להכל'!A:H,5,0)</f>
        <v>#N/A</v>
      </c>
      <c r="AG826" s="104">
        <f t="shared" si="24"/>
        <v>0</v>
      </c>
      <c r="AH826" t="e">
        <f t="shared" si="25"/>
        <v>#N/A</v>
      </c>
    </row>
    <row r="827" spans="8:34" x14ac:dyDescent="0.2">
      <c r="H827" s="5"/>
      <c r="I827" s="5"/>
      <c r="J827" s="5"/>
      <c r="K827" s="5"/>
      <c r="L827" s="95"/>
      <c r="O827" s="4"/>
      <c r="P827" s="4"/>
      <c r="AB827" s="4"/>
      <c r="AD827" s="4"/>
      <c r="AF827" t="e">
        <f>VLOOKUP(C827,'גיליון דאטה להכל'!A:H,5,0)</f>
        <v>#N/A</v>
      </c>
      <c r="AG827" s="104">
        <f t="shared" si="24"/>
        <v>0</v>
      </c>
      <c r="AH827" t="e">
        <f t="shared" si="25"/>
        <v>#N/A</v>
      </c>
    </row>
    <row r="828" spans="8:34" x14ac:dyDescent="0.2">
      <c r="H828" s="5"/>
      <c r="I828" s="5"/>
      <c r="J828" s="5"/>
      <c r="K828" s="5"/>
      <c r="L828" s="95"/>
      <c r="O828" s="4"/>
      <c r="P828" s="4"/>
      <c r="AB828" s="4"/>
      <c r="AD828" s="4"/>
      <c r="AF828" t="e">
        <f>VLOOKUP(C828,'גיליון דאטה להכל'!A:H,5,0)</f>
        <v>#N/A</v>
      </c>
      <c r="AG828" s="104">
        <f t="shared" si="24"/>
        <v>0</v>
      </c>
      <c r="AH828" t="e">
        <f t="shared" si="25"/>
        <v>#N/A</v>
      </c>
    </row>
    <row r="829" spans="8:34" x14ac:dyDescent="0.2">
      <c r="H829" s="5"/>
      <c r="I829" s="5"/>
      <c r="J829" s="5"/>
      <c r="K829" s="5"/>
      <c r="L829" s="95"/>
      <c r="O829" s="4"/>
      <c r="P829" s="4"/>
      <c r="AB829" s="4"/>
      <c r="AD829" s="4"/>
      <c r="AF829" t="e">
        <f>VLOOKUP(C829,'גיליון דאטה להכל'!A:H,5,0)</f>
        <v>#N/A</v>
      </c>
      <c r="AG829" s="104">
        <f t="shared" si="24"/>
        <v>0</v>
      </c>
      <c r="AH829" t="e">
        <f t="shared" si="25"/>
        <v>#N/A</v>
      </c>
    </row>
    <row r="830" spans="8:34" x14ac:dyDescent="0.2">
      <c r="H830" s="5"/>
      <c r="I830" s="5"/>
      <c r="J830" s="5"/>
      <c r="K830" s="5"/>
      <c r="L830" s="95"/>
      <c r="O830" s="4"/>
      <c r="P830" s="4"/>
      <c r="AB830" s="4"/>
      <c r="AD830" s="4"/>
      <c r="AF830" t="e">
        <f>VLOOKUP(C830,'גיליון דאטה להכל'!A:H,5,0)</f>
        <v>#N/A</v>
      </c>
      <c r="AG830" s="104">
        <f t="shared" si="24"/>
        <v>0</v>
      </c>
      <c r="AH830" t="e">
        <f t="shared" si="25"/>
        <v>#N/A</v>
      </c>
    </row>
    <row r="831" spans="8:34" x14ac:dyDescent="0.2">
      <c r="H831" s="5"/>
      <c r="I831" s="5"/>
      <c r="J831" s="5"/>
      <c r="K831" s="5"/>
      <c r="L831" s="95"/>
      <c r="O831" s="4"/>
      <c r="P831" s="4"/>
      <c r="AB831" s="4"/>
      <c r="AD831" s="4"/>
      <c r="AF831" t="e">
        <f>VLOOKUP(C831,'גיליון דאטה להכל'!A:H,5,0)</f>
        <v>#N/A</v>
      </c>
      <c r="AG831" s="104">
        <f t="shared" si="24"/>
        <v>0</v>
      </c>
      <c r="AH831" t="e">
        <f t="shared" si="25"/>
        <v>#N/A</v>
      </c>
    </row>
    <row r="832" spans="8:34" x14ac:dyDescent="0.2">
      <c r="H832" s="5"/>
      <c r="I832" s="5"/>
      <c r="J832" s="5"/>
      <c r="K832" s="5"/>
      <c r="L832" s="95"/>
      <c r="O832" s="4"/>
      <c r="P832" s="4"/>
      <c r="AB832" s="4"/>
      <c r="AD832" s="4"/>
      <c r="AF832" t="e">
        <f>VLOOKUP(C832,'גיליון דאטה להכל'!A:H,5,0)</f>
        <v>#N/A</v>
      </c>
      <c r="AG832" s="104">
        <f t="shared" si="24"/>
        <v>0</v>
      </c>
      <c r="AH832" t="e">
        <f t="shared" si="25"/>
        <v>#N/A</v>
      </c>
    </row>
    <row r="833" spans="8:34" x14ac:dyDescent="0.2">
      <c r="H833" s="5"/>
      <c r="I833" s="5"/>
      <c r="J833" s="5"/>
      <c r="K833" s="5"/>
      <c r="L833" s="95"/>
      <c r="O833" s="4"/>
      <c r="P833" s="4"/>
      <c r="AB833" s="4"/>
      <c r="AD833" s="4"/>
      <c r="AF833" t="e">
        <f>VLOOKUP(C833,'גיליון דאטה להכל'!A:H,5,0)</f>
        <v>#N/A</v>
      </c>
      <c r="AG833" s="104">
        <f t="shared" si="24"/>
        <v>0</v>
      </c>
      <c r="AH833" t="e">
        <f t="shared" si="25"/>
        <v>#N/A</v>
      </c>
    </row>
    <row r="834" spans="8:34" x14ac:dyDescent="0.2">
      <c r="H834" s="5"/>
      <c r="I834" s="5"/>
      <c r="J834" s="5"/>
      <c r="K834" s="5"/>
      <c r="L834" s="95"/>
      <c r="O834" s="4"/>
      <c r="P834" s="4"/>
      <c r="AB834" s="4"/>
      <c r="AD834" s="4"/>
      <c r="AF834" t="e">
        <f>VLOOKUP(C834,'גיליון דאטה להכל'!A:H,5,0)</f>
        <v>#N/A</v>
      </c>
      <c r="AG834" s="104">
        <f t="shared" si="24"/>
        <v>0</v>
      </c>
      <c r="AH834" t="e">
        <f t="shared" si="25"/>
        <v>#N/A</v>
      </c>
    </row>
    <row r="835" spans="8:34" x14ac:dyDescent="0.2">
      <c r="H835" s="5"/>
      <c r="I835" s="5"/>
      <c r="J835" s="5"/>
      <c r="K835" s="5"/>
      <c r="L835" s="95"/>
      <c r="O835" s="4"/>
      <c r="P835" s="4"/>
      <c r="AB835" s="4"/>
      <c r="AD835" s="4"/>
      <c r="AF835" t="e">
        <f>VLOOKUP(C835,'גיליון דאטה להכל'!A:H,5,0)</f>
        <v>#N/A</v>
      </c>
      <c r="AG835" s="104">
        <f t="shared" ref="AG835:AG898" si="26">I835+H835</f>
        <v>0</v>
      </c>
      <c r="AH835" t="e">
        <f t="shared" ref="AH835:AH898" si="27">_xlfn.CONCAT(AF835,N835)</f>
        <v>#N/A</v>
      </c>
    </row>
    <row r="836" spans="8:34" x14ac:dyDescent="0.2">
      <c r="H836" s="5"/>
      <c r="I836" s="5"/>
      <c r="J836" s="5"/>
      <c r="K836" s="5"/>
      <c r="L836" s="95"/>
      <c r="O836" s="4"/>
      <c r="P836" s="4"/>
      <c r="AB836" s="4"/>
      <c r="AD836" s="4"/>
      <c r="AF836" t="e">
        <f>VLOOKUP(C836,'גיליון דאטה להכל'!A:H,5,0)</f>
        <v>#N/A</v>
      </c>
      <c r="AG836" s="104">
        <f t="shared" si="26"/>
        <v>0</v>
      </c>
      <c r="AH836" t="e">
        <f t="shared" si="27"/>
        <v>#N/A</v>
      </c>
    </row>
    <row r="837" spans="8:34" x14ac:dyDescent="0.2">
      <c r="H837" s="5"/>
      <c r="I837" s="5"/>
      <c r="J837" s="5"/>
      <c r="K837" s="5"/>
      <c r="O837" s="4"/>
      <c r="P837" s="4"/>
      <c r="AB837" s="4"/>
      <c r="AD837" s="4"/>
      <c r="AF837" t="e">
        <f>VLOOKUP(C837,'גיליון דאטה להכל'!A:H,5,0)</f>
        <v>#N/A</v>
      </c>
      <c r="AG837" s="104">
        <f t="shared" si="26"/>
        <v>0</v>
      </c>
      <c r="AH837" t="e">
        <f t="shared" si="27"/>
        <v>#N/A</v>
      </c>
    </row>
    <row r="838" spans="8:34" x14ac:dyDescent="0.2">
      <c r="H838" s="5"/>
      <c r="I838" s="5"/>
      <c r="J838" s="5"/>
      <c r="K838" s="5"/>
      <c r="O838" s="4"/>
      <c r="P838" s="4"/>
      <c r="AB838" s="4"/>
      <c r="AD838" s="4"/>
      <c r="AF838" t="e">
        <f>VLOOKUP(C838,'גיליון דאטה להכל'!A:H,5,0)</f>
        <v>#N/A</v>
      </c>
      <c r="AG838" s="104">
        <f t="shared" si="26"/>
        <v>0</v>
      </c>
      <c r="AH838" t="e">
        <f t="shared" si="27"/>
        <v>#N/A</v>
      </c>
    </row>
    <row r="839" spans="8:34" x14ac:dyDescent="0.2">
      <c r="H839" s="5"/>
      <c r="I839" s="5"/>
      <c r="J839" s="5"/>
      <c r="K839" s="5"/>
      <c r="O839" s="4"/>
      <c r="P839" s="4"/>
      <c r="AB839" s="4"/>
      <c r="AD839" s="4"/>
      <c r="AF839" t="e">
        <f>VLOOKUP(C839,'גיליון דאטה להכל'!A:H,5,0)</f>
        <v>#N/A</v>
      </c>
      <c r="AG839" s="104">
        <f t="shared" si="26"/>
        <v>0</v>
      </c>
      <c r="AH839" t="e">
        <f t="shared" si="27"/>
        <v>#N/A</v>
      </c>
    </row>
    <row r="840" spans="8:34" x14ac:dyDescent="0.2">
      <c r="H840" s="5"/>
      <c r="I840" s="5"/>
      <c r="J840" s="5"/>
      <c r="K840" s="5"/>
      <c r="O840" s="4"/>
      <c r="P840" s="4"/>
      <c r="AB840" s="4"/>
      <c r="AD840" s="4"/>
      <c r="AF840" t="e">
        <f>VLOOKUP(C840,'גיליון דאטה להכל'!A:H,5,0)</f>
        <v>#N/A</v>
      </c>
      <c r="AG840" s="104">
        <f t="shared" si="26"/>
        <v>0</v>
      </c>
      <c r="AH840" t="e">
        <f t="shared" si="27"/>
        <v>#N/A</v>
      </c>
    </row>
    <row r="841" spans="8:34" x14ac:dyDescent="0.2">
      <c r="H841" s="5"/>
      <c r="I841" s="5"/>
      <c r="J841" s="5"/>
      <c r="K841" s="5"/>
      <c r="O841" s="4"/>
      <c r="P841" s="4"/>
      <c r="AB841" s="4"/>
      <c r="AD841" s="4"/>
      <c r="AF841" t="e">
        <f>VLOOKUP(C841,'גיליון דאטה להכל'!A:H,5,0)</f>
        <v>#N/A</v>
      </c>
      <c r="AG841" s="104">
        <f t="shared" si="26"/>
        <v>0</v>
      </c>
      <c r="AH841" t="e">
        <f t="shared" si="27"/>
        <v>#N/A</v>
      </c>
    </row>
    <row r="842" spans="8:34" x14ac:dyDescent="0.2">
      <c r="H842" s="5"/>
      <c r="I842" s="5"/>
      <c r="J842" s="5"/>
      <c r="K842" s="5"/>
      <c r="O842" s="4"/>
      <c r="P842" s="4"/>
      <c r="AB842" s="4"/>
      <c r="AD842" s="4"/>
      <c r="AF842" t="e">
        <f>VLOOKUP(C842,'גיליון דאטה להכל'!A:H,5,0)</f>
        <v>#N/A</v>
      </c>
      <c r="AG842" s="104">
        <f t="shared" si="26"/>
        <v>0</v>
      </c>
      <c r="AH842" t="e">
        <f t="shared" si="27"/>
        <v>#N/A</v>
      </c>
    </row>
    <row r="843" spans="8:34" x14ac:dyDescent="0.2">
      <c r="H843" s="5"/>
      <c r="I843" s="5"/>
      <c r="J843" s="5"/>
      <c r="K843" s="5"/>
      <c r="O843" s="4"/>
      <c r="P843" s="4"/>
      <c r="AB843" s="4"/>
      <c r="AD843" s="4"/>
      <c r="AF843" t="e">
        <f>VLOOKUP(C843,'גיליון דאטה להכל'!A:H,5,0)</f>
        <v>#N/A</v>
      </c>
      <c r="AG843" s="104">
        <f t="shared" si="26"/>
        <v>0</v>
      </c>
      <c r="AH843" t="e">
        <f t="shared" si="27"/>
        <v>#N/A</v>
      </c>
    </row>
    <row r="844" spans="8:34" x14ac:dyDescent="0.2">
      <c r="H844" s="5"/>
      <c r="I844" s="5"/>
      <c r="J844" s="5"/>
      <c r="K844" s="5"/>
      <c r="O844" s="4"/>
      <c r="P844" s="4"/>
      <c r="AB844" s="4"/>
      <c r="AD844" s="4"/>
      <c r="AF844" t="e">
        <f>VLOOKUP(C844,'גיליון דאטה להכל'!A:H,5,0)</f>
        <v>#N/A</v>
      </c>
      <c r="AG844" s="104">
        <f t="shared" si="26"/>
        <v>0</v>
      </c>
      <c r="AH844" t="e">
        <f t="shared" si="27"/>
        <v>#N/A</v>
      </c>
    </row>
    <row r="845" spans="8:34" x14ac:dyDescent="0.2">
      <c r="H845" s="5"/>
      <c r="I845" s="5"/>
      <c r="J845" s="5"/>
      <c r="K845" s="5"/>
      <c r="O845" s="4"/>
      <c r="P845" s="4"/>
      <c r="AB845" s="4"/>
      <c r="AD845" s="4"/>
      <c r="AF845" t="e">
        <f>VLOOKUP(C845,'גיליון דאטה להכל'!A:H,5,0)</f>
        <v>#N/A</v>
      </c>
      <c r="AG845" s="104">
        <f t="shared" si="26"/>
        <v>0</v>
      </c>
      <c r="AH845" t="e">
        <f t="shared" si="27"/>
        <v>#N/A</v>
      </c>
    </row>
    <row r="846" spans="8:34" x14ac:dyDescent="0.2">
      <c r="H846" s="5"/>
      <c r="I846" s="5"/>
      <c r="J846" s="5"/>
      <c r="K846" s="5"/>
      <c r="O846" s="4"/>
      <c r="P846" s="4"/>
      <c r="AB846" s="4"/>
      <c r="AD846" s="4"/>
      <c r="AF846" t="e">
        <f>VLOOKUP(C846,'גיליון דאטה להכל'!A:H,5,0)</f>
        <v>#N/A</v>
      </c>
      <c r="AG846" s="104">
        <f t="shared" si="26"/>
        <v>0</v>
      </c>
      <c r="AH846" t="e">
        <f t="shared" si="27"/>
        <v>#N/A</v>
      </c>
    </row>
    <row r="847" spans="8:34" x14ac:dyDescent="0.2">
      <c r="H847" s="5"/>
      <c r="I847" s="5"/>
      <c r="J847" s="5"/>
      <c r="K847" s="5"/>
      <c r="O847" s="4"/>
      <c r="P847" s="4"/>
      <c r="AB847" s="4"/>
      <c r="AD847" s="4"/>
      <c r="AF847" t="e">
        <f>VLOOKUP(C847,'גיליון דאטה להכל'!A:H,5,0)</f>
        <v>#N/A</v>
      </c>
      <c r="AG847" s="104">
        <f t="shared" si="26"/>
        <v>0</v>
      </c>
      <c r="AH847" t="e">
        <f t="shared" si="27"/>
        <v>#N/A</v>
      </c>
    </row>
    <row r="848" spans="8:34" x14ac:dyDescent="0.2">
      <c r="H848" s="5"/>
      <c r="I848" s="5"/>
      <c r="J848" s="5"/>
      <c r="K848" s="5"/>
      <c r="O848" s="4"/>
      <c r="P848" s="4"/>
      <c r="AB848" s="4"/>
      <c r="AD848" s="4"/>
      <c r="AF848" t="e">
        <f>VLOOKUP(C848,'גיליון דאטה להכל'!A:H,5,0)</f>
        <v>#N/A</v>
      </c>
      <c r="AG848" s="104">
        <f t="shared" si="26"/>
        <v>0</v>
      </c>
      <c r="AH848" t="e">
        <f t="shared" si="27"/>
        <v>#N/A</v>
      </c>
    </row>
    <row r="849" spans="8:34" x14ac:dyDescent="0.2">
      <c r="H849" s="5"/>
      <c r="I849" s="5"/>
      <c r="J849" s="5"/>
      <c r="K849" s="5"/>
      <c r="O849" s="4"/>
      <c r="P849" s="4"/>
      <c r="AB849" s="4"/>
      <c r="AD849" s="4"/>
      <c r="AF849" t="e">
        <f>VLOOKUP(C849,'גיליון דאטה להכל'!A:H,5,0)</f>
        <v>#N/A</v>
      </c>
      <c r="AG849" s="104">
        <f t="shared" si="26"/>
        <v>0</v>
      </c>
      <c r="AH849" t="e">
        <f t="shared" si="27"/>
        <v>#N/A</v>
      </c>
    </row>
    <row r="850" spans="8:34" x14ac:dyDescent="0.2">
      <c r="H850" s="5"/>
      <c r="I850" s="5"/>
      <c r="J850" s="5"/>
      <c r="K850" s="5"/>
      <c r="O850" s="4"/>
      <c r="P850" s="4"/>
      <c r="AB850" s="4"/>
      <c r="AD850" s="4"/>
      <c r="AF850" t="e">
        <f>VLOOKUP(C850,'גיליון דאטה להכל'!A:H,5,0)</f>
        <v>#N/A</v>
      </c>
      <c r="AG850" s="104">
        <f t="shared" si="26"/>
        <v>0</v>
      </c>
      <c r="AH850" t="e">
        <f t="shared" si="27"/>
        <v>#N/A</v>
      </c>
    </row>
    <row r="851" spans="8:34" x14ac:dyDescent="0.2">
      <c r="H851" s="5"/>
      <c r="I851" s="5"/>
      <c r="J851" s="5"/>
      <c r="K851" s="5"/>
      <c r="O851" s="4"/>
      <c r="P851" s="4"/>
      <c r="AB851" s="4"/>
      <c r="AD851" s="4"/>
      <c r="AF851" t="e">
        <f>VLOOKUP(C851,'גיליון דאטה להכל'!A:H,5,0)</f>
        <v>#N/A</v>
      </c>
      <c r="AG851" s="104">
        <f t="shared" si="26"/>
        <v>0</v>
      </c>
      <c r="AH851" t="e">
        <f t="shared" si="27"/>
        <v>#N/A</v>
      </c>
    </row>
    <row r="852" spans="8:34" x14ac:dyDescent="0.2">
      <c r="H852" s="5"/>
      <c r="I852" s="5"/>
      <c r="J852" s="5"/>
      <c r="K852" s="5"/>
      <c r="O852" s="4"/>
      <c r="P852" s="4"/>
      <c r="AB852" s="4"/>
      <c r="AD852" s="4"/>
      <c r="AF852" t="e">
        <f>VLOOKUP(C852,'גיליון דאטה להכל'!A:H,5,0)</f>
        <v>#N/A</v>
      </c>
      <c r="AG852" s="104">
        <f t="shared" si="26"/>
        <v>0</v>
      </c>
      <c r="AH852" t="e">
        <f t="shared" si="27"/>
        <v>#N/A</v>
      </c>
    </row>
    <row r="853" spans="8:34" x14ac:dyDescent="0.2">
      <c r="H853" s="5"/>
      <c r="I853" s="5"/>
      <c r="J853" s="5"/>
      <c r="K853" s="5"/>
      <c r="O853" s="4"/>
      <c r="P853" s="4"/>
      <c r="AB853" s="4"/>
      <c r="AD853" s="4"/>
      <c r="AF853" t="e">
        <f>VLOOKUP(C853,'גיליון דאטה להכל'!A:H,5,0)</f>
        <v>#N/A</v>
      </c>
      <c r="AG853" s="104">
        <f t="shared" si="26"/>
        <v>0</v>
      </c>
      <c r="AH853" t="e">
        <f t="shared" si="27"/>
        <v>#N/A</v>
      </c>
    </row>
    <row r="854" spans="8:34" x14ac:dyDescent="0.2">
      <c r="H854" s="5"/>
      <c r="I854" s="5"/>
      <c r="J854" s="5"/>
      <c r="K854" s="5"/>
      <c r="O854" s="4"/>
      <c r="P854" s="4"/>
      <c r="AB854" s="4"/>
      <c r="AD854" s="4"/>
      <c r="AF854" t="e">
        <f>VLOOKUP(C854,'גיליון דאטה להכל'!A:H,5,0)</f>
        <v>#N/A</v>
      </c>
      <c r="AG854" s="104">
        <f t="shared" si="26"/>
        <v>0</v>
      </c>
      <c r="AH854" t="e">
        <f t="shared" si="27"/>
        <v>#N/A</v>
      </c>
    </row>
    <row r="855" spans="8:34" x14ac:dyDescent="0.2">
      <c r="H855" s="5"/>
      <c r="I855" s="5"/>
      <c r="J855" s="5"/>
      <c r="K855" s="5"/>
      <c r="O855" s="4"/>
      <c r="P855" s="4"/>
      <c r="AB855" s="4"/>
      <c r="AD855" s="4"/>
      <c r="AF855" t="e">
        <f>VLOOKUP(C855,'גיליון דאטה להכל'!A:H,5,0)</f>
        <v>#N/A</v>
      </c>
      <c r="AG855" s="104">
        <f t="shared" si="26"/>
        <v>0</v>
      </c>
      <c r="AH855" t="e">
        <f t="shared" si="27"/>
        <v>#N/A</v>
      </c>
    </row>
    <row r="856" spans="8:34" x14ac:dyDescent="0.2">
      <c r="H856" s="5"/>
      <c r="I856" s="5"/>
      <c r="J856" s="5"/>
      <c r="K856" s="5"/>
      <c r="O856" s="4"/>
      <c r="P856" s="4"/>
      <c r="AB856" s="4"/>
      <c r="AD856" s="4"/>
      <c r="AF856" t="e">
        <f>VLOOKUP(C856,'גיליון דאטה להכל'!A:H,5,0)</f>
        <v>#N/A</v>
      </c>
      <c r="AG856" s="104">
        <f t="shared" si="26"/>
        <v>0</v>
      </c>
      <c r="AH856" t="e">
        <f t="shared" si="27"/>
        <v>#N/A</v>
      </c>
    </row>
    <row r="857" spans="8:34" x14ac:dyDescent="0.2">
      <c r="H857" s="5"/>
      <c r="I857" s="5"/>
      <c r="J857" s="5"/>
      <c r="K857" s="5"/>
      <c r="O857" s="4"/>
      <c r="P857" s="4"/>
      <c r="AB857" s="4"/>
      <c r="AD857" s="4"/>
      <c r="AF857" t="e">
        <f>VLOOKUP(C857,'גיליון דאטה להכל'!A:H,5,0)</f>
        <v>#N/A</v>
      </c>
      <c r="AG857" s="104">
        <f t="shared" si="26"/>
        <v>0</v>
      </c>
      <c r="AH857" t="e">
        <f t="shared" si="27"/>
        <v>#N/A</v>
      </c>
    </row>
    <row r="858" spans="8:34" x14ac:dyDescent="0.2">
      <c r="H858" s="5"/>
      <c r="I858" s="5"/>
      <c r="J858" s="5"/>
      <c r="K858" s="5"/>
      <c r="O858" s="4"/>
      <c r="P858" s="4"/>
      <c r="AB858" s="4"/>
      <c r="AD858" s="4"/>
      <c r="AF858" t="e">
        <f>VLOOKUP(C858,'גיליון דאטה להכל'!A:H,5,0)</f>
        <v>#N/A</v>
      </c>
      <c r="AG858" s="104">
        <f t="shared" si="26"/>
        <v>0</v>
      </c>
      <c r="AH858" t="e">
        <f t="shared" si="27"/>
        <v>#N/A</v>
      </c>
    </row>
    <row r="859" spans="8:34" x14ac:dyDescent="0.2">
      <c r="H859" s="5"/>
      <c r="I859" s="5"/>
      <c r="J859" s="5"/>
      <c r="K859" s="5"/>
      <c r="O859" s="4"/>
      <c r="P859" s="4"/>
      <c r="AB859" s="4"/>
      <c r="AD859" s="4"/>
      <c r="AF859" t="e">
        <f>VLOOKUP(C859,'גיליון דאטה להכל'!A:H,5,0)</f>
        <v>#N/A</v>
      </c>
      <c r="AG859" s="104">
        <f t="shared" si="26"/>
        <v>0</v>
      </c>
      <c r="AH859" t="e">
        <f t="shared" si="27"/>
        <v>#N/A</v>
      </c>
    </row>
    <row r="860" spans="8:34" x14ac:dyDescent="0.2">
      <c r="H860" s="5"/>
      <c r="I860" s="5"/>
      <c r="J860" s="5"/>
      <c r="K860" s="5"/>
      <c r="O860" s="4"/>
      <c r="P860" s="4"/>
      <c r="AB860" s="4"/>
      <c r="AD860" s="4"/>
      <c r="AF860" t="e">
        <f>VLOOKUP(C860,'גיליון דאטה להכל'!A:H,5,0)</f>
        <v>#N/A</v>
      </c>
      <c r="AG860" s="104">
        <f t="shared" si="26"/>
        <v>0</v>
      </c>
      <c r="AH860" t="e">
        <f t="shared" si="27"/>
        <v>#N/A</v>
      </c>
    </row>
    <row r="861" spans="8:34" x14ac:dyDescent="0.2">
      <c r="H861" s="5"/>
      <c r="I861" s="5"/>
      <c r="J861" s="5"/>
      <c r="K861" s="5"/>
      <c r="O861" s="4"/>
      <c r="P861" s="4"/>
      <c r="AB861" s="4"/>
      <c r="AD861" s="4"/>
      <c r="AF861" t="e">
        <f>VLOOKUP(C861,'גיליון דאטה להכל'!A:H,5,0)</f>
        <v>#N/A</v>
      </c>
      <c r="AG861" s="104">
        <f t="shared" si="26"/>
        <v>0</v>
      </c>
      <c r="AH861" t="e">
        <f t="shared" si="27"/>
        <v>#N/A</v>
      </c>
    </row>
    <row r="862" spans="8:34" x14ac:dyDescent="0.2">
      <c r="H862" s="5"/>
      <c r="I862" s="5"/>
      <c r="J862" s="5"/>
      <c r="K862" s="5"/>
      <c r="O862" s="4"/>
      <c r="P862" s="4"/>
      <c r="AB862" s="4"/>
      <c r="AD862" s="4"/>
      <c r="AF862" t="e">
        <f>VLOOKUP(C862,'גיליון דאטה להכל'!A:H,5,0)</f>
        <v>#N/A</v>
      </c>
      <c r="AG862" s="104">
        <f t="shared" si="26"/>
        <v>0</v>
      </c>
      <c r="AH862" t="e">
        <f t="shared" si="27"/>
        <v>#N/A</v>
      </c>
    </row>
    <row r="863" spans="8:34" x14ac:dyDescent="0.2">
      <c r="H863" s="5"/>
      <c r="I863" s="5"/>
      <c r="J863" s="5"/>
      <c r="K863" s="5"/>
      <c r="L863" s="95"/>
      <c r="O863" s="4"/>
      <c r="P863" s="4"/>
      <c r="AB863" s="4"/>
      <c r="AD863" s="4"/>
      <c r="AF863" t="e">
        <f>VLOOKUP(C863,'גיליון דאטה להכל'!A:H,5,0)</f>
        <v>#N/A</v>
      </c>
      <c r="AG863" s="104">
        <f t="shared" si="26"/>
        <v>0</v>
      </c>
      <c r="AH863" t="e">
        <f t="shared" si="27"/>
        <v>#N/A</v>
      </c>
    </row>
    <row r="864" spans="8:34" x14ac:dyDescent="0.2">
      <c r="H864" s="5"/>
      <c r="I864" s="5"/>
      <c r="J864" s="5"/>
      <c r="K864" s="5"/>
      <c r="L864" s="95"/>
      <c r="O864" s="4"/>
      <c r="P864" s="4"/>
      <c r="AB864" s="4"/>
      <c r="AD864" s="4"/>
      <c r="AF864" t="e">
        <f>VLOOKUP(C864,'גיליון דאטה להכל'!A:H,5,0)</f>
        <v>#N/A</v>
      </c>
      <c r="AG864" s="104">
        <f t="shared" si="26"/>
        <v>0</v>
      </c>
      <c r="AH864" t="e">
        <f t="shared" si="27"/>
        <v>#N/A</v>
      </c>
    </row>
    <row r="865" spans="8:34" x14ac:dyDescent="0.2">
      <c r="H865" s="5"/>
      <c r="I865" s="5"/>
      <c r="J865" s="5"/>
      <c r="K865" s="5"/>
      <c r="L865" s="95"/>
      <c r="O865" s="4"/>
      <c r="P865" s="4"/>
      <c r="AB865" s="4"/>
      <c r="AD865" s="4"/>
      <c r="AF865" t="e">
        <f>VLOOKUP(C865,'גיליון דאטה להכל'!A:H,5,0)</f>
        <v>#N/A</v>
      </c>
      <c r="AG865" s="104">
        <f t="shared" si="26"/>
        <v>0</v>
      </c>
      <c r="AH865" t="e">
        <f t="shared" si="27"/>
        <v>#N/A</v>
      </c>
    </row>
    <row r="866" spans="8:34" x14ac:dyDescent="0.2">
      <c r="H866" s="5"/>
      <c r="I866" s="5"/>
      <c r="J866" s="5"/>
      <c r="K866" s="5"/>
      <c r="L866" s="95"/>
      <c r="O866" s="4"/>
      <c r="P866" s="4"/>
      <c r="AB866" s="4"/>
      <c r="AD866" s="4"/>
      <c r="AF866" t="e">
        <f>VLOOKUP(C866,'גיליון דאטה להכל'!A:H,5,0)</f>
        <v>#N/A</v>
      </c>
      <c r="AG866" s="104">
        <f t="shared" si="26"/>
        <v>0</v>
      </c>
      <c r="AH866" t="e">
        <f t="shared" si="27"/>
        <v>#N/A</v>
      </c>
    </row>
    <row r="867" spans="8:34" x14ac:dyDescent="0.2">
      <c r="H867" s="5"/>
      <c r="I867" s="5"/>
      <c r="J867" s="5"/>
      <c r="K867" s="5"/>
      <c r="L867" s="95"/>
      <c r="O867" s="4"/>
      <c r="P867" s="4"/>
      <c r="AB867" s="4"/>
      <c r="AD867" s="4"/>
      <c r="AF867" t="e">
        <f>VLOOKUP(C867,'גיליון דאטה להכל'!A:H,5,0)</f>
        <v>#N/A</v>
      </c>
      <c r="AG867" s="104">
        <f t="shared" si="26"/>
        <v>0</v>
      </c>
      <c r="AH867" t="e">
        <f t="shared" si="27"/>
        <v>#N/A</v>
      </c>
    </row>
    <row r="868" spans="8:34" x14ac:dyDescent="0.2">
      <c r="H868" s="5"/>
      <c r="I868" s="5"/>
      <c r="J868" s="5"/>
      <c r="K868" s="5"/>
      <c r="L868" s="95"/>
      <c r="O868" s="4"/>
      <c r="P868" s="4"/>
      <c r="AB868" s="4"/>
      <c r="AD868" s="4"/>
      <c r="AF868" t="e">
        <f>VLOOKUP(C868,'גיליון דאטה להכל'!A:H,5,0)</f>
        <v>#N/A</v>
      </c>
      <c r="AG868" s="104">
        <f t="shared" si="26"/>
        <v>0</v>
      </c>
      <c r="AH868" t="e">
        <f t="shared" si="27"/>
        <v>#N/A</v>
      </c>
    </row>
    <row r="869" spans="8:34" x14ac:dyDescent="0.2">
      <c r="H869" s="5"/>
      <c r="I869" s="5"/>
      <c r="J869" s="5"/>
      <c r="K869" s="5"/>
      <c r="L869" s="95"/>
      <c r="O869" s="4"/>
      <c r="P869" s="4"/>
      <c r="AB869" s="4"/>
      <c r="AD869" s="4"/>
      <c r="AF869" t="e">
        <f>VLOOKUP(C869,'גיליון דאטה להכל'!A:H,5,0)</f>
        <v>#N/A</v>
      </c>
      <c r="AG869" s="104">
        <f t="shared" si="26"/>
        <v>0</v>
      </c>
      <c r="AH869" t="e">
        <f t="shared" si="27"/>
        <v>#N/A</v>
      </c>
    </row>
    <row r="870" spans="8:34" x14ac:dyDescent="0.2">
      <c r="H870" s="5"/>
      <c r="I870" s="5"/>
      <c r="J870" s="5"/>
      <c r="K870" s="5"/>
      <c r="L870" s="95"/>
      <c r="O870" s="4"/>
      <c r="P870" s="4"/>
      <c r="AB870" s="4"/>
      <c r="AD870" s="4"/>
      <c r="AF870" t="e">
        <f>VLOOKUP(C870,'גיליון דאטה להכל'!A:H,5,0)</f>
        <v>#N/A</v>
      </c>
      <c r="AG870" s="104">
        <f t="shared" si="26"/>
        <v>0</v>
      </c>
      <c r="AH870" t="e">
        <f t="shared" si="27"/>
        <v>#N/A</v>
      </c>
    </row>
    <row r="871" spans="8:34" x14ac:dyDescent="0.2">
      <c r="H871" s="5"/>
      <c r="I871" s="5"/>
      <c r="J871" s="5"/>
      <c r="K871" s="5"/>
      <c r="L871" s="95"/>
      <c r="O871" s="4"/>
      <c r="P871" s="4"/>
      <c r="AB871" s="4"/>
      <c r="AD871" s="4"/>
      <c r="AF871" t="e">
        <f>VLOOKUP(C871,'גיליון דאטה להכל'!A:H,5,0)</f>
        <v>#N/A</v>
      </c>
      <c r="AG871" s="104">
        <f t="shared" si="26"/>
        <v>0</v>
      </c>
      <c r="AH871" t="e">
        <f t="shared" si="27"/>
        <v>#N/A</v>
      </c>
    </row>
    <row r="872" spans="8:34" x14ac:dyDescent="0.2">
      <c r="H872" s="5"/>
      <c r="I872" s="5"/>
      <c r="J872" s="5"/>
      <c r="K872" s="5"/>
      <c r="L872" s="95"/>
      <c r="O872" s="4"/>
      <c r="P872" s="4"/>
      <c r="AB872" s="4"/>
      <c r="AD872" s="4"/>
      <c r="AF872" t="e">
        <f>VLOOKUP(C872,'גיליון דאטה להכל'!A:H,5,0)</f>
        <v>#N/A</v>
      </c>
      <c r="AG872" s="104">
        <f t="shared" si="26"/>
        <v>0</v>
      </c>
      <c r="AH872" t="e">
        <f t="shared" si="27"/>
        <v>#N/A</v>
      </c>
    </row>
    <row r="873" spans="8:34" x14ac:dyDescent="0.2">
      <c r="H873" s="5"/>
      <c r="I873" s="5"/>
      <c r="J873" s="5"/>
      <c r="K873" s="5"/>
      <c r="L873" s="95"/>
      <c r="O873" s="4"/>
      <c r="P873" s="4"/>
      <c r="AB873" s="4"/>
      <c r="AD873" s="4"/>
      <c r="AF873" t="e">
        <f>VLOOKUP(C873,'גיליון דאטה להכל'!A:H,5,0)</f>
        <v>#N/A</v>
      </c>
      <c r="AG873" s="104">
        <f t="shared" si="26"/>
        <v>0</v>
      </c>
      <c r="AH873" t="e">
        <f t="shared" si="27"/>
        <v>#N/A</v>
      </c>
    </row>
    <row r="874" spans="8:34" x14ac:dyDescent="0.2">
      <c r="H874" s="5"/>
      <c r="I874" s="5"/>
      <c r="J874" s="5"/>
      <c r="K874" s="5"/>
      <c r="L874" s="95"/>
      <c r="O874" s="4"/>
      <c r="P874" s="4"/>
      <c r="AB874" s="4"/>
      <c r="AD874" s="4"/>
      <c r="AF874" t="e">
        <f>VLOOKUP(C874,'גיליון דאטה להכל'!A:H,5,0)</f>
        <v>#N/A</v>
      </c>
      <c r="AG874" s="104">
        <f t="shared" si="26"/>
        <v>0</v>
      </c>
      <c r="AH874" t="e">
        <f t="shared" si="27"/>
        <v>#N/A</v>
      </c>
    </row>
    <row r="875" spans="8:34" x14ac:dyDescent="0.2">
      <c r="H875" s="5"/>
      <c r="I875" s="5"/>
      <c r="J875" s="5"/>
      <c r="K875" s="5"/>
      <c r="L875" s="95"/>
      <c r="O875" s="4"/>
      <c r="P875" s="4"/>
      <c r="AB875" s="4"/>
      <c r="AD875" s="4"/>
      <c r="AF875" t="e">
        <f>VLOOKUP(C875,'גיליון דאטה להכל'!A:H,5,0)</f>
        <v>#N/A</v>
      </c>
      <c r="AG875" s="104">
        <f t="shared" si="26"/>
        <v>0</v>
      </c>
      <c r="AH875" t="e">
        <f t="shared" si="27"/>
        <v>#N/A</v>
      </c>
    </row>
    <row r="876" spans="8:34" x14ac:dyDescent="0.2">
      <c r="H876" s="5"/>
      <c r="I876" s="5"/>
      <c r="J876" s="5"/>
      <c r="K876" s="5"/>
      <c r="L876" s="95"/>
      <c r="O876" s="4"/>
      <c r="P876" s="4"/>
      <c r="AB876" s="4"/>
      <c r="AD876" s="4"/>
      <c r="AF876" t="e">
        <f>VLOOKUP(C876,'גיליון דאטה להכל'!A:H,5,0)</f>
        <v>#N/A</v>
      </c>
      <c r="AG876" s="104">
        <f t="shared" si="26"/>
        <v>0</v>
      </c>
      <c r="AH876" t="e">
        <f t="shared" si="27"/>
        <v>#N/A</v>
      </c>
    </row>
    <row r="877" spans="8:34" x14ac:dyDescent="0.2">
      <c r="H877" s="5"/>
      <c r="I877" s="5"/>
      <c r="J877" s="5"/>
      <c r="K877" s="5"/>
      <c r="L877" s="95"/>
      <c r="O877" s="4"/>
      <c r="P877" s="4"/>
      <c r="AB877" s="4"/>
      <c r="AD877" s="4"/>
      <c r="AF877" t="e">
        <f>VLOOKUP(C877,'גיליון דאטה להכל'!A:H,5,0)</f>
        <v>#N/A</v>
      </c>
      <c r="AG877" s="104">
        <f t="shared" si="26"/>
        <v>0</v>
      </c>
      <c r="AH877" t="e">
        <f t="shared" si="27"/>
        <v>#N/A</v>
      </c>
    </row>
    <row r="878" spans="8:34" x14ac:dyDescent="0.2">
      <c r="H878" s="5"/>
      <c r="I878" s="5"/>
      <c r="J878" s="5"/>
      <c r="K878" s="5"/>
      <c r="L878" s="95"/>
      <c r="O878" s="4"/>
      <c r="P878" s="4"/>
      <c r="AB878" s="4"/>
      <c r="AD878" s="4"/>
      <c r="AF878" t="e">
        <f>VLOOKUP(C878,'גיליון דאטה להכל'!A:H,5,0)</f>
        <v>#N/A</v>
      </c>
      <c r="AG878" s="104">
        <f t="shared" si="26"/>
        <v>0</v>
      </c>
      <c r="AH878" t="e">
        <f t="shared" si="27"/>
        <v>#N/A</v>
      </c>
    </row>
    <row r="879" spans="8:34" x14ac:dyDescent="0.2">
      <c r="H879" s="5"/>
      <c r="I879" s="5"/>
      <c r="J879" s="5"/>
      <c r="K879" s="5"/>
      <c r="L879" s="95"/>
      <c r="O879" s="4"/>
      <c r="P879" s="4"/>
      <c r="AB879" s="4"/>
      <c r="AD879" s="4"/>
      <c r="AF879" t="e">
        <f>VLOOKUP(C879,'גיליון דאטה להכל'!A:H,5,0)</f>
        <v>#N/A</v>
      </c>
      <c r="AG879" s="104">
        <f t="shared" si="26"/>
        <v>0</v>
      </c>
      <c r="AH879" t="e">
        <f t="shared" si="27"/>
        <v>#N/A</v>
      </c>
    </row>
    <row r="880" spans="8:34" x14ac:dyDescent="0.2">
      <c r="H880" s="5"/>
      <c r="I880" s="5"/>
      <c r="J880" s="5"/>
      <c r="K880" s="5"/>
      <c r="O880" s="4"/>
      <c r="P880" s="4"/>
      <c r="AB880" s="4"/>
      <c r="AD880" s="4"/>
      <c r="AF880" t="e">
        <f>VLOOKUP(C880,'גיליון דאטה להכל'!A:H,5,0)</f>
        <v>#N/A</v>
      </c>
      <c r="AG880" s="104">
        <f t="shared" si="26"/>
        <v>0</v>
      </c>
      <c r="AH880" t="e">
        <f t="shared" si="27"/>
        <v>#N/A</v>
      </c>
    </row>
    <row r="881" spans="8:34" x14ac:dyDescent="0.2">
      <c r="H881" s="5"/>
      <c r="I881" s="5"/>
      <c r="J881" s="5"/>
      <c r="K881" s="5"/>
      <c r="O881" s="4"/>
      <c r="P881" s="4"/>
      <c r="AB881" s="4"/>
      <c r="AD881" s="4"/>
      <c r="AF881" t="e">
        <f>VLOOKUP(C881,'גיליון דאטה להכל'!A:H,5,0)</f>
        <v>#N/A</v>
      </c>
      <c r="AG881" s="104">
        <f t="shared" si="26"/>
        <v>0</v>
      </c>
      <c r="AH881" t="e">
        <f t="shared" si="27"/>
        <v>#N/A</v>
      </c>
    </row>
    <row r="882" spans="8:34" x14ac:dyDescent="0.2">
      <c r="H882" s="5"/>
      <c r="I882" s="5"/>
      <c r="J882" s="5"/>
      <c r="K882" s="5"/>
      <c r="O882" s="4"/>
      <c r="P882" s="4"/>
      <c r="AB882" s="4"/>
      <c r="AD882" s="4"/>
      <c r="AF882" t="e">
        <f>VLOOKUP(C882,'גיליון דאטה להכל'!A:H,5,0)</f>
        <v>#N/A</v>
      </c>
      <c r="AG882" s="104">
        <f t="shared" si="26"/>
        <v>0</v>
      </c>
      <c r="AH882" t="e">
        <f t="shared" si="27"/>
        <v>#N/A</v>
      </c>
    </row>
    <row r="883" spans="8:34" x14ac:dyDescent="0.2">
      <c r="H883" s="5"/>
      <c r="I883" s="5"/>
      <c r="J883" s="5"/>
      <c r="K883" s="5"/>
      <c r="O883" s="4"/>
      <c r="P883" s="4"/>
      <c r="AB883" s="4"/>
      <c r="AD883" s="4"/>
      <c r="AF883" t="e">
        <f>VLOOKUP(C883,'גיליון דאטה להכל'!A:H,5,0)</f>
        <v>#N/A</v>
      </c>
      <c r="AG883" s="104">
        <f t="shared" si="26"/>
        <v>0</v>
      </c>
      <c r="AH883" t="e">
        <f t="shared" si="27"/>
        <v>#N/A</v>
      </c>
    </row>
    <row r="884" spans="8:34" x14ac:dyDescent="0.2">
      <c r="H884" s="5"/>
      <c r="I884" s="5"/>
      <c r="J884" s="5"/>
      <c r="K884" s="5"/>
      <c r="O884" s="4"/>
      <c r="P884" s="4"/>
      <c r="AB884" s="4"/>
      <c r="AD884" s="4"/>
      <c r="AF884" t="e">
        <f>VLOOKUP(C884,'גיליון דאטה להכל'!A:H,5,0)</f>
        <v>#N/A</v>
      </c>
      <c r="AG884" s="104">
        <f t="shared" si="26"/>
        <v>0</v>
      </c>
      <c r="AH884" t="e">
        <f t="shared" si="27"/>
        <v>#N/A</v>
      </c>
    </row>
    <row r="885" spans="8:34" x14ac:dyDescent="0.2">
      <c r="H885" s="5"/>
      <c r="I885" s="5"/>
      <c r="J885" s="5"/>
      <c r="K885" s="5"/>
      <c r="O885" s="4"/>
      <c r="P885" s="4"/>
      <c r="AB885" s="4"/>
      <c r="AD885" s="4"/>
      <c r="AF885" t="e">
        <f>VLOOKUP(C885,'גיליון דאטה להכל'!A:H,5,0)</f>
        <v>#N/A</v>
      </c>
      <c r="AG885" s="104">
        <f t="shared" si="26"/>
        <v>0</v>
      </c>
      <c r="AH885" t="e">
        <f t="shared" si="27"/>
        <v>#N/A</v>
      </c>
    </row>
    <row r="886" spans="8:34" x14ac:dyDescent="0.2">
      <c r="H886" s="5"/>
      <c r="I886" s="5"/>
      <c r="J886" s="5"/>
      <c r="K886" s="5"/>
      <c r="O886" s="4"/>
      <c r="P886" s="4"/>
      <c r="AB886" s="4"/>
      <c r="AD886" s="4"/>
      <c r="AF886" t="e">
        <f>VLOOKUP(C886,'גיליון דאטה להכל'!A:H,5,0)</f>
        <v>#N/A</v>
      </c>
      <c r="AG886" s="104">
        <f t="shared" si="26"/>
        <v>0</v>
      </c>
      <c r="AH886" t="e">
        <f t="shared" si="27"/>
        <v>#N/A</v>
      </c>
    </row>
    <row r="887" spans="8:34" x14ac:dyDescent="0.2">
      <c r="H887" s="5"/>
      <c r="I887" s="5"/>
      <c r="J887" s="5"/>
      <c r="K887" s="5"/>
      <c r="O887" s="4"/>
      <c r="P887" s="4"/>
      <c r="AB887" s="4"/>
      <c r="AD887" s="4"/>
      <c r="AF887" t="e">
        <f>VLOOKUP(C887,'גיליון דאטה להכל'!A:H,5,0)</f>
        <v>#N/A</v>
      </c>
      <c r="AG887" s="104">
        <f t="shared" si="26"/>
        <v>0</v>
      </c>
      <c r="AH887" t="e">
        <f t="shared" si="27"/>
        <v>#N/A</v>
      </c>
    </row>
    <row r="888" spans="8:34" x14ac:dyDescent="0.2">
      <c r="H888" s="5"/>
      <c r="I888" s="5"/>
      <c r="J888" s="5"/>
      <c r="K888" s="5"/>
      <c r="O888" s="4"/>
      <c r="P888" s="4"/>
      <c r="AB888" s="4"/>
      <c r="AD888" s="4"/>
      <c r="AF888" t="e">
        <f>VLOOKUP(C888,'גיליון דאטה להכל'!A:H,5,0)</f>
        <v>#N/A</v>
      </c>
      <c r="AG888" s="104">
        <f t="shared" si="26"/>
        <v>0</v>
      </c>
      <c r="AH888" t="e">
        <f t="shared" si="27"/>
        <v>#N/A</v>
      </c>
    </row>
    <row r="889" spans="8:34" x14ac:dyDescent="0.2">
      <c r="H889" s="5"/>
      <c r="I889" s="5"/>
      <c r="J889" s="5"/>
      <c r="K889" s="5"/>
      <c r="O889" s="4"/>
      <c r="P889" s="4"/>
      <c r="AB889" s="4"/>
      <c r="AD889" s="4"/>
      <c r="AF889" t="e">
        <f>VLOOKUP(C889,'גיליון דאטה להכל'!A:H,5,0)</f>
        <v>#N/A</v>
      </c>
      <c r="AG889" s="104">
        <f t="shared" si="26"/>
        <v>0</v>
      </c>
      <c r="AH889" t="e">
        <f t="shared" si="27"/>
        <v>#N/A</v>
      </c>
    </row>
    <row r="890" spans="8:34" x14ac:dyDescent="0.2">
      <c r="H890" s="5"/>
      <c r="I890" s="5"/>
      <c r="J890" s="5"/>
      <c r="K890" s="5"/>
      <c r="O890" s="4"/>
      <c r="P890" s="4"/>
      <c r="AB890" s="4"/>
      <c r="AD890" s="4"/>
      <c r="AF890" t="e">
        <f>VLOOKUP(C890,'גיליון דאטה להכל'!A:H,5,0)</f>
        <v>#N/A</v>
      </c>
      <c r="AG890" s="104">
        <f t="shared" si="26"/>
        <v>0</v>
      </c>
      <c r="AH890" t="e">
        <f t="shared" si="27"/>
        <v>#N/A</v>
      </c>
    </row>
    <row r="891" spans="8:34" x14ac:dyDescent="0.2">
      <c r="H891" s="5"/>
      <c r="I891" s="5"/>
      <c r="J891" s="5"/>
      <c r="K891" s="5"/>
      <c r="O891" s="4"/>
      <c r="P891" s="4"/>
      <c r="AB891" s="4"/>
      <c r="AD891" s="4"/>
      <c r="AF891" t="e">
        <f>VLOOKUP(C891,'גיליון דאטה להכל'!A:H,5,0)</f>
        <v>#N/A</v>
      </c>
      <c r="AG891" s="104">
        <f t="shared" si="26"/>
        <v>0</v>
      </c>
      <c r="AH891" t="e">
        <f t="shared" si="27"/>
        <v>#N/A</v>
      </c>
    </row>
    <row r="892" spans="8:34" x14ac:dyDescent="0.2">
      <c r="H892" s="5"/>
      <c r="I892" s="5"/>
      <c r="J892" s="5"/>
      <c r="K892" s="5"/>
      <c r="O892" s="4"/>
      <c r="P892" s="4"/>
      <c r="AB892" s="4"/>
      <c r="AD892" s="4"/>
      <c r="AF892" t="e">
        <f>VLOOKUP(C892,'גיליון דאטה להכל'!A:H,5,0)</f>
        <v>#N/A</v>
      </c>
      <c r="AG892" s="104">
        <f t="shared" si="26"/>
        <v>0</v>
      </c>
      <c r="AH892" t="e">
        <f t="shared" si="27"/>
        <v>#N/A</v>
      </c>
    </row>
    <row r="893" spans="8:34" x14ac:dyDescent="0.2">
      <c r="H893" s="5"/>
      <c r="I893" s="5"/>
      <c r="J893" s="5"/>
      <c r="K893" s="5"/>
      <c r="O893" s="4"/>
      <c r="P893" s="4"/>
      <c r="AB893" s="4"/>
      <c r="AD893" s="4"/>
      <c r="AF893" t="e">
        <f>VLOOKUP(C893,'גיליון דאטה להכל'!A:H,5,0)</f>
        <v>#N/A</v>
      </c>
      <c r="AG893" s="104">
        <f t="shared" si="26"/>
        <v>0</v>
      </c>
      <c r="AH893" t="e">
        <f t="shared" si="27"/>
        <v>#N/A</v>
      </c>
    </row>
    <row r="894" spans="8:34" x14ac:dyDescent="0.2">
      <c r="H894" s="5"/>
      <c r="I894" s="5"/>
      <c r="J894" s="5"/>
      <c r="K894" s="5"/>
      <c r="O894" s="4"/>
      <c r="P894" s="4"/>
      <c r="AB894" s="4"/>
      <c r="AD894" s="4"/>
      <c r="AF894" t="e">
        <f>VLOOKUP(C894,'גיליון דאטה להכל'!A:H,5,0)</f>
        <v>#N/A</v>
      </c>
      <c r="AG894" s="104">
        <f t="shared" si="26"/>
        <v>0</v>
      </c>
      <c r="AH894" t="e">
        <f t="shared" si="27"/>
        <v>#N/A</v>
      </c>
    </row>
    <row r="895" spans="8:34" x14ac:dyDescent="0.2">
      <c r="H895" s="5"/>
      <c r="I895" s="5"/>
      <c r="J895" s="5"/>
      <c r="K895" s="5"/>
      <c r="O895" s="4"/>
      <c r="P895" s="4"/>
      <c r="AB895" s="4"/>
      <c r="AD895" s="4"/>
      <c r="AF895" t="e">
        <f>VLOOKUP(C895,'גיליון דאטה להכל'!A:H,5,0)</f>
        <v>#N/A</v>
      </c>
      <c r="AG895" s="104">
        <f t="shared" si="26"/>
        <v>0</v>
      </c>
      <c r="AH895" t="e">
        <f t="shared" si="27"/>
        <v>#N/A</v>
      </c>
    </row>
    <row r="896" spans="8:34" x14ac:dyDescent="0.2">
      <c r="H896" s="5"/>
      <c r="I896" s="5"/>
      <c r="J896" s="5"/>
      <c r="K896" s="5"/>
      <c r="O896" s="4"/>
      <c r="P896" s="4"/>
      <c r="AB896" s="4"/>
      <c r="AD896" s="4"/>
      <c r="AF896" t="e">
        <f>VLOOKUP(C896,'גיליון דאטה להכל'!A:H,5,0)</f>
        <v>#N/A</v>
      </c>
      <c r="AG896" s="104">
        <f t="shared" si="26"/>
        <v>0</v>
      </c>
      <c r="AH896" t="e">
        <f t="shared" si="27"/>
        <v>#N/A</v>
      </c>
    </row>
    <row r="897" spans="8:34" x14ac:dyDescent="0.2">
      <c r="H897" s="5"/>
      <c r="I897" s="5"/>
      <c r="J897" s="5"/>
      <c r="K897" s="5"/>
      <c r="O897" s="4"/>
      <c r="P897" s="4"/>
      <c r="AB897" s="4"/>
      <c r="AD897" s="4"/>
      <c r="AF897" t="e">
        <f>VLOOKUP(C897,'גיליון דאטה להכל'!A:H,5,0)</f>
        <v>#N/A</v>
      </c>
      <c r="AG897" s="104">
        <f t="shared" si="26"/>
        <v>0</v>
      </c>
      <c r="AH897" t="e">
        <f t="shared" si="27"/>
        <v>#N/A</v>
      </c>
    </row>
    <row r="898" spans="8:34" x14ac:dyDescent="0.2">
      <c r="H898" s="5"/>
      <c r="I898" s="5"/>
      <c r="J898" s="5"/>
      <c r="K898" s="5"/>
      <c r="O898" s="4"/>
      <c r="P898" s="4"/>
      <c r="AB898" s="4"/>
      <c r="AD898" s="4"/>
      <c r="AF898" t="e">
        <f>VLOOKUP(C898,'גיליון דאטה להכל'!A:H,5,0)</f>
        <v>#N/A</v>
      </c>
      <c r="AG898" s="104">
        <f t="shared" si="26"/>
        <v>0</v>
      </c>
      <c r="AH898" t="e">
        <f t="shared" si="27"/>
        <v>#N/A</v>
      </c>
    </row>
    <row r="899" spans="8:34" x14ac:dyDescent="0.2">
      <c r="H899" s="5"/>
      <c r="I899" s="5"/>
      <c r="J899" s="5"/>
      <c r="K899" s="5"/>
      <c r="O899" s="4"/>
      <c r="P899" s="4"/>
      <c r="AB899" s="4"/>
      <c r="AD899" s="4"/>
      <c r="AF899" t="e">
        <f>VLOOKUP(C899,'גיליון דאטה להכל'!A:H,5,0)</f>
        <v>#N/A</v>
      </c>
      <c r="AG899" s="104">
        <f t="shared" ref="AG899:AG962" si="28">I899+H899</f>
        <v>0</v>
      </c>
      <c r="AH899" t="e">
        <f t="shared" ref="AH899:AH962" si="29">_xlfn.CONCAT(AF899,N899)</f>
        <v>#N/A</v>
      </c>
    </row>
    <row r="900" spans="8:34" x14ac:dyDescent="0.2">
      <c r="H900" s="5"/>
      <c r="I900" s="5"/>
      <c r="J900" s="5"/>
      <c r="K900" s="5"/>
      <c r="O900" s="4"/>
      <c r="P900" s="4"/>
      <c r="AB900" s="4"/>
      <c r="AD900" s="4"/>
      <c r="AF900" t="e">
        <f>VLOOKUP(C900,'גיליון דאטה להכל'!A:H,5,0)</f>
        <v>#N/A</v>
      </c>
      <c r="AG900" s="104">
        <f t="shared" si="28"/>
        <v>0</v>
      </c>
      <c r="AH900" t="e">
        <f t="shared" si="29"/>
        <v>#N/A</v>
      </c>
    </row>
    <row r="901" spans="8:34" x14ac:dyDescent="0.2">
      <c r="H901" s="5"/>
      <c r="I901" s="5"/>
      <c r="J901" s="5"/>
      <c r="K901" s="5"/>
      <c r="O901" s="4"/>
      <c r="P901" s="4"/>
      <c r="AB901" s="4"/>
      <c r="AD901" s="4"/>
      <c r="AF901" t="e">
        <f>VLOOKUP(C901,'גיליון דאטה להכל'!A:H,5,0)</f>
        <v>#N/A</v>
      </c>
      <c r="AG901" s="104">
        <f t="shared" si="28"/>
        <v>0</v>
      </c>
      <c r="AH901" t="e">
        <f t="shared" si="29"/>
        <v>#N/A</v>
      </c>
    </row>
    <row r="902" spans="8:34" x14ac:dyDescent="0.2">
      <c r="H902" s="5"/>
      <c r="I902" s="5"/>
      <c r="J902" s="5"/>
      <c r="K902" s="5"/>
      <c r="O902" s="4"/>
      <c r="P902" s="4"/>
      <c r="AB902" s="4"/>
      <c r="AD902" s="4"/>
      <c r="AF902" t="e">
        <f>VLOOKUP(C902,'גיליון דאטה להכל'!A:H,5,0)</f>
        <v>#N/A</v>
      </c>
      <c r="AG902" s="104">
        <f t="shared" si="28"/>
        <v>0</v>
      </c>
      <c r="AH902" t="e">
        <f t="shared" si="29"/>
        <v>#N/A</v>
      </c>
    </row>
    <row r="903" spans="8:34" x14ac:dyDescent="0.2">
      <c r="H903" s="5"/>
      <c r="I903" s="5"/>
      <c r="J903" s="5"/>
      <c r="K903" s="5"/>
      <c r="O903" s="4"/>
      <c r="P903" s="4"/>
      <c r="AB903" s="4"/>
      <c r="AD903" s="4"/>
      <c r="AF903" t="e">
        <f>VLOOKUP(C903,'גיליון דאטה להכל'!A:H,5,0)</f>
        <v>#N/A</v>
      </c>
      <c r="AG903" s="104">
        <f t="shared" si="28"/>
        <v>0</v>
      </c>
      <c r="AH903" t="e">
        <f t="shared" si="29"/>
        <v>#N/A</v>
      </c>
    </row>
    <row r="904" spans="8:34" x14ac:dyDescent="0.2">
      <c r="H904" s="5"/>
      <c r="I904" s="5"/>
      <c r="J904" s="5"/>
      <c r="K904" s="5"/>
      <c r="O904" s="4"/>
      <c r="P904" s="4"/>
      <c r="AB904" s="4"/>
      <c r="AD904" s="4"/>
      <c r="AF904" t="e">
        <f>VLOOKUP(C904,'גיליון דאטה להכל'!A:H,5,0)</f>
        <v>#N/A</v>
      </c>
      <c r="AG904" s="104">
        <f t="shared" si="28"/>
        <v>0</v>
      </c>
      <c r="AH904" t="e">
        <f t="shared" si="29"/>
        <v>#N/A</v>
      </c>
    </row>
    <row r="905" spans="8:34" x14ac:dyDescent="0.2">
      <c r="H905" s="5"/>
      <c r="I905" s="5"/>
      <c r="J905" s="5"/>
      <c r="K905" s="5"/>
      <c r="O905" s="4"/>
      <c r="P905" s="4"/>
      <c r="AB905" s="4"/>
      <c r="AD905" s="4"/>
      <c r="AF905" t="e">
        <f>VLOOKUP(C905,'גיליון דאטה להכל'!A:H,5,0)</f>
        <v>#N/A</v>
      </c>
      <c r="AG905" s="104">
        <f t="shared" si="28"/>
        <v>0</v>
      </c>
      <c r="AH905" t="e">
        <f t="shared" si="29"/>
        <v>#N/A</v>
      </c>
    </row>
    <row r="906" spans="8:34" x14ac:dyDescent="0.2">
      <c r="H906" s="5"/>
      <c r="I906" s="5"/>
      <c r="J906" s="5"/>
      <c r="K906" s="5"/>
      <c r="O906" s="4"/>
      <c r="P906" s="4"/>
      <c r="AB906" s="4"/>
      <c r="AD906" s="4"/>
      <c r="AF906" t="e">
        <f>VLOOKUP(C906,'גיליון דאטה להכל'!A:H,5,0)</f>
        <v>#N/A</v>
      </c>
      <c r="AG906" s="104">
        <f t="shared" si="28"/>
        <v>0</v>
      </c>
      <c r="AH906" t="e">
        <f t="shared" si="29"/>
        <v>#N/A</v>
      </c>
    </row>
    <row r="907" spans="8:34" x14ac:dyDescent="0.2">
      <c r="H907" s="5"/>
      <c r="I907" s="5"/>
      <c r="J907" s="5"/>
      <c r="K907" s="5"/>
      <c r="O907" s="4"/>
      <c r="P907" s="4"/>
      <c r="AB907" s="4"/>
      <c r="AD907" s="4"/>
      <c r="AF907" t="e">
        <f>VLOOKUP(C907,'גיליון דאטה להכל'!A:H,5,0)</f>
        <v>#N/A</v>
      </c>
      <c r="AG907" s="104">
        <f t="shared" si="28"/>
        <v>0</v>
      </c>
      <c r="AH907" t="e">
        <f t="shared" si="29"/>
        <v>#N/A</v>
      </c>
    </row>
    <row r="908" spans="8:34" x14ac:dyDescent="0.2">
      <c r="H908" s="5"/>
      <c r="I908" s="5"/>
      <c r="J908" s="5"/>
      <c r="K908" s="5"/>
      <c r="O908" s="4"/>
      <c r="P908" s="4"/>
      <c r="AB908" s="4"/>
      <c r="AD908" s="4"/>
      <c r="AF908" t="e">
        <f>VLOOKUP(C908,'גיליון דאטה להכל'!A:H,5,0)</f>
        <v>#N/A</v>
      </c>
      <c r="AG908" s="104">
        <f t="shared" si="28"/>
        <v>0</v>
      </c>
      <c r="AH908" t="e">
        <f t="shared" si="29"/>
        <v>#N/A</v>
      </c>
    </row>
    <row r="909" spans="8:34" x14ac:dyDescent="0.2">
      <c r="H909" s="5"/>
      <c r="I909" s="5"/>
      <c r="J909" s="5"/>
      <c r="K909" s="5"/>
      <c r="O909" s="4"/>
      <c r="P909" s="4"/>
      <c r="AB909" s="4"/>
      <c r="AD909" s="4"/>
      <c r="AF909" t="e">
        <f>VLOOKUP(C909,'גיליון דאטה להכל'!A:H,5,0)</f>
        <v>#N/A</v>
      </c>
      <c r="AG909" s="104">
        <f t="shared" si="28"/>
        <v>0</v>
      </c>
      <c r="AH909" t="e">
        <f t="shared" si="29"/>
        <v>#N/A</v>
      </c>
    </row>
    <row r="910" spans="8:34" x14ac:dyDescent="0.2">
      <c r="H910" s="5"/>
      <c r="I910" s="5"/>
      <c r="J910" s="5"/>
      <c r="K910" s="5"/>
      <c r="O910" s="4"/>
      <c r="P910" s="4"/>
      <c r="AB910" s="4"/>
      <c r="AD910" s="4"/>
      <c r="AF910" t="e">
        <f>VLOOKUP(C910,'גיליון דאטה להכל'!A:H,5,0)</f>
        <v>#N/A</v>
      </c>
      <c r="AG910" s="104">
        <f t="shared" si="28"/>
        <v>0</v>
      </c>
      <c r="AH910" t="e">
        <f t="shared" si="29"/>
        <v>#N/A</v>
      </c>
    </row>
    <row r="911" spans="8:34" x14ac:dyDescent="0.2">
      <c r="H911" s="5"/>
      <c r="I911" s="5"/>
      <c r="J911" s="5"/>
      <c r="K911" s="5"/>
      <c r="O911" s="4"/>
      <c r="P911" s="4"/>
      <c r="AB911" s="4"/>
      <c r="AD911" s="4"/>
      <c r="AF911" t="e">
        <f>VLOOKUP(C911,'גיליון דאטה להכל'!A:H,5,0)</f>
        <v>#N/A</v>
      </c>
      <c r="AG911" s="104">
        <f t="shared" si="28"/>
        <v>0</v>
      </c>
      <c r="AH911" t="e">
        <f t="shared" si="29"/>
        <v>#N/A</v>
      </c>
    </row>
    <row r="912" spans="8:34" x14ac:dyDescent="0.2">
      <c r="H912" s="5"/>
      <c r="I912" s="5"/>
      <c r="J912" s="5"/>
      <c r="K912" s="5"/>
      <c r="O912" s="4"/>
      <c r="P912" s="4"/>
      <c r="AB912" s="4"/>
      <c r="AD912" s="4"/>
      <c r="AF912" t="e">
        <f>VLOOKUP(C912,'גיליון דאטה להכל'!A:H,5,0)</f>
        <v>#N/A</v>
      </c>
      <c r="AG912" s="104">
        <f t="shared" si="28"/>
        <v>0</v>
      </c>
      <c r="AH912" t="e">
        <f t="shared" si="29"/>
        <v>#N/A</v>
      </c>
    </row>
    <row r="913" spans="8:34" x14ac:dyDescent="0.2">
      <c r="H913" s="5"/>
      <c r="I913" s="5"/>
      <c r="J913" s="5"/>
      <c r="K913" s="5"/>
      <c r="O913" s="4"/>
      <c r="P913" s="4"/>
      <c r="AB913" s="4"/>
      <c r="AD913" s="4"/>
      <c r="AF913" t="e">
        <f>VLOOKUP(C913,'גיליון דאטה להכל'!A:H,5,0)</f>
        <v>#N/A</v>
      </c>
      <c r="AG913" s="104">
        <f t="shared" si="28"/>
        <v>0</v>
      </c>
      <c r="AH913" t="e">
        <f t="shared" si="29"/>
        <v>#N/A</v>
      </c>
    </row>
    <row r="914" spans="8:34" x14ac:dyDescent="0.2">
      <c r="H914" s="5"/>
      <c r="I914" s="5"/>
      <c r="J914" s="5"/>
      <c r="K914" s="5"/>
      <c r="O914" s="4"/>
      <c r="P914" s="4"/>
      <c r="AB914" s="4"/>
      <c r="AD914" s="4"/>
      <c r="AF914" t="e">
        <f>VLOOKUP(C914,'גיליון דאטה להכל'!A:H,5,0)</f>
        <v>#N/A</v>
      </c>
      <c r="AG914" s="104">
        <f t="shared" si="28"/>
        <v>0</v>
      </c>
      <c r="AH914" t="e">
        <f t="shared" si="29"/>
        <v>#N/A</v>
      </c>
    </row>
    <row r="915" spans="8:34" x14ac:dyDescent="0.2">
      <c r="H915" s="5"/>
      <c r="I915" s="5"/>
      <c r="J915" s="5"/>
      <c r="K915" s="5"/>
      <c r="O915" s="4"/>
      <c r="P915" s="4"/>
      <c r="AB915" s="4"/>
      <c r="AD915" s="4"/>
      <c r="AF915" t="e">
        <f>VLOOKUP(C915,'גיליון דאטה להכל'!A:H,5,0)</f>
        <v>#N/A</v>
      </c>
      <c r="AG915" s="104">
        <f t="shared" si="28"/>
        <v>0</v>
      </c>
      <c r="AH915" t="e">
        <f t="shared" si="29"/>
        <v>#N/A</v>
      </c>
    </row>
    <row r="916" spans="8:34" x14ac:dyDescent="0.2">
      <c r="H916" s="5"/>
      <c r="I916" s="5"/>
      <c r="J916" s="5"/>
      <c r="K916" s="5"/>
      <c r="O916" s="4"/>
      <c r="P916" s="4"/>
      <c r="AB916" s="4"/>
      <c r="AD916" s="4"/>
      <c r="AF916" t="e">
        <f>VLOOKUP(C916,'גיליון דאטה להכל'!A:H,5,0)</f>
        <v>#N/A</v>
      </c>
      <c r="AG916" s="104">
        <f t="shared" si="28"/>
        <v>0</v>
      </c>
      <c r="AH916" t="e">
        <f t="shared" si="29"/>
        <v>#N/A</v>
      </c>
    </row>
    <row r="917" spans="8:34" x14ac:dyDescent="0.2">
      <c r="H917" s="5"/>
      <c r="I917" s="5"/>
      <c r="J917" s="5"/>
      <c r="K917" s="5"/>
      <c r="O917" s="4"/>
      <c r="P917" s="4"/>
      <c r="AB917" s="4"/>
      <c r="AD917" s="4"/>
      <c r="AF917" t="e">
        <f>VLOOKUP(C917,'גיליון דאטה להכל'!A:H,5,0)</f>
        <v>#N/A</v>
      </c>
      <c r="AG917" s="104">
        <f t="shared" si="28"/>
        <v>0</v>
      </c>
      <c r="AH917" t="e">
        <f t="shared" si="29"/>
        <v>#N/A</v>
      </c>
    </row>
    <row r="918" spans="8:34" x14ac:dyDescent="0.2">
      <c r="H918" s="5"/>
      <c r="I918" s="5"/>
      <c r="J918" s="5"/>
      <c r="K918" s="5"/>
      <c r="O918" s="4"/>
      <c r="P918" s="4"/>
      <c r="AB918" s="4"/>
      <c r="AD918" s="4"/>
      <c r="AF918" t="e">
        <f>VLOOKUP(C918,'גיליון דאטה להכל'!A:H,5,0)</f>
        <v>#N/A</v>
      </c>
      <c r="AG918" s="104">
        <f t="shared" si="28"/>
        <v>0</v>
      </c>
      <c r="AH918" t="e">
        <f t="shared" si="29"/>
        <v>#N/A</v>
      </c>
    </row>
    <row r="919" spans="8:34" x14ac:dyDescent="0.2">
      <c r="H919" s="5"/>
      <c r="I919" s="5"/>
      <c r="J919" s="5"/>
      <c r="K919" s="5"/>
      <c r="O919" s="4"/>
      <c r="P919" s="4"/>
      <c r="AB919" s="4"/>
      <c r="AD919" s="4"/>
      <c r="AF919" t="e">
        <f>VLOOKUP(C919,'גיליון דאטה להכל'!A:H,5,0)</f>
        <v>#N/A</v>
      </c>
      <c r="AG919" s="104">
        <f t="shared" si="28"/>
        <v>0</v>
      </c>
      <c r="AH919" t="e">
        <f t="shared" si="29"/>
        <v>#N/A</v>
      </c>
    </row>
    <row r="920" spans="8:34" x14ac:dyDescent="0.2">
      <c r="H920" s="5"/>
      <c r="I920" s="5"/>
      <c r="J920" s="5"/>
      <c r="K920" s="5"/>
      <c r="O920" s="4"/>
      <c r="P920" s="4"/>
      <c r="AB920" s="4"/>
      <c r="AD920" s="4"/>
      <c r="AF920" t="e">
        <f>VLOOKUP(C920,'גיליון דאטה להכל'!A:H,5,0)</f>
        <v>#N/A</v>
      </c>
      <c r="AG920" s="104">
        <f t="shared" si="28"/>
        <v>0</v>
      </c>
      <c r="AH920" t="e">
        <f t="shared" si="29"/>
        <v>#N/A</v>
      </c>
    </row>
    <row r="921" spans="8:34" x14ac:dyDescent="0.2">
      <c r="H921" s="5"/>
      <c r="I921" s="5"/>
      <c r="J921" s="5"/>
      <c r="K921" s="5"/>
      <c r="O921" s="4"/>
      <c r="P921" s="4"/>
      <c r="AB921" s="4"/>
      <c r="AD921" s="4"/>
      <c r="AF921" t="e">
        <f>VLOOKUP(C921,'גיליון דאטה להכל'!A:H,5,0)</f>
        <v>#N/A</v>
      </c>
      <c r="AG921" s="104">
        <f t="shared" si="28"/>
        <v>0</v>
      </c>
      <c r="AH921" t="e">
        <f t="shared" si="29"/>
        <v>#N/A</v>
      </c>
    </row>
    <row r="922" spans="8:34" x14ac:dyDescent="0.2">
      <c r="H922" s="5"/>
      <c r="I922" s="5"/>
      <c r="J922" s="5"/>
      <c r="K922" s="5"/>
      <c r="O922" s="4"/>
      <c r="P922" s="4"/>
      <c r="AB922" s="4"/>
      <c r="AD922" s="4"/>
      <c r="AF922" t="e">
        <f>VLOOKUP(C922,'גיליון דאטה להכל'!A:H,5,0)</f>
        <v>#N/A</v>
      </c>
      <c r="AG922" s="104">
        <f t="shared" si="28"/>
        <v>0</v>
      </c>
      <c r="AH922" t="e">
        <f t="shared" si="29"/>
        <v>#N/A</v>
      </c>
    </row>
    <row r="923" spans="8:34" x14ac:dyDescent="0.2">
      <c r="H923" s="5"/>
      <c r="I923" s="5"/>
      <c r="J923" s="5"/>
      <c r="K923" s="5"/>
      <c r="O923" s="4"/>
      <c r="P923" s="4"/>
      <c r="AB923" s="4"/>
      <c r="AD923" s="4"/>
      <c r="AF923" t="e">
        <f>VLOOKUP(C923,'גיליון דאטה להכל'!A:H,5,0)</f>
        <v>#N/A</v>
      </c>
      <c r="AG923" s="104">
        <f t="shared" si="28"/>
        <v>0</v>
      </c>
      <c r="AH923" t="e">
        <f t="shared" si="29"/>
        <v>#N/A</v>
      </c>
    </row>
    <row r="924" spans="8:34" x14ac:dyDescent="0.2">
      <c r="H924" s="5"/>
      <c r="I924" s="5"/>
      <c r="J924" s="5"/>
      <c r="K924" s="5"/>
      <c r="O924" s="4"/>
      <c r="P924" s="4"/>
      <c r="AB924" s="4"/>
      <c r="AD924" s="4"/>
      <c r="AF924" t="e">
        <f>VLOOKUP(C924,'גיליון דאטה להכל'!A:H,5,0)</f>
        <v>#N/A</v>
      </c>
      <c r="AG924" s="104">
        <f t="shared" si="28"/>
        <v>0</v>
      </c>
      <c r="AH924" t="e">
        <f t="shared" si="29"/>
        <v>#N/A</v>
      </c>
    </row>
    <row r="925" spans="8:34" x14ac:dyDescent="0.2">
      <c r="H925" s="5"/>
      <c r="I925" s="5"/>
      <c r="J925" s="5"/>
      <c r="K925" s="5"/>
      <c r="O925" s="4"/>
      <c r="P925" s="4"/>
      <c r="AB925" s="4"/>
      <c r="AD925" s="4"/>
      <c r="AF925" t="e">
        <f>VLOOKUP(C925,'גיליון דאטה להכל'!A:H,5,0)</f>
        <v>#N/A</v>
      </c>
      <c r="AG925" s="104">
        <f t="shared" si="28"/>
        <v>0</v>
      </c>
      <c r="AH925" t="e">
        <f t="shared" si="29"/>
        <v>#N/A</v>
      </c>
    </row>
    <row r="926" spans="8:34" x14ac:dyDescent="0.2">
      <c r="H926" s="5"/>
      <c r="I926" s="5"/>
      <c r="J926" s="5"/>
      <c r="K926" s="5"/>
      <c r="O926" s="4"/>
      <c r="P926" s="4"/>
      <c r="AB926" s="4"/>
      <c r="AD926" s="4"/>
      <c r="AF926" t="e">
        <f>VLOOKUP(C926,'גיליון דאטה להכל'!A:H,5,0)</f>
        <v>#N/A</v>
      </c>
      <c r="AG926" s="104">
        <f t="shared" si="28"/>
        <v>0</v>
      </c>
      <c r="AH926" t="e">
        <f t="shared" si="29"/>
        <v>#N/A</v>
      </c>
    </row>
    <row r="927" spans="8:34" x14ac:dyDescent="0.2">
      <c r="H927" s="5"/>
      <c r="I927" s="5"/>
      <c r="J927" s="5"/>
      <c r="K927" s="5"/>
      <c r="O927" s="4"/>
      <c r="P927" s="4"/>
      <c r="AB927" s="4"/>
      <c r="AD927" s="4"/>
      <c r="AF927" t="e">
        <f>VLOOKUP(C927,'גיליון דאטה להכל'!A:H,5,0)</f>
        <v>#N/A</v>
      </c>
      <c r="AG927" s="104">
        <f t="shared" si="28"/>
        <v>0</v>
      </c>
      <c r="AH927" t="e">
        <f t="shared" si="29"/>
        <v>#N/A</v>
      </c>
    </row>
    <row r="928" spans="8:34" x14ac:dyDescent="0.2">
      <c r="H928" s="5"/>
      <c r="I928" s="5"/>
      <c r="J928" s="5"/>
      <c r="K928" s="5"/>
      <c r="O928" s="4"/>
      <c r="P928" s="4"/>
      <c r="AB928" s="4"/>
      <c r="AD928" s="4"/>
      <c r="AF928" t="e">
        <f>VLOOKUP(C928,'גיליון דאטה להכל'!A:H,5,0)</f>
        <v>#N/A</v>
      </c>
      <c r="AG928" s="104">
        <f t="shared" si="28"/>
        <v>0</v>
      </c>
      <c r="AH928" t="e">
        <f t="shared" si="29"/>
        <v>#N/A</v>
      </c>
    </row>
    <row r="929" spans="8:34" x14ac:dyDescent="0.2">
      <c r="H929" s="5"/>
      <c r="I929" s="5"/>
      <c r="J929" s="5"/>
      <c r="K929" s="5"/>
      <c r="O929" s="4"/>
      <c r="P929" s="4"/>
      <c r="AB929" s="4"/>
      <c r="AD929" s="4"/>
      <c r="AF929" t="e">
        <f>VLOOKUP(C929,'גיליון דאטה להכל'!A:H,5,0)</f>
        <v>#N/A</v>
      </c>
      <c r="AG929" s="104">
        <f t="shared" si="28"/>
        <v>0</v>
      </c>
      <c r="AH929" t="e">
        <f t="shared" si="29"/>
        <v>#N/A</v>
      </c>
    </row>
    <row r="930" spans="8:34" x14ac:dyDescent="0.2">
      <c r="H930" s="5"/>
      <c r="I930" s="5"/>
      <c r="J930" s="5"/>
      <c r="K930" s="5"/>
      <c r="O930" s="4"/>
      <c r="P930" s="4"/>
      <c r="AB930" s="4"/>
      <c r="AD930" s="4"/>
      <c r="AF930" t="e">
        <f>VLOOKUP(C930,'גיליון דאטה להכל'!A:H,5,0)</f>
        <v>#N/A</v>
      </c>
      <c r="AG930" s="104">
        <f t="shared" si="28"/>
        <v>0</v>
      </c>
      <c r="AH930" t="e">
        <f t="shared" si="29"/>
        <v>#N/A</v>
      </c>
    </row>
    <row r="931" spans="8:34" x14ac:dyDescent="0.2">
      <c r="H931" s="5"/>
      <c r="I931" s="5"/>
      <c r="J931" s="5"/>
      <c r="K931" s="5"/>
      <c r="O931" s="4"/>
      <c r="P931" s="4"/>
      <c r="AB931" s="4"/>
      <c r="AD931" s="4"/>
      <c r="AF931" t="e">
        <f>VLOOKUP(C931,'גיליון דאטה להכל'!A:H,5,0)</f>
        <v>#N/A</v>
      </c>
      <c r="AG931" s="104">
        <f t="shared" si="28"/>
        <v>0</v>
      </c>
      <c r="AH931" t="e">
        <f t="shared" si="29"/>
        <v>#N/A</v>
      </c>
    </row>
    <row r="932" spans="8:34" x14ac:dyDescent="0.2">
      <c r="H932" s="5"/>
      <c r="I932" s="5"/>
      <c r="J932" s="5"/>
      <c r="K932" s="5"/>
      <c r="O932" s="4"/>
      <c r="P932" s="4"/>
      <c r="AB932" s="4"/>
      <c r="AD932" s="4"/>
      <c r="AF932" t="e">
        <f>VLOOKUP(C932,'גיליון דאטה להכל'!A:H,5,0)</f>
        <v>#N/A</v>
      </c>
      <c r="AG932" s="104">
        <f t="shared" si="28"/>
        <v>0</v>
      </c>
      <c r="AH932" t="e">
        <f t="shared" si="29"/>
        <v>#N/A</v>
      </c>
    </row>
    <row r="933" spans="8:34" x14ac:dyDescent="0.2">
      <c r="H933" s="5"/>
      <c r="I933" s="5"/>
      <c r="J933" s="5"/>
      <c r="K933" s="5"/>
      <c r="O933" s="4"/>
      <c r="P933" s="4"/>
      <c r="AB933" s="4"/>
      <c r="AD933" s="4"/>
      <c r="AF933" t="e">
        <f>VLOOKUP(C933,'גיליון דאטה להכל'!A:H,5,0)</f>
        <v>#N/A</v>
      </c>
      <c r="AG933" s="104">
        <f t="shared" si="28"/>
        <v>0</v>
      </c>
      <c r="AH933" t="e">
        <f t="shared" si="29"/>
        <v>#N/A</v>
      </c>
    </row>
    <row r="934" spans="8:34" x14ac:dyDescent="0.2">
      <c r="H934" s="5"/>
      <c r="I934" s="5"/>
      <c r="J934" s="5"/>
      <c r="K934" s="5"/>
      <c r="O934" s="4"/>
      <c r="P934" s="4"/>
      <c r="AB934" s="4"/>
      <c r="AD934" s="4"/>
      <c r="AF934" t="e">
        <f>VLOOKUP(C934,'גיליון דאטה להכל'!A:H,5,0)</f>
        <v>#N/A</v>
      </c>
      <c r="AG934" s="104">
        <f t="shared" si="28"/>
        <v>0</v>
      </c>
      <c r="AH934" t="e">
        <f t="shared" si="29"/>
        <v>#N/A</v>
      </c>
    </row>
    <row r="935" spans="8:34" x14ac:dyDescent="0.2">
      <c r="H935" s="5"/>
      <c r="I935" s="5"/>
      <c r="J935" s="5"/>
      <c r="K935" s="5"/>
      <c r="O935" s="4"/>
      <c r="P935" s="4"/>
      <c r="AB935" s="4"/>
      <c r="AD935" s="4"/>
      <c r="AF935" t="e">
        <f>VLOOKUP(C935,'גיליון דאטה להכל'!A:H,5,0)</f>
        <v>#N/A</v>
      </c>
      <c r="AG935" s="104">
        <f t="shared" si="28"/>
        <v>0</v>
      </c>
      <c r="AH935" t="e">
        <f t="shared" si="29"/>
        <v>#N/A</v>
      </c>
    </row>
    <row r="936" spans="8:34" x14ac:dyDescent="0.2">
      <c r="H936" s="5"/>
      <c r="I936" s="5"/>
      <c r="J936" s="5"/>
      <c r="K936" s="5"/>
      <c r="O936" s="4"/>
      <c r="P936" s="4"/>
      <c r="AB936" s="4"/>
      <c r="AD936" s="4"/>
      <c r="AF936" t="e">
        <f>VLOOKUP(C936,'גיליון דאטה להכל'!A:H,5,0)</f>
        <v>#N/A</v>
      </c>
      <c r="AG936" s="104">
        <f t="shared" si="28"/>
        <v>0</v>
      </c>
      <c r="AH936" t="e">
        <f t="shared" si="29"/>
        <v>#N/A</v>
      </c>
    </row>
    <row r="937" spans="8:34" x14ac:dyDescent="0.2">
      <c r="H937" s="5"/>
      <c r="I937" s="5"/>
      <c r="J937" s="5"/>
      <c r="K937" s="5"/>
      <c r="O937" s="4"/>
      <c r="P937" s="4"/>
      <c r="AB937" s="4"/>
      <c r="AD937" s="4"/>
      <c r="AF937" t="e">
        <f>VLOOKUP(C937,'גיליון דאטה להכל'!A:H,5,0)</f>
        <v>#N/A</v>
      </c>
      <c r="AG937" s="104">
        <f t="shared" si="28"/>
        <v>0</v>
      </c>
      <c r="AH937" t="e">
        <f t="shared" si="29"/>
        <v>#N/A</v>
      </c>
    </row>
    <row r="938" spans="8:34" x14ac:dyDescent="0.2">
      <c r="H938" s="5"/>
      <c r="I938" s="5"/>
      <c r="J938" s="5"/>
      <c r="K938" s="5"/>
      <c r="O938" s="4"/>
      <c r="P938" s="4"/>
      <c r="AB938" s="4"/>
      <c r="AD938" s="4"/>
      <c r="AF938" t="e">
        <f>VLOOKUP(C938,'גיליון דאטה להכל'!A:H,5,0)</f>
        <v>#N/A</v>
      </c>
      <c r="AG938" s="104">
        <f t="shared" si="28"/>
        <v>0</v>
      </c>
      <c r="AH938" t="e">
        <f t="shared" si="29"/>
        <v>#N/A</v>
      </c>
    </row>
    <row r="939" spans="8:34" x14ac:dyDescent="0.2">
      <c r="H939" s="5"/>
      <c r="I939" s="5"/>
      <c r="J939" s="5"/>
      <c r="K939" s="5"/>
      <c r="O939" s="4"/>
      <c r="P939" s="4"/>
      <c r="AB939" s="4"/>
      <c r="AD939" s="4"/>
      <c r="AF939" t="e">
        <f>VLOOKUP(C939,'גיליון דאטה להכל'!A:H,5,0)</f>
        <v>#N/A</v>
      </c>
      <c r="AG939" s="104">
        <f t="shared" si="28"/>
        <v>0</v>
      </c>
      <c r="AH939" t="e">
        <f t="shared" si="29"/>
        <v>#N/A</v>
      </c>
    </row>
    <row r="940" spans="8:34" x14ac:dyDescent="0.2">
      <c r="H940" s="5"/>
      <c r="I940" s="5"/>
      <c r="J940" s="5"/>
      <c r="K940" s="5"/>
      <c r="O940" s="4"/>
      <c r="P940" s="4"/>
      <c r="AB940" s="4"/>
      <c r="AD940" s="4"/>
      <c r="AF940" t="e">
        <f>VLOOKUP(C940,'גיליון דאטה להכל'!A:H,5,0)</f>
        <v>#N/A</v>
      </c>
      <c r="AG940" s="104">
        <f t="shared" si="28"/>
        <v>0</v>
      </c>
      <c r="AH940" t="e">
        <f t="shared" si="29"/>
        <v>#N/A</v>
      </c>
    </row>
    <row r="941" spans="8:34" x14ac:dyDescent="0.2">
      <c r="H941" s="5"/>
      <c r="I941" s="5"/>
      <c r="J941" s="5"/>
      <c r="K941" s="5"/>
      <c r="O941" s="4"/>
      <c r="P941" s="4"/>
      <c r="AB941" s="4"/>
      <c r="AD941" s="4"/>
      <c r="AF941" t="e">
        <f>VLOOKUP(C941,'גיליון דאטה להכל'!A:H,5,0)</f>
        <v>#N/A</v>
      </c>
      <c r="AG941" s="104">
        <f t="shared" si="28"/>
        <v>0</v>
      </c>
      <c r="AH941" t="e">
        <f t="shared" si="29"/>
        <v>#N/A</v>
      </c>
    </row>
    <row r="942" spans="8:34" x14ac:dyDescent="0.2">
      <c r="H942" s="5"/>
      <c r="I942" s="5"/>
      <c r="J942" s="5"/>
      <c r="K942" s="5"/>
      <c r="O942" s="4"/>
      <c r="P942" s="4"/>
      <c r="AB942" s="4"/>
      <c r="AD942" s="4"/>
      <c r="AF942" t="e">
        <f>VLOOKUP(C942,'גיליון דאטה להכל'!A:H,5,0)</f>
        <v>#N/A</v>
      </c>
      <c r="AG942" s="104">
        <f t="shared" si="28"/>
        <v>0</v>
      </c>
      <c r="AH942" t="e">
        <f t="shared" si="29"/>
        <v>#N/A</v>
      </c>
    </row>
    <row r="943" spans="8:34" x14ac:dyDescent="0.2">
      <c r="H943" s="5"/>
      <c r="I943" s="5"/>
      <c r="J943" s="5"/>
      <c r="K943" s="5"/>
      <c r="O943" s="4"/>
      <c r="P943" s="4"/>
      <c r="AB943" s="4"/>
      <c r="AD943" s="4"/>
      <c r="AF943" t="e">
        <f>VLOOKUP(C943,'גיליון דאטה להכל'!A:H,5,0)</f>
        <v>#N/A</v>
      </c>
      <c r="AG943" s="104">
        <f t="shared" si="28"/>
        <v>0</v>
      </c>
      <c r="AH943" t="e">
        <f t="shared" si="29"/>
        <v>#N/A</v>
      </c>
    </row>
    <row r="944" spans="8:34" x14ac:dyDescent="0.2">
      <c r="H944" s="5"/>
      <c r="I944" s="5"/>
      <c r="J944" s="5"/>
      <c r="K944" s="5"/>
      <c r="O944" s="4"/>
      <c r="P944" s="4"/>
      <c r="AB944" s="4"/>
      <c r="AD944" s="4"/>
      <c r="AF944" t="e">
        <f>VLOOKUP(C944,'גיליון דאטה להכל'!A:H,5,0)</f>
        <v>#N/A</v>
      </c>
      <c r="AG944" s="104">
        <f t="shared" si="28"/>
        <v>0</v>
      </c>
      <c r="AH944" t="e">
        <f t="shared" si="29"/>
        <v>#N/A</v>
      </c>
    </row>
    <row r="945" spans="8:34" x14ac:dyDescent="0.2">
      <c r="H945" s="5"/>
      <c r="I945" s="5"/>
      <c r="J945" s="5"/>
      <c r="K945" s="5"/>
      <c r="O945" s="4"/>
      <c r="P945" s="4"/>
      <c r="AB945" s="4"/>
      <c r="AD945" s="4"/>
      <c r="AF945" t="e">
        <f>VLOOKUP(C945,'גיליון דאטה להכל'!A:H,5,0)</f>
        <v>#N/A</v>
      </c>
      <c r="AG945" s="104">
        <f t="shared" si="28"/>
        <v>0</v>
      </c>
      <c r="AH945" t="e">
        <f t="shared" si="29"/>
        <v>#N/A</v>
      </c>
    </row>
    <row r="946" spans="8:34" x14ac:dyDescent="0.2">
      <c r="H946" s="5"/>
      <c r="I946" s="5"/>
      <c r="J946" s="5"/>
      <c r="K946" s="5"/>
      <c r="O946" s="4"/>
      <c r="P946" s="4"/>
      <c r="AB946" s="4"/>
      <c r="AD946" s="4"/>
      <c r="AF946" t="e">
        <f>VLOOKUP(C946,'גיליון דאטה להכל'!A:H,5,0)</f>
        <v>#N/A</v>
      </c>
      <c r="AG946" s="104">
        <f t="shared" si="28"/>
        <v>0</v>
      </c>
      <c r="AH946" t="e">
        <f t="shared" si="29"/>
        <v>#N/A</v>
      </c>
    </row>
    <row r="947" spans="8:34" x14ac:dyDescent="0.2">
      <c r="H947" s="5"/>
      <c r="I947" s="5"/>
      <c r="J947" s="5"/>
      <c r="K947" s="5"/>
      <c r="O947" s="4"/>
      <c r="P947" s="4"/>
      <c r="AB947" s="4"/>
      <c r="AD947" s="4"/>
      <c r="AF947" t="e">
        <f>VLOOKUP(C947,'גיליון דאטה להכל'!A:H,5,0)</f>
        <v>#N/A</v>
      </c>
      <c r="AG947" s="104">
        <f t="shared" si="28"/>
        <v>0</v>
      </c>
      <c r="AH947" t="e">
        <f t="shared" si="29"/>
        <v>#N/A</v>
      </c>
    </row>
    <row r="948" spans="8:34" x14ac:dyDescent="0.2">
      <c r="H948" s="5"/>
      <c r="I948" s="5"/>
      <c r="J948" s="5"/>
      <c r="K948" s="5"/>
      <c r="O948" s="4"/>
      <c r="P948" s="4"/>
      <c r="AB948" s="4"/>
      <c r="AD948" s="4"/>
      <c r="AF948" t="e">
        <f>VLOOKUP(C948,'גיליון דאטה להכל'!A:H,5,0)</f>
        <v>#N/A</v>
      </c>
      <c r="AG948" s="104">
        <f t="shared" si="28"/>
        <v>0</v>
      </c>
      <c r="AH948" t="e">
        <f t="shared" si="29"/>
        <v>#N/A</v>
      </c>
    </row>
    <row r="949" spans="8:34" x14ac:dyDescent="0.2">
      <c r="H949" s="5"/>
      <c r="I949" s="5"/>
      <c r="J949" s="5"/>
      <c r="K949" s="5"/>
      <c r="O949" s="4"/>
      <c r="P949" s="4"/>
      <c r="AB949" s="4"/>
      <c r="AD949" s="4"/>
      <c r="AF949" t="e">
        <f>VLOOKUP(C949,'גיליון דאטה להכל'!A:H,5,0)</f>
        <v>#N/A</v>
      </c>
      <c r="AG949" s="104">
        <f t="shared" si="28"/>
        <v>0</v>
      </c>
      <c r="AH949" t="e">
        <f t="shared" si="29"/>
        <v>#N/A</v>
      </c>
    </row>
    <row r="950" spans="8:34" x14ac:dyDescent="0.2">
      <c r="H950" s="5"/>
      <c r="I950" s="5"/>
      <c r="J950" s="5"/>
      <c r="K950" s="5"/>
      <c r="O950" s="4"/>
      <c r="P950" s="4"/>
      <c r="AB950" s="4"/>
      <c r="AD950" s="4"/>
      <c r="AF950" t="e">
        <f>VLOOKUP(C950,'גיליון דאטה להכל'!A:H,5,0)</f>
        <v>#N/A</v>
      </c>
      <c r="AG950" s="104">
        <f t="shared" si="28"/>
        <v>0</v>
      </c>
      <c r="AH950" t="e">
        <f t="shared" si="29"/>
        <v>#N/A</v>
      </c>
    </row>
    <row r="951" spans="8:34" x14ac:dyDescent="0.2">
      <c r="H951" s="5"/>
      <c r="I951" s="5"/>
      <c r="J951" s="5"/>
      <c r="K951" s="5"/>
      <c r="O951" s="4"/>
      <c r="P951" s="4"/>
      <c r="AB951" s="4"/>
      <c r="AD951" s="4"/>
      <c r="AF951" t="e">
        <f>VLOOKUP(C951,'גיליון דאטה להכל'!A:H,5,0)</f>
        <v>#N/A</v>
      </c>
      <c r="AG951" s="104">
        <f t="shared" si="28"/>
        <v>0</v>
      </c>
      <c r="AH951" t="e">
        <f t="shared" si="29"/>
        <v>#N/A</v>
      </c>
    </row>
    <row r="952" spans="8:34" x14ac:dyDescent="0.2">
      <c r="H952" s="5"/>
      <c r="I952" s="5"/>
      <c r="J952" s="5"/>
      <c r="K952" s="5"/>
      <c r="O952" s="4"/>
      <c r="P952" s="4"/>
      <c r="AB952" s="4"/>
      <c r="AD952" s="4"/>
      <c r="AF952" t="e">
        <f>VLOOKUP(C952,'גיליון דאטה להכל'!A:H,5,0)</f>
        <v>#N/A</v>
      </c>
      <c r="AG952" s="104">
        <f t="shared" si="28"/>
        <v>0</v>
      </c>
      <c r="AH952" t="e">
        <f t="shared" si="29"/>
        <v>#N/A</v>
      </c>
    </row>
    <row r="953" spans="8:34" x14ac:dyDescent="0.2">
      <c r="H953" s="5"/>
      <c r="I953" s="5"/>
      <c r="J953" s="5"/>
      <c r="K953" s="5"/>
      <c r="O953" s="4"/>
      <c r="P953" s="4"/>
      <c r="AB953" s="4"/>
      <c r="AD953" s="4"/>
      <c r="AF953" t="e">
        <f>VLOOKUP(C953,'גיליון דאטה להכל'!A:H,5,0)</f>
        <v>#N/A</v>
      </c>
      <c r="AG953" s="104">
        <f t="shared" si="28"/>
        <v>0</v>
      </c>
      <c r="AH953" t="e">
        <f t="shared" si="29"/>
        <v>#N/A</v>
      </c>
    </row>
    <row r="954" spans="8:34" x14ac:dyDescent="0.2">
      <c r="H954" s="5"/>
      <c r="I954" s="5"/>
      <c r="J954" s="5"/>
      <c r="K954" s="5"/>
      <c r="O954" s="4"/>
      <c r="P954" s="4"/>
      <c r="AB954" s="4"/>
      <c r="AD954" s="4"/>
      <c r="AF954" t="e">
        <f>VLOOKUP(C954,'גיליון דאטה להכל'!A:H,5,0)</f>
        <v>#N/A</v>
      </c>
      <c r="AG954" s="104">
        <f t="shared" si="28"/>
        <v>0</v>
      </c>
      <c r="AH954" t="e">
        <f t="shared" si="29"/>
        <v>#N/A</v>
      </c>
    </row>
    <row r="955" spans="8:34" x14ac:dyDescent="0.2">
      <c r="H955" s="5"/>
      <c r="I955" s="5"/>
      <c r="J955" s="5"/>
      <c r="K955" s="5"/>
      <c r="O955" s="4"/>
      <c r="P955" s="4"/>
      <c r="AB955" s="4"/>
      <c r="AD955" s="4"/>
      <c r="AF955" t="e">
        <f>VLOOKUP(C955,'גיליון דאטה להכל'!A:H,5,0)</f>
        <v>#N/A</v>
      </c>
      <c r="AG955" s="104">
        <f t="shared" si="28"/>
        <v>0</v>
      </c>
      <c r="AH955" t="e">
        <f t="shared" si="29"/>
        <v>#N/A</v>
      </c>
    </row>
    <row r="956" spans="8:34" x14ac:dyDescent="0.2">
      <c r="H956" s="5"/>
      <c r="I956" s="5"/>
      <c r="J956" s="5"/>
      <c r="K956" s="5"/>
      <c r="O956" s="4"/>
      <c r="P956" s="4"/>
      <c r="AB956" s="4"/>
      <c r="AD956" s="4"/>
      <c r="AF956" t="e">
        <f>VLOOKUP(C956,'גיליון דאטה להכל'!A:H,5,0)</f>
        <v>#N/A</v>
      </c>
      <c r="AG956" s="104">
        <f t="shared" si="28"/>
        <v>0</v>
      </c>
      <c r="AH956" t="e">
        <f t="shared" si="29"/>
        <v>#N/A</v>
      </c>
    </row>
    <row r="957" spans="8:34" x14ac:dyDescent="0.2">
      <c r="H957" s="5"/>
      <c r="I957" s="5"/>
      <c r="J957" s="5"/>
      <c r="K957" s="5"/>
      <c r="O957" s="4"/>
      <c r="P957" s="4"/>
      <c r="AB957" s="4"/>
      <c r="AD957" s="4"/>
      <c r="AF957" t="e">
        <f>VLOOKUP(C957,'גיליון דאטה להכל'!A:H,5,0)</f>
        <v>#N/A</v>
      </c>
      <c r="AG957" s="104">
        <f t="shared" si="28"/>
        <v>0</v>
      </c>
      <c r="AH957" t="e">
        <f t="shared" si="29"/>
        <v>#N/A</v>
      </c>
    </row>
    <row r="958" spans="8:34" x14ac:dyDescent="0.2">
      <c r="H958" s="5"/>
      <c r="I958" s="5"/>
      <c r="J958" s="5"/>
      <c r="K958" s="5"/>
      <c r="O958" s="4"/>
      <c r="P958" s="4"/>
      <c r="AB958" s="4"/>
      <c r="AD958" s="4"/>
      <c r="AF958" t="e">
        <f>VLOOKUP(C958,'גיליון דאטה להכל'!A:H,5,0)</f>
        <v>#N/A</v>
      </c>
      <c r="AG958" s="104">
        <f t="shared" si="28"/>
        <v>0</v>
      </c>
      <c r="AH958" t="e">
        <f t="shared" si="29"/>
        <v>#N/A</v>
      </c>
    </row>
    <row r="959" spans="8:34" x14ac:dyDescent="0.2">
      <c r="H959" s="5"/>
      <c r="I959" s="5"/>
      <c r="J959" s="5"/>
      <c r="K959" s="5"/>
      <c r="O959" s="4"/>
      <c r="P959" s="4"/>
      <c r="AB959" s="4"/>
      <c r="AD959" s="4"/>
      <c r="AF959" t="e">
        <f>VLOOKUP(C959,'גיליון דאטה להכל'!A:H,5,0)</f>
        <v>#N/A</v>
      </c>
      <c r="AG959" s="104">
        <f t="shared" si="28"/>
        <v>0</v>
      </c>
      <c r="AH959" t="e">
        <f t="shared" si="29"/>
        <v>#N/A</v>
      </c>
    </row>
    <row r="960" spans="8:34" x14ac:dyDescent="0.2">
      <c r="H960" s="5"/>
      <c r="I960" s="5"/>
      <c r="J960" s="5"/>
      <c r="K960" s="5"/>
      <c r="O960" s="4"/>
      <c r="P960" s="4"/>
      <c r="AB960" s="4"/>
      <c r="AD960" s="4"/>
      <c r="AF960" t="e">
        <f>VLOOKUP(C960,'גיליון דאטה להכל'!A:H,5,0)</f>
        <v>#N/A</v>
      </c>
      <c r="AG960" s="104">
        <f t="shared" si="28"/>
        <v>0</v>
      </c>
      <c r="AH960" t="e">
        <f t="shared" si="29"/>
        <v>#N/A</v>
      </c>
    </row>
    <row r="961" spans="8:34" x14ac:dyDescent="0.2">
      <c r="H961" s="5"/>
      <c r="I961" s="5"/>
      <c r="J961" s="5"/>
      <c r="K961" s="5"/>
      <c r="O961" s="4"/>
      <c r="P961" s="4"/>
      <c r="AB961" s="4"/>
      <c r="AD961" s="4"/>
      <c r="AF961" t="e">
        <f>VLOOKUP(C961,'גיליון דאטה להכל'!A:H,5,0)</f>
        <v>#N/A</v>
      </c>
      <c r="AG961" s="104">
        <f t="shared" si="28"/>
        <v>0</v>
      </c>
      <c r="AH961" t="e">
        <f t="shared" si="29"/>
        <v>#N/A</v>
      </c>
    </row>
    <row r="962" spans="8:34" x14ac:dyDescent="0.2">
      <c r="H962" s="5"/>
      <c r="I962" s="5"/>
      <c r="J962" s="5"/>
      <c r="K962" s="5"/>
      <c r="O962" s="4"/>
      <c r="P962" s="4"/>
      <c r="AB962" s="4"/>
      <c r="AD962" s="4"/>
      <c r="AF962" t="e">
        <f>VLOOKUP(C962,'גיליון דאטה להכל'!A:H,5,0)</f>
        <v>#N/A</v>
      </c>
      <c r="AG962" s="104">
        <f t="shared" si="28"/>
        <v>0</v>
      </c>
      <c r="AH962" t="e">
        <f t="shared" si="29"/>
        <v>#N/A</v>
      </c>
    </row>
    <row r="963" spans="8:34" x14ac:dyDescent="0.2">
      <c r="H963" s="5"/>
      <c r="I963" s="5"/>
      <c r="J963" s="5"/>
      <c r="K963" s="5"/>
      <c r="O963" s="4"/>
      <c r="P963" s="4"/>
      <c r="AB963" s="4"/>
      <c r="AD963" s="4"/>
      <c r="AF963" t="e">
        <f>VLOOKUP(C963,'גיליון דאטה להכל'!A:H,5,0)</f>
        <v>#N/A</v>
      </c>
      <c r="AG963" s="104">
        <f t="shared" ref="AG963:AG1026" si="30">I963+H963</f>
        <v>0</v>
      </c>
      <c r="AH963" t="e">
        <f t="shared" ref="AH963:AH1026" si="31">_xlfn.CONCAT(AF963,N963)</f>
        <v>#N/A</v>
      </c>
    </row>
    <row r="964" spans="8:34" x14ac:dyDescent="0.2">
      <c r="H964" s="5"/>
      <c r="I964" s="5"/>
      <c r="J964" s="5"/>
      <c r="K964" s="5"/>
      <c r="O964" s="4"/>
      <c r="P964" s="4"/>
      <c r="AB964" s="4"/>
      <c r="AD964" s="4"/>
      <c r="AF964" t="e">
        <f>VLOOKUP(C964,'גיליון דאטה להכל'!A:H,5,0)</f>
        <v>#N/A</v>
      </c>
      <c r="AG964" s="104">
        <f t="shared" si="30"/>
        <v>0</v>
      </c>
      <c r="AH964" t="e">
        <f t="shared" si="31"/>
        <v>#N/A</v>
      </c>
    </row>
    <row r="965" spans="8:34" x14ac:dyDescent="0.2">
      <c r="H965" s="5"/>
      <c r="I965" s="5"/>
      <c r="J965" s="5"/>
      <c r="K965" s="5"/>
      <c r="O965" s="4"/>
      <c r="P965" s="4"/>
      <c r="AB965" s="4"/>
      <c r="AD965" s="4"/>
      <c r="AF965" t="e">
        <f>VLOOKUP(C965,'גיליון דאטה להכל'!A:H,5,0)</f>
        <v>#N/A</v>
      </c>
      <c r="AG965" s="104">
        <f t="shared" si="30"/>
        <v>0</v>
      </c>
      <c r="AH965" t="e">
        <f t="shared" si="31"/>
        <v>#N/A</v>
      </c>
    </row>
    <row r="966" spans="8:34" x14ac:dyDescent="0.2">
      <c r="H966" s="5"/>
      <c r="I966" s="5"/>
      <c r="J966" s="5"/>
      <c r="K966" s="5"/>
      <c r="O966" s="4"/>
      <c r="P966" s="4"/>
      <c r="AB966" s="4"/>
      <c r="AD966" s="4"/>
      <c r="AF966" t="e">
        <f>VLOOKUP(C966,'גיליון דאטה להכל'!A:H,5,0)</f>
        <v>#N/A</v>
      </c>
      <c r="AG966" s="104">
        <f t="shared" si="30"/>
        <v>0</v>
      </c>
      <c r="AH966" t="e">
        <f t="shared" si="31"/>
        <v>#N/A</v>
      </c>
    </row>
    <row r="967" spans="8:34" x14ac:dyDescent="0.2">
      <c r="H967" s="5"/>
      <c r="I967" s="5"/>
      <c r="J967" s="5"/>
      <c r="K967" s="5"/>
      <c r="O967" s="4"/>
      <c r="P967" s="4"/>
      <c r="AB967" s="4"/>
      <c r="AD967" s="4"/>
      <c r="AF967" t="e">
        <f>VLOOKUP(C967,'גיליון דאטה להכל'!A:H,5,0)</f>
        <v>#N/A</v>
      </c>
      <c r="AG967" s="104">
        <f t="shared" si="30"/>
        <v>0</v>
      </c>
      <c r="AH967" t="e">
        <f t="shared" si="31"/>
        <v>#N/A</v>
      </c>
    </row>
    <row r="968" spans="8:34" x14ac:dyDescent="0.2">
      <c r="H968" s="5"/>
      <c r="I968" s="5"/>
      <c r="J968" s="5"/>
      <c r="K968" s="5"/>
      <c r="O968" s="4"/>
      <c r="P968" s="4"/>
      <c r="AB968" s="4"/>
      <c r="AD968" s="4"/>
      <c r="AF968" t="e">
        <f>VLOOKUP(C968,'גיליון דאטה להכל'!A:H,5,0)</f>
        <v>#N/A</v>
      </c>
      <c r="AG968" s="104">
        <f t="shared" si="30"/>
        <v>0</v>
      </c>
      <c r="AH968" t="e">
        <f t="shared" si="31"/>
        <v>#N/A</v>
      </c>
    </row>
    <row r="969" spans="8:34" x14ac:dyDescent="0.2">
      <c r="H969" s="5"/>
      <c r="I969" s="5"/>
      <c r="J969" s="5"/>
      <c r="K969" s="5"/>
      <c r="O969" s="4"/>
      <c r="P969" s="4"/>
      <c r="AB969" s="4"/>
      <c r="AD969" s="4"/>
      <c r="AF969" t="e">
        <f>VLOOKUP(C969,'גיליון דאטה להכל'!A:H,5,0)</f>
        <v>#N/A</v>
      </c>
      <c r="AG969" s="104">
        <f t="shared" si="30"/>
        <v>0</v>
      </c>
      <c r="AH969" t="e">
        <f t="shared" si="31"/>
        <v>#N/A</v>
      </c>
    </row>
    <row r="970" spans="8:34" x14ac:dyDescent="0.2">
      <c r="H970" s="5"/>
      <c r="I970" s="5"/>
      <c r="J970" s="5"/>
      <c r="K970" s="5"/>
      <c r="O970" s="4"/>
      <c r="P970" s="4"/>
      <c r="AB970" s="4"/>
      <c r="AD970" s="4"/>
      <c r="AF970" t="e">
        <f>VLOOKUP(C970,'גיליון דאטה להכל'!A:H,5,0)</f>
        <v>#N/A</v>
      </c>
      <c r="AG970" s="104">
        <f t="shared" si="30"/>
        <v>0</v>
      </c>
      <c r="AH970" t="e">
        <f t="shared" si="31"/>
        <v>#N/A</v>
      </c>
    </row>
    <row r="971" spans="8:34" x14ac:dyDescent="0.2">
      <c r="H971" s="5"/>
      <c r="I971" s="5"/>
      <c r="J971" s="5"/>
      <c r="K971" s="5"/>
      <c r="O971" s="4"/>
      <c r="P971" s="4"/>
      <c r="AB971" s="4"/>
      <c r="AD971" s="4"/>
      <c r="AF971" t="e">
        <f>VLOOKUP(C971,'גיליון דאטה להכל'!A:H,5,0)</f>
        <v>#N/A</v>
      </c>
      <c r="AG971" s="104">
        <f t="shared" si="30"/>
        <v>0</v>
      </c>
      <c r="AH971" t="e">
        <f t="shared" si="31"/>
        <v>#N/A</v>
      </c>
    </row>
    <row r="972" spans="8:34" x14ac:dyDescent="0.2">
      <c r="H972" s="5"/>
      <c r="I972" s="5"/>
      <c r="J972" s="5"/>
      <c r="K972" s="5"/>
      <c r="O972" s="4"/>
      <c r="P972" s="4"/>
      <c r="AB972" s="4"/>
      <c r="AD972" s="4"/>
      <c r="AF972" t="e">
        <f>VLOOKUP(C972,'גיליון דאטה להכל'!A:H,5,0)</f>
        <v>#N/A</v>
      </c>
      <c r="AG972" s="104">
        <f t="shared" si="30"/>
        <v>0</v>
      </c>
      <c r="AH972" t="e">
        <f t="shared" si="31"/>
        <v>#N/A</v>
      </c>
    </row>
    <row r="973" spans="8:34" x14ac:dyDescent="0.2">
      <c r="H973" s="5"/>
      <c r="I973" s="5"/>
      <c r="J973" s="5"/>
      <c r="K973" s="5"/>
      <c r="O973" s="4"/>
      <c r="P973" s="4"/>
      <c r="AB973" s="4"/>
      <c r="AD973" s="4"/>
      <c r="AF973" t="e">
        <f>VLOOKUP(C973,'גיליון דאטה להכל'!A:H,5,0)</f>
        <v>#N/A</v>
      </c>
      <c r="AG973" s="104">
        <f t="shared" si="30"/>
        <v>0</v>
      </c>
      <c r="AH973" t="e">
        <f t="shared" si="31"/>
        <v>#N/A</v>
      </c>
    </row>
    <row r="974" spans="8:34" x14ac:dyDescent="0.2">
      <c r="H974" s="5"/>
      <c r="I974" s="5"/>
      <c r="J974" s="5"/>
      <c r="K974" s="5"/>
      <c r="O974" s="4"/>
      <c r="P974" s="4"/>
      <c r="AB974" s="4"/>
      <c r="AD974" s="4"/>
      <c r="AF974" t="e">
        <f>VLOOKUP(C974,'גיליון דאטה להכל'!A:H,5,0)</f>
        <v>#N/A</v>
      </c>
      <c r="AG974" s="104">
        <f t="shared" si="30"/>
        <v>0</v>
      </c>
      <c r="AH974" t="e">
        <f t="shared" si="31"/>
        <v>#N/A</v>
      </c>
    </row>
    <row r="975" spans="8:34" x14ac:dyDescent="0.2">
      <c r="H975" s="5"/>
      <c r="I975" s="5"/>
      <c r="J975" s="5"/>
      <c r="K975" s="5"/>
      <c r="O975" s="4"/>
      <c r="P975" s="4"/>
      <c r="AB975" s="4"/>
      <c r="AD975" s="4"/>
      <c r="AF975" t="e">
        <f>VLOOKUP(C975,'גיליון דאטה להכל'!A:H,5,0)</f>
        <v>#N/A</v>
      </c>
      <c r="AG975" s="104">
        <f t="shared" si="30"/>
        <v>0</v>
      </c>
      <c r="AH975" t="e">
        <f t="shared" si="31"/>
        <v>#N/A</v>
      </c>
    </row>
    <row r="976" spans="8:34" x14ac:dyDescent="0.2">
      <c r="H976" s="5"/>
      <c r="I976" s="5"/>
      <c r="J976" s="5"/>
      <c r="K976" s="5"/>
      <c r="O976" s="4"/>
      <c r="P976" s="4"/>
      <c r="AB976" s="4"/>
      <c r="AD976" s="4"/>
      <c r="AF976" t="e">
        <f>VLOOKUP(C976,'גיליון דאטה להכל'!A:H,5,0)</f>
        <v>#N/A</v>
      </c>
      <c r="AG976" s="104">
        <f t="shared" si="30"/>
        <v>0</v>
      </c>
      <c r="AH976" t="e">
        <f t="shared" si="31"/>
        <v>#N/A</v>
      </c>
    </row>
    <row r="977" spans="8:34" x14ac:dyDescent="0.2">
      <c r="H977" s="5"/>
      <c r="I977" s="5"/>
      <c r="J977" s="5"/>
      <c r="K977" s="5"/>
      <c r="O977" s="4"/>
      <c r="P977" s="4"/>
      <c r="AB977" s="4"/>
      <c r="AD977" s="4"/>
      <c r="AF977" t="e">
        <f>VLOOKUP(C977,'גיליון דאטה להכל'!A:H,5,0)</f>
        <v>#N/A</v>
      </c>
      <c r="AG977" s="104">
        <f t="shared" si="30"/>
        <v>0</v>
      </c>
      <c r="AH977" t="e">
        <f t="shared" si="31"/>
        <v>#N/A</v>
      </c>
    </row>
    <row r="978" spans="8:34" x14ac:dyDescent="0.2">
      <c r="H978" s="5"/>
      <c r="I978" s="5"/>
      <c r="J978" s="5"/>
      <c r="K978" s="5"/>
      <c r="O978" s="4"/>
      <c r="P978" s="4"/>
      <c r="AB978" s="4"/>
      <c r="AD978" s="4"/>
      <c r="AF978" t="e">
        <f>VLOOKUP(C978,'גיליון דאטה להכל'!A:H,5,0)</f>
        <v>#N/A</v>
      </c>
      <c r="AG978" s="104">
        <f t="shared" si="30"/>
        <v>0</v>
      </c>
      <c r="AH978" t="e">
        <f t="shared" si="31"/>
        <v>#N/A</v>
      </c>
    </row>
    <row r="979" spans="8:34" x14ac:dyDescent="0.2">
      <c r="H979" s="5"/>
      <c r="I979" s="5"/>
      <c r="J979" s="5"/>
      <c r="K979" s="5"/>
      <c r="O979" s="4"/>
      <c r="P979" s="4"/>
      <c r="AB979" s="4"/>
      <c r="AD979" s="4"/>
      <c r="AF979" t="e">
        <f>VLOOKUP(C979,'גיליון דאטה להכל'!A:H,5,0)</f>
        <v>#N/A</v>
      </c>
      <c r="AG979" s="104">
        <f t="shared" si="30"/>
        <v>0</v>
      </c>
      <c r="AH979" t="e">
        <f t="shared" si="31"/>
        <v>#N/A</v>
      </c>
    </row>
    <row r="980" spans="8:34" x14ac:dyDescent="0.2">
      <c r="H980" s="5"/>
      <c r="I980" s="5"/>
      <c r="J980" s="5"/>
      <c r="K980" s="5"/>
      <c r="L980" s="95"/>
      <c r="O980" s="4"/>
      <c r="P980" s="4"/>
      <c r="AB980" s="4"/>
      <c r="AD980" s="4"/>
      <c r="AF980" t="e">
        <f>VLOOKUP(C980,'גיליון דאטה להכל'!A:H,5,0)</f>
        <v>#N/A</v>
      </c>
      <c r="AG980" s="104">
        <f t="shared" si="30"/>
        <v>0</v>
      </c>
      <c r="AH980" t="e">
        <f t="shared" si="31"/>
        <v>#N/A</v>
      </c>
    </row>
    <row r="981" spans="8:34" x14ac:dyDescent="0.2">
      <c r="H981" s="5"/>
      <c r="I981" s="5"/>
      <c r="J981" s="5"/>
      <c r="K981" s="5"/>
      <c r="L981" s="95"/>
      <c r="O981" s="4"/>
      <c r="P981" s="4"/>
      <c r="AB981" s="4"/>
      <c r="AD981" s="4"/>
      <c r="AF981" t="e">
        <f>VLOOKUP(C981,'גיליון דאטה להכל'!A:H,5,0)</f>
        <v>#N/A</v>
      </c>
      <c r="AG981" s="104">
        <f t="shared" si="30"/>
        <v>0</v>
      </c>
      <c r="AH981" t="e">
        <f t="shared" si="31"/>
        <v>#N/A</v>
      </c>
    </row>
    <row r="982" spans="8:34" x14ac:dyDescent="0.2">
      <c r="H982" s="5"/>
      <c r="I982" s="5"/>
      <c r="J982" s="5"/>
      <c r="K982" s="5"/>
      <c r="L982" s="95"/>
      <c r="O982" s="4"/>
      <c r="P982" s="4"/>
      <c r="AB982" s="4"/>
      <c r="AD982" s="4"/>
      <c r="AF982" t="e">
        <f>VLOOKUP(C982,'גיליון דאטה להכל'!A:H,5,0)</f>
        <v>#N/A</v>
      </c>
      <c r="AG982" s="104">
        <f t="shared" si="30"/>
        <v>0</v>
      </c>
      <c r="AH982" t="e">
        <f t="shared" si="31"/>
        <v>#N/A</v>
      </c>
    </row>
    <row r="983" spans="8:34" x14ac:dyDescent="0.2">
      <c r="H983" s="5"/>
      <c r="I983" s="5"/>
      <c r="J983" s="5"/>
      <c r="K983" s="5"/>
      <c r="L983" s="95"/>
      <c r="O983" s="4"/>
      <c r="P983" s="4"/>
      <c r="AB983" s="4"/>
      <c r="AD983" s="4"/>
      <c r="AF983" t="e">
        <f>VLOOKUP(C983,'גיליון דאטה להכל'!A:H,5,0)</f>
        <v>#N/A</v>
      </c>
      <c r="AG983" s="104">
        <f t="shared" si="30"/>
        <v>0</v>
      </c>
      <c r="AH983" t="e">
        <f t="shared" si="31"/>
        <v>#N/A</v>
      </c>
    </row>
    <row r="984" spans="8:34" x14ac:dyDescent="0.2">
      <c r="H984" s="5"/>
      <c r="I984" s="5"/>
      <c r="J984" s="5"/>
      <c r="K984" s="5"/>
      <c r="L984" s="95"/>
      <c r="O984" s="4"/>
      <c r="P984" s="4"/>
      <c r="AB984" s="4"/>
      <c r="AD984" s="4"/>
      <c r="AF984" t="e">
        <f>VLOOKUP(C984,'גיליון דאטה להכל'!A:H,5,0)</f>
        <v>#N/A</v>
      </c>
      <c r="AG984" s="104">
        <f t="shared" si="30"/>
        <v>0</v>
      </c>
      <c r="AH984" t="e">
        <f t="shared" si="31"/>
        <v>#N/A</v>
      </c>
    </row>
    <row r="985" spans="8:34" x14ac:dyDescent="0.2">
      <c r="H985" s="5"/>
      <c r="I985" s="5"/>
      <c r="J985" s="5"/>
      <c r="K985" s="5"/>
      <c r="L985" s="95"/>
      <c r="O985" s="4"/>
      <c r="P985" s="4"/>
      <c r="AB985" s="4"/>
      <c r="AD985" s="4"/>
      <c r="AF985" t="e">
        <f>VLOOKUP(C985,'גיליון דאטה להכל'!A:H,5,0)</f>
        <v>#N/A</v>
      </c>
      <c r="AG985" s="104">
        <f t="shared" si="30"/>
        <v>0</v>
      </c>
      <c r="AH985" t="e">
        <f t="shared" si="31"/>
        <v>#N/A</v>
      </c>
    </row>
    <row r="986" spans="8:34" x14ac:dyDescent="0.2">
      <c r="H986" s="5"/>
      <c r="I986" s="5"/>
      <c r="J986" s="5"/>
      <c r="K986" s="5"/>
      <c r="L986" s="95"/>
      <c r="O986" s="4"/>
      <c r="P986" s="4"/>
      <c r="AB986" s="4"/>
      <c r="AD986" s="4"/>
      <c r="AF986" t="e">
        <f>VLOOKUP(C986,'גיליון דאטה להכל'!A:H,5,0)</f>
        <v>#N/A</v>
      </c>
      <c r="AG986" s="104">
        <f t="shared" si="30"/>
        <v>0</v>
      </c>
      <c r="AH986" t="e">
        <f t="shared" si="31"/>
        <v>#N/A</v>
      </c>
    </row>
    <row r="987" spans="8:34" x14ac:dyDescent="0.2">
      <c r="H987" s="5"/>
      <c r="I987" s="5"/>
      <c r="J987" s="5"/>
      <c r="K987" s="5"/>
      <c r="L987" s="95"/>
      <c r="O987" s="4"/>
      <c r="P987" s="4"/>
      <c r="AB987" s="4"/>
      <c r="AD987" s="4"/>
      <c r="AF987" t="e">
        <f>VLOOKUP(C987,'גיליון דאטה להכל'!A:H,5,0)</f>
        <v>#N/A</v>
      </c>
      <c r="AG987" s="104">
        <f t="shared" si="30"/>
        <v>0</v>
      </c>
      <c r="AH987" t="e">
        <f t="shared" si="31"/>
        <v>#N/A</v>
      </c>
    </row>
    <row r="988" spans="8:34" x14ac:dyDescent="0.2">
      <c r="H988" s="5"/>
      <c r="I988" s="5"/>
      <c r="J988" s="5"/>
      <c r="K988" s="5"/>
      <c r="L988" s="95"/>
      <c r="O988" s="4"/>
      <c r="P988" s="4"/>
      <c r="AB988" s="4"/>
      <c r="AD988" s="4"/>
      <c r="AF988" t="e">
        <f>VLOOKUP(C988,'גיליון דאטה להכל'!A:H,5,0)</f>
        <v>#N/A</v>
      </c>
      <c r="AG988" s="104">
        <f t="shared" si="30"/>
        <v>0</v>
      </c>
      <c r="AH988" t="e">
        <f t="shared" si="31"/>
        <v>#N/A</v>
      </c>
    </row>
    <row r="989" spans="8:34" x14ac:dyDescent="0.2">
      <c r="H989" s="5"/>
      <c r="I989" s="5"/>
      <c r="J989" s="5"/>
      <c r="K989" s="5"/>
      <c r="L989" s="95"/>
      <c r="O989" s="4"/>
      <c r="P989" s="4"/>
      <c r="AB989" s="4"/>
      <c r="AD989" s="4"/>
      <c r="AF989" t="e">
        <f>VLOOKUP(C989,'גיליון דאטה להכל'!A:H,5,0)</f>
        <v>#N/A</v>
      </c>
      <c r="AG989" s="104">
        <f t="shared" si="30"/>
        <v>0</v>
      </c>
      <c r="AH989" t="e">
        <f t="shared" si="31"/>
        <v>#N/A</v>
      </c>
    </row>
    <row r="990" spans="8:34" x14ac:dyDescent="0.2">
      <c r="H990" s="5"/>
      <c r="I990" s="5"/>
      <c r="J990" s="5"/>
      <c r="K990" s="5"/>
      <c r="L990" s="95"/>
      <c r="O990" s="4"/>
      <c r="P990" s="4"/>
      <c r="AB990" s="4"/>
      <c r="AD990" s="4"/>
      <c r="AF990" t="e">
        <f>VLOOKUP(C990,'גיליון דאטה להכל'!A:H,5,0)</f>
        <v>#N/A</v>
      </c>
      <c r="AG990" s="104">
        <f t="shared" si="30"/>
        <v>0</v>
      </c>
      <c r="AH990" t="e">
        <f t="shared" si="31"/>
        <v>#N/A</v>
      </c>
    </row>
    <row r="991" spans="8:34" x14ac:dyDescent="0.2">
      <c r="H991" s="5"/>
      <c r="I991" s="5"/>
      <c r="J991" s="5"/>
      <c r="K991" s="5"/>
      <c r="L991" s="95"/>
      <c r="O991" s="4"/>
      <c r="P991" s="4"/>
      <c r="AB991" s="4"/>
      <c r="AD991" s="4"/>
      <c r="AF991" t="e">
        <f>VLOOKUP(C991,'גיליון דאטה להכל'!A:H,5,0)</f>
        <v>#N/A</v>
      </c>
      <c r="AG991" s="104">
        <f t="shared" si="30"/>
        <v>0</v>
      </c>
      <c r="AH991" t="e">
        <f t="shared" si="31"/>
        <v>#N/A</v>
      </c>
    </row>
    <row r="992" spans="8:34" x14ac:dyDescent="0.2">
      <c r="H992" s="5"/>
      <c r="I992" s="5"/>
      <c r="J992" s="5"/>
      <c r="K992" s="5"/>
      <c r="L992" s="95"/>
      <c r="O992" s="4"/>
      <c r="P992" s="4"/>
      <c r="AB992" s="4"/>
      <c r="AD992" s="4"/>
      <c r="AF992" t="e">
        <f>VLOOKUP(C992,'גיליון דאטה להכל'!A:H,5,0)</f>
        <v>#N/A</v>
      </c>
      <c r="AG992" s="104">
        <f t="shared" si="30"/>
        <v>0</v>
      </c>
      <c r="AH992" t="e">
        <f t="shared" si="31"/>
        <v>#N/A</v>
      </c>
    </row>
    <row r="993" spans="8:34" x14ac:dyDescent="0.2">
      <c r="H993" s="5"/>
      <c r="I993" s="5"/>
      <c r="J993" s="5"/>
      <c r="K993" s="5"/>
      <c r="L993" s="95"/>
      <c r="O993" s="4"/>
      <c r="P993" s="4"/>
      <c r="AB993" s="4"/>
      <c r="AD993" s="4"/>
      <c r="AF993" t="e">
        <f>VLOOKUP(C993,'גיליון דאטה להכל'!A:H,5,0)</f>
        <v>#N/A</v>
      </c>
      <c r="AG993" s="104">
        <f t="shared" si="30"/>
        <v>0</v>
      </c>
      <c r="AH993" t="e">
        <f t="shared" si="31"/>
        <v>#N/A</v>
      </c>
    </row>
    <row r="994" spans="8:34" x14ac:dyDescent="0.2">
      <c r="H994" s="5"/>
      <c r="I994" s="5"/>
      <c r="J994" s="5"/>
      <c r="K994" s="5"/>
      <c r="O994" s="4"/>
      <c r="P994" s="4"/>
      <c r="AB994" s="4"/>
      <c r="AD994" s="4"/>
      <c r="AF994" t="e">
        <f>VLOOKUP(C994,'גיליון דאטה להכל'!A:H,5,0)</f>
        <v>#N/A</v>
      </c>
      <c r="AG994" s="104">
        <f t="shared" si="30"/>
        <v>0</v>
      </c>
      <c r="AH994" t="e">
        <f t="shared" si="31"/>
        <v>#N/A</v>
      </c>
    </row>
    <row r="995" spans="8:34" x14ac:dyDescent="0.2">
      <c r="H995" s="5"/>
      <c r="I995" s="5"/>
      <c r="J995" s="5"/>
      <c r="K995" s="5"/>
      <c r="O995" s="4"/>
      <c r="P995" s="4"/>
      <c r="AB995" s="4"/>
      <c r="AD995" s="4"/>
      <c r="AF995" t="e">
        <f>VLOOKUP(C995,'גיליון דאטה להכל'!A:H,5,0)</f>
        <v>#N/A</v>
      </c>
      <c r="AG995" s="104">
        <f t="shared" si="30"/>
        <v>0</v>
      </c>
      <c r="AH995" t="e">
        <f t="shared" si="31"/>
        <v>#N/A</v>
      </c>
    </row>
    <row r="996" spans="8:34" x14ac:dyDescent="0.2">
      <c r="H996" s="5"/>
      <c r="I996" s="5"/>
      <c r="J996" s="5"/>
      <c r="K996" s="5"/>
      <c r="O996" s="4"/>
      <c r="P996" s="4"/>
      <c r="AB996" s="4"/>
      <c r="AD996" s="4"/>
      <c r="AF996" t="e">
        <f>VLOOKUP(C996,'גיליון דאטה להכל'!A:H,5,0)</f>
        <v>#N/A</v>
      </c>
      <c r="AG996" s="104">
        <f t="shared" si="30"/>
        <v>0</v>
      </c>
      <c r="AH996" t="e">
        <f t="shared" si="31"/>
        <v>#N/A</v>
      </c>
    </row>
    <row r="997" spans="8:34" x14ac:dyDescent="0.2">
      <c r="H997" s="5"/>
      <c r="I997" s="5"/>
      <c r="J997" s="5"/>
      <c r="K997" s="5"/>
      <c r="O997" s="4"/>
      <c r="P997" s="4"/>
      <c r="AB997" s="4"/>
      <c r="AD997" s="4"/>
      <c r="AF997" t="e">
        <f>VLOOKUP(C997,'גיליון דאטה להכל'!A:H,5,0)</f>
        <v>#N/A</v>
      </c>
      <c r="AG997" s="104">
        <f t="shared" si="30"/>
        <v>0</v>
      </c>
      <c r="AH997" t="e">
        <f t="shared" si="31"/>
        <v>#N/A</v>
      </c>
    </row>
    <row r="998" spans="8:34" x14ac:dyDescent="0.2">
      <c r="H998" s="5"/>
      <c r="I998" s="5"/>
      <c r="J998" s="5"/>
      <c r="K998" s="5"/>
      <c r="O998" s="4"/>
      <c r="P998" s="4"/>
      <c r="AB998" s="4"/>
      <c r="AD998" s="4"/>
      <c r="AF998" t="e">
        <f>VLOOKUP(C998,'גיליון דאטה להכל'!A:H,5,0)</f>
        <v>#N/A</v>
      </c>
      <c r="AG998" s="104">
        <f t="shared" si="30"/>
        <v>0</v>
      </c>
      <c r="AH998" t="e">
        <f t="shared" si="31"/>
        <v>#N/A</v>
      </c>
    </row>
    <row r="999" spans="8:34" x14ac:dyDescent="0.2">
      <c r="H999" s="5"/>
      <c r="I999" s="5"/>
      <c r="J999" s="5"/>
      <c r="K999" s="5"/>
      <c r="O999" s="4"/>
      <c r="P999" s="4"/>
      <c r="AB999" s="4"/>
      <c r="AD999" s="4"/>
      <c r="AF999" t="e">
        <f>VLOOKUP(C999,'גיליון דאטה להכל'!A:H,5,0)</f>
        <v>#N/A</v>
      </c>
      <c r="AG999" s="104">
        <f t="shared" si="30"/>
        <v>0</v>
      </c>
      <c r="AH999" t="e">
        <f t="shared" si="31"/>
        <v>#N/A</v>
      </c>
    </row>
    <row r="1000" spans="8:34" x14ac:dyDescent="0.2">
      <c r="H1000" s="5"/>
      <c r="I1000" s="5"/>
      <c r="J1000" s="5"/>
      <c r="K1000" s="5"/>
      <c r="O1000" s="4"/>
      <c r="P1000" s="4"/>
      <c r="AB1000" s="4"/>
      <c r="AD1000" s="4"/>
      <c r="AF1000" t="e">
        <f>VLOOKUP(C1000,'גיליון דאטה להכל'!A:H,5,0)</f>
        <v>#N/A</v>
      </c>
      <c r="AG1000" s="104">
        <f t="shared" si="30"/>
        <v>0</v>
      </c>
      <c r="AH1000" t="e">
        <f t="shared" si="31"/>
        <v>#N/A</v>
      </c>
    </row>
    <row r="1001" spans="8:34" x14ac:dyDescent="0.2">
      <c r="H1001" s="5"/>
      <c r="I1001" s="5"/>
      <c r="J1001" s="5"/>
      <c r="K1001" s="5"/>
      <c r="O1001" s="4"/>
      <c r="P1001" s="4"/>
      <c r="AB1001" s="4"/>
      <c r="AD1001" s="4"/>
      <c r="AF1001" t="e">
        <f>VLOOKUP(C1001,'גיליון דאטה להכל'!A:H,5,0)</f>
        <v>#N/A</v>
      </c>
      <c r="AG1001" s="104">
        <f t="shared" si="30"/>
        <v>0</v>
      </c>
      <c r="AH1001" t="e">
        <f t="shared" si="31"/>
        <v>#N/A</v>
      </c>
    </row>
    <row r="1002" spans="8:34" x14ac:dyDescent="0.2">
      <c r="H1002" s="5"/>
      <c r="I1002" s="5"/>
      <c r="J1002" s="5"/>
      <c r="K1002" s="5"/>
      <c r="O1002" s="4"/>
      <c r="P1002" s="4"/>
      <c r="AB1002" s="4"/>
      <c r="AD1002" s="4"/>
      <c r="AF1002" t="e">
        <f>VLOOKUP(C1002,'גיליון דאטה להכל'!A:H,5,0)</f>
        <v>#N/A</v>
      </c>
      <c r="AG1002" s="104">
        <f t="shared" si="30"/>
        <v>0</v>
      </c>
      <c r="AH1002" t="e">
        <f t="shared" si="31"/>
        <v>#N/A</v>
      </c>
    </row>
    <row r="1003" spans="8:34" x14ac:dyDescent="0.2">
      <c r="H1003" s="5"/>
      <c r="I1003" s="5"/>
      <c r="J1003" s="5"/>
      <c r="K1003" s="5"/>
      <c r="O1003" s="4"/>
      <c r="P1003" s="4"/>
      <c r="AB1003" s="4"/>
      <c r="AD1003" s="4"/>
      <c r="AF1003" t="e">
        <f>VLOOKUP(C1003,'גיליון דאטה להכל'!A:H,5,0)</f>
        <v>#N/A</v>
      </c>
      <c r="AG1003" s="104">
        <f t="shared" si="30"/>
        <v>0</v>
      </c>
      <c r="AH1003" t="e">
        <f t="shared" si="31"/>
        <v>#N/A</v>
      </c>
    </row>
    <row r="1004" spans="8:34" x14ac:dyDescent="0.2">
      <c r="H1004" s="5"/>
      <c r="I1004" s="5"/>
      <c r="J1004" s="5"/>
      <c r="K1004" s="5"/>
      <c r="O1004" s="4"/>
      <c r="P1004" s="4"/>
      <c r="AB1004" s="4"/>
      <c r="AD1004" s="4"/>
      <c r="AF1004" t="e">
        <f>VLOOKUP(C1004,'גיליון דאטה להכל'!A:H,5,0)</f>
        <v>#N/A</v>
      </c>
      <c r="AG1004" s="104">
        <f t="shared" si="30"/>
        <v>0</v>
      </c>
      <c r="AH1004" t="e">
        <f t="shared" si="31"/>
        <v>#N/A</v>
      </c>
    </row>
    <row r="1005" spans="8:34" x14ac:dyDescent="0.2">
      <c r="H1005" s="5"/>
      <c r="I1005" s="5"/>
      <c r="J1005" s="5"/>
      <c r="K1005" s="5"/>
      <c r="O1005" s="4"/>
      <c r="P1005" s="4"/>
      <c r="AB1005" s="4"/>
      <c r="AD1005" s="4"/>
      <c r="AF1005" t="e">
        <f>VLOOKUP(C1005,'גיליון דאטה להכל'!A:H,5,0)</f>
        <v>#N/A</v>
      </c>
      <c r="AG1005" s="104">
        <f t="shared" si="30"/>
        <v>0</v>
      </c>
      <c r="AH1005" t="e">
        <f t="shared" si="31"/>
        <v>#N/A</v>
      </c>
    </row>
    <row r="1006" spans="8:34" x14ac:dyDescent="0.2">
      <c r="H1006" s="5"/>
      <c r="I1006" s="5"/>
      <c r="J1006" s="5"/>
      <c r="K1006" s="5"/>
      <c r="L1006" s="95"/>
      <c r="O1006" s="4"/>
      <c r="P1006" s="4"/>
      <c r="AB1006" s="4"/>
      <c r="AD1006" s="4"/>
      <c r="AF1006" t="e">
        <f>VLOOKUP(C1006,'גיליון דאטה להכל'!A:H,5,0)</f>
        <v>#N/A</v>
      </c>
      <c r="AG1006" s="104">
        <f t="shared" si="30"/>
        <v>0</v>
      </c>
      <c r="AH1006" t="e">
        <f t="shared" si="31"/>
        <v>#N/A</v>
      </c>
    </row>
    <row r="1007" spans="8:34" x14ac:dyDescent="0.2">
      <c r="H1007" s="5"/>
      <c r="I1007" s="5"/>
      <c r="J1007" s="5"/>
      <c r="K1007" s="5"/>
      <c r="L1007" s="95"/>
      <c r="O1007" s="4"/>
      <c r="P1007" s="4"/>
      <c r="AB1007" s="4"/>
      <c r="AD1007" s="4"/>
      <c r="AF1007" t="e">
        <f>VLOOKUP(C1007,'גיליון דאטה להכל'!A:H,5,0)</f>
        <v>#N/A</v>
      </c>
      <c r="AG1007" s="104">
        <f t="shared" si="30"/>
        <v>0</v>
      </c>
      <c r="AH1007" t="e">
        <f t="shared" si="31"/>
        <v>#N/A</v>
      </c>
    </row>
    <row r="1008" spans="8:34" x14ac:dyDescent="0.2">
      <c r="H1008" s="5"/>
      <c r="I1008" s="5"/>
      <c r="J1008" s="5"/>
      <c r="K1008" s="5"/>
      <c r="L1008" s="95"/>
      <c r="O1008" s="4"/>
      <c r="P1008" s="4"/>
      <c r="AB1008" s="4"/>
      <c r="AD1008" s="4"/>
      <c r="AF1008" t="e">
        <f>VLOOKUP(C1008,'גיליון דאטה להכל'!A:H,5,0)</f>
        <v>#N/A</v>
      </c>
      <c r="AG1008" s="104">
        <f t="shared" si="30"/>
        <v>0</v>
      </c>
      <c r="AH1008" t="e">
        <f t="shared" si="31"/>
        <v>#N/A</v>
      </c>
    </row>
    <row r="1009" spans="8:34" x14ac:dyDescent="0.2">
      <c r="H1009" s="5"/>
      <c r="I1009" s="5"/>
      <c r="J1009" s="5"/>
      <c r="K1009" s="5"/>
      <c r="L1009" s="95"/>
      <c r="O1009" s="4"/>
      <c r="P1009" s="4"/>
      <c r="AB1009" s="4"/>
      <c r="AD1009" s="4"/>
      <c r="AF1009" t="e">
        <f>VLOOKUP(C1009,'גיליון דאטה להכל'!A:H,5,0)</f>
        <v>#N/A</v>
      </c>
      <c r="AG1009" s="104">
        <f t="shared" si="30"/>
        <v>0</v>
      </c>
      <c r="AH1009" t="e">
        <f t="shared" si="31"/>
        <v>#N/A</v>
      </c>
    </row>
    <row r="1010" spans="8:34" x14ac:dyDescent="0.2">
      <c r="H1010" s="5"/>
      <c r="I1010" s="5"/>
      <c r="J1010" s="5"/>
      <c r="K1010" s="5"/>
      <c r="L1010" s="95"/>
      <c r="O1010" s="4"/>
      <c r="P1010" s="4"/>
      <c r="AB1010" s="4"/>
      <c r="AD1010" s="4"/>
      <c r="AF1010" t="e">
        <f>VLOOKUP(C1010,'גיליון דאטה להכל'!A:H,5,0)</f>
        <v>#N/A</v>
      </c>
      <c r="AG1010" s="104">
        <f t="shared" si="30"/>
        <v>0</v>
      </c>
      <c r="AH1010" t="e">
        <f t="shared" si="31"/>
        <v>#N/A</v>
      </c>
    </row>
    <row r="1011" spans="8:34" x14ac:dyDescent="0.2">
      <c r="H1011" s="5"/>
      <c r="I1011" s="5"/>
      <c r="J1011" s="5"/>
      <c r="K1011" s="5"/>
      <c r="L1011" s="95"/>
      <c r="O1011" s="4"/>
      <c r="P1011" s="4"/>
      <c r="AB1011" s="4"/>
      <c r="AD1011" s="4"/>
      <c r="AF1011" t="e">
        <f>VLOOKUP(C1011,'גיליון דאטה להכל'!A:H,5,0)</f>
        <v>#N/A</v>
      </c>
      <c r="AG1011" s="104">
        <f t="shared" si="30"/>
        <v>0</v>
      </c>
      <c r="AH1011" t="e">
        <f t="shared" si="31"/>
        <v>#N/A</v>
      </c>
    </row>
    <row r="1012" spans="8:34" x14ac:dyDescent="0.2">
      <c r="H1012" s="5"/>
      <c r="I1012" s="5"/>
      <c r="J1012" s="5"/>
      <c r="K1012" s="5"/>
      <c r="L1012" s="95"/>
      <c r="O1012" s="4"/>
      <c r="P1012" s="4"/>
      <c r="AB1012" s="4"/>
      <c r="AD1012" s="4"/>
      <c r="AF1012" t="e">
        <f>VLOOKUP(C1012,'גיליון דאטה להכל'!A:H,5,0)</f>
        <v>#N/A</v>
      </c>
      <c r="AG1012" s="104">
        <f t="shared" si="30"/>
        <v>0</v>
      </c>
      <c r="AH1012" t="e">
        <f t="shared" si="31"/>
        <v>#N/A</v>
      </c>
    </row>
    <row r="1013" spans="8:34" x14ac:dyDescent="0.2">
      <c r="H1013" s="5"/>
      <c r="I1013" s="5"/>
      <c r="J1013" s="5"/>
      <c r="K1013" s="5"/>
      <c r="O1013" s="4"/>
      <c r="P1013" s="4"/>
      <c r="AB1013" s="4"/>
      <c r="AD1013" s="4"/>
      <c r="AF1013" t="e">
        <f>VLOOKUP(C1013,'גיליון דאטה להכל'!A:H,5,0)</f>
        <v>#N/A</v>
      </c>
      <c r="AG1013" s="104">
        <f t="shared" si="30"/>
        <v>0</v>
      </c>
      <c r="AH1013" t="e">
        <f t="shared" si="31"/>
        <v>#N/A</v>
      </c>
    </row>
    <row r="1014" spans="8:34" x14ac:dyDescent="0.2">
      <c r="H1014" s="5"/>
      <c r="I1014" s="5"/>
      <c r="J1014" s="5"/>
      <c r="K1014" s="5"/>
      <c r="O1014" s="4"/>
      <c r="P1014" s="4"/>
      <c r="AB1014" s="4"/>
      <c r="AD1014" s="4"/>
      <c r="AF1014" t="e">
        <f>VLOOKUP(C1014,'גיליון דאטה להכל'!A:H,5,0)</f>
        <v>#N/A</v>
      </c>
      <c r="AG1014" s="104">
        <f t="shared" si="30"/>
        <v>0</v>
      </c>
      <c r="AH1014" t="e">
        <f t="shared" si="31"/>
        <v>#N/A</v>
      </c>
    </row>
    <row r="1015" spans="8:34" x14ac:dyDescent="0.2">
      <c r="H1015" s="5"/>
      <c r="I1015" s="5"/>
      <c r="J1015" s="5"/>
      <c r="K1015" s="5"/>
      <c r="O1015" s="4"/>
      <c r="P1015" s="4"/>
      <c r="AB1015" s="4"/>
      <c r="AD1015" s="4"/>
      <c r="AF1015" t="e">
        <f>VLOOKUP(C1015,'גיליון דאטה להכל'!A:H,5,0)</f>
        <v>#N/A</v>
      </c>
      <c r="AG1015" s="104">
        <f t="shared" si="30"/>
        <v>0</v>
      </c>
      <c r="AH1015" t="e">
        <f t="shared" si="31"/>
        <v>#N/A</v>
      </c>
    </row>
    <row r="1016" spans="8:34" x14ac:dyDescent="0.2">
      <c r="H1016" s="5"/>
      <c r="I1016" s="5"/>
      <c r="J1016" s="5"/>
      <c r="K1016" s="5"/>
      <c r="O1016" s="4"/>
      <c r="P1016" s="4"/>
      <c r="AB1016" s="4"/>
      <c r="AD1016" s="4"/>
      <c r="AF1016" t="e">
        <f>VLOOKUP(C1016,'גיליון דאטה להכל'!A:H,5,0)</f>
        <v>#N/A</v>
      </c>
      <c r="AG1016" s="104">
        <f t="shared" si="30"/>
        <v>0</v>
      </c>
      <c r="AH1016" t="e">
        <f t="shared" si="31"/>
        <v>#N/A</v>
      </c>
    </row>
    <row r="1017" spans="8:34" x14ac:dyDescent="0.2">
      <c r="H1017" s="5"/>
      <c r="I1017" s="5"/>
      <c r="J1017" s="5"/>
      <c r="K1017" s="5"/>
      <c r="O1017" s="4"/>
      <c r="P1017" s="4"/>
      <c r="AB1017" s="4"/>
      <c r="AD1017" s="4"/>
      <c r="AF1017" t="e">
        <f>VLOOKUP(C1017,'גיליון דאטה להכל'!A:H,5,0)</f>
        <v>#N/A</v>
      </c>
      <c r="AG1017" s="104">
        <f t="shared" si="30"/>
        <v>0</v>
      </c>
      <c r="AH1017" t="e">
        <f t="shared" si="31"/>
        <v>#N/A</v>
      </c>
    </row>
    <row r="1018" spans="8:34" x14ac:dyDescent="0.2">
      <c r="H1018" s="5"/>
      <c r="I1018" s="5"/>
      <c r="J1018" s="5"/>
      <c r="K1018" s="5"/>
      <c r="L1018" s="95"/>
      <c r="O1018" s="4"/>
      <c r="P1018" s="4"/>
      <c r="AB1018" s="4"/>
      <c r="AD1018" s="4"/>
      <c r="AF1018" t="e">
        <f>VLOOKUP(C1018,'גיליון דאטה להכל'!A:H,5,0)</f>
        <v>#N/A</v>
      </c>
      <c r="AG1018" s="104">
        <f t="shared" si="30"/>
        <v>0</v>
      </c>
      <c r="AH1018" t="e">
        <f t="shared" si="31"/>
        <v>#N/A</v>
      </c>
    </row>
    <row r="1019" spans="8:34" x14ac:dyDescent="0.2">
      <c r="H1019" s="5"/>
      <c r="I1019" s="5"/>
      <c r="J1019" s="5"/>
      <c r="K1019" s="5"/>
      <c r="L1019" s="95"/>
      <c r="O1019" s="4"/>
      <c r="P1019" s="4"/>
      <c r="AB1019" s="4"/>
      <c r="AD1019" s="4"/>
      <c r="AF1019" t="e">
        <f>VLOOKUP(C1019,'גיליון דאטה להכל'!A:H,5,0)</f>
        <v>#N/A</v>
      </c>
      <c r="AG1019" s="104">
        <f t="shared" si="30"/>
        <v>0</v>
      </c>
      <c r="AH1019" t="e">
        <f t="shared" si="31"/>
        <v>#N/A</v>
      </c>
    </row>
    <row r="1020" spans="8:34" x14ac:dyDescent="0.2">
      <c r="H1020" s="5"/>
      <c r="I1020" s="5"/>
      <c r="J1020" s="5"/>
      <c r="K1020" s="5"/>
      <c r="L1020" s="95"/>
      <c r="O1020" s="4"/>
      <c r="P1020" s="4"/>
      <c r="AB1020" s="4"/>
      <c r="AD1020" s="4"/>
      <c r="AF1020" t="e">
        <f>VLOOKUP(C1020,'גיליון דאטה להכל'!A:H,5,0)</f>
        <v>#N/A</v>
      </c>
      <c r="AG1020" s="104">
        <f t="shared" si="30"/>
        <v>0</v>
      </c>
      <c r="AH1020" t="e">
        <f t="shared" si="31"/>
        <v>#N/A</v>
      </c>
    </row>
    <row r="1021" spans="8:34" x14ac:dyDescent="0.2">
      <c r="H1021" s="5"/>
      <c r="I1021" s="5"/>
      <c r="J1021" s="5"/>
      <c r="K1021" s="5"/>
      <c r="L1021" s="95"/>
      <c r="O1021" s="4"/>
      <c r="P1021" s="4"/>
      <c r="AB1021" s="4"/>
      <c r="AD1021" s="4"/>
      <c r="AF1021" t="e">
        <f>VLOOKUP(C1021,'גיליון דאטה להכל'!A:H,5,0)</f>
        <v>#N/A</v>
      </c>
      <c r="AG1021" s="104">
        <f t="shared" si="30"/>
        <v>0</v>
      </c>
      <c r="AH1021" t="e">
        <f t="shared" si="31"/>
        <v>#N/A</v>
      </c>
    </row>
    <row r="1022" spans="8:34" x14ac:dyDescent="0.2">
      <c r="H1022" s="5"/>
      <c r="I1022" s="5"/>
      <c r="J1022" s="5"/>
      <c r="K1022" s="5"/>
      <c r="L1022" s="95"/>
      <c r="O1022" s="4"/>
      <c r="P1022" s="4"/>
      <c r="AB1022" s="4"/>
      <c r="AD1022" s="4"/>
      <c r="AF1022" t="e">
        <f>VLOOKUP(C1022,'גיליון דאטה להכל'!A:H,5,0)</f>
        <v>#N/A</v>
      </c>
      <c r="AG1022" s="104">
        <f t="shared" si="30"/>
        <v>0</v>
      </c>
      <c r="AH1022" t="e">
        <f t="shared" si="31"/>
        <v>#N/A</v>
      </c>
    </row>
    <row r="1023" spans="8:34" x14ac:dyDescent="0.2">
      <c r="H1023" s="5"/>
      <c r="I1023" s="5"/>
      <c r="J1023" s="5"/>
      <c r="K1023" s="5"/>
      <c r="L1023" s="95"/>
      <c r="O1023" s="4"/>
      <c r="P1023" s="4"/>
      <c r="AB1023" s="4"/>
      <c r="AD1023" s="4"/>
      <c r="AF1023" t="e">
        <f>VLOOKUP(C1023,'גיליון דאטה להכל'!A:H,5,0)</f>
        <v>#N/A</v>
      </c>
      <c r="AG1023" s="104">
        <f t="shared" si="30"/>
        <v>0</v>
      </c>
      <c r="AH1023" t="e">
        <f t="shared" si="31"/>
        <v>#N/A</v>
      </c>
    </row>
    <row r="1024" spans="8:34" x14ac:dyDescent="0.2">
      <c r="H1024" s="5"/>
      <c r="I1024" s="5"/>
      <c r="J1024" s="5"/>
      <c r="K1024" s="5"/>
      <c r="L1024" s="95"/>
      <c r="O1024" s="4"/>
      <c r="P1024" s="4"/>
      <c r="AB1024" s="4"/>
      <c r="AD1024" s="4"/>
      <c r="AF1024" t="e">
        <f>VLOOKUP(C1024,'גיליון דאטה להכל'!A:H,5,0)</f>
        <v>#N/A</v>
      </c>
      <c r="AG1024" s="104">
        <f t="shared" si="30"/>
        <v>0</v>
      </c>
      <c r="AH1024" t="e">
        <f t="shared" si="31"/>
        <v>#N/A</v>
      </c>
    </row>
    <row r="1025" spans="8:34" x14ac:dyDescent="0.2">
      <c r="H1025" s="5"/>
      <c r="I1025" s="5"/>
      <c r="J1025" s="5"/>
      <c r="K1025" s="5"/>
      <c r="L1025" s="95"/>
      <c r="O1025" s="4"/>
      <c r="P1025" s="4"/>
      <c r="AB1025" s="4"/>
      <c r="AD1025" s="4"/>
      <c r="AF1025" t="e">
        <f>VLOOKUP(C1025,'גיליון דאטה להכל'!A:H,5,0)</f>
        <v>#N/A</v>
      </c>
      <c r="AG1025" s="104">
        <f t="shared" si="30"/>
        <v>0</v>
      </c>
      <c r="AH1025" t="e">
        <f t="shared" si="31"/>
        <v>#N/A</v>
      </c>
    </row>
    <row r="1026" spans="8:34" x14ac:dyDescent="0.2">
      <c r="H1026" s="5"/>
      <c r="I1026" s="5"/>
      <c r="J1026" s="5"/>
      <c r="K1026" s="5"/>
      <c r="L1026" s="95"/>
      <c r="O1026" s="4"/>
      <c r="P1026" s="4"/>
      <c r="AB1026" s="4"/>
      <c r="AD1026" s="4"/>
      <c r="AF1026" t="e">
        <f>VLOOKUP(C1026,'גיליון דאטה להכל'!A:H,5,0)</f>
        <v>#N/A</v>
      </c>
      <c r="AG1026" s="104">
        <f t="shared" si="30"/>
        <v>0</v>
      </c>
      <c r="AH1026" t="e">
        <f t="shared" si="31"/>
        <v>#N/A</v>
      </c>
    </row>
    <row r="1027" spans="8:34" x14ac:dyDescent="0.2">
      <c r="H1027" s="5"/>
      <c r="I1027" s="5"/>
      <c r="J1027" s="5"/>
      <c r="K1027" s="5"/>
      <c r="L1027" s="95"/>
      <c r="O1027" s="4"/>
      <c r="P1027" s="4"/>
      <c r="AB1027" s="4"/>
      <c r="AD1027" s="4"/>
      <c r="AF1027" t="e">
        <f>VLOOKUP(C1027,'גיליון דאטה להכל'!A:H,5,0)</f>
        <v>#N/A</v>
      </c>
      <c r="AG1027" s="104">
        <f t="shared" ref="AG1027:AG1090" si="32">I1027+H1027</f>
        <v>0</v>
      </c>
      <c r="AH1027" t="e">
        <f t="shared" ref="AH1027:AH1090" si="33">_xlfn.CONCAT(AF1027,N1027)</f>
        <v>#N/A</v>
      </c>
    </row>
    <row r="1028" spans="8:34" x14ac:dyDescent="0.2">
      <c r="H1028" s="5"/>
      <c r="I1028" s="5"/>
      <c r="J1028" s="5"/>
      <c r="K1028" s="5"/>
      <c r="L1028" s="95"/>
      <c r="O1028" s="4"/>
      <c r="P1028" s="4"/>
      <c r="AB1028" s="4"/>
      <c r="AD1028" s="4"/>
      <c r="AF1028" t="e">
        <f>VLOOKUP(C1028,'גיליון דאטה להכל'!A:H,5,0)</f>
        <v>#N/A</v>
      </c>
      <c r="AG1028" s="104">
        <f t="shared" si="32"/>
        <v>0</v>
      </c>
      <c r="AH1028" t="e">
        <f t="shared" si="33"/>
        <v>#N/A</v>
      </c>
    </row>
    <row r="1029" spans="8:34" x14ac:dyDescent="0.2">
      <c r="H1029" s="5"/>
      <c r="I1029" s="5"/>
      <c r="J1029" s="5"/>
      <c r="K1029" s="5"/>
      <c r="L1029" s="95"/>
      <c r="O1029" s="4"/>
      <c r="P1029" s="4"/>
      <c r="AB1029" s="4"/>
      <c r="AD1029" s="4"/>
      <c r="AF1029" t="e">
        <f>VLOOKUP(C1029,'גיליון דאטה להכל'!A:H,5,0)</f>
        <v>#N/A</v>
      </c>
      <c r="AG1029" s="104">
        <f t="shared" si="32"/>
        <v>0</v>
      </c>
      <c r="AH1029" t="e">
        <f t="shared" si="33"/>
        <v>#N/A</v>
      </c>
    </row>
    <row r="1030" spans="8:34" x14ac:dyDescent="0.2">
      <c r="H1030" s="5"/>
      <c r="I1030" s="5"/>
      <c r="J1030" s="5"/>
      <c r="K1030" s="5"/>
      <c r="L1030" s="95"/>
      <c r="O1030" s="4"/>
      <c r="P1030" s="4"/>
      <c r="AB1030" s="4"/>
      <c r="AD1030" s="4"/>
      <c r="AF1030" t="e">
        <f>VLOOKUP(C1030,'גיליון דאטה להכל'!A:H,5,0)</f>
        <v>#N/A</v>
      </c>
      <c r="AG1030" s="104">
        <f t="shared" si="32"/>
        <v>0</v>
      </c>
      <c r="AH1030" t="e">
        <f t="shared" si="33"/>
        <v>#N/A</v>
      </c>
    </row>
    <row r="1031" spans="8:34" x14ac:dyDescent="0.2">
      <c r="H1031" s="5"/>
      <c r="I1031" s="5"/>
      <c r="J1031" s="5"/>
      <c r="K1031" s="5"/>
      <c r="L1031" s="95"/>
      <c r="O1031" s="4"/>
      <c r="P1031" s="4"/>
      <c r="AB1031" s="4"/>
      <c r="AD1031" s="4"/>
      <c r="AF1031" t="e">
        <f>VLOOKUP(C1031,'גיליון דאטה להכל'!A:H,5,0)</f>
        <v>#N/A</v>
      </c>
      <c r="AG1031" s="104">
        <f t="shared" si="32"/>
        <v>0</v>
      </c>
      <c r="AH1031" t="e">
        <f t="shared" si="33"/>
        <v>#N/A</v>
      </c>
    </row>
    <row r="1032" spans="8:34" x14ac:dyDescent="0.2">
      <c r="H1032" s="5"/>
      <c r="I1032" s="5"/>
      <c r="J1032" s="5"/>
      <c r="K1032" s="5"/>
      <c r="L1032" s="95"/>
      <c r="O1032" s="4"/>
      <c r="P1032" s="4"/>
      <c r="AB1032" s="4"/>
      <c r="AD1032" s="4"/>
      <c r="AF1032" t="e">
        <f>VLOOKUP(C1032,'גיליון דאטה להכל'!A:H,5,0)</f>
        <v>#N/A</v>
      </c>
      <c r="AG1032" s="104">
        <f t="shared" si="32"/>
        <v>0</v>
      </c>
      <c r="AH1032" t="e">
        <f t="shared" si="33"/>
        <v>#N/A</v>
      </c>
    </row>
    <row r="1033" spans="8:34" x14ac:dyDescent="0.2">
      <c r="H1033" s="5"/>
      <c r="I1033" s="5"/>
      <c r="J1033" s="5"/>
      <c r="K1033" s="5"/>
      <c r="O1033" s="4"/>
      <c r="P1033" s="4"/>
      <c r="AB1033" s="4"/>
      <c r="AD1033" s="4"/>
      <c r="AF1033" t="e">
        <f>VLOOKUP(C1033,'גיליון דאטה להכל'!A:H,5,0)</f>
        <v>#N/A</v>
      </c>
      <c r="AG1033" s="104">
        <f t="shared" si="32"/>
        <v>0</v>
      </c>
      <c r="AH1033" t="e">
        <f t="shared" si="33"/>
        <v>#N/A</v>
      </c>
    </row>
    <row r="1034" spans="8:34" x14ac:dyDescent="0.2">
      <c r="H1034" s="5"/>
      <c r="I1034" s="5"/>
      <c r="J1034" s="5"/>
      <c r="K1034" s="5"/>
      <c r="O1034" s="4"/>
      <c r="P1034" s="4"/>
      <c r="AB1034" s="4"/>
      <c r="AD1034" s="4"/>
      <c r="AF1034" t="e">
        <f>VLOOKUP(C1034,'גיליון דאטה להכל'!A:H,5,0)</f>
        <v>#N/A</v>
      </c>
      <c r="AG1034" s="104">
        <f t="shared" si="32"/>
        <v>0</v>
      </c>
      <c r="AH1034" t="e">
        <f t="shared" si="33"/>
        <v>#N/A</v>
      </c>
    </row>
    <row r="1035" spans="8:34" x14ac:dyDescent="0.2">
      <c r="H1035" s="5"/>
      <c r="I1035" s="5"/>
      <c r="J1035" s="5"/>
      <c r="K1035" s="5"/>
      <c r="O1035" s="4"/>
      <c r="P1035" s="4"/>
      <c r="AB1035" s="4"/>
      <c r="AD1035" s="4"/>
      <c r="AF1035" t="e">
        <f>VLOOKUP(C1035,'גיליון דאטה להכל'!A:H,5,0)</f>
        <v>#N/A</v>
      </c>
      <c r="AG1035" s="104">
        <f t="shared" si="32"/>
        <v>0</v>
      </c>
      <c r="AH1035" t="e">
        <f t="shared" si="33"/>
        <v>#N/A</v>
      </c>
    </row>
    <row r="1036" spans="8:34" x14ac:dyDescent="0.2">
      <c r="H1036" s="5"/>
      <c r="I1036" s="5"/>
      <c r="J1036" s="5"/>
      <c r="K1036" s="5"/>
      <c r="O1036" s="4"/>
      <c r="P1036" s="4"/>
      <c r="AB1036" s="4"/>
      <c r="AD1036" s="4"/>
      <c r="AF1036" t="e">
        <f>VLOOKUP(C1036,'גיליון דאטה להכל'!A:H,5,0)</f>
        <v>#N/A</v>
      </c>
      <c r="AG1036" s="104">
        <f t="shared" si="32"/>
        <v>0</v>
      </c>
      <c r="AH1036" t="e">
        <f t="shared" si="33"/>
        <v>#N/A</v>
      </c>
    </row>
    <row r="1037" spans="8:34" x14ac:dyDescent="0.2">
      <c r="H1037" s="5"/>
      <c r="I1037" s="5"/>
      <c r="J1037" s="5"/>
      <c r="K1037" s="5"/>
      <c r="O1037" s="4"/>
      <c r="P1037" s="4"/>
      <c r="AB1037" s="4"/>
      <c r="AD1037" s="4"/>
      <c r="AF1037" t="e">
        <f>VLOOKUP(C1037,'גיליון דאטה להכל'!A:H,5,0)</f>
        <v>#N/A</v>
      </c>
      <c r="AG1037" s="104">
        <f t="shared" si="32"/>
        <v>0</v>
      </c>
      <c r="AH1037" t="e">
        <f t="shared" si="33"/>
        <v>#N/A</v>
      </c>
    </row>
    <row r="1038" spans="8:34" x14ac:dyDescent="0.2">
      <c r="H1038" s="5"/>
      <c r="I1038" s="5"/>
      <c r="J1038" s="5"/>
      <c r="K1038" s="5"/>
      <c r="O1038" s="4"/>
      <c r="P1038" s="4"/>
      <c r="AB1038" s="4"/>
      <c r="AD1038" s="4"/>
      <c r="AF1038" t="e">
        <f>VLOOKUP(C1038,'גיליון דאטה להכל'!A:H,5,0)</f>
        <v>#N/A</v>
      </c>
      <c r="AG1038" s="104">
        <f t="shared" si="32"/>
        <v>0</v>
      </c>
      <c r="AH1038" t="e">
        <f t="shared" si="33"/>
        <v>#N/A</v>
      </c>
    </row>
    <row r="1039" spans="8:34" x14ac:dyDescent="0.2">
      <c r="H1039" s="5"/>
      <c r="I1039" s="5"/>
      <c r="J1039" s="5"/>
      <c r="K1039" s="5"/>
      <c r="O1039" s="4"/>
      <c r="P1039" s="4"/>
      <c r="AB1039" s="4"/>
      <c r="AD1039" s="4"/>
      <c r="AF1039" t="e">
        <f>VLOOKUP(C1039,'גיליון דאטה להכל'!A:H,5,0)</f>
        <v>#N/A</v>
      </c>
      <c r="AG1039" s="104">
        <f t="shared" si="32"/>
        <v>0</v>
      </c>
      <c r="AH1039" t="e">
        <f t="shared" si="33"/>
        <v>#N/A</v>
      </c>
    </row>
    <row r="1040" spans="8:34" x14ac:dyDescent="0.2">
      <c r="H1040" s="5"/>
      <c r="I1040" s="5"/>
      <c r="J1040" s="5"/>
      <c r="K1040" s="5"/>
      <c r="O1040" s="4"/>
      <c r="P1040" s="4"/>
      <c r="AB1040" s="4"/>
      <c r="AD1040" s="4"/>
      <c r="AF1040" t="e">
        <f>VLOOKUP(C1040,'גיליון דאטה להכל'!A:H,5,0)</f>
        <v>#N/A</v>
      </c>
      <c r="AG1040" s="104">
        <f t="shared" si="32"/>
        <v>0</v>
      </c>
      <c r="AH1040" t="e">
        <f t="shared" si="33"/>
        <v>#N/A</v>
      </c>
    </row>
    <row r="1041" spans="8:34" x14ac:dyDescent="0.2">
      <c r="H1041" s="5"/>
      <c r="I1041" s="5"/>
      <c r="J1041" s="5"/>
      <c r="K1041" s="5"/>
      <c r="L1041" s="95"/>
      <c r="O1041" s="4"/>
      <c r="P1041" s="4"/>
      <c r="AB1041" s="4"/>
      <c r="AD1041" s="4"/>
      <c r="AF1041" t="e">
        <f>VLOOKUP(C1041,'גיליון דאטה להכל'!A:H,5,0)</f>
        <v>#N/A</v>
      </c>
      <c r="AG1041" s="104">
        <f t="shared" si="32"/>
        <v>0</v>
      </c>
      <c r="AH1041" t="e">
        <f t="shared" si="33"/>
        <v>#N/A</v>
      </c>
    </row>
    <row r="1042" spans="8:34" x14ac:dyDescent="0.2">
      <c r="H1042" s="5"/>
      <c r="I1042" s="5"/>
      <c r="J1042" s="5"/>
      <c r="K1042" s="5"/>
      <c r="L1042" s="95"/>
      <c r="O1042" s="4"/>
      <c r="P1042" s="4"/>
      <c r="AB1042" s="4"/>
      <c r="AD1042" s="4"/>
      <c r="AF1042" t="e">
        <f>VLOOKUP(C1042,'גיליון דאטה להכל'!A:H,5,0)</f>
        <v>#N/A</v>
      </c>
      <c r="AG1042" s="104">
        <f t="shared" si="32"/>
        <v>0</v>
      </c>
      <c r="AH1042" t="e">
        <f t="shared" si="33"/>
        <v>#N/A</v>
      </c>
    </row>
    <row r="1043" spans="8:34" x14ac:dyDescent="0.2">
      <c r="H1043" s="5"/>
      <c r="I1043" s="5"/>
      <c r="J1043" s="5"/>
      <c r="K1043" s="5"/>
      <c r="L1043" s="95"/>
      <c r="O1043" s="4"/>
      <c r="P1043" s="4"/>
      <c r="AB1043" s="4"/>
      <c r="AD1043" s="4"/>
      <c r="AF1043" t="e">
        <f>VLOOKUP(C1043,'גיליון דאטה להכל'!A:H,5,0)</f>
        <v>#N/A</v>
      </c>
      <c r="AG1043" s="104">
        <f t="shared" si="32"/>
        <v>0</v>
      </c>
      <c r="AH1043" t="e">
        <f t="shared" si="33"/>
        <v>#N/A</v>
      </c>
    </row>
    <row r="1044" spans="8:34" x14ac:dyDescent="0.2">
      <c r="H1044" s="5"/>
      <c r="I1044" s="5"/>
      <c r="J1044" s="5"/>
      <c r="K1044" s="5"/>
      <c r="L1044" s="95"/>
      <c r="O1044" s="4"/>
      <c r="P1044" s="4"/>
      <c r="AB1044" s="4"/>
      <c r="AD1044" s="4"/>
      <c r="AF1044" t="e">
        <f>VLOOKUP(C1044,'גיליון דאטה להכל'!A:H,5,0)</f>
        <v>#N/A</v>
      </c>
      <c r="AG1044" s="104">
        <f t="shared" si="32"/>
        <v>0</v>
      </c>
      <c r="AH1044" t="e">
        <f t="shared" si="33"/>
        <v>#N/A</v>
      </c>
    </row>
    <row r="1045" spans="8:34" x14ac:dyDescent="0.2">
      <c r="H1045" s="5"/>
      <c r="I1045" s="5"/>
      <c r="J1045" s="5"/>
      <c r="K1045" s="5"/>
      <c r="L1045" s="95"/>
      <c r="O1045" s="4"/>
      <c r="P1045" s="4"/>
      <c r="AB1045" s="4"/>
      <c r="AD1045" s="4"/>
      <c r="AF1045" t="e">
        <f>VLOOKUP(C1045,'גיליון דאטה להכל'!A:H,5,0)</f>
        <v>#N/A</v>
      </c>
      <c r="AG1045" s="104">
        <f t="shared" si="32"/>
        <v>0</v>
      </c>
      <c r="AH1045" t="e">
        <f t="shared" si="33"/>
        <v>#N/A</v>
      </c>
    </row>
    <row r="1046" spans="8:34" x14ac:dyDescent="0.2">
      <c r="H1046" s="5"/>
      <c r="I1046" s="5"/>
      <c r="J1046" s="5"/>
      <c r="K1046" s="5"/>
      <c r="L1046" s="95"/>
      <c r="O1046" s="4"/>
      <c r="P1046" s="4"/>
      <c r="AB1046" s="4"/>
      <c r="AD1046" s="4"/>
      <c r="AF1046" t="e">
        <f>VLOOKUP(C1046,'גיליון דאטה להכל'!A:H,5,0)</f>
        <v>#N/A</v>
      </c>
      <c r="AG1046" s="104">
        <f t="shared" si="32"/>
        <v>0</v>
      </c>
      <c r="AH1046" t="e">
        <f t="shared" si="33"/>
        <v>#N/A</v>
      </c>
    </row>
    <row r="1047" spans="8:34" x14ac:dyDescent="0.2">
      <c r="H1047" s="5"/>
      <c r="I1047" s="5"/>
      <c r="J1047" s="5"/>
      <c r="K1047" s="5"/>
      <c r="L1047" s="95"/>
      <c r="O1047" s="4"/>
      <c r="P1047" s="4"/>
      <c r="AB1047" s="4"/>
      <c r="AD1047" s="4"/>
      <c r="AF1047" t="e">
        <f>VLOOKUP(C1047,'גיליון דאטה להכל'!A:H,5,0)</f>
        <v>#N/A</v>
      </c>
      <c r="AG1047" s="104">
        <f t="shared" si="32"/>
        <v>0</v>
      </c>
      <c r="AH1047" t="e">
        <f t="shared" si="33"/>
        <v>#N/A</v>
      </c>
    </row>
    <row r="1048" spans="8:34" x14ac:dyDescent="0.2">
      <c r="H1048" s="5"/>
      <c r="I1048" s="5"/>
      <c r="J1048" s="5"/>
      <c r="K1048" s="5"/>
      <c r="L1048" s="95"/>
      <c r="O1048" s="4"/>
      <c r="P1048" s="4"/>
      <c r="AB1048" s="4"/>
      <c r="AD1048" s="4"/>
      <c r="AF1048" t="e">
        <f>VLOOKUP(C1048,'גיליון דאטה להכל'!A:H,5,0)</f>
        <v>#N/A</v>
      </c>
      <c r="AG1048" s="104">
        <f t="shared" si="32"/>
        <v>0</v>
      </c>
      <c r="AH1048" t="e">
        <f t="shared" si="33"/>
        <v>#N/A</v>
      </c>
    </row>
    <row r="1049" spans="8:34" x14ac:dyDescent="0.2">
      <c r="H1049" s="5"/>
      <c r="I1049" s="5"/>
      <c r="J1049" s="5"/>
      <c r="K1049" s="5"/>
      <c r="L1049" s="95"/>
      <c r="O1049" s="4"/>
      <c r="P1049" s="4"/>
      <c r="AB1049" s="4"/>
      <c r="AD1049" s="4"/>
      <c r="AF1049" t="e">
        <f>VLOOKUP(C1049,'גיליון דאטה להכל'!A:H,5,0)</f>
        <v>#N/A</v>
      </c>
      <c r="AG1049" s="104">
        <f t="shared" si="32"/>
        <v>0</v>
      </c>
      <c r="AH1049" t="e">
        <f t="shared" si="33"/>
        <v>#N/A</v>
      </c>
    </row>
    <row r="1050" spans="8:34" x14ac:dyDescent="0.2">
      <c r="H1050" s="5"/>
      <c r="I1050" s="5"/>
      <c r="J1050" s="5"/>
      <c r="K1050" s="5"/>
      <c r="L1050" s="95"/>
      <c r="O1050" s="4"/>
      <c r="P1050" s="4"/>
      <c r="AB1050" s="4"/>
      <c r="AD1050" s="4"/>
      <c r="AF1050" t="e">
        <f>VLOOKUP(C1050,'גיליון דאטה להכל'!A:H,5,0)</f>
        <v>#N/A</v>
      </c>
      <c r="AG1050" s="104">
        <f t="shared" si="32"/>
        <v>0</v>
      </c>
      <c r="AH1050" t="e">
        <f t="shared" si="33"/>
        <v>#N/A</v>
      </c>
    </row>
    <row r="1051" spans="8:34" x14ac:dyDescent="0.2">
      <c r="H1051" s="5"/>
      <c r="I1051" s="5"/>
      <c r="J1051" s="5"/>
      <c r="K1051" s="5"/>
      <c r="L1051" s="95"/>
      <c r="O1051" s="4"/>
      <c r="P1051" s="4"/>
      <c r="AB1051" s="4"/>
      <c r="AD1051" s="4"/>
      <c r="AF1051" t="e">
        <f>VLOOKUP(C1051,'גיליון דאטה להכל'!A:H,5,0)</f>
        <v>#N/A</v>
      </c>
      <c r="AG1051" s="104">
        <f t="shared" si="32"/>
        <v>0</v>
      </c>
      <c r="AH1051" t="e">
        <f t="shared" si="33"/>
        <v>#N/A</v>
      </c>
    </row>
    <row r="1052" spans="8:34" x14ac:dyDescent="0.2">
      <c r="H1052" s="5"/>
      <c r="I1052" s="5"/>
      <c r="J1052" s="5"/>
      <c r="K1052" s="5"/>
      <c r="L1052" s="95"/>
      <c r="O1052" s="4"/>
      <c r="P1052" s="4"/>
      <c r="AB1052" s="4"/>
      <c r="AD1052" s="4"/>
      <c r="AF1052" t="e">
        <f>VLOOKUP(C1052,'גיליון דאטה להכל'!A:H,5,0)</f>
        <v>#N/A</v>
      </c>
      <c r="AG1052" s="104">
        <f t="shared" si="32"/>
        <v>0</v>
      </c>
      <c r="AH1052" t="e">
        <f t="shared" si="33"/>
        <v>#N/A</v>
      </c>
    </row>
    <row r="1053" spans="8:34" x14ac:dyDescent="0.2">
      <c r="H1053" s="5"/>
      <c r="I1053" s="5"/>
      <c r="J1053" s="5"/>
      <c r="K1053" s="5"/>
      <c r="L1053" s="95"/>
      <c r="O1053" s="4"/>
      <c r="P1053" s="4"/>
      <c r="AB1053" s="4"/>
      <c r="AD1053" s="4"/>
      <c r="AF1053" t="e">
        <f>VLOOKUP(C1053,'גיליון דאטה להכל'!A:H,5,0)</f>
        <v>#N/A</v>
      </c>
      <c r="AG1053" s="104">
        <f t="shared" si="32"/>
        <v>0</v>
      </c>
      <c r="AH1053" t="e">
        <f t="shared" si="33"/>
        <v>#N/A</v>
      </c>
    </row>
    <row r="1054" spans="8:34" x14ac:dyDescent="0.2">
      <c r="H1054" s="5"/>
      <c r="I1054" s="5"/>
      <c r="J1054" s="5"/>
      <c r="K1054" s="5"/>
      <c r="L1054" s="95"/>
      <c r="O1054" s="4"/>
      <c r="P1054" s="4"/>
      <c r="AB1054" s="4"/>
      <c r="AD1054" s="4"/>
      <c r="AF1054" t="e">
        <f>VLOOKUP(C1054,'גיליון דאטה להכל'!A:H,5,0)</f>
        <v>#N/A</v>
      </c>
      <c r="AG1054" s="104">
        <f t="shared" si="32"/>
        <v>0</v>
      </c>
      <c r="AH1054" t="e">
        <f t="shared" si="33"/>
        <v>#N/A</v>
      </c>
    </row>
    <row r="1055" spans="8:34" x14ac:dyDescent="0.2">
      <c r="H1055" s="5"/>
      <c r="I1055" s="5"/>
      <c r="J1055" s="5"/>
      <c r="K1055" s="5"/>
      <c r="L1055" s="95"/>
      <c r="O1055" s="4"/>
      <c r="P1055" s="4"/>
      <c r="AB1055" s="4"/>
      <c r="AD1055" s="4"/>
      <c r="AF1055" t="e">
        <f>VLOOKUP(C1055,'גיליון דאטה להכל'!A:H,5,0)</f>
        <v>#N/A</v>
      </c>
      <c r="AG1055" s="104">
        <f t="shared" si="32"/>
        <v>0</v>
      </c>
      <c r="AH1055" t="e">
        <f t="shared" si="33"/>
        <v>#N/A</v>
      </c>
    </row>
    <row r="1056" spans="8:34" x14ac:dyDescent="0.2">
      <c r="H1056" s="5"/>
      <c r="I1056" s="5"/>
      <c r="J1056" s="5"/>
      <c r="K1056" s="5"/>
      <c r="L1056" s="95"/>
      <c r="O1056" s="4"/>
      <c r="P1056" s="4"/>
      <c r="AB1056" s="4"/>
      <c r="AD1056" s="4"/>
      <c r="AF1056" t="e">
        <f>VLOOKUP(C1056,'גיליון דאטה להכל'!A:H,5,0)</f>
        <v>#N/A</v>
      </c>
      <c r="AG1056" s="104">
        <f t="shared" si="32"/>
        <v>0</v>
      </c>
      <c r="AH1056" t="e">
        <f t="shared" si="33"/>
        <v>#N/A</v>
      </c>
    </row>
    <row r="1057" spans="8:34" x14ac:dyDescent="0.2">
      <c r="H1057" s="5"/>
      <c r="I1057" s="5"/>
      <c r="J1057" s="5"/>
      <c r="K1057" s="5"/>
      <c r="L1057" s="95"/>
      <c r="O1057" s="4"/>
      <c r="P1057" s="4"/>
      <c r="AB1057" s="4"/>
      <c r="AD1057" s="4"/>
      <c r="AF1057" t="e">
        <f>VLOOKUP(C1057,'גיליון דאטה להכל'!A:H,5,0)</f>
        <v>#N/A</v>
      </c>
      <c r="AG1057" s="104">
        <f t="shared" si="32"/>
        <v>0</v>
      </c>
      <c r="AH1057" t="e">
        <f t="shared" si="33"/>
        <v>#N/A</v>
      </c>
    </row>
    <row r="1058" spans="8:34" x14ac:dyDescent="0.2">
      <c r="H1058" s="5"/>
      <c r="I1058" s="5"/>
      <c r="J1058" s="5"/>
      <c r="K1058" s="5"/>
      <c r="L1058" s="95"/>
      <c r="O1058" s="4"/>
      <c r="P1058" s="4"/>
      <c r="AB1058" s="4"/>
      <c r="AD1058" s="4"/>
      <c r="AF1058" t="e">
        <f>VLOOKUP(C1058,'גיליון דאטה להכל'!A:H,5,0)</f>
        <v>#N/A</v>
      </c>
      <c r="AG1058" s="104">
        <f t="shared" si="32"/>
        <v>0</v>
      </c>
      <c r="AH1058" t="e">
        <f t="shared" si="33"/>
        <v>#N/A</v>
      </c>
    </row>
    <row r="1059" spans="8:34" x14ac:dyDescent="0.2">
      <c r="H1059" s="5"/>
      <c r="I1059" s="5"/>
      <c r="J1059" s="5"/>
      <c r="K1059" s="5"/>
      <c r="L1059" s="95"/>
      <c r="O1059" s="4"/>
      <c r="P1059" s="4"/>
      <c r="AB1059" s="4"/>
      <c r="AD1059" s="4"/>
      <c r="AF1059" t="e">
        <f>VLOOKUP(C1059,'גיליון דאטה להכל'!A:H,5,0)</f>
        <v>#N/A</v>
      </c>
      <c r="AG1059" s="104">
        <f t="shared" si="32"/>
        <v>0</v>
      </c>
      <c r="AH1059" t="e">
        <f t="shared" si="33"/>
        <v>#N/A</v>
      </c>
    </row>
    <row r="1060" spans="8:34" x14ac:dyDescent="0.2">
      <c r="H1060" s="5"/>
      <c r="I1060" s="5"/>
      <c r="J1060" s="5"/>
      <c r="K1060" s="5"/>
      <c r="L1060" s="95"/>
      <c r="O1060" s="4"/>
      <c r="P1060" s="4"/>
      <c r="AB1060" s="4"/>
      <c r="AD1060" s="4"/>
      <c r="AF1060" t="e">
        <f>VLOOKUP(C1060,'גיליון דאטה להכל'!A:H,5,0)</f>
        <v>#N/A</v>
      </c>
      <c r="AG1060" s="104">
        <f t="shared" si="32"/>
        <v>0</v>
      </c>
      <c r="AH1060" t="e">
        <f t="shared" si="33"/>
        <v>#N/A</v>
      </c>
    </row>
    <row r="1061" spans="8:34" x14ac:dyDescent="0.2">
      <c r="H1061" s="5"/>
      <c r="I1061" s="5"/>
      <c r="J1061" s="5"/>
      <c r="K1061" s="5"/>
      <c r="L1061" s="95"/>
      <c r="O1061" s="4"/>
      <c r="P1061" s="4"/>
      <c r="AB1061" s="4"/>
      <c r="AD1061" s="4"/>
      <c r="AF1061" t="e">
        <f>VLOOKUP(C1061,'גיליון דאטה להכל'!A:H,5,0)</f>
        <v>#N/A</v>
      </c>
      <c r="AG1061" s="104">
        <f t="shared" si="32"/>
        <v>0</v>
      </c>
      <c r="AH1061" t="e">
        <f t="shared" si="33"/>
        <v>#N/A</v>
      </c>
    </row>
    <row r="1062" spans="8:34" x14ac:dyDescent="0.2">
      <c r="H1062" s="5"/>
      <c r="I1062" s="5"/>
      <c r="J1062" s="5"/>
      <c r="K1062" s="5"/>
      <c r="L1062" s="95"/>
      <c r="O1062" s="4"/>
      <c r="P1062" s="4"/>
      <c r="AB1062" s="4"/>
      <c r="AD1062" s="4"/>
      <c r="AF1062" t="e">
        <f>VLOOKUP(C1062,'גיליון דאטה להכל'!A:H,5,0)</f>
        <v>#N/A</v>
      </c>
      <c r="AG1062" s="104">
        <f t="shared" si="32"/>
        <v>0</v>
      </c>
      <c r="AH1062" t="e">
        <f t="shared" si="33"/>
        <v>#N/A</v>
      </c>
    </row>
    <row r="1063" spans="8:34" x14ac:dyDescent="0.2">
      <c r="H1063" s="5"/>
      <c r="I1063" s="5"/>
      <c r="J1063" s="5"/>
      <c r="K1063" s="5"/>
      <c r="L1063" s="95"/>
      <c r="O1063" s="4"/>
      <c r="P1063" s="4"/>
      <c r="AB1063" s="4"/>
      <c r="AD1063" s="4"/>
      <c r="AF1063" t="e">
        <f>VLOOKUP(C1063,'גיליון דאטה להכל'!A:H,5,0)</f>
        <v>#N/A</v>
      </c>
      <c r="AG1063" s="104">
        <f t="shared" si="32"/>
        <v>0</v>
      </c>
      <c r="AH1063" t="e">
        <f t="shared" si="33"/>
        <v>#N/A</v>
      </c>
    </row>
    <row r="1064" spans="8:34" x14ac:dyDescent="0.2">
      <c r="H1064" s="5"/>
      <c r="I1064" s="5"/>
      <c r="J1064" s="5"/>
      <c r="K1064" s="5"/>
      <c r="L1064" s="95"/>
      <c r="O1064" s="4"/>
      <c r="P1064" s="4"/>
      <c r="AB1064" s="4"/>
      <c r="AD1064" s="4"/>
      <c r="AF1064" t="e">
        <f>VLOOKUP(C1064,'גיליון דאטה להכל'!A:H,5,0)</f>
        <v>#N/A</v>
      </c>
      <c r="AG1064" s="104">
        <f t="shared" si="32"/>
        <v>0</v>
      </c>
      <c r="AH1064" t="e">
        <f t="shared" si="33"/>
        <v>#N/A</v>
      </c>
    </row>
    <row r="1065" spans="8:34" x14ac:dyDescent="0.2">
      <c r="H1065" s="5"/>
      <c r="I1065" s="5"/>
      <c r="J1065" s="5"/>
      <c r="K1065" s="5"/>
      <c r="L1065" s="95"/>
      <c r="O1065" s="4"/>
      <c r="P1065" s="4"/>
      <c r="AB1065" s="4"/>
      <c r="AD1065" s="4"/>
      <c r="AF1065" t="e">
        <f>VLOOKUP(C1065,'גיליון דאטה להכל'!A:H,5,0)</f>
        <v>#N/A</v>
      </c>
      <c r="AG1065" s="104">
        <f t="shared" si="32"/>
        <v>0</v>
      </c>
      <c r="AH1065" t="e">
        <f t="shared" si="33"/>
        <v>#N/A</v>
      </c>
    </row>
    <row r="1066" spans="8:34" x14ac:dyDescent="0.2">
      <c r="H1066" s="5"/>
      <c r="I1066" s="5"/>
      <c r="J1066" s="5"/>
      <c r="K1066" s="5"/>
      <c r="L1066" s="95"/>
      <c r="O1066" s="4"/>
      <c r="P1066" s="4"/>
      <c r="AB1066" s="4"/>
      <c r="AD1066" s="4"/>
      <c r="AF1066" t="e">
        <f>VLOOKUP(C1066,'גיליון דאטה להכל'!A:H,5,0)</f>
        <v>#N/A</v>
      </c>
      <c r="AG1066" s="104">
        <f t="shared" si="32"/>
        <v>0</v>
      </c>
      <c r="AH1066" t="e">
        <f t="shared" si="33"/>
        <v>#N/A</v>
      </c>
    </row>
    <row r="1067" spans="8:34" x14ac:dyDescent="0.2">
      <c r="H1067" s="5"/>
      <c r="I1067" s="5"/>
      <c r="J1067" s="5"/>
      <c r="K1067" s="5"/>
      <c r="L1067" s="95"/>
      <c r="O1067" s="4"/>
      <c r="P1067" s="4"/>
      <c r="AB1067" s="4"/>
      <c r="AD1067" s="4"/>
      <c r="AF1067" t="e">
        <f>VLOOKUP(C1067,'גיליון דאטה להכל'!A:H,5,0)</f>
        <v>#N/A</v>
      </c>
      <c r="AG1067" s="104">
        <f t="shared" si="32"/>
        <v>0</v>
      </c>
      <c r="AH1067" t="e">
        <f t="shared" si="33"/>
        <v>#N/A</v>
      </c>
    </row>
    <row r="1068" spans="8:34" x14ac:dyDescent="0.2">
      <c r="H1068" s="5"/>
      <c r="I1068" s="5"/>
      <c r="J1068" s="5"/>
      <c r="K1068" s="5"/>
      <c r="L1068" s="95"/>
      <c r="O1068" s="4"/>
      <c r="P1068" s="4"/>
      <c r="AB1068" s="4"/>
      <c r="AD1068" s="4"/>
      <c r="AF1068" t="e">
        <f>VLOOKUP(C1068,'גיליון דאטה להכל'!A:H,5,0)</f>
        <v>#N/A</v>
      </c>
      <c r="AG1068" s="104">
        <f t="shared" si="32"/>
        <v>0</v>
      </c>
      <c r="AH1068" t="e">
        <f t="shared" si="33"/>
        <v>#N/A</v>
      </c>
    </row>
    <row r="1069" spans="8:34" x14ac:dyDescent="0.2">
      <c r="H1069" s="5"/>
      <c r="I1069" s="5"/>
      <c r="J1069" s="5"/>
      <c r="K1069" s="5"/>
      <c r="L1069" s="95"/>
      <c r="O1069" s="4"/>
      <c r="P1069" s="4"/>
      <c r="AB1069" s="4"/>
      <c r="AD1069" s="4"/>
      <c r="AF1069" t="e">
        <f>VLOOKUP(C1069,'גיליון דאטה להכל'!A:H,5,0)</f>
        <v>#N/A</v>
      </c>
      <c r="AG1069" s="104">
        <f t="shared" si="32"/>
        <v>0</v>
      </c>
      <c r="AH1069" t="e">
        <f t="shared" si="33"/>
        <v>#N/A</v>
      </c>
    </row>
    <row r="1070" spans="8:34" x14ac:dyDescent="0.2">
      <c r="H1070" s="5"/>
      <c r="I1070" s="5"/>
      <c r="J1070" s="5"/>
      <c r="K1070" s="5"/>
      <c r="L1070" s="95"/>
      <c r="O1070" s="4"/>
      <c r="P1070" s="4"/>
      <c r="AB1070" s="4"/>
      <c r="AD1070" s="4"/>
      <c r="AF1070" t="e">
        <f>VLOOKUP(C1070,'גיליון דאטה להכל'!A:H,5,0)</f>
        <v>#N/A</v>
      </c>
      <c r="AG1070" s="104">
        <f t="shared" si="32"/>
        <v>0</v>
      </c>
      <c r="AH1070" t="e">
        <f t="shared" si="33"/>
        <v>#N/A</v>
      </c>
    </row>
    <row r="1071" spans="8:34" x14ac:dyDescent="0.2">
      <c r="H1071" s="5"/>
      <c r="I1071" s="5"/>
      <c r="J1071" s="5"/>
      <c r="K1071" s="5"/>
      <c r="L1071" s="95"/>
      <c r="O1071" s="4"/>
      <c r="P1071" s="4"/>
      <c r="AB1071" s="4"/>
      <c r="AD1071" s="4"/>
      <c r="AF1071" t="e">
        <f>VLOOKUP(C1071,'גיליון דאטה להכל'!A:H,5,0)</f>
        <v>#N/A</v>
      </c>
      <c r="AG1071" s="104">
        <f t="shared" si="32"/>
        <v>0</v>
      </c>
      <c r="AH1071" t="e">
        <f t="shared" si="33"/>
        <v>#N/A</v>
      </c>
    </row>
    <row r="1072" spans="8:34" x14ac:dyDescent="0.2">
      <c r="H1072" s="5"/>
      <c r="I1072" s="5"/>
      <c r="J1072" s="5"/>
      <c r="K1072" s="5"/>
      <c r="L1072" s="95"/>
      <c r="O1072" s="4"/>
      <c r="P1072" s="4"/>
      <c r="AB1072" s="4"/>
      <c r="AD1072" s="4"/>
      <c r="AF1072" t="e">
        <f>VLOOKUP(C1072,'גיליון דאטה להכל'!A:H,5,0)</f>
        <v>#N/A</v>
      </c>
      <c r="AG1072" s="104">
        <f t="shared" si="32"/>
        <v>0</v>
      </c>
      <c r="AH1072" t="e">
        <f t="shared" si="33"/>
        <v>#N/A</v>
      </c>
    </row>
    <row r="1073" spans="8:34" x14ac:dyDescent="0.2">
      <c r="H1073" s="5"/>
      <c r="I1073" s="5"/>
      <c r="J1073" s="5"/>
      <c r="K1073" s="5"/>
      <c r="L1073" s="95"/>
      <c r="O1073" s="4"/>
      <c r="P1073" s="4"/>
      <c r="AB1073" s="4"/>
      <c r="AD1073" s="4"/>
      <c r="AF1073" t="e">
        <f>VLOOKUP(C1073,'גיליון דאטה להכל'!A:H,5,0)</f>
        <v>#N/A</v>
      </c>
      <c r="AG1073" s="104">
        <f t="shared" si="32"/>
        <v>0</v>
      </c>
      <c r="AH1073" t="e">
        <f t="shared" si="33"/>
        <v>#N/A</v>
      </c>
    </row>
    <row r="1074" spans="8:34" x14ac:dyDescent="0.2">
      <c r="H1074" s="5"/>
      <c r="I1074" s="5"/>
      <c r="J1074" s="5"/>
      <c r="K1074" s="5"/>
      <c r="L1074" s="95"/>
      <c r="O1074" s="4"/>
      <c r="P1074" s="4"/>
      <c r="AB1074" s="4"/>
      <c r="AD1074" s="4"/>
      <c r="AF1074" t="e">
        <f>VLOOKUP(C1074,'גיליון דאטה להכל'!A:H,5,0)</f>
        <v>#N/A</v>
      </c>
      <c r="AG1074" s="104">
        <f t="shared" si="32"/>
        <v>0</v>
      </c>
      <c r="AH1074" t="e">
        <f t="shared" si="33"/>
        <v>#N/A</v>
      </c>
    </row>
    <row r="1075" spans="8:34" x14ac:dyDescent="0.2">
      <c r="H1075" s="5"/>
      <c r="I1075" s="5"/>
      <c r="J1075" s="5"/>
      <c r="K1075" s="5"/>
      <c r="O1075" s="4"/>
      <c r="P1075" s="4"/>
      <c r="AB1075" s="4"/>
      <c r="AD1075" s="4"/>
      <c r="AF1075" t="e">
        <f>VLOOKUP(C1075,'גיליון דאטה להכל'!A:H,5,0)</f>
        <v>#N/A</v>
      </c>
      <c r="AG1075" s="104">
        <f t="shared" si="32"/>
        <v>0</v>
      </c>
      <c r="AH1075" t="e">
        <f t="shared" si="33"/>
        <v>#N/A</v>
      </c>
    </row>
    <row r="1076" spans="8:34" x14ac:dyDescent="0.2">
      <c r="H1076" s="5"/>
      <c r="I1076" s="5"/>
      <c r="J1076" s="5"/>
      <c r="K1076" s="5"/>
      <c r="O1076" s="4"/>
      <c r="P1076" s="4"/>
      <c r="AB1076" s="4"/>
      <c r="AD1076" s="4"/>
      <c r="AF1076" t="e">
        <f>VLOOKUP(C1076,'גיליון דאטה להכל'!A:H,5,0)</f>
        <v>#N/A</v>
      </c>
      <c r="AG1076" s="104">
        <f t="shared" si="32"/>
        <v>0</v>
      </c>
      <c r="AH1076" t="e">
        <f t="shared" si="33"/>
        <v>#N/A</v>
      </c>
    </row>
    <row r="1077" spans="8:34" x14ac:dyDescent="0.2">
      <c r="H1077" s="5"/>
      <c r="I1077" s="5"/>
      <c r="J1077" s="5"/>
      <c r="K1077" s="5"/>
      <c r="O1077" s="4"/>
      <c r="P1077" s="4"/>
      <c r="AB1077" s="4"/>
      <c r="AD1077" s="4"/>
      <c r="AF1077" t="e">
        <f>VLOOKUP(C1077,'גיליון דאטה להכל'!A:H,5,0)</f>
        <v>#N/A</v>
      </c>
      <c r="AG1077" s="104">
        <f t="shared" si="32"/>
        <v>0</v>
      </c>
      <c r="AH1077" t="e">
        <f t="shared" si="33"/>
        <v>#N/A</v>
      </c>
    </row>
    <row r="1078" spans="8:34" x14ac:dyDescent="0.2">
      <c r="H1078" s="5"/>
      <c r="I1078" s="5"/>
      <c r="J1078" s="5"/>
      <c r="K1078" s="5"/>
      <c r="L1078" s="95"/>
      <c r="O1078" s="4"/>
      <c r="P1078" s="4"/>
      <c r="AB1078" s="4"/>
      <c r="AD1078" s="4"/>
      <c r="AF1078" t="e">
        <f>VLOOKUP(C1078,'גיליון דאטה להכל'!A:H,5,0)</f>
        <v>#N/A</v>
      </c>
      <c r="AG1078" s="104">
        <f t="shared" si="32"/>
        <v>0</v>
      </c>
      <c r="AH1078" t="e">
        <f t="shared" si="33"/>
        <v>#N/A</v>
      </c>
    </row>
    <row r="1079" spans="8:34" x14ac:dyDescent="0.2">
      <c r="H1079" s="5"/>
      <c r="I1079" s="5"/>
      <c r="J1079" s="5"/>
      <c r="K1079" s="5"/>
      <c r="L1079" s="95"/>
      <c r="O1079" s="4"/>
      <c r="P1079" s="4"/>
      <c r="AB1079" s="4"/>
      <c r="AD1079" s="4"/>
      <c r="AF1079" t="e">
        <f>VLOOKUP(C1079,'גיליון דאטה להכל'!A:H,5,0)</f>
        <v>#N/A</v>
      </c>
      <c r="AG1079" s="104">
        <f t="shared" si="32"/>
        <v>0</v>
      </c>
      <c r="AH1079" t="e">
        <f t="shared" si="33"/>
        <v>#N/A</v>
      </c>
    </row>
    <row r="1080" spans="8:34" x14ac:dyDescent="0.2">
      <c r="H1080" s="5"/>
      <c r="I1080" s="5"/>
      <c r="J1080" s="5"/>
      <c r="K1080" s="5"/>
      <c r="L1080" s="95"/>
      <c r="O1080" s="4"/>
      <c r="P1080" s="4"/>
      <c r="AB1080" s="4"/>
      <c r="AD1080" s="4"/>
      <c r="AF1080" t="e">
        <f>VLOOKUP(C1080,'גיליון דאטה להכל'!A:H,5,0)</f>
        <v>#N/A</v>
      </c>
      <c r="AG1080" s="104">
        <f t="shared" si="32"/>
        <v>0</v>
      </c>
      <c r="AH1080" t="e">
        <f t="shared" si="33"/>
        <v>#N/A</v>
      </c>
    </row>
    <row r="1081" spans="8:34" x14ac:dyDescent="0.2">
      <c r="H1081" s="5"/>
      <c r="I1081" s="5"/>
      <c r="J1081" s="5"/>
      <c r="K1081" s="5"/>
      <c r="L1081" s="95"/>
      <c r="O1081" s="4"/>
      <c r="P1081" s="4"/>
      <c r="AB1081" s="4"/>
      <c r="AD1081" s="4"/>
      <c r="AF1081" t="e">
        <f>VLOOKUP(C1081,'גיליון דאטה להכל'!A:H,5,0)</f>
        <v>#N/A</v>
      </c>
      <c r="AG1081" s="104">
        <f t="shared" si="32"/>
        <v>0</v>
      </c>
      <c r="AH1081" t="e">
        <f t="shared" si="33"/>
        <v>#N/A</v>
      </c>
    </row>
    <row r="1082" spans="8:34" x14ac:dyDescent="0.2">
      <c r="H1082" s="5"/>
      <c r="I1082" s="5"/>
      <c r="J1082" s="5"/>
      <c r="K1082" s="5"/>
      <c r="L1082" s="95"/>
      <c r="O1082" s="4"/>
      <c r="P1082" s="4"/>
      <c r="AB1082" s="4"/>
      <c r="AD1082" s="4"/>
      <c r="AF1082" t="e">
        <f>VLOOKUP(C1082,'גיליון דאטה להכל'!A:H,5,0)</f>
        <v>#N/A</v>
      </c>
      <c r="AG1082" s="104">
        <f t="shared" si="32"/>
        <v>0</v>
      </c>
      <c r="AH1082" t="e">
        <f t="shared" si="33"/>
        <v>#N/A</v>
      </c>
    </row>
    <row r="1083" spans="8:34" x14ac:dyDescent="0.2">
      <c r="H1083" s="5"/>
      <c r="I1083" s="5"/>
      <c r="J1083" s="5"/>
      <c r="K1083" s="5"/>
      <c r="L1083" s="95"/>
      <c r="O1083" s="4"/>
      <c r="P1083" s="4"/>
      <c r="AB1083" s="4"/>
      <c r="AD1083" s="4"/>
      <c r="AF1083" t="e">
        <f>VLOOKUP(C1083,'גיליון דאטה להכל'!A:H,5,0)</f>
        <v>#N/A</v>
      </c>
      <c r="AG1083" s="104">
        <f t="shared" si="32"/>
        <v>0</v>
      </c>
      <c r="AH1083" t="e">
        <f t="shared" si="33"/>
        <v>#N/A</v>
      </c>
    </row>
    <row r="1084" spans="8:34" x14ac:dyDescent="0.2">
      <c r="H1084" s="5"/>
      <c r="I1084" s="5"/>
      <c r="J1084" s="5"/>
      <c r="K1084" s="5"/>
      <c r="L1084" s="95"/>
      <c r="O1084" s="4"/>
      <c r="P1084" s="4"/>
      <c r="AB1084" s="4"/>
      <c r="AD1084" s="4"/>
      <c r="AF1084" t="e">
        <f>VLOOKUP(C1084,'גיליון דאטה להכל'!A:H,5,0)</f>
        <v>#N/A</v>
      </c>
      <c r="AG1084" s="104">
        <f t="shared" si="32"/>
        <v>0</v>
      </c>
      <c r="AH1084" t="e">
        <f t="shared" si="33"/>
        <v>#N/A</v>
      </c>
    </row>
    <row r="1085" spans="8:34" x14ac:dyDescent="0.2">
      <c r="H1085" s="5"/>
      <c r="I1085" s="5"/>
      <c r="J1085" s="5"/>
      <c r="K1085" s="5"/>
      <c r="L1085" s="95"/>
      <c r="O1085" s="4"/>
      <c r="P1085" s="4"/>
      <c r="AB1085" s="4"/>
      <c r="AD1085" s="4"/>
      <c r="AF1085" t="e">
        <f>VLOOKUP(C1085,'גיליון דאטה להכל'!A:H,5,0)</f>
        <v>#N/A</v>
      </c>
      <c r="AG1085" s="104">
        <f t="shared" si="32"/>
        <v>0</v>
      </c>
      <c r="AH1085" t="e">
        <f t="shared" si="33"/>
        <v>#N/A</v>
      </c>
    </row>
    <row r="1086" spans="8:34" x14ac:dyDescent="0.2">
      <c r="H1086" s="5"/>
      <c r="I1086" s="5"/>
      <c r="J1086" s="5"/>
      <c r="K1086" s="5"/>
      <c r="L1086" s="95"/>
      <c r="O1086" s="4"/>
      <c r="P1086" s="4"/>
      <c r="AB1086" s="4"/>
      <c r="AD1086" s="4"/>
      <c r="AF1086" t="e">
        <f>VLOOKUP(C1086,'גיליון דאטה להכל'!A:H,5,0)</f>
        <v>#N/A</v>
      </c>
      <c r="AG1086" s="104">
        <f t="shared" si="32"/>
        <v>0</v>
      </c>
      <c r="AH1086" t="e">
        <f t="shared" si="33"/>
        <v>#N/A</v>
      </c>
    </row>
    <row r="1087" spans="8:34" x14ac:dyDescent="0.2">
      <c r="H1087" s="5"/>
      <c r="I1087" s="5"/>
      <c r="J1087" s="5"/>
      <c r="K1087" s="5"/>
      <c r="L1087" s="95"/>
      <c r="O1087" s="4"/>
      <c r="P1087" s="4"/>
      <c r="AB1087" s="4"/>
      <c r="AD1087" s="4"/>
      <c r="AF1087" t="e">
        <f>VLOOKUP(C1087,'גיליון דאטה להכל'!A:H,5,0)</f>
        <v>#N/A</v>
      </c>
      <c r="AG1087" s="104">
        <f t="shared" si="32"/>
        <v>0</v>
      </c>
      <c r="AH1087" t="e">
        <f t="shared" si="33"/>
        <v>#N/A</v>
      </c>
    </row>
    <row r="1088" spans="8:34" x14ac:dyDescent="0.2">
      <c r="H1088" s="5"/>
      <c r="I1088" s="5"/>
      <c r="J1088" s="5"/>
      <c r="K1088" s="5"/>
      <c r="L1088" s="95"/>
      <c r="O1088" s="4"/>
      <c r="P1088" s="4"/>
      <c r="AB1088" s="4"/>
      <c r="AD1088" s="4"/>
      <c r="AF1088" t="e">
        <f>VLOOKUP(C1088,'גיליון דאטה להכל'!A:H,5,0)</f>
        <v>#N/A</v>
      </c>
      <c r="AG1088" s="104">
        <f t="shared" si="32"/>
        <v>0</v>
      </c>
      <c r="AH1088" t="e">
        <f t="shared" si="33"/>
        <v>#N/A</v>
      </c>
    </row>
    <row r="1089" spans="8:34" x14ac:dyDescent="0.2">
      <c r="H1089" s="5"/>
      <c r="I1089" s="5"/>
      <c r="J1089" s="5"/>
      <c r="K1089" s="5"/>
      <c r="L1089" s="95"/>
      <c r="O1089" s="4"/>
      <c r="P1089" s="4"/>
      <c r="AB1089" s="4"/>
      <c r="AD1089" s="4"/>
      <c r="AF1089" t="e">
        <f>VLOOKUP(C1089,'גיליון דאטה להכל'!A:H,5,0)</f>
        <v>#N/A</v>
      </c>
      <c r="AG1089" s="104">
        <f t="shared" si="32"/>
        <v>0</v>
      </c>
      <c r="AH1089" t="e">
        <f t="shared" si="33"/>
        <v>#N/A</v>
      </c>
    </row>
    <row r="1090" spans="8:34" x14ac:dyDescent="0.2">
      <c r="H1090" s="5"/>
      <c r="I1090" s="5"/>
      <c r="J1090" s="5"/>
      <c r="K1090" s="5"/>
      <c r="L1090" s="95"/>
      <c r="O1090" s="4"/>
      <c r="P1090" s="4"/>
      <c r="AB1090" s="4"/>
      <c r="AD1090" s="4"/>
      <c r="AF1090" t="e">
        <f>VLOOKUP(C1090,'גיליון דאטה להכל'!A:H,5,0)</f>
        <v>#N/A</v>
      </c>
      <c r="AG1090" s="104">
        <f t="shared" si="32"/>
        <v>0</v>
      </c>
      <c r="AH1090" t="e">
        <f t="shared" si="33"/>
        <v>#N/A</v>
      </c>
    </row>
    <row r="1091" spans="8:34" x14ac:dyDescent="0.2">
      <c r="H1091" s="5"/>
      <c r="I1091" s="5"/>
      <c r="J1091" s="5"/>
      <c r="K1091" s="5"/>
      <c r="L1091" s="95"/>
      <c r="O1091" s="4"/>
      <c r="P1091" s="4"/>
      <c r="AB1091" s="4"/>
      <c r="AD1091" s="4"/>
      <c r="AF1091" t="e">
        <f>VLOOKUP(C1091,'גיליון דאטה להכל'!A:H,5,0)</f>
        <v>#N/A</v>
      </c>
      <c r="AG1091" s="104">
        <f t="shared" ref="AG1091:AG1154" si="34">I1091+H1091</f>
        <v>0</v>
      </c>
      <c r="AH1091" t="e">
        <f t="shared" ref="AH1091:AH1154" si="35">_xlfn.CONCAT(AF1091,N1091)</f>
        <v>#N/A</v>
      </c>
    </row>
    <row r="1092" spans="8:34" x14ac:dyDescent="0.2">
      <c r="H1092" s="5"/>
      <c r="I1092" s="5"/>
      <c r="J1092" s="5"/>
      <c r="K1092" s="5"/>
      <c r="L1092" s="95"/>
      <c r="O1092" s="4"/>
      <c r="P1092" s="4"/>
      <c r="AB1092" s="4"/>
      <c r="AD1092" s="4"/>
      <c r="AF1092" t="e">
        <f>VLOOKUP(C1092,'גיליון דאטה להכל'!A:H,5,0)</f>
        <v>#N/A</v>
      </c>
      <c r="AG1092" s="104">
        <f t="shared" si="34"/>
        <v>0</v>
      </c>
      <c r="AH1092" t="e">
        <f t="shared" si="35"/>
        <v>#N/A</v>
      </c>
    </row>
    <row r="1093" spans="8:34" x14ac:dyDescent="0.2">
      <c r="H1093" s="5"/>
      <c r="I1093" s="5"/>
      <c r="J1093" s="5"/>
      <c r="K1093" s="5"/>
      <c r="L1093" s="95"/>
      <c r="O1093" s="4"/>
      <c r="P1093" s="4"/>
      <c r="AB1093" s="4"/>
      <c r="AD1093" s="4"/>
      <c r="AF1093" t="e">
        <f>VLOOKUP(C1093,'גיליון דאטה להכל'!A:H,5,0)</f>
        <v>#N/A</v>
      </c>
      <c r="AG1093" s="104">
        <f t="shared" si="34"/>
        <v>0</v>
      </c>
      <c r="AH1093" t="e">
        <f t="shared" si="35"/>
        <v>#N/A</v>
      </c>
    </row>
    <row r="1094" spans="8:34" x14ac:dyDescent="0.2">
      <c r="H1094" s="5"/>
      <c r="I1094" s="5"/>
      <c r="J1094" s="5"/>
      <c r="K1094" s="5"/>
      <c r="L1094" s="95"/>
      <c r="O1094" s="4"/>
      <c r="P1094" s="4"/>
      <c r="AB1094" s="4"/>
      <c r="AD1094" s="4"/>
      <c r="AF1094" t="e">
        <f>VLOOKUP(C1094,'גיליון דאטה להכל'!A:H,5,0)</f>
        <v>#N/A</v>
      </c>
      <c r="AG1094" s="104">
        <f t="shared" si="34"/>
        <v>0</v>
      </c>
      <c r="AH1094" t="e">
        <f t="shared" si="35"/>
        <v>#N/A</v>
      </c>
    </row>
    <row r="1095" spans="8:34" x14ac:dyDescent="0.2">
      <c r="H1095" s="5"/>
      <c r="I1095" s="5"/>
      <c r="J1095" s="5"/>
      <c r="K1095" s="5"/>
      <c r="L1095" s="95"/>
      <c r="O1095" s="4"/>
      <c r="P1095" s="4"/>
      <c r="AB1095" s="4"/>
      <c r="AD1095" s="4"/>
      <c r="AF1095" t="e">
        <f>VLOOKUP(C1095,'גיליון דאטה להכל'!A:H,5,0)</f>
        <v>#N/A</v>
      </c>
      <c r="AG1095" s="104">
        <f t="shared" si="34"/>
        <v>0</v>
      </c>
      <c r="AH1095" t="e">
        <f t="shared" si="35"/>
        <v>#N/A</v>
      </c>
    </row>
    <row r="1096" spans="8:34" x14ac:dyDescent="0.2">
      <c r="H1096" s="5"/>
      <c r="I1096" s="5"/>
      <c r="J1096" s="5"/>
      <c r="K1096" s="5"/>
      <c r="L1096" s="95"/>
      <c r="O1096" s="4"/>
      <c r="P1096" s="4"/>
      <c r="AB1096" s="4"/>
      <c r="AD1096" s="4"/>
      <c r="AF1096" t="e">
        <f>VLOOKUP(C1096,'גיליון דאטה להכל'!A:H,5,0)</f>
        <v>#N/A</v>
      </c>
      <c r="AG1096" s="104">
        <f t="shared" si="34"/>
        <v>0</v>
      </c>
      <c r="AH1096" t="e">
        <f t="shared" si="35"/>
        <v>#N/A</v>
      </c>
    </row>
    <row r="1097" spans="8:34" x14ac:dyDescent="0.2">
      <c r="H1097" s="5"/>
      <c r="I1097" s="5"/>
      <c r="J1097" s="5"/>
      <c r="K1097" s="5"/>
      <c r="L1097" s="95"/>
      <c r="O1097" s="4"/>
      <c r="P1097" s="4"/>
      <c r="AB1097" s="4"/>
      <c r="AD1097" s="4"/>
      <c r="AF1097" t="e">
        <f>VLOOKUP(C1097,'גיליון דאטה להכל'!A:H,5,0)</f>
        <v>#N/A</v>
      </c>
      <c r="AG1097" s="104">
        <f t="shared" si="34"/>
        <v>0</v>
      </c>
      <c r="AH1097" t="e">
        <f t="shared" si="35"/>
        <v>#N/A</v>
      </c>
    </row>
    <row r="1098" spans="8:34" x14ac:dyDescent="0.2">
      <c r="H1098" s="5"/>
      <c r="I1098" s="5"/>
      <c r="J1098" s="5"/>
      <c r="K1098" s="5"/>
      <c r="L1098" s="95"/>
      <c r="O1098" s="4"/>
      <c r="P1098" s="4"/>
      <c r="AB1098" s="4"/>
      <c r="AD1098" s="4"/>
      <c r="AF1098" t="e">
        <f>VLOOKUP(C1098,'גיליון דאטה להכל'!A:H,5,0)</f>
        <v>#N/A</v>
      </c>
      <c r="AG1098" s="104">
        <f t="shared" si="34"/>
        <v>0</v>
      </c>
      <c r="AH1098" t="e">
        <f t="shared" si="35"/>
        <v>#N/A</v>
      </c>
    </row>
    <row r="1099" spans="8:34" x14ac:dyDescent="0.2">
      <c r="H1099" s="5"/>
      <c r="I1099" s="5"/>
      <c r="J1099" s="5"/>
      <c r="K1099" s="5"/>
      <c r="L1099" s="95"/>
      <c r="O1099" s="4"/>
      <c r="P1099" s="4"/>
      <c r="AB1099" s="4"/>
      <c r="AD1099" s="4"/>
      <c r="AF1099" t="e">
        <f>VLOOKUP(C1099,'גיליון דאטה להכל'!A:H,5,0)</f>
        <v>#N/A</v>
      </c>
      <c r="AG1099" s="104">
        <f t="shared" si="34"/>
        <v>0</v>
      </c>
      <c r="AH1099" t="e">
        <f t="shared" si="35"/>
        <v>#N/A</v>
      </c>
    </row>
    <row r="1100" spans="8:34" x14ac:dyDescent="0.2">
      <c r="H1100" s="5"/>
      <c r="I1100" s="5"/>
      <c r="J1100" s="5"/>
      <c r="K1100" s="5"/>
      <c r="L1100" s="95"/>
      <c r="O1100" s="4"/>
      <c r="P1100" s="4"/>
      <c r="AB1100" s="4"/>
      <c r="AD1100" s="4"/>
      <c r="AF1100" t="e">
        <f>VLOOKUP(C1100,'גיליון דאטה להכל'!A:H,5,0)</f>
        <v>#N/A</v>
      </c>
      <c r="AG1100" s="104">
        <f t="shared" si="34"/>
        <v>0</v>
      </c>
      <c r="AH1100" t="e">
        <f t="shared" si="35"/>
        <v>#N/A</v>
      </c>
    </row>
    <row r="1101" spans="8:34" x14ac:dyDescent="0.2">
      <c r="H1101" s="5"/>
      <c r="I1101" s="5"/>
      <c r="J1101" s="5"/>
      <c r="K1101" s="5"/>
      <c r="L1101" s="95"/>
      <c r="O1101" s="4"/>
      <c r="P1101" s="4"/>
      <c r="AB1101" s="4"/>
      <c r="AD1101" s="4"/>
      <c r="AF1101" t="e">
        <f>VLOOKUP(C1101,'גיליון דאטה להכל'!A:H,5,0)</f>
        <v>#N/A</v>
      </c>
      <c r="AG1101" s="104">
        <f t="shared" si="34"/>
        <v>0</v>
      </c>
      <c r="AH1101" t="e">
        <f t="shared" si="35"/>
        <v>#N/A</v>
      </c>
    </row>
    <row r="1102" spans="8:34" x14ac:dyDescent="0.2">
      <c r="H1102" s="5"/>
      <c r="I1102" s="5"/>
      <c r="J1102" s="5"/>
      <c r="K1102" s="5"/>
      <c r="L1102" s="95"/>
      <c r="O1102" s="4"/>
      <c r="P1102" s="4"/>
      <c r="AB1102" s="4"/>
      <c r="AD1102" s="4"/>
      <c r="AF1102" t="e">
        <f>VLOOKUP(C1102,'גיליון דאטה להכל'!A:H,5,0)</f>
        <v>#N/A</v>
      </c>
      <c r="AG1102" s="104">
        <f t="shared" si="34"/>
        <v>0</v>
      </c>
      <c r="AH1102" t="e">
        <f t="shared" si="35"/>
        <v>#N/A</v>
      </c>
    </row>
    <row r="1103" spans="8:34" x14ac:dyDescent="0.2">
      <c r="H1103" s="5"/>
      <c r="I1103" s="5"/>
      <c r="J1103" s="5"/>
      <c r="K1103" s="5"/>
      <c r="L1103" s="95"/>
      <c r="O1103" s="4"/>
      <c r="P1103" s="4"/>
      <c r="AB1103" s="4"/>
      <c r="AD1103" s="4"/>
      <c r="AF1103" t="e">
        <f>VLOOKUP(C1103,'גיליון דאטה להכל'!A:H,5,0)</f>
        <v>#N/A</v>
      </c>
      <c r="AG1103" s="104">
        <f t="shared" si="34"/>
        <v>0</v>
      </c>
      <c r="AH1103" t="e">
        <f t="shared" si="35"/>
        <v>#N/A</v>
      </c>
    </row>
    <row r="1104" spans="8:34" x14ac:dyDescent="0.2">
      <c r="H1104" s="5"/>
      <c r="I1104" s="5"/>
      <c r="J1104" s="5"/>
      <c r="K1104" s="5"/>
      <c r="L1104" s="95"/>
      <c r="O1104" s="4"/>
      <c r="P1104" s="4"/>
      <c r="AB1104" s="4"/>
      <c r="AD1104" s="4"/>
      <c r="AF1104" t="e">
        <f>VLOOKUP(C1104,'גיליון דאטה להכל'!A:H,5,0)</f>
        <v>#N/A</v>
      </c>
      <c r="AG1104" s="104">
        <f t="shared" si="34"/>
        <v>0</v>
      </c>
      <c r="AH1104" t="e">
        <f t="shared" si="35"/>
        <v>#N/A</v>
      </c>
    </row>
    <row r="1105" spans="8:34" x14ac:dyDescent="0.2">
      <c r="H1105" s="5"/>
      <c r="I1105" s="5"/>
      <c r="J1105" s="5"/>
      <c r="K1105" s="5"/>
      <c r="L1105" s="95"/>
      <c r="O1105" s="4"/>
      <c r="P1105" s="4"/>
      <c r="AB1105" s="4"/>
      <c r="AD1105" s="4"/>
      <c r="AF1105" t="e">
        <f>VLOOKUP(C1105,'גיליון דאטה להכל'!A:H,5,0)</f>
        <v>#N/A</v>
      </c>
      <c r="AG1105" s="104">
        <f t="shared" si="34"/>
        <v>0</v>
      </c>
      <c r="AH1105" t="e">
        <f t="shared" si="35"/>
        <v>#N/A</v>
      </c>
    </row>
    <row r="1106" spans="8:34" x14ac:dyDescent="0.2">
      <c r="H1106" s="5"/>
      <c r="I1106" s="5"/>
      <c r="J1106" s="5"/>
      <c r="K1106" s="5"/>
      <c r="L1106" s="95"/>
      <c r="O1106" s="4"/>
      <c r="P1106" s="4"/>
      <c r="AB1106" s="4"/>
      <c r="AD1106" s="4"/>
      <c r="AF1106" t="e">
        <f>VLOOKUP(C1106,'גיליון דאטה להכל'!A:H,5,0)</f>
        <v>#N/A</v>
      </c>
      <c r="AG1106" s="104">
        <f t="shared" si="34"/>
        <v>0</v>
      </c>
      <c r="AH1106" t="e">
        <f t="shared" si="35"/>
        <v>#N/A</v>
      </c>
    </row>
    <row r="1107" spans="8:34" x14ac:dyDescent="0.2">
      <c r="H1107" s="5"/>
      <c r="I1107" s="5"/>
      <c r="J1107" s="5"/>
      <c r="K1107" s="5"/>
      <c r="L1107" s="95"/>
      <c r="O1107" s="4"/>
      <c r="P1107" s="4"/>
      <c r="AB1107" s="4"/>
      <c r="AD1107" s="4"/>
      <c r="AF1107" t="e">
        <f>VLOOKUP(C1107,'גיליון דאטה להכל'!A:H,5,0)</f>
        <v>#N/A</v>
      </c>
      <c r="AG1107" s="104">
        <f t="shared" si="34"/>
        <v>0</v>
      </c>
      <c r="AH1107" t="e">
        <f t="shared" si="35"/>
        <v>#N/A</v>
      </c>
    </row>
    <row r="1108" spans="8:34" x14ac:dyDescent="0.2">
      <c r="H1108" s="5"/>
      <c r="I1108" s="5"/>
      <c r="J1108" s="5"/>
      <c r="K1108" s="5"/>
      <c r="L1108" s="95"/>
      <c r="O1108" s="4"/>
      <c r="P1108" s="4"/>
      <c r="AB1108" s="4"/>
      <c r="AD1108" s="4"/>
      <c r="AF1108" t="e">
        <f>VLOOKUP(C1108,'גיליון דאטה להכל'!A:H,5,0)</f>
        <v>#N/A</v>
      </c>
      <c r="AG1108" s="104">
        <f t="shared" si="34"/>
        <v>0</v>
      </c>
      <c r="AH1108" t="e">
        <f t="shared" si="35"/>
        <v>#N/A</v>
      </c>
    </row>
    <row r="1109" spans="8:34" x14ac:dyDescent="0.2">
      <c r="H1109" s="5"/>
      <c r="I1109" s="5"/>
      <c r="J1109" s="5"/>
      <c r="K1109" s="5"/>
      <c r="L1109" s="95"/>
      <c r="O1109" s="4"/>
      <c r="P1109" s="4"/>
      <c r="AB1109" s="4"/>
      <c r="AD1109" s="4"/>
      <c r="AF1109" t="e">
        <f>VLOOKUP(C1109,'גיליון דאטה להכל'!A:H,5,0)</f>
        <v>#N/A</v>
      </c>
      <c r="AG1109" s="104">
        <f t="shared" si="34"/>
        <v>0</v>
      </c>
      <c r="AH1109" t="e">
        <f t="shared" si="35"/>
        <v>#N/A</v>
      </c>
    </row>
    <row r="1110" spans="8:34" x14ac:dyDescent="0.2">
      <c r="H1110" s="5"/>
      <c r="I1110" s="5"/>
      <c r="J1110" s="5"/>
      <c r="K1110" s="5"/>
      <c r="L1110" s="95"/>
      <c r="O1110" s="4"/>
      <c r="P1110" s="4"/>
      <c r="AB1110" s="4"/>
      <c r="AD1110" s="4"/>
      <c r="AF1110" t="e">
        <f>VLOOKUP(C1110,'גיליון דאטה להכל'!A:H,5,0)</f>
        <v>#N/A</v>
      </c>
      <c r="AG1110" s="104">
        <f t="shared" si="34"/>
        <v>0</v>
      </c>
      <c r="AH1110" t="e">
        <f t="shared" si="35"/>
        <v>#N/A</v>
      </c>
    </row>
    <row r="1111" spans="8:34" x14ac:dyDescent="0.2">
      <c r="H1111" s="5"/>
      <c r="I1111" s="5"/>
      <c r="J1111" s="5"/>
      <c r="K1111" s="5"/>
      <c r="O1111" s="4"/>
      <c r="P1111" s="4"/>
      <c r="AB1111" s="4"/>
      <c r="AD1111" s="4"/>
      <c r="AF1111" t="e">
        <f>VLOOKUP(C1111,'גיליון דאטה להכל'!A:H,5,0)</f>
        <v>#N/A</v>
      </c>
      <c r="AG1111" s="104">
        <f t="shared" si="34"/>
        <v>0</v>
      </c>
      <c r="AH1111" t="e">
        <f t="shared" si="35"/>
        <v>#N/A</v>
      </c>
    </row>
    <row r="1112" spans="8:34" x14ac:dyDescent="0.2">
      <c r="H1112" s="5"/>
      <c r="I1112" s="5"/>
      <c r="J1112" s="5"/>
      <c r="K1112" s="5"/>
      <c r="O1112" s="4"/>
      <c r="P1112" s="4"/>
      <c r="AB1112" s="4"/>
      <c r="AD1112" s="4"/>
      <c r="AF1112" t="e">
        <f>VLOOKUP(C1112,'גיליון דאטה להכל'!A:H,5,0)</f>
        <v>#N/A</v>
      </c>
      <c r="AG1112" s="104">
        <f t="shared" si="34"/>
        <v>0</v>
      </c>
      <c r="AH1112" t="e">
        <f t="shared" si="35"/>
        <v>#N/A</v>
      </c>
    </row>
    <row r="1113" spans="8:34" x14ac:dyDescent="0.2">
      <c r="H1113" s="5"/>
      <c r="I1113" s="5"/>
      <c r="J1113" s="5"/>
      <c r="K1113" s="5"/>
      <c r="O1113" s="4"/>
      <c r="P1113" s="4"/>
      <c r="AB1113" s="4"/>
      <c r="AD1113" s="4"/>
      <c r="AF1113" t="e">
        <f>VLOOKUP(C1113,'גיליון דאטה להכל'!A:H,5,0)</f>
        <v>#N/A</v>
      </c>
      <c r="AG1113" s="104">
        <f t="shared" si="34"/>
        <v>0</v>
      </c>
      <c r="AH1113" t="e">
        <f t="shared" si="35"/>
        <v>#N/A</v>
      </c>
    </row>
    <row r="1114" spans="8:34" x14ac:dyDescent="0.2">
      <c r="H1114" s="5"/>
      <c r="I1114" s="5"/>
      <c r="J1114" s="5"/>
      <c r="K1114" s="5"/>
      <c r="O1114" s="4"/>
      <c r="P1114" s="4"/>
      <c r="AB1114" s="4"/>
      <c r="AD1114" s="4"/>
      <c r="AF1114" t="e">
        <f>VLOOKUP(C1114,'גיליון דאטה להכל'!A:H,5,0)</f>
        <v>#N/A</v>
      </c>
      <c r="AG1114" s="104">
        <f t="shared" si="34"/>
        <v>0</v>
      </c>
      <c r="AH1114" t="e">
        <f t="shared" si="35"/>
        <v>#N/A</v>
      </c>
    </row>
    <row r="1115" spans="8:34" x14ac:dyDescent="0.2">
      <c r="H1115" s="5"/>
      <c r="I1115" s="5"/>
      <c r="J1115" s="5"/>
      <c r="K1115" s="5"/>
      <c r="O1115" s="4"/>
      <c r="P1115" s="4"/>
      <c r="AB1115" s="4"/>
      <c r="AD1115" s="4"/>
      <c r="AF1115" t="e">
        <f>VLOOKUP(C1115,'גיליון דאטה להכל'!A:H,5,0)</f>
        <v>#N/A</v>
      </c>
      <c r="AG1115" s="104">
        <f t="shared" si="34"/>
        <v>0</v>
      </c>
      <c r="AH1115" t="e">
        <f t="shared" si="35"/>
        <v>#N/A</v>
      </c>
    </row>
    <row r="1116" spans="8:34" x14ac:dyDescent="0.2">
      <c r="H1116" s="5"/>
      <c r="I1116" s="5"/>
      <c r="J1116" s="5"/>
      <c r="K1116" s="5"/>
      <c r="O1116" s="4"/>
      <c r="P1116" s="4"/>
      <c r="AB1116" s="4"/>
      <c r="AD1116" s="4"/>
      <c r="AF1116" t="e">
        <f>VLOOKUP(C1116,'גיליון דאטה להכל'!A:H,5,0)</f>
        <v>#N/A</v>
      </c>
      <c r="AG1116" s="104">
        <f t="shared" si="34"/>
        <v>0</v>
      </c>
      <c r="AH1116" t="e">
        <f t="shared" si="35"/>
        <v>#N/A</v>
      </c>
    </row>
    <row r="1117" spans="8:34" x14ac:dyDescent="0.2">
      <c r="H1117" s="5"/>
      <c r="I1117" s="5"/>
      <c r="J1117" s="5"/>
      <c r="K1117" s="5"/>
      <c r="O1117" s="4"/>
      <c r="P1117" s="4"/>
      <c r="AB1117" s="4"/>
      <c r="AD1117" s="4"/>
      <c r="AF1117" t="e">
        <f>VLOOKUP(C1117,'גיליון דאטה להכל'!A:H,5,0)</f>
        <v>#N/A</v>
      </c>
      <c r="AG1117" s="104">
        <f t="shared" si="34"/>
        <v>0</v>
      </c>
      <c r="AH1117" t="e">
        <f t="shared" si="35"/>
        <v>#N/A</v>
      </c>
    </row>
    <row r="1118" spans="8:34" x14ac:dyDescent="0.2">
      <c r="H1118" s="5"/>
      <c r="I1118" s="5"/>
      <c r="J1118" s="5"/>
      <c r="K1118" s="5"/>
      <c r="O1118" s="4"/>
      <c r="P1118" s="4"/>
      <c r="AB1118" s="4"/>
      <c r="AD1118" s="4"/>
      <c r="AF1118" t="e">
        <f>VLOOKUP(C1118,'גיליון דאטה להכל'!A:H,5,0)</f>
        <v>#N/A</v>
      </c>
      <c r="AG1118" s="104">
        <f t="shared" si="34"/>
        <v>0</v>
      </c>
      <c r="AH1118" t="e">
        <f t="shared" si="35"/>
        <v>#N/A</v>
      </c>
    </row>
    <row r="1119" spans="8:34" x14ac:dyDescent="0.2">
      <c r="H1119" s="5"/>
      <c r="I1119" s="5"/>
      <c r="J1119" s="5"/>
      <c r="K1119" s="5"/>
      <c r="O1119" s="4"/>
      <c r="P1119" s="4"/>
      <c r="AB1119" s="4"/>
      <c r="AD1119" s="4"/>
      <c r="AF1119" t="e">
        <f>VLOOKUP(C1119,'גיליון דאטה להכל'!A:H,5,0)</f>
        <v>#N/A</v>
      </c>
      <c r="AG1119" s="104">
        <f t="shared" si="34"/>
        <v>0</v>
      </c>
      <c r="AH1119" t="e">
        <f t="shared" si="35"/>
        <v>#N/A</v>
      </c>
    </row>
    <row r="1120" spans="8:34" x14ac:dyDescent="0.2">
      <c r="H1120" s="5"/>
      <c r="I1120" s="5"/>
      <c r="J1120" s="5"/>
      <c r="K1120" s="5"/>
      <c r="O1120" s="4"/>
      <c r="P1120" s="4"/>
      <c r="AB1120" s="4"/>
      <c r="AD1120" s="4"/>
      <c r="AF1120" t="e">
        <f>VLOOKUP(C1120,'גיליון דאטה להכל'!A:H,5,0)</f>
        <v>#N/A</v>
      </c>
      <c r="AG1120" s="104">
        <f t="shared" si="34"/>
        <v>0</v>
      </c>
      <c r="AH1120" t="e">
        <f t="shared" si="35"/>
        <v>#N/A</v>
      </c>
    </row>
    <row r="1121" spans="8:34" x14ac:dyDescent="0.2">
      <c r="H1121" s="5"/>
      <c r="I1121" s="5"/>
      <c r="J1121" s="5"/>
      <c r="K1121" s="5"/>
      <c r="O1121" s="4"/>
      <c r="P1121" s="4"/>
      <c r="AB1121" s="4"/>
      <c r="AD1121" s="4"/>
      <c r="AF1121" t="e">
        <f>VLOOKUP(C1121,'גיליון דאטה להכל'!A:H,5,0)</f>
        <v>#N/A</v>
      </c>
      <c r="AG1121" s="104">
        <f t="shared" si="34"/>
        <v>0</v>
      </c>
      <c r="AH1121" t="e">
        <f t="shared" si="35"/>
        <v>#N/A</v>
      </c>
    </row>
    <row r="1122" spans="8:34" x14ac:dyDescent="0.2">
      <c r="H1122" s="5"/>
      <c r="I1122" s="5"/>
      <c r="J1122" s="5"/>
      <c r="K1122" s="5"/>
      <c r="O1122" s="4"/>
      <c r="P1122" s="4"/>
      <c r="AB1122" s="4"/>
      <c r="AD1122" s="4"/>
      <c r="AF1122" t="e">
        <f>VLOOKUP(C1122,'גיליון דאטה להכל'!A:H,5,0)</f>
        <v>#N/A</v>
      </c>
      <c r="AG1122" s="104">
        <f t="shared" si="34"/>
        <v>0</v>
      </c>
      <c r="AH1122" t="e">
        <f t="shared" si="35"/>
        <v>#N/A</v>
      </c>
    </row>
    <row r="1123" spans="8:34" x14ac:dyDescent="0.2">
      <c r="H1123" s="5"/>
      <c r="I1123" s="5"/>
      <c r="J1123" s="5"/>
      <c r="K1123" s="5"/>
      <c r="O1123" s="4"/>
      <c r="P1123" s="4"/>
      <c r="AB1123" s="4"/>
      <c r="AD1123" s="4"/>
      <c r="AF1123" t="e">
        <f>VLOOKUP(C1123,'גיליון דאטה להכל'!A:H,5,0)</f>
        <v>#N/A</v>
      </c>
      <c r="AG1123" s="104">
        <f t="shared" si="34"/>
        <v>0</v>
      </c>
      <c r="AH1123" t="e">
        <f t="shared" si="35"/>
        <v>#N/A</v>
      </c>
    </row>
    <row r="1124" spans="8:34" x14ac:dyDescent="0.2">
      <c r="H1124" s="5"/>
      <c r="I1124" s="5"/>
      <c r="J1124" s="5"/>
      <c r="K1124" s="5"/>
      <c r="L1124" s="95"/>
      <c r="O1124" s="4"/>
      <c r="P1124" s="4"/>
      <c r="AB1124" s="4"/>
      <c r="AD1124" s="4"/>
      <c r="AF1124" t="e">
        <f>VLOOKUP(C1124,'גיליון דאטה להכל'!A:H,5,0)</f>
        <v>#N/A</v>
      </c>
      <c r="AG1124" s="104">
        <f t="shared" si="34"/>
        <v>0</v>
      </c>
      <c r="AH1124" t="e">
        <f t="shared" si="35"/>
        <v>#N/A</v>
      </c>
    </row>
    <row r="1125" spans="8:34" x14ac:dyDescent="0.2">
      <c r="H1125" s="5"/>
      <c r="I1125" s="5"/>
      <c r="J1125" s="5"/>
      <c r="K1125" s="5"/>
      <c r="L1125" s="95"/>
      <c r="O1125" s="4"/>
      <c r="P1125" s="4"/>
      <c r="AB1125" s="4"/>
      <c r="AD1125" s="4"/>
      <c r="AF1125" t="e">
        <f>VLOOKUP(C1125,'גיליון דאטה להכל'!A:H,5,0)</f>
        <v>#N/A</v>
      </c>
      <c r="AG1125" s="104">
        <f t="shared" si="34"/>
        <v>0</v>
      </c>
      <c r="AH1125" t="e">
        <f t="shared" si="35"/>
        <v>#N/A</v>
      </c>
    </row>
    <row r="1126" spans="8:34" x14ac:dyDescent="0.2">
      <c r="H1126" s="5"/>
      <c r="I1126" s="5"/>
      <c r="J1126" s="5"/>
      <c r="K1126" s="5"/>
      <c r="L1126" s="95"/>
      <c r="O1126" s="4"/>
      <c r="P1126" s="4"/>
      <c r="AB1126" s="4"/>
      <c r="AD1126" s="4"/>
      <c r="AF1126" t="e">
        <f>VLOOKUP(C1126,'גיליון דאטה להכל'!A:H,5,0)</f>
        <v>#N/A</v>
      </c>
      <c r="AG1126" s="104">
        <f t="shared" si="34"/>
        <v>0</v>
      </c>
      <c r="AH1126" t="e">
        <f t="shared" si="35"/>
        <v>#N/A</v>
      </c>
    </row>
    <row r="1127" spans="8:34" x14ac:dyDescent="0.2">
      <c r="H1127" s="5"/>
      <c r="I1127" s="5"/>
      <c r="J1127" s="5"/>
      <c r="K1127" s="5"/>
      <c r="L1127" s="95"/>
      <c r="O1127" s="4"/>
      <c r="P1127" s="4"/>
      <c r="AB1127" s="4"/>
      <c r="AD1127" s="4"/>
      <c r="AF1127" t="e">
        <f>VLOOKUP(C1127,'גיליון דאטה להכל'!A:H,5,0)</f>
        <v>#N/A</v>
      </c>
      <c r="AG1127" s="104">
        <f t="shared" si="34"/>
        <v>0</v>
      </c>
      <c r="AH1127" t="e">
        <f t="shared" si="35"/>
        <v>#N/A</v>
      </c>
    </row>
    <row r="1128" spans="8:34" x14ac:dyDescent="0.2">
      <c r="H1128" s="5"/>
      <c r="I1128" s="5"/>
      <c r="J1128" s="5"/>
      <c r="K1128" s="5"/>
      <c r="L1128" s="95"/>
      <c r="O1128" s="4"/>
      <c r="P1128" s="4"/>
      <c r="AB1128" s="4"/>
      <c r="AD1128" s="4"/>
      <c r="AF1128" t="e">
        <f>VLOOKUP(C1128,'גיליון דאטה להכל'!A:H,5,0)</f>
        <v>#N/A</v>
      </c>
      <c r="AG1128" s="104">
        <f t="shared" si="34"/>
        <v>0</v>
      </c>
      <c r="AH1128" t="e">
        <f t="shared" si="35"/>
        <v>#N/A</v>
      </c>
    </row>
    <row r="1129" spans="8:34" x14ac:dyDescent="0.2">
      <c r="H1129" s="5"/>
      <c r="I1129" s="5"/>
      <c r="J1129" s="5"/>
      <c r="K1129" s="5"/>
      <c r="L1129" s="95"/>
      <c r="O1129" s="4"/>
      <c r="P1129" s="4"/>
      <c r="AB1129" s="4"/>
      <c r="AD1129" s="4"/>
      <c r="AF1129" t="e">
        <f>VLOOKUP(C1129,'גיליון דאטה להכל'!A:H,5,0)</f>
        <v>#N/A</v>
      </c>
      <c r="AG1129" s="104">
        <f t="shared" si="34"/>
        <v>0</v>
      </c>
      <c r="AH1129" t="e">
        <f t="shared" si="35"/>
        <v>#N/A</v>
      </c>
    </row>
    <row r="1130" spans="8:34" x14ac:dyDescent="0.2">
      <c r="H1130" s="5"/>
      <c r="I1130" s="5"/>
      <c r="J1130" s="5"/>
      <c r="K1130" s="5"/>
      <c r="L1130" s="95"/>
      <c r="O1130" s="4"/>
      <c r="P1130" s="4"/>
      <c r="AB1130" s="4"/>
      <c r="AD1130" s="4"/>
      <c r="AF1130" t="e">
        <f>VLOOKUP(C1130,'גיליון דאטה להכל'!A:H,5,0)</f>
        <v>#N/A</v>
      </c>
      <c r="AG1130" s="104">
        <f t="shared" si="34"/>
        <v>0</v>
      </c>
      <c r="AH1130" t="e">
        <f t="shared" si="35"/>
        <v>#N/A</v>
      </c>
    </row>
    <row r="1131" spans="8:34" x14ac:dyDescent="0.2">
      <c r="H1131" s="5"/>
      <c r="I1131" s="5"/>
      <c r="J1131" s="5"/>
      <c r="K1131" s="5"/>
      <c r="L1131" s="95"/>
      <c r="O1131" s="4"/>
      <c r="P1131" s="4"/>
      <c r="AB1131" s="4"/>
      <c r="AD1131" s="4"/>
      <c r="AF1131" t="e">
        <f>VLOOKUP(C1131,'גיליון דאטה להכל'!A:H,5,0)</f>
        <v>#N/A</v>
      </c>
      <c r="AG1131" s="104">
        <f t="shared" si="34"/>
        <v>0</v>
      </c>
      <c r="AH1131" t="e">
        <f t="shared" si="35"/>
        <v>#N/A</v>
      </c>
    </row>
    <row r="1132" spans="8:34" x14ac:dyDescent="0.2">
      <c r="H1132" s="5"/>
      <c r="I1132" s="5"/>
      <c r="J1132" s="5"/>
      <c r="K1132" s="5"/>
      <c r="L1132" s="95"/>
      <c r="O1132" s="4"/>
      <c r="P1132" s="4"/>
      <c r="AB1132" s="4"/>
      <c r="AD1132" s="4"/>
      <c r="AF1132" t="e">
        <f>VLOOKUP(C1132,'גיליון דאטה להכל'!A:H,5,0)</f>
        <v>#N/A</v>
      </c>
      <c r="AG1132" s="104">
        <f t="shared" si="34"/>
        <v>0</v>
      </c>
      <c r="AH1132" t="e">
        <f t="shared" si="35"/>
        <v>#N/A</v>
      </c>
    </row>
    <row r="1133" spans="8:34" x14ac:dyDescent="0.2">
      <c r="H1133" s="5"/>
      <c r="I1133" s="5"/>
      <c r="J1133" s="5"/>
      <c r="K1133" s="5"/>
      <c r="L1133" s="95"/>
      <c r="O1133" s="4"/>
      <c r="P1133" s="4"/>
      <c r="AB1133" s="4"/>
      <c r="AD1133" s="4"/>
      <c r="AF1133" t="e">
        <f>VLOOKUP(C1133,'גיליון דאטה להכל'!A:H,5,0)</f>
        <v>#N/A</v>
      </c>
      <c r="AG1133" s="104">
        <f t="shared" si="34"/>
        <v>0</v>
      </c>
      <c r="AH1133" t="e">
        <f t="shared" si="35"/>
        <v>#N/A</v>
      </c>
    </row>
    <row r="1134" spans="8:34" x14ac:dyDescent="0.2">
      <c r="H1134" s="5"/>
      <c r="I1134" s="5"/>
      <c r="J1134" s="5"/>
      <c r="K1134" s="5"/>
      <c r="L1134" s="95"/>
      <c r="O1134" s="4"/>
      <c r="P1134" s="4"/>
      <c r="AB1134" s="4"/>
      <c r="AD1134" s="4"/>
      <c r="AF1134" t="e">
        <f>VLOOKUP(C1134,'גיליון דאטה להכל'!A:H,5,0)</f>
        <v>#N/A</v>
      </c>
      <c r="AG1134" s="104">
        <f t="shared" si="34"/>
        <v>0</v>
      </c>
      <c r="AH1134" t="e">
        <f t="shared" si="35"/>
        <v>#N/A</v>
      </c>
    </row>
    <row r="1135" spans="8:34" x14ac:dyDescent="0.2">
      <c r="H1135" s="5"/>
      <c r="I1135" s="5"/>
      <c r="J1135" s="5"/>
      <c r="K1135" s="5"/>
      <c r="L1135" s="95"/>
      <c r="O1135" s="4"/>
      <c r="P1135" s="4"/>
      <c r="AB1135" s="4"/>
      <c r="AD1135" s="4"/>
      <c r="AF1135" t="e">
        <f>VLOOKUP(C1135,'גיליון דאטה להכל'!A:H,5,0)</f>
        <v>#N/A</v>
      </c>
      <c r="AG1135" s="104">
        <f t="shared" si="34"/>
        <v>0</v>
      </c>
      <c r="AH1135" t="e">
        <f t="shared" si="35"/>
        <v>#N/A</v>
      </c>
    </row>
    <row r="1136" spans="8:34" x14ac:dyDescent="0.2">
      <c r="H1136" s="5"/>
      <c r="I1136" s="5"/>
      <c r="J1136" s="5"/>
      <c r="K1136" s="5"/>
      <c r="L1136" s="95"/>
      <c r="O1136" s="4"/>
      <c r="P1136" s="4"/>
      <c r="AB1136" s="4"/>
      <c r="AD1136" s="4"/>
      <c r="AF1136" t="e">
        <f>VLOOKUP(C1136,'גיליון דאטה להכל'!A:H,5,0)</f>
        <v>#N/A</v>
      </c>
      <c r="AG1136" s="104">
        <f t="shared" si="34"/>
        <v>0</v>
      </c>
      <c r="AH1136" t="e">
        <f t="shared" si="35"/>
        <v>#N/A</v>
      </c>
    </row>
    <row r="1137" spans="8:34" x14ac:dyDescent="0.2">
      <c r="H1137" s="5"/>
      <c r="I1137" s="5"/>
      <c r="J1137" s="5"/>
      <c r="K1137" s="5"/>
      <c r="L1137" s="95"/>
      <c r="O1137" s="4"/>
      <c r="P1137" s="4"/>
      <c r="AB1137" s="4"/>
      <c r="AD1137" s="4"/>
      <c r="AF1137" t="e">
        <f>VLOOKUP(C1137,'גיליון דאטה להכל'!A:H,5,0)</f>
        <v>#N/A</v>
      </c>
      <c r="AG1137" s="104">
        <f t="shared" si="34"/>
        <v>0</v>
      </c>
      <c r="AH1137" t="e">
        <f t="shared" si="35"/>
        <v>#N/A</v>
      </c>
    </row>
    <row r="1138" spans="8:34" x14ac:dyDescent="0.2">
      <c r="H1138" s="5"/>
      <c r="I1138" s="5"/>
      <c r="J1138" s="5"/>
      <c r="K1138" s="5"/>
      <c r="L1138" s="95"/>
      <c r="O1138" s="4"/>
      <c r="P1138" s="4"/>
      <c r="AB1138" s="4"/>
      <c r="AD1138" s="4"/>
      <c r="AF1138" t="e">
        <f>VLOOKUP(C1138,'גיליון דאטה להכל'!A:H,5,0)</f>
        <v>#N/A</v>
      </c>
      <c r="AG1138" s="104">
        <f t="shared" si="34"/>
        <v>0</v>
      </c>
      <c r="AH1138" t="e">
        <f t="shared" si="35"/>
        <v>#N/A</v>
      </c>
    </row>
    <row r="1139" spans="8:34" x14ac:dyDescent="0.2">
      <c r="H1139" s="5"/>
      <c r="I1139" s="5"/>
      <c r="J1139" s="5"/>
      <c r="K1139" s="5"/>
      <c r="L1139" s="95"/>
      <c r="O1139" s="4"/>
      <c r="P1139" s="4"/>
      <c r="AB1139" s="4"/>
      <c r="AD1139" s="4"/>
      <c r="AF1139" t="e">
        <f>VLOOKUP(C1139,'גיליון דאטה להכל'!A:H,5,0)</f>
        <v>#N/A</v>
      </c>
      <c r="AG1139" s="104">
        <f t="shared" si="34"/>
        <v>0</v>
      </c>
      <c r="AH1139" t="e">
        <f t="shared" si="35"/>
        <v>#N/A</v>
      </c>
    </row>
    <row r="1140" spans="8:34" x14ac:dyDescent="0.2">
      <c r="H1140" s="5"/>
      <c r="I1140" s="5"/>
      <c r="J1140" s="5"/>
      <c r="K1140" s="5"/>
      <c r="L1140" s="95"/>
      <c r="O1140" s="4"/>
      <c r="P1140" s="4"/>
      <c r="AB1140" s="4"/>
      <c r="AD1140" s="4"/>
      <c r="AF1140" t="e">
        <f>VLOOKUP(C1140,'גיליון דאטה להכל'!A:H,5,0)</f>
        <v>#N/A</v>
      </c>
      <c r="AG1140" s="104">
        <f t="shared" si="34"/>
        <v>0</v>
      </c>
      <c r="AH1140" t="e">
        <f t="shared" si="35"/>
        <v>#N/A</v>
      </c>
    </row>
    <row r="1141" spans="8:34" x14ac:dyDescent="0.2">
      <c r="H1141" s="5"/>
      <c r="I1141" s="5"/>
      <c r="J1141" s="5"/>
      <c r="K1141" s="5"/>
      <c r="L1141" s="95"/>
      <c r="O1141" s="4"/>
      <c r="P1141" s="4"/>
      <c r="AB1141" s="4"/>
      <c r="AD1141" s="4"/>
      <c r="AF1141" t="e">
        <f>VLOOKUP(C1141,'גיליון דאטה להכל'!A:H,5,0)</f>
        <v>#N/A</v>
      </c>
      <c r="AG1141" s="104">
        <f t="shared" si="34"/>
        <v>0</v>
      </c>
      <c r="AH1141" t="e">
        <f t="shared" si="35"/>
        <v>#N/A</v>
      </c>
    </row>
    <row r="1142" spans="8:34" x14ac:dyDescent="0.2">
      <c r="H1142" s="5"/>
      <c r="I1142" s="5"/>
      <c r="J1142" s="5"/>
      <c r="K1142" s="5"/>
      <c r="L1142" s="95"/>
      <c r="O1142" s="4"/>
      <c r="P1142" s="4"/>
      <c r="AB1142" s="4"/>
      <c r="AD1142" s="4"/>
      <c r="AF1142" t="e">
        <f>VLOOKUP(C1142,'גיליון דאטה להכל'!A:H,5,0)</f>
        <v>#N/A</v>
      </c>
      <c r="AG1142" s="104">
        <f t="shared" si="34"/>
        <v>0</v>
      </c>
      <c r="AH1142" t="e">
        <f t="shared" si="35"/>
        <v>#N/A</v>
      </c>
    </row>
    <row r="1143" spans="8:34" x14ac:dyDescent="0.2">
      <c r="H1143" s="5"/>
      <c r="I1143" s="5"/>
      <c r="J1143" s="5"/>
      <c r="K1143" s="5"/>
      <c r="L1143" s="95"/>
      <c r="O1143" s="4"/>
      <c r="P1143" s="4"/>
      <c r="AB1143" s="4"/>
      <c r="AD1143" s="4"/>
      <c r="AF1143" t="e">
        <f>VLOOKUP(C1143,'גיליון דאטה להכל'!A:H,5,0)</f>
        <v>#N/A</v>
      </c>
      <c r="AG1143" s="104">
        <f t="shared" si="34"/>
        <v>0</v>
      </c>
      <c r="AH1143" t="e">
        <f t="shared" si="35"/>
        <v>#N/A</v>
      </c>
    </row>
    <row r="1144" spans="8:34" x14ac:dyDescent="0.2">
      <c r="H1144" s="5"/>
      <c r="I1144" s="5"/>
      <c r="J1144" s="5"/>
      <c r="K1144" s="5"/>
      <c r="L1144" s="95"/>
      <c r="O1144" s="4"/>
      <c r="P1144" s="4"/>
      <c r="AB1144" s="4"/>
      <c r="AD1144" s="4"/>
      <c r="AF1144" t="e">
        <f>VLOOKUP(C1144,'גיליון דאטה להכל'!A:H,5,0)</f>
        <v>#N/A</v>
      </c>
      <c r="AG1144" s="104">
        <f t="shared" si="34"/>
        <v>0</v>
      </c>
      <c r="AH1144" t="e">
        <f t="shared" si="35"/>
        <v>#N/A</v>
      </c>
    </row>
    <row r="1145" spans="8:34" x14ac:dyDescent="0.2">
      <c r="H1145" s="5"/>
      <c r="I1145" s="5"/>
      <c r="J1145" s="5"/>
      <c r="K1145" s="5"/>
      <c r="L1145" s="95"/>
      <c r="O1145" s="4"/>
      <c r="P1145" s="4"/>
      <c r="AB1145" s="4"/>
      <c r="AD1145" s="4"/>
      <c r="AF1145" t="e">
        <f>VLOOKUP(C1145,'גיליון דאטה להכל'!A:H,5,0)</f>
        <v>#N/A</v>
      </c>
      <c r="AG1145" s="104">
        <f t="shared" si="34"/>
        <v>0</v>
      </c>
      <c r="AH1145" t="e">
        <f t="shared" si="35"/>
        <v>#N/A</v>
      </c>
    </row>
    <row r="1146" spans="8:34" x14ac:dyDescent="0.2">
      <c r="H1146" s="5"/>
      <c r="I1146" s="5"/>
      <c r="J1146" s="5"/>
      <c r="K1146" s="5"/>
      <c r="L1146" s="95"/>
      <c r="O1146" s="4"/>
      <c r="P1146" s="4"/>
      <c r="AB1146" s="4"/>
      <c r="AD1146" s="4"/>
      <c r="AF1146" t="e">
        <f>VLOOKUP(C1146,'גיליון דאטה להכל'!A:H,5,0)</f>
        <v>#N/A</v>
      </c>
      <c r="AG1146" s="104">
        <f t="shared" si="34"/>
        <v>0</v>
      </c>
      <c r="AH1146" t="e">
        <f t="shared" si="35"/>
        <v>#N/A</v>
      </c>
    </row>
    <row r="1147" spans="8:34" x14ac:dyDescent="0.2">
      <c r="H1147" s="5"/>
      <c r="I1147" s="5"/>
      <c r="J1147" s="5"/>
      <c r="K1147" s="5"/>
      <c r="L1147" s="95"/>
      <c r="O1147" s="4"/>
      <c r="P1147" s="4"/>
      <c r="AB1147" s="4"/>
      <c r="AD1147" s="4"/>
      <c r="AF1147" t="e">
        <f>VLOOKUP(C1147,'גיליון דאטה להכל'!A:H,5,0)</f>
        <v>#N/A</v>
      </c>
      <c r="AG1147" s="104">
        <f t="shared" si="34"/>
        <v>0</v>
      </c>
      <c r="AH1147" t="e">
        <f t="shared" si="35"/>
        <v>#N/A</v>
      </c>
    </row>
    <row r="1148" spans="8:34" x14ac:dyDescent="0.2">
      <c r="H1148" s="5"/>
      <c r="I1148" s="5"/>
      <c r="J1148" s="5"/>
      <c r="K1148" s="5"/>
      <c r="L1148" s="95"/>
      <c r="O1148" s="4"/>
      <c r="P1148" s="4"/>
      <c r="AB1148" s="4"/>
      <c r="AD1148" s="4"/>
      <c r="AF1148" t="e">
        <f>VLOOKUP(C1148,'גיליון דאטה להכל'!A:H,5,0)</f>
        <v>#N/A</v>
      </c>
      <c r="AG1148" s="104">
        <f t="shared" si="34"/>
        <v>0</v>
      </c>
      <c r="AH1148" t="e">
        <f t="shared" si="35"/>
        <v>#N/A</v>
      </c>
    </row>
    <row r="1149" spans="8:34" x14ac:dyDescent="0.2">
      <c r="H1149" s="5"/>
      <c r="I1149" s="5"/>
      <c r="J1149" s="5"/>
      <c r="K1149" s="5"/>
      <c r="L1149" s="95"/>
      <c r="O1149" s="4"/>
      <c r="P1149" s="4"/>
      <c r="AB1149" s="4"/>
      <c r="AD1149" s="4"/>
      <c r="AF1149" t="e">
        <f>VLOOKUP(C1149,'גיליון דאטה להכל'!A:H,5,0)</f>
        <v>#N/A</v>
      </c>
      <c r="AG1149" s="104">
        <f t="shared" si="34"/>
        <v>0</v>
      </c>
      <c r="AH1149" t="e">
        <f t="shared" si="35"/>
        <v>#N/A</v>
      </c>
    </row>
    <row r="1150" spans="8:34" x14ac:dyDescent="0.2">
      <c r="H1150" s="5"/>
      <c r="I1150" s="5"/>
      <c r="J1150" s="5"/>
      <c r="K1150" s="5"/>
      <c r="L1150" s="95"/>
      <c r="O1150" s="4"/>
      <c r="P1150" s="4"/>
      <c r="AB1150" s="4"/>
      <c r="AD1150" s="4"/>
      <c r="AF1150" t="e">
        <f>VLOOKUP(C1150,'גיליון דאטה להכל'!A:H,5,0)</f>
        <v>#N/A</v>
      </c>
      <c r="AG1150" s="104">
        <f t="shared" si="34"/>
        <v>0</v>
      </c>
      <c r="AH1150" t="e">
        <f t="shared" si="35"/>
        <v>#N/A</v>
      </c>
    </row>
    <row r="1151" spans="8:34" x14ac:dyDescent="0.2">
      <c r="H1151" s="5"/>
      <c r="I1151" s="5"/>
      <c r="J1151" s="5"/>
      <c r="K1151" s="5"/>
      <c r="L1151" s="95"/>
      <c r="O1151" s="4"/>
      <c r="P1151" s="4"/>
      <c r="AB1151" s="4"/>
      <c r="AD1151" s="4"/>
      <c r="AF1151" t="e">
        <f>VLOOKUP(C1151,'גיליון דאטה להכל'!A:H,5,0)</f>
        <v>#N/A</v>
      </c>
      <c r="AG1151" s="104">
        <f t="shared" si="34"/>
        <v>0</v>
      </c>
      <c r="AH1151" t="e">
        <f t="shared" si="35"/>
        <v>#N/A</v>
      </c>
    </row>
    <row r="1152" spans="8:34" x14ac:dyDescent="0.2">
      <c r="H1152" s="5"/>
      <c r="I1152" s="5"/>
      <c r="J1152" s="5"/>
      <c r="K1152" s="5"/>
      <c r="L1152" s="95"/>
      <c r="O1152" s="4"/>
      <c r="P1152" s="4"/>
      <c r="AB1152" s="4"/>
      <c r="AD1152" s="4"/>
      <c r="AF1152" t="e">
        <f>VLOOKUP(C1152,'גיליון דאטה להכל'!A:H,5,0)</f>
        <v>#N/A</v>
      </c>
      <c r="AG1152" s="104">
        <f t="shared" si="34"/>
        <v>0</v>
      </c>
      <c r="AH1152" t="e">
        <f t="shared" si="35"/>
        <v>#N/A</v>
      </c>
    </row>
    <row r="1153" spans="8:34" x14ac:dyDescent="0.2">
      <c r="H1153" s="5"/>
      <c r="I1153" s="5"/>
      <c r="J1153" s="5"/>
      <c r="K1153" s="5"/>
      <c r="L1153" s="95"/>
      <c r="O1153" s="4"/>
      <c r="P1153" s="4"/>
      <c r="AB1153" s="4"/>
      <c r="AD1153" s="4"/>
      <c r="AF1153" t="e">
        <f>VLOOKUP(C1153,'גיליון דאטה להכל'!A:H,5,0)</f>
        <v>#N/A</v>
      </c>
      <c r="AG1153" s="104">
        <f t="shared" si="34"/>
        <v>0</v>
      </c>
      <c r="AH1153" t="e">
        <f t="shared" si="35"/>
        <v>#N/A</v>
      </c>
    </row>
    <row r="1154" spans="8:34" x14ac:dyDescent="0.2">
      <c r="H1154" s="5"/>
      <c r="I1154" s="5"/>
      <c r="J1154" s="5"/>
      <c r="K1154" s="5"/>
      <c r="L1154" s="95"/>
      <c r="O1154" s="4"/>
      <c r="P1154" s="4"/>
      <c r="AB1154" s="4"/>
      <c r="AD1154" s="4"/>
      <c r="AF1154" t="e">
        <f>VLOOKUP(C1154,'גיליון דאטה להכל'!A:H,5,0)</f>
        <v>#N/A</v>
      </c>
      <c r="AG1154" s="104">
        <f t="shared" si="34"/>
        <v>0</v>
      </c>
      <c r="AH1154" t="e">
        <f t="shared" si="35"/>
        <v>#N/A</v>
      </c>
    </row>
    <row r="1155" spans="8:34" x14ac:dyDescent="0.2">
      <c r="H1155" s="5"/>
      <c r="I1155" s="5"/>
      <c r="J1155" s="5"/>
      <c r="K1155" s="5"/>
      <c r="L1155" s="95"/>
      <c r="O1155" s="4"/>
      <c r="P1155" s="4"/>
      <c r="AB1155" s="4"/>
      <c r="AD1155" s="4"/>
      <c r="AF1155" t="e">
        <f>VLOOKUP(C1155,'גיליון דאטה להכל'!A:H,5,0)</f>
        <v>#N/A</v>
      </c>
      <c r="AG1155" s="104">
        <f t="shared" ref="AG1155:AG1218" si="36">I1155+H1155</f>
        <v>0</v>
      </c>
      <c r="AH1155" t="e">
        <f t="shared" ref="AH1155:AH1218" si="37">_xlfn.CONCAT(AF1155,N1155)</f>
        <v>#N/A</v>
      </c>
    </row>
    <row r="1156" spans="8:34" x14ac:dyDescent="0.2">
      <c r="H1156" s="5"/>
      <c r="I1156" s="5"/>
      <c r="J1156" s="5"/>
      <c r="K1156" s="5"/>
      <c r="L1156" s="95"/>
      <c r="O1156" s="4"/>
      <c r="P1156" s="4"/>
      <c r="AB1156" s="4"/>
      <c r="AD1156" s="4"/>
      <c r="AF1156" t="e">
        <f>VLOOKUP(C1156,'גיליון דאטה להכל'!A:H,5,0)</f>
        <v>#N/A</v>
      </c>
      <c r="AG1156" s="104">
        <f t="shared" si="36"/>
        <v>0</v>
      </c>
      <c r="AH1156" t="e">
        <f t="shared" si="37"/>
        <v>#N/A</v>
      </c>
    </row>
    <row r="1157" spans="8:34" x14ac:dyDescent="0.2">
      <c r="H1157" s="5"/>
      <c r="I1157" s="5"/>
      <c r="J1157" s="5"/>
      <c r="K1157" s="5"/>
      <c r="L1157" s="95"/>
      <c r="O1157" s="4"/>
      <c r="P1157" s="4"/>
      <c r="AB1157" s="4"/>
      <c r="AD1157" s="4"/>
      <c r="AF1157" t="e">
        <f>VLOOKUP(C1157,'גיליון דאטה להכל'!A:H,5,0)</f>
        <v>#N/A</v>
      </c>
      <c r="AG1157" s="104">
        <f t="shared" si="36"/>
        <v>0</v>
      </c>
      <c r="AH1157" t="e">
        <f t="shared" si="37"/>
        <v>#N/A</v>
      </c>
    </row>
    <row r="1158" spans="8:34" x14ac:dyDescent="0.2">
      <c r="H1158" s="5"/>
      <c r="I1158" s="5"/>
      <c r="J1158" s="5"/>
      <c r="K1158" s="5"/>
      <c r="L1158" s="95"/>
      <c r="O1158" s="4"/>
      <c r="P1158" s="4"/>
      <c r="AB1158" s="4"/>
      <c r="AD1158" s="4"/>
      <c r="AF1158" t="e">
        <f>VLOOKUP(C1158,'גיליון דאטה להכל'!A:H,5,0)</f>
        <v>#N/A</v>
      </c>
      <c r="AG1158" s="104">
        <f t="shared" si="36"/>
        <v>0</v>
      </c>
      <c r="AH1158" t="e">
        <f t="shared" si="37"/>
        <v>#N/A</v>
      </c>
    </row>
    <row r="1159" spans="8:34" x14ac:dyDescent="0.2">
      <c r="H1159" s="5"/>
      <c r="I1159" s="5"/>
      <c r="J1159" s="5"/>
      <c r="K1159" s="5"/>
      <c r="L1159" s="95"/>
      <c r="O1159" s="4"/>
      <c r="P1159" s="4"/>
      <c r="AB1159" s="4"/>
      <c r="AD1159" s="4"/>
      <c r="AF1159" t="e">
        <f>VLOOKUP(C1159,'גיליון דאטה להכל'!A:H,5,0)</f>
        <v>#N/A</v>
      </c>
      <c r="AG1159" s="104">
        <f t="shared" si="36"/>
        <v>0</v>
      </c>
      <c r="AH1159" t="e">
        <f t="shared" si="37"/>
        <v>#N/A</v>
      </c>
    </row>
    <row r="1160" spans="8:34" x14ac:dyDescent="0.2">
      <c r="H1160" s="5"/>
      <c r="I1160" s="5"/>
      <c r="J1160" s="5"/>
      <c r="K1160" s="5"/>
      <c r="L1160" s="95"/>
      <c r="O1160" s="4"/>
      <c r="P1160" s="4"/>
      <c r="AB1160" s="4"/>
      <c r="AD1160" s="4"/>
      <c r="AF1160" t="e">
        <f>VLOOKUP(C1160,'גיליון דאטה להכל'!A:H,5,0)</f>
        <v>#N/A</v>
      </c>
      <c r="AG1160" s="104">
        <f t="shared" si="36"/>
        <v>0</v>
      </c>
      <c r="AH1160" t="e">
        <f t="shared" si="37"/>
        <v>#N/A</v>
      </c>
    </row>
    <row r="1161" spans="8:34" x14ac:dyDescent="0.2">
      <c r="H1161" s="5"/>
      <c r="I1161" s="5"/>
      <c r="J1161" s="5"/>
      <c r="K1161" s="5"/>
      <c r="L1161" s="95"/>
      <c r="O1161" s="4"/>
      <c r="P1161" s="4"/>
      <c r="AB1161" s="4"/>
      <c r="AD1161" s="4"/>
      <c r="AF1161" t="e">
        <f>VLOOKUP(C1161,'גיליון דאטה להכל'!A:H,5,0)</f>
        <v>#N/A</v>
      </c>
      <c r="AG1161" s="104">
        <f t="shared" si="36"/>
        <v>0</v>
      </c>
      <c r="AH1161" t="e">
        <f t="shared" si="37"/>
        <v>#N/A</v>
      </c>
    </row>
    <row r="1162" spans="8:34" x14ac:dyDescent="0.2">
      <c r="H1162" s="5"/>
      <c r="I1162" s="5"/>
      <c r="J1162" s="5"/>
      <c r="K1162" s="5"/>
      <c r="L1162" s="95"/>
      <c r="O1162" s="4"/>
      <c r="P1162" s="4"/>
      <c r="AB1162" s="4"/>
      <c r="AD1162" s="4"/>
      <c r="AF1162" t="e">
        <f>VLOOKUP(C1162,'גיליון דאטה להכל'!A:H,5,0)</f>
        <v>#N/A</v>
      </c>
      <c r="AG1162" s="104">
        <f t="shared" si="36"/>
        <v>0</v>
      </c>
      <c r="AH1162" t="e">
        <f t="shared" si="37"/>
        <v>#N/A</v>
      </c>
    </row>
    <row r="1163" spans="8:34" x14ac:dyDescent="0.2">
      <c r="H1163" s="5"/>
      <c r="I1163" s="5"/>
      <c r="J1163" s="5"/>
      <c r="K1163" s="5"/>
      <c r="L1163" s="95"/>
      <c r="O1163" s="4"/>
      <c r="P1163" s="4"/>
      <c r="AB1163" s="4"/>
      <c r="AD1163" s="4"/>
      <c r="AF1163" t="e">
        <f>VLOOKUP(C1163,'גיליון דאטה להכל'!A:H,5,0)</f>
        <v>#N/A</v>
      </c>
      <c r="AG1163" s="104">
        <f t="shared" si="36"/>
        <v>0</v>
      </c>
      <c r="AH1163" t="e">
        <f t="shared" si="37"/>
        <v>#N/A</v>
      </c>
    </row>
    <row r="1164" spans="8:34" x14ac:dyDescent="0.2">
      <c r="H1164" s="5"/>
      <c r="I1164" s="5"/>
      <c r="J1164" s="5"/>
      <c r="K1164" s="5"/>
      <c r="L1164" s="95"/>
      <c r="O1164" s="4"/>
      <c r="P1164" s="4"/>
      <c r="AB1164" s="4"/>
      <c r="AD1164" s="4"/>
      <c r="AF1164" t="e">
        <f>VLOOKUP(C1164,'גיליון דאטה להכל'!A:H,5,0)</f>
        <v>#N/A</v>
      </c>
      <c r="AG1164" s="104">
        <f t="shared" si="36"/>
        <v>0</v>
      </c>
      <c r="AH1164" t="e">
        <f t="shared" si="37"/>
        <v>#N/A</v>
      </c>
    </row>
    <row r="1165" spans="8:34" x14ac:dyDescent="0.2">
      <c r="H1165" s="5"/>
      <c r="I1165" s="5"/>
      <c r="J1165" s="5"/>
      <c r="K1165" s="5"/>
      <c r="L1165" s="95"/>
      <c r="O1165" s="4"/>
      <c r="P1165" s="4"/>
      <c r="AB1165" s="4"/>
      <c r="AD1165" s="4"/>
      <c r="AF1165" t="e">
        <f>VLOOKUP(C1165,'גיליון דאטה להכל'!A:H,5,0)</f>
        <v>#N/A</v>
      </c>
      <c r="AG1165" s="104">
        <f t="shared" si="36"/>
        <v>0</v>
      </c>
      <c r="AH1165" t="e">
        <f t="shared" si="37"/>
        <v>#N/A</v>
      </c>
    </row>
    <row r="1166" spans="8:34" x14ac:dyDescent="0.2">
      <c r="H1166" s="5"/>
      <c r="I1166" s="5"/>
      <c r="J1166" s="5"/>
      <c r="K1166" s="5"/>
      <c r="L1166" s="95"/>
      <c r="O1166" s="4"/>
      <c r="P1166" s="4"/>
      <c r="AB1166" s="4"/>
      <c r="AD1166" s="4"/>
      <c r="AF1166" t="e">
        <f>VLOOKUP(C1166,'גיליון דאטה להכל'!A:H,5,0)</f>
        <v>#N/A</v>
      </c>
      <c r="AG1166" s="104">
        <f t="shared" si="36"/>
        <v>0</v>
      </c>
      <c r="AH1166" t="e">
        <f t="shared" si="37"/>
        <v>#N/A</v>
      </c>
    </row>
    <row r="1167" spans="8:34" x14ac:dyDescent="0.2">
      <c r="H1167" s="5"/>
      <c r="I1167" s="5"/>
      <c r="J1167" s="5"/>
      <c r="K1167" s="5"/>
      <c r="L1167" s="95"/>
      <c r="O1167" s="4"/>
      <c r="P1167" s="4"/>
      <c r="AB1167" s="4"/>
      <c r="AD1167" s="4"/>
      <c r="AF1167" t="e">
        <f>VLOOKUP(C1167,'גיליון דאטה להכל'!A:H,5,0)</f>
        <v>#N/A</v>
      </c>
      <c r="AG1167" s="104">
        <f t="shared" si="36"/>
        <v>0</v>
      </c>
      <c r="AH1167" t="e">
        <f t="shared" si="37"/>
        <v>#N/A</v>
      </c>
    </row>
    <row r="1168" spans="8:34" x14ac:dyDescent="0.2">
      <c r="H1168" s="5"/>
      <c r="I1168" s="5"/>
      <c r="J1168" s="5"/>
      <c r="K1168" s="5"/>
      <c r="L1168" s="95"/>
      <c r="O1168" s="4"/>
      <c r="P1168" s="4"/>
      <c r="AB1168" s="4"/>
      <c r="AD1168" s="4"/>
      <c r="AF1168" t="e">
        <f>VLOOKUP(C1168,'גיליון דאטה להכל'!A:H,5,0)</f>
        <v>#N/A</v>
      </c>
      <c r="AG1168" s="104">
        <f t="shared" si="36"/>
        <v>0</v>
      </c>
      <c r="AH1168" t="e">
        <f t="shared" si="37"/>
        <v>#N/A</v>
      </c>
    </row>
    <row r="1169" spans="8:34" x14ac:dyDescent="0.2">
      <c r="H1169" s="5"/>
      <c r="I1169" s="5"/>
      <c r="J1169" s="5"/>
      <c r="K1169" s="5"/>
      <c r="L1169" s="95"/>
      <c r="O1169" s="4"/>
      <c r="P1169" s="4"/>
      <c r="AB1169" s="4"/>
      <c r="AD1169" s="4"/>
      <c r="AF1169" t="e">
        <f>VLOOKUP(C1169,'גיליון דאטה להכל'!A:H,5,0)</f>
        <v>#N/A</v>
      </c>
      <c r="AG1169" s="104">
        <f t="shared" si="36"/>
        <v>0</v>
      </c>
      <c r="AH1169" t="e">
        <f t="shared" si="37"/>
        <v>#N/A</v>
      </c>
    </row>
    <row r="1170" spans="8:34" x14ac:dyDescent="0.2">
      <c r="H1170" s="5"/>
      <c r="I1170" s="5"/>
      <c r="J1170" s="5"/>
      <c r="K1170" s="5"/>
      <c r="L1170" s="95"/>
      <c r="O1170" s="4"/>
      <c r="P1170" s="4"/>
      <c r="AB1170" s="4"/>
      <c r="AD1170" s="4"/>
      <c r="AF1170" t="e">
        <f>VLOOKUP(C1170,'גיליון דאטה להכל'!A:H,5,0)</f>
        <v>#N/A</v>
      </c>
      <c r="AG1170" s="104">
        <f t="shared" si="36"/>
        <v>0</v>
      </c>
      <c r="AH1170" t="e">
        <f t="shared" si="37"/>
        <v>#N/A</v>
      </c>
    </row>
    <row r="1171" spans="8:34" x14ac:dyDescent="0.2">
      <c r="H1171" s="5"/>
      <c r="I1171" s="5"/>
      <c r="J1171" s="5"/>
      <c r="K1171" s="5"/>
      <c r="L1171" s="95"/>
      <c r="O1171" s="4"/>
      <c r="P1171" s="4"/>
      <c r="AB1171" s="4"/>
      <c r="AD1171" s="4"/>
      <c r="AF1171" t="e">
        <f>VLOOKUP(C1171,'גיליון דאטה להכל'!A:H,5,0)</f>
        <v>#N/A</v>
      </c>
      <c r="AG1171" s="104">
        <f t="shared" si="36"/>
        <v>0</v>
      </c>
      <c r="AH1171" t="e">
        <f t="shared" si="37"/>
        <v>#N/A</v>
      </c>
    </row>
    <row r="1172" spans="8:34" x14ac:dyDescent="0.2">
      <c r="H1172" s="5"/>
      <c r="I1172" s="5"/>
      <c r="J1172" s="5"/>
      <c r="K1172" s="5"/>
      <c r="L1172" s="95"/>
      <c r="O1172" s="4"/>
      <c r="P1172" s="4"/>
      <c r="AB1172" s="4"/>
      <c r="AD1172" s="4"/>
      <c r="AF1172" t="e">
        <f>VLOOKUP(C1172,'גיליון דאטה להכל'!A:H,5,0)</f>
        <v>#N/A</v>
      </c>
      <c r="AG1172" s="104">
        <f t="shared" si="36"/>
        <v>0</v>
      </c>
      <c r="AH1172" t="e">
        <f t="shared" si="37"/>
        <v>#N/A</v>
      </c>
    </row>
    <row r="1173" spans="8:34" x14ac:dyDescent="0.2">
      <c r="H1173" s="5"/>
      <c r="I1173" s="5"/>
      <c r="J1173" s="5"/>
      <c r="K1173" s="5"/>
      <c r="L1173" s="95"/>
      <c r="O1173" s="4"/>
      <c r="P1173" s="4"/>
      <c r="AB1173" s="4"/>
      <c r="AD1173" s="4"/>
      <c r="AF1173" t="e">
        <f>VLOOKUP(C1173,'גיליון דאטה להכל'!A:H,5,0)</f>
        <v>#N/A</v>
      </c>
      <c r="AG1173" s="104">
        <f t="shared" si="36"/>
        <v>0</v>
      </c>
      <c r="AH1173" t="e">
        <f t="shared" si="37"/>
        <v>#N/A</v>
      </c>
    </row>
    <row r="1174" spans="8:34" x14ac:dyDescent="0.2">
      <c r="H1174" s="5"/>
      <c r="I1174" s="5"/>
      <c r="J1174" s="5"/>
      <c r="K1174" s="5"/>
      <c r="L1174" s="95"/>
      <c r="O1174" s="4"/>
      <c r="P1174" s="4"/>
      <c r="AB1174" s="4"/>
      <c r="AD1174" s="4"/>
      <c r="AF1174" t="e">
        <f>VLOOKUP(C1174,'גיליון דאטה להכל'!A:H,5,0)</f>
        <v>#N/A</v>
      </c>
      <c r="AG1174" s="104">
        <f t="shared" si="36"/>
        <v>0</v>
      </c>
      <c r="AH1174" t="e">
        <f t="shared" si="37"/>
        <v>#N/A</v>
      </c>
    </row>
    <row r="1175" spans="8:34" x14ac:dyDescent="0.2">
      <c r="H1175" s="5"/>
      <c r="I1175" s="5"/>
      <c r="J1175" s="5"/>
      <c r="K1175" s="5"/>
      <c r="L1175" s="95"/>
      <c r="O1175" s="4"/>
      <c r="P1175" s="4"/>
      <c r="AB1175" s="4"/>
      <c r="AD1175" s="4"/>
      <c r="AF1175" t="e">
        <f>VLOOKUP(C1175,'גיליון דאטה להכל'!A:H,5,0)</f>
        <v>#N/A</v>
      </c>
      <c r="AG1175" s="104">
        <f t="shared" si="36"/>
        <v>0</v>
      </c>
      <c r="AH1175" t="e">
        <f t="shared" si="37"/>
        <v>#N/A</v>
      </c>
    </row>
    <row r="1176" spans="8:34" x14ac:dyDescent="0.2">
      <c r="H1176" s="5"/>
      <c r="I1176" s="5"/>
      <c r="J1176" s="5"/>
      <c r="K1176" s="5"/>
      <c r="L1176" s="95"/>
      <c r="O1176" s="4"/>
      <c r="P1176" s="4"/>
      <c r="AB1176" s="4"/>
      <c r="AD1176" s="4"/>
      <c r="AF1176" t="e">
        <f>VLOOKUP(C1176,'גיליון דאטה להכל'!A:H,5,0)</f>
        <v>#N/A</v>
      </c>
      <c r="AG1176" s="104">
        <f t="shared" si="36"/>
        <v>0</v>
      </c>
      <c r="AH1176" t="e">
        <f t="shared" si="37"/>
        <v>#N/A</v>
      </c>
    </row>
    <row r="1177" spans="8:34" x14ac:dyDescent="0.2">
      <c r="H1177" s="5"/>
      <c r="I1177" s="5"/>
      <c r="J1177" s="5"/>
      <c r="K1177" s="5"/>
      <c r="L1177" s="95"/>
      <c r="O1177" s="4"/>
      <c r="P1177" s="4"/>
      <c r="AB1177" s="4"/>
      <c r="AD1177" s="4"/>
      <c r="AF1177" t="e">
        <f>VLOOKUP(C1177,'גיליון דאטה להכל'!A:H,5,0)</f>
        <v>#N/A</v>
      </c>
      <c r="AG1177" s="104">
        <f t="shared" si="36"/>
        <v>0</v>
      </c>
      <c r="AH1177" t="e">
        <f t="shared" si="37"/>
        <v>#N/A</v>
      </c>
    </row>
    <row r="1178" spans="8:34" x14ac:dyDescent="0.2">
      <c r="H1178" s="5"/>
      <c r="I1178" s="5"/>
      <c r="J1178" s="5"/>
      <c r="K1178" s="5"/>
      <c r="L1178" s="95"/>
      <c r="O1178" s="4"/>
      <c r="P1178" s="4"/>
      <c r="AB1178" s="4"/>
      <c r="AD1178" s="4"/>
      <c r="AF1178" t="e">
        <f>VLOOKUP(C1178,'גיליון דאטה להכל'!A:H,5,0)</f>
        <v>#N/A</v>
      </c>
      <c r="AG1178" s="104">
        <f t="shared" si="36"/>
        <v>0</v>
      </c>
      <c r="AH1178" t="e">
        <f t="shared" si="37"/>
        <v>#N/A</v>
      </c>
    </row>
    <row r="1179" spans="8:34" x14ac:dyDescent="0.2">
      <c r="H1179" s="5"/>
      <c r="I1179" s="5"/>
      <c r="J1179" s="5"/>
      <c r="K1179" s="5"/>
      <c r="L1179" s="95"/>
      <c r="O1179" s="4"/>
      <c r="P1179" s="4"/>
      <c r="AB1179" s="4"/>
      <c r="AD1179" s="4"/>
      <c r="AF1179" t="e">
        <f>VLOOKUP(C1179,'גיליון דאטה להכל'!A:H,5,0)</f>
        <v>#N/A</v>
      </c>
      <c r="AG1179" s="104">
        <f t="shared" si="36"/>
        <v>0</v>
      </c>
      <c r="AH1179" t="e">
        <f t="shared" si="37"/>
        <v>#N/A</v>
      </c>
    </row>
    <row r="1180" spans="8:34" x14ac:dyDescent="0.2">
      <c r="H1180" s="5"/>
      <c r="I1180" s="5"/>
      <c r="J1180" s="5"/>
      <c r="K1180" s="5"/>
      <c r="L1180" s="95"/>
      <c r="O1180" s="4"/>
      <c r="P1180" s="4"/>
      <c r="AB1180" s="4"/>
      <c r="AD1180" s="4"/>
      <c r="AF1180" t="e">
        <f>VLOOKUP(C1180,'גיליון דאטה להכל'!A:H,5,0)</f>
        <v>#N/A</v>
      </c>
      <c r="AG1180" s="104">
        <f t="shared" si="36"/>
        <v>0</v>
      </c>
      <c r="AH1180" t="e">
        <f t="shared" si="37"/>
        <v>#N/A</v>
      </c>
    </row>
    <row r="1181" spans="8:34" x14ac:dyDescent="0.2">
      <c r="H1181" s="5"/>
      <c r="I1181" s="5"/>
      <c r="J1181" s="5"/>
      <c r="K1181" s="5"/>
      <c r="L1181" s="95"/>
      <c r="O1181" s="4"/>
      <c r="P1181" s="4"/>
      <c r="AB1181" s="4"/>
      <c r="AD1181" s="4"/>
      <c r="AF1181" t="e">
        <f>VLOOKUP(C1181,'גיליון דאטה להכל'!A:H,5,0)</f>
        <v>#N/A</v>
      </c>
      <c r="AG1181" s="104">
        <f t="shared" si="36"/>
        <v>0</v>
      </c>
      <c r="AH1181" t="e">
        <f t="shared" si="37"/>
        <v>#N/A</v>
      </c>
    </row>
    <row r="1182" spans="8:34" x14ac:dyDescent="0.2">
      <c r="H1182" s="5"/>
      <c r="I1182" s="5"/>
      <c r="J1182" s="5"/>
      <c r="K1182" s="5"/>
      <c r="L1182" s="95"/>
      <c r="O1182" s="4"/>
      <c r="P1182" s="4"/>
      <c r="AB1182" s="4"/>
      <c r="AD1182" s="4"/>
      <c r="AF1182" t="e">
        <f>VLOOKUP(C1182,'גיליון דאטה להכל'!A:H,5,0)</f>
        <v>#N/A</v>
      </c>
      <c r="AG1182" s="104">
        <f t="shared" si="36"/>
        <v>0</v>
      </c>
      <c r="AH1182" t="e">
        <f t="shared" si="37"/>
        <v>#N/A</v>
      </c>
    </row>
    <row r="1183" spans="8:34" x14ac:dyDescent="0.2">
      <c r="H1183" s="5"/>
      <c r="I1183" s="5"/>
      <c r="J1183" s="5"/>
      <c r="K1183" s="5"/>
      <c r="L1183" s="95"/>
      <c r="O1183" s="4"/>
      <c r="P1183" s="4"/>
      <c r="AB1183" s="4"/>
      <c r="AD1183" s="4"/>
      <c r="AF1183" t="e">
        <f>VLOOKUP(C1183,'גיליון דאטה להכל'!A:H,5,0)</f>
        <v>#N/A</v>
      </c>
      <c r="AG1183" s="104">
        <f t="shared" si="36"/>
        <v>0</v>
      </c>
      <c r="AH1183" t="e">
        <f t="shared" si="37"/>
        <v>#N/A</v>
      </c>
    </row>
    <row r="1184" spans="8:34" x14ac:dyDescent="0.2">
      <c r="H1184" s="5"/>
      <c r="I1184" s="5"/>
      <c r="J1184" s="5"/>
      <c r="K1184" s="5"/>
      <c r="L1184" s="95"/>
      <c r="O1184" s="4"/>
      <c r="P1184" s="4"/>
      <c r="AB1184" s="4"/>
      <c r="AD1184" s="4"/>
      <c r="AF1184" t="e">
        <f>VLOOKUP(C1184,'גיליון דאטה להכל'!A:H,5,0)</f>
        <v>#N/A</v>
      </c>
      <c r="AG1184" s="104">
        <f t="shared" si="36"/>
        <v>0</v>
      </c>
      <c r="AH1184" t="e">
        <f t="shared" si="37"/>
        <v>#N/A</v>
      </c>
    </row>
    <row r="1185" spans="8:34" x14ac:dyDescent="0.2">
      <c r="H1185" s="5"/>
      <c r="I1185" s="5"/>
      <c r="J1185" s="5"/>
      <c r="K1185" s="5"/>
      <c r="L1185" s="95"/>
      <c r="O1185" s="4"/>
      <c r="P1185" s="4"/>
      <c r="AB1185" s="4"/>
      <c r="AD1185" s="4"/>
      <c r="AF1185" t="e">
        <f>VLOOKUP(C1185,'גיליון דאטה להכל'!A:H,5,0)</f>
        <v>#N/A</v>
      </c>
      <c r="AG1185" s="104">
        <f t="shared" si="36"/>
        <v>0</v>
      </c>
      <c r="AH1185" t="e">
        <f t="shared" si="37"/>
        <v>#N/A</v>
      </c>
    </row>
    <row r="1186" spans="8:34" x14ac:dyDescent="0.2">
      <c r="H1186" s="5"/>
      <c r="I1186" s="5"/>
      <c r="J1186" s="5"/>
      <c r="K1186" s="5"/>
      <c r="L1186" s="95"/>
      <c r="O1186" s="4"/>
      <c r="P1186" s="4"/>
      <c r="AB1186" s="4"/>
      <c r="AD1186" s="4"/>
      <c r="AF1186" t="e">
        <f>VLOOKUP(C1186,'גיליון דאטה להכל'!A:H,5,0)</f>
        <v>#N/A</v>
      </c>
      <c r="AG1186" s="104">
        <f t="shared" si="36"/>
        <v>0</v>
      </c>
      <c r="AH1186" t="e">
        <f t="shared" si="37"/>
        <v>#N/A</v>
      </c>
    </row>
    <row r="1187" spans="8:34" x14ac:dyDescent="0.2">
      <c r="H1187" s="5"/>
      <c r="I1187" s="5"/>
      <c r="J1187" s="5"/>
      <c r="K1187" s="5"/>
      <c r="L1187" s="95"/>
      <c r="O1187" s="4"/>
      <c r="P1187" s="4"/>
      <c r="AB1187" s="4"/>
      <c r="AD1187" s="4"/>
      <c r="AF1187" t="e">
        <f>VLOOKUP(C1187,'גיליון דאטה להכל'!A:H,5,0)</f>
        <v>#N/A</v>
      </c>
      <c r="AG1187" s="104">
        <f t="shared" si="36"/>
        <v>0</v>
      </c>
      <c r="AH1187" t="e">
        <f t="shared" si="37"/>
        <v>#N/A</v>
      </c>
    </row>
    <row r="1188" spans="8:34" x14ac:dyDescent="0.2">
      <c r="H1188" s="5"/>
      <c r="I1188" s="5"/>
      <c r="J1188" s="5"/>
      <c r="K1188" s="5"/>
      <c r="L1188" s="95"/>
      <c r="O1188" s="4"/>
      <c r="P1188" s="4"/>
      <c r="AB1188" s="4"/>
      <c r="AD1188" s="4"/>
      <c r="AF1188" t="e">
        <f>VLOOKUP(C1188,'גיליון דאטה להכל'!A:H,5,0)</f>
        <v>#N/A</v>
      </c>
      <c r="AG1188" s="104">
        <f t="shared" si="36"/>
        <v>0</v>
      </c>
      <c r="AH1188" t="e">
        <f t="shared" si="37"/>
        <v>#N/A</v>
      </c>
    </row>
    <row r="1189" spans="8:34" x14ac:dyDescent="0.2">
      <c r="H1189" s="5"/>
      <c r="I1189" s="5"/>
      <c r="J1189" s="5"/>
      <c r="K1189" s="5"/>
      <c r="L1189" s="95"/>
      <c r="O1189" s="4"/>
      <c r="P1189" s="4"/>
      <c r="AB1189" s="4"/>
      <c r="AD1189" s="4"/>
      <c r="AF1189" t="e">
        <f>VLOOKUP(C1189,'גיליון דאטה להכל'!A:H,5,0)</f>
        <v>#N/A</v>
      </c>
      <c r="AG1189" s="104">
        <f t="shared" si="36"/>
        <v>0</v>
      </c>
      <c r="AH1189" t="e">
        <f t="shared" si="37"/>
        <v>#N/A</v>
      </c>
    </row>
    <row r="1190" spans="8:34" x14ac:dyDescent="0.2">
      <c r="H1190" s="5"/>
      <c r="I1190" s="5"/>
      <c r="J1190" s="5"/>
      <c r="K1190" s="5"/>
      <c r="L1190" s="95"/>
      <c r="O1190" s="4"/>
      <c r="P1190" s="4"/>
      <c r="AB1190" s="4"/>
      <c r="AD1190" s="4"/>
      <c r="AF1190" t="e">
        <f>VLOOKUP(C1190,'גיליון דאטה להכל'!A:H,5,0)</f>
        <v>#N/A</v>
      </c>
      <c r="AG1190" s="104">
        <f t="shared" si="36"/>
        <v>0</v>
      </c>
      <c r="AH1190" t="e">
        <f t="shared" si="37"/>
        <v>#N/A</v>
      </c>
    </row>
    <row r="1191" spans="8:34" x14ac:dyDescent="0.2">
      <c r="H1191" s="5"/>
      <c r="I1191" s="5"/>
      <c r="J1191" s="5"/>
      <c r="K1191" s="5"/>
      <c r="L1191" s="95"/>
      <c r="O1191" s="4"/>
      <c r="P1191" s="4"/>
      <c r="AB1191" s="4"/>
      <c r="AD1191" s="4"/>
      <c r="AF1191" t="e">
        <f>VLOOKUP(C1191,'גיליון דאטה להכל'!A:H,5,0)</f>
        <v>#N/A</v>
      </c>
      <c r="AG1191" s="104">
        <f t="shared" si="36"/>
        <v>0</v>
      </c>
      <c r="AH1191" t="e">
        <f t="shared" si="37"/>
        <v>#N/A</v>
      </c>
    </row>
    <row r="1192" spans="8:34" x14ac:dyDescent="0.2">
      <c r="H1192" s="5"/>
      <c r="I1192" s="5"/>
      <c r="J1192" s="5"/>
      <c r="K1192" s="5"/>
      <c r="L1192" s="95"/>
      <c r="O1192" s="4"/>
      <c r="P1192" s="4"/>
      <c r="AB1192" s="4"/>
      <c r="AD1192" s="4"/>
      <c r="AF1192" t="e">
        <f>VLOOKUP(C1192,'גיליון דאטה להכל'!A:H,5,0)</f>
        <v>#N/A</v>
      </c>
      <c r="AG1192" s="104">
        <f t="shared" si="36"/>
        <v>0</v>
      </c>
      <c r="AH1192" t="e">
        <f t="shared" si="37"/>
        <v>#N/A</v>
      </c>
    </row>
    <row r="1193" spans="8:34" x14ac:dyDescent="0.2">
      <c r="H1193" s="5"/>
      <c r="I1193" s="5"/>
      <c r="J1193" s="5"/>
      <c r="K1193" s="5"/>
      <c r="O1193" s="4"/>
      <c r="P1193" s="4"/>
      <c r="AB1193" s="4"/>
      <c r="AD1193" s="4"/>
      <c r="AF1193" t="e">
        <f>VLOOKUP(C1193,'גיליון דאטה להכל'!A:H,5,0)</f>
        <v>#N/A</v>
      </c>
      <c r="AG1193" s="104">
        <f t="shared" si="36"/>
        <v>0</v>
      </c>
      <c r="AH1193" t="e">
        <f t="shared" si="37"/>
        <v>#N/A</v>
      </c>
    </row>
    <row r="1194" spans="8:34" x14ac:dyDescent="0.2">
      <c r="H1194" s="5"/>
      <c r="I1194" s="5"/>
      <c r="J1194" s="5"/>
      <c r="K1194" s="5"/>
      <c r="O1194" s="4"/>
      <c r="P1194" s="4"/>
      <c r="AB1194" s="4"/>
      <c r="AD1194" s="4"/>
      <c r="AF1194" t="e">
        <f>VLOOKUP(C1194,'גיליון דאטה להכל'!A:H,5,0)</f>
        <v>#N/A</v>
      </c>
      <c r="AG1194" s="104">
        <f t="shared" si="36"/>
        <v>0</v>
      </c>
      <c r="AH1194" t="e">
        <f t="shared" si="37"/>
        <v>#N/A</v>
      </c>
    </row>
    <row r="1195" spans="8:34" x14ac:dyDescent="0.2">
      <c r="H1195" s="5"/>
      <c r="I1195" s="5"/>
      <c r="J1195" s="5"/>
      <c r="K1195" s="5"/>
      <c r="O1195" s="4"/>
      <c r="P1195" s="4"/>
      <c r="AB1195" s="4"/>
      <c r="AD1195" s="4"/>
      <c r="AF1195" t="e">
        <f>VLOOKUP(C1195,'גיליון דאטה להכל'!A:H,5,0)</f>
        <v>#N/A</v>
      </c>
      <c r="AG1195" s="104">
        <f t="shared" si="36"/>
        <v>0</v>
      </c>
      <c r="AH1195" t="e">
        <f t="shared" si="37"/>
        <v>#N/A</v>
      </c>
    </row>
    <row r="1196" spans="8:34" x14ac:dyDescent="0.2">
      <c r="H1196" s="5"/>
      <c r="I1196" s="5"/>
      <c r="J1196" s="5"/>
      <c r="K1196" s="5"/>
      <c r="O1196" s="4"/>
      <c r="P1196" s="4"/>
      <c r="AB1196" s="4"/>
      <c r="AD1196" s="4"/>
      <c r="AF1196" t="e">
        <f>VLOOKUP(C1196,'גיליון דאטה להכל'!A:H,5,0)</f>
        <v>#N/A</v>
      </c>
      <c r="AG1196" s="104">
        <f t="shared" si="36"/>
        <v>0</v>
      </c>
      <c r="AH1196" t="e">
        <f t="shared" si="37"/>
        <v>#N/A</v>
      </c>
    </row>
    <row r="1197" spans="8:34" x14ac:dyDescent="0.2">
      <c r="H1197" s="5"/>
      <c r="I1197" s="5"/>
      <c r="J1197" s="5"/>
      <c r="K1197" s="5"/>
      <c r="O1197" s="4"/>
      <c r="P1197" s="4"/>
      <c r="AB1197" s="4"/>
      <c r="AD1197" s="4"/>
      <c r="AF1197" t="e">
        <f>VLOOKUP(C1197,'גיליון דאטה להכל'!A:H,5,0)</f>
        <v>#N/A</v>
      </c>
      <c r="AG1197" s="104">
        <f t="shared" si="36"/>
        <v>0</v>
      </c>
      <c r="AH1197" t="e">
        <f t="shared" si="37"/>
        <v>#N/A</v>
      </c>
    </row>
    <row r="1198" spans="8:34" x14ac:dyDescent="0.2">
      <c r="H1198" s="5"/>
      <c r="I1198" s="5"/>
      <c r="J1198" s="5"/>
      <c r="K1198" s="5"/>
      <c r="O1198" s="4"/>
      <c r="P1198" s="4"/>
      <c r="AB1198" s="4"/>
      <c r="AD1198" s="4"/>
      <c r="AF1198" t="e">
        <f>VLOOKUP(C1198,'גיליון דאטה להכל'!A:H,5,0)</f>
        <v>#N/A</v>
      </c>
      <c r="AG1198" s="104">
        <f t="shared" si="36"/>
        <v>0</v>
      </c>
      <c r="AH1198" t="e">
        <f t="shared" si="37"/>
        <v>#N/A</v>
      </c>
    </row>
    <row r="1199" spans="8:34" x14ac:dyDescent="0.2">
      <c r="H1199" s="5"/>
      <c r="I1199" s="5"/>
      <c r="J1199" s="5"/>
      <c r="K1199" s="5"/>
      <c r="O1199" s="4"/>
      <c r="P1199" s="4"/>
      <c r="AB1199" s="4"/>
      <c r="AD1199" s="4"/>
      <c r="AF1199" t="e">
        <f>VLOOKUP(C1199,'גיליון דאטה להכל'!A:H,5,0)</f>
        <v>#N/A</v>
      </c>
      <c r="AG1199" s="104">
        <f t="shared" si="36"/>
        <v>0</v>
      </c>
      <c r="AH1199" t="e">
        <f t="shared" si="37"/>
        <v>#N/A</v>
      </c>
    </row>
    <row r="1200" spans="8:34" x14ac:dyDescent="0.2">
      <c r="H1200" s="5"/>
      <c r="I1200" s="5"/>
      <c r="J1200" s="5"/>
      <c r="K1200" s="5"/>
      <c r="O1200" s="4"/>
      <c r="P1200" s="4"/>
      <c r="AB1200" s="4"/>
      <c r="AD1200" s="4"/>
      <c r="AF1200" t="e">
        <f>VLOOKUP(C1200,'גיליון דאטה להכל'!A:H,5,0)</f>
        <v>#N/A</v>
      </c>
      <c r="AG1200" s="104">
        <f t="shared" si="36"/>
        <v>0</v>
      </c>
      <c r="AH1200" t="e">
        <f t="shared" si="37"/>
        <v>#N/A</v>
      </c>
    </row>
    <row r="1201" spans="8:34" x14ac:dyDescent="0.2">
      <c r="H1201" s="5"/>
      <c r="I1201" s="5"/>
      <c r="J1201" s="5"/>
      <c r="K1201" s="5"/>
      <c r="O1201" s="4"/>
      <c r="P1201" s="4"/>
      <c r="AB1201" s="4"/>
      <c r="AD1201" s="4"/>
      <c r="AF1201" t="e">
        <f>VLOOKUP(C1201,'גיליון דאטה להכל'!A:H,5,0)</f>
        <v>#N/A</v>
      </c>
      <c r="AG1201" s="104">
        <f t="shared" si="36"/>
        <v>0</v>
      </c>
      <c r="AH1201" t="e">
        <f t="shared" si="37"/>
        <v>#N/A</v>
      </c>
    </row>
    <row r="1202" spans="8:34" x14ac:dyDescent="0.2">
      <c r="H1202" s="5"/>
      <c r="I1202" s="5"/>
      <c r="J1202" s="5"/>
      <c r="K1202" s="5"/>
      <c r="O1202" s="4"/>
      <c r="P1202" s="4"/>
      <c r="AB1202" s="4"/>
      <c r="AD1202" s="4"/>
      <c r="AF1202" t="e">
        <f>VLOOKUP(C1202,'גיליון דאטה להכל'!A:H,5,0)</f>
        <v>#N/A</v>
      </c>
      <c r="AG1202" s="104">
        <f t="shared" si="36"/>
        <v>0</v>
      </c>
      <c r="AH1202" t="e">
        <f t="shared" si="37"/>
        <v>#N/A</v>
      </c>
    </row>
    <row r="1203" spans="8:34" x14ac:dyDescent="0.2">
      <c r="H1203" s="5"/>
      <c r="I1203" s="5"/>
      <c r="J1203" s="5"/>
      <c r="K1203" s="5"/>
      <c r="O1203" s="4"/>
      <c r="P1203" s="4"/>
      <c r="AB1203" s="4"/>
      <c r="AD1203" s="4"/>
      <c r="AF1203" t="e">
        <f>VLOOKUP(C1203,'גיליון דאטה להכל'!A:H,5,0)</f>
        <v>#N/A</v>
      </c>
      <c r="AG1203" s="104">
        <f t="shared" si="36"/>
        <v>0</v>
      </c>
      <c r="AH1203" t="e">
        <f t="shared" si="37"/>
        <v>#N/A</v>
      </c>
    </row>
    <row r="1204" spans="8:34" x14ac:dyDescent="0.2">
      <c r="H1204" s="5"/>
      <c r="I1204" s="5"/>
      <c r="J1204" s="5"/>
      <c r="K1204" s="5"/>
      <c r="O1204" s="4"/>
      <c r="P1204" s="4"/>
      <c r="AB1204" s="4"/>
      <c r="AD1204" s="4"/>
      <c r="AF1204" t="e">
        <f>VLOOKUP(C1204,'גיליון דאטה להכל'!A:H,5,0)</f>
        <v>#N/A</v>
      </c>
      <c r="AG1204" s="104">
        <f t="shared" si="36"/>
        <v>0</v>
      </c>
      <c r="AH1204" t="e">
        <f t="shared" si="37"/>
        <v>#N/A</v>
      </c>
    </row>
    <row r="1205" spans="8:34" x14ac:dyDescent="0.2">
      <c r="H1205" s="5"/>
      <c r="I1205" s="5"/>
      <c r="J1205" s="5"/>
      <c r="K1205" s="5"/>
      <c r="O1205" s="4"/>
      <c r="P1205" s="4"/>
      <c r="AB1205" s="4"/>
      <c r="AD1205" s="4"/>
      <c r="AF1205" t="e">
        <f>VLOOKUP(C1205,'גיליון דאטה להכל'!A:H,5,0)</f>
        <v>#N/A</v>
      </c>
      <c r="AG1205" s="104">
        <f t="shared" si="36"/>
        <v>0</v>
      </c>
      <c r="AH1205" t="e">
        <f t="shared" si="37"/>
        <v>#N/A</v>
      </c>
    </row>
    <row r="1206" spans="8:34" x14ac:dyDescent="0.2">
      <c r="H1206" s="5"/>
      <c r="I1206" s="5"/>
      <c r="J1206" s="5"/>
      <c r="K1206" s="5"/>
      <c r="O1206" s="4"/>
      <c r="P1206" s="4"/>
      <c r="AB1206" s="4"/>
      <c r="AD1206" s="4"/>
      <c r="AF1206" t="e">
        <f>VLOOKUP(C1206,'גיליון דאטה להכל'!A:H,5,0)</f>
        <v>#N/A</v>
      </c>
      <c r="AG1206" s="104">
        <f t="shared" si="36"/>
        <v>0</v>
      </c>
      <c r="AH1206" t="e">
        <f t="shared" si="37"/>
        <v>#N/A</v>
      </c>
    </row>
    <row r="1207" spans="8:34" x14ac:dyDescent="0.2">
      <c r="H1207" s="5"/>
      <c r="I1207" s="5"/>
      <c r="J1207" s="5"/>
      <c r="K1207" s="5"/>
      <c r="L1207" s="95"/>
      <c r="O1207" s="4"/>
      <c r="P1207" s="4"/>
      <c r="AB1207" s="4"/>
      <c r="AD1207" s="4"/>
      <c r="AF1207" t="e">
        <f>VLOOKUP(C1207,'גיליון דאטה להכל'!A:H,5,0)</f>
        <v>#N/A</v>
      </c>
      <c r="AG1207" s="104">
        <f t="shared" si="36"/>
        <v>0</v>
      </c>
      <c r="AH1207" t="e">
        <f t="shared" si="37"/>
        <v>#N/A</v>
      </c>
    </row>
    <row r="1208" spans="8:34" x14ac:dyDescent="0.2">
      <c r="H1208" s="5"/>
      <c r="I1208" s="5"/>
      <c r="J1208" s="5"/>
      <c r="K1208" s="5"/>
      <c r="O1208" s="4"/>
      <c r="P1208" s="4"/>
      <c r="AB1208" s="4"/>
      <c r="AD1208" s="4"/>
      <c r="AF1208" t="e">
        <f>VLOOKUP(C1208,'גיליון דאטה להכל'!A:H,5,0)</f>
        <v>#N/A</v>
      </c>
      <c r="AG1208" s="104">
        <f t="shared" si="36"/>
        <v>0</v>
      </c>
      <c r="AH1208" t="e">
        <f t="shared" si="37"/>
        <v>#N/A</v>
      </c>
    </row>
    <row r="1209" spans="8:34" x14ac:dyDescent="0.2">
      <c r="H1209" s="5"/>
      <c r="I1209" s="5"/>
      <c r="J1209" s="5"/>
      <c r="K1209" s="5"/>
      <c r="O1209" s="4"/>
      <c r="P1209" s="4"/>
      <c r="AB1209" s="4"/>
      <c r="AD1209" s="4"/>
      <c r="AF1209" t="e">
        <f>VLOOKUP(C1209,'גיליון דאטה להכל'!A:H,5,0)</f>
        <v>#N/A</v>
      </c>
      <c r="AG1209" s="104">
        <f t="shared" si="36"/>
        <v>0</v>
      </c>
      <c r="AH1209" t="e">
        <f t="shared" si="37"/>
        <v>#N/A</v>
      </c>
    </row>
    <row r="1210" spans="8:34" x14ac:dyDescent="0.2">
      <c r="H1210" s="5"/>
      <c r="I1210" s="5"/>
      <c r="J1210" s="5"/>
      <c r="K1210" s="5"/>
      <c r="O1210" s="4"/>
      <c r="P1210" s="4"/>
      <c r="AB1210" s="4"/>
      <c r="AD1210" s="4"/>
      <c r="AF1210" t="e">
        <f>VLOOKUP(C1210,'גיליון דאטה להכל'!A:H,5,0)</f>
        <v>#N/A</v>
      </c>
      <c r="AG1210" s="104">
        <f t="shared" si="36"/>
        <v>0</v>
      </c>
      <c r="AH1210" t="e">
        <f t="shared" si="37"/>
        <v>#N/A</v>
      </c>
    </row>
    <row r="1211" spans="8:34" x14ac:dyDescent="0.2">
      <c r="H1211" s="5"/>
      <c r="I1211" s="5"/>
      <c r="J1211" s="5"/>
      <c r="K1211" s="5"/>
      <c r="O1211" s="4"/>
      <c r="P1211" s="4"/>
      <c r="AB1211" s="4"/>
      <c r="AD1211" s="4"/>
      <c r="AF1211" t="e">
        <f>VLOOKUP(C1211,'גיליון דאטה להכל'!A:H,5,0)</f>
        <v>#N/A</v>
      </c>
      <c r="AG1211" s="104">
        <f t="shared" si="36"/>
        <v>0</v>
      </c>
      <c r="AH1211" t="e">
        <f t="shared" si="37"/>
        <v>#N/A</v>
      </c>
    </row>
    <row r="1212" spans="8:34" x14ac:dyDescent="0.2">
      <c r="H1212" s="5"/>
      <c r="I1212" s="5"/>
      <c r="J1212" s="5"/>
      <c r="K1212" s="5"/>
      <c r="O1212" s="4"/>
      <c r="P1212" s="4"/>
      <c r="AB1212" s="4"/>
      <c r="AD1212" s="4"/>
      <c r="AF1212" t="e">
        <f>VLOOKUP(C1212,'גיליון דאטה להכל'!A:H,5,0)</f>
        <v>#N/A</v>
      </c>
      <c r="AG1212" s="104">
        <f t="shared" si="36"/>
        <v>0</v>
      </c>
      <c r="AH1212" t="e">
        <f t="shared" si="37"/>
        <v>#N/A</v>
      </c>
    </row>
    <row r="1213" spans="8:34" x14ac:dyDescent="0.2">
      <c r="H1213" s="5"/>
      <c r="I1213" s="5"/>
      <c r="J1213" s="5"/>
      <c r="K1213" s="5"/>
      <c r="O1213" s="4"/>
      <c r="P1213" s="4"/>
      <c r="AB1213" s="4"/>
      <c r="AD1213" s="4"/>
      <c r="AF1213" t="e">
        <f>VLOOKUP(C1213,'גיליון דאטה להכל'!A:H,5,0)</f>
        <v>#N/A</v>
      </c>
      <c r="AG1213" s="104">
        <f t="shared" si="36"/>
        <v>0</v>
      </c>
      <c r="AH1213" t="e">
        <f t="shared" si="37"/>
        <v>#N/A</v>
      </c>
    </row>
    <row r="1214" spans="8:34" x14ac:dyDescent="0.2">
      <c r="H1214" s="5"/>
      <c r="I1214" s="5"/>
      <c r="J1214" s="5"/>
      <c r="K1214" s="5"/>
      <c r="O1214" s="4"/>
      <c r="P1214" s="4"/>
      <c r="AB1214" s="4"/>
      <c r="AD1214" s="4"/>
      <c r="AF1214" t="e">
        <f>VLOOKUP(C1214,'גיליון דאטה להכל'!A:H,5,0)</f>
        <v>#N/A</v>
      </c>
      <c r="AG1214" s="104">
        <f t="shared" si="36"/>
        <v>0</v>
      </c>
      <c r="AH1214" t="e">
        <f t="shared" si="37"/>
        <v>#N/A</v>
      </c>
    </row>
    <row r="1215" spans="8:34" x14ac:dyDescent="0.2">
      <c r="H1215" s="5"/>
      <c r="I1215" s="5"/>
      <c r="J1215" s="5"/>
      <c r="K1215" s="5"/>
      <c r="O1215" s="4"/>
      <c r="P1215" s="4"/>
      <c r="AB1215" s="4"/>
      <c r="AD1215" s="4"/>
      <c r="AF1215" t="e">
        <f>VLOOKUP(C1215,'גיליון דאטה להכל'!A:H,5,0)</f>
        <v>#N/A</v>
      </c>
      <c r="AG1215" s="104">
        <f t="shared" si="36"/>
        <v>0</v>
      </c>
      <c r="AH1215" t="e">
        <f t="shared" si="37"/>
        <v>#N/A</v>
      </c>
    </row>
    <row r="1216" spans="8:34" x14ac:dyDescent="0.2">
      <c r="H1216" s="5"/>
      <c r="I1216" s="5"/>
      <c r="J1216" s="5"/>
      <c r="K1216" s="5"/>
      <c r="O1216" s="4"/>
      <c r="P1216" s="4"/>
      <c r="AB1216" s="4"/>
      <c r="AD1216" s="4"/>
      <c r="AF1216" t="e">
        <f>VLOOKUP(C1216,'גיליון דאטה להכל'!A:H,5,0)</f>
        <v>#N/A</v>
      </c>
      <c r="AG1216" s="104">
        <f t="shared" si="36"/>
        <v>0</v>
      </c>
      <c r="AH1216" t="e">
        <f t="shared" si="37"/>
        <v>#N/A</v>
      </c>
    </row>
    <row r="1217" spans="8:34" x14ac:dyDescent="0.2">
      <c r="H1217" s="5"/>
      <c r="I1217" s="5"/>
      <c r="J1217" s="5"/>
      <c r="K1217" s="5"/>
      <c r="O1217" s="4"/>
      <c r="P1217" s="4"/>
      <c r="AB1217" s="4"/>
      <c r="AD1217" s="4"/>
      <c r="AF1217" t="e">
        <f>VLOOKUP(C1217,'גיליון דאטה להכל'!A:H,5,0)</f>
        <v>#N/A</v>
      </c>
      <c r="AG1217" s="104">
        <f t="shared" si="36"/>
        <v>0</v>
      </c>
      <c r="AH1217" t="e">
        <f t="shared" si="37"/>
        <v>#N/A</v>
      </c>
    </row>
    <row r="1218" spans="8:34" x14ac:dyDescent="0.2">
      <c r="H1218" s="5"/>
      <c r="I1218" s="5"/>
      <c r="J1218" s="5"/>
      <c r="K1218" s="5"/>
      <c r="O1218" s="4"/>
      <c r="P1218" s="4"/>
      <c r="AB1218" s="4"/>
      <c r="AD1218" s="4"/>
      <c r="AF1218" t="e">
        <f>VLOOKUP(C1218,'גיליון דאטה להכל'!A:H,5,0)</f>
        <v>#N/A</v>
      </c>
      <c r="AG1218" s="104">
        <f t="shared" si="36"/>
        <v>0</v>
      </c>
      <c r="AH1218" t="e">
        <f t="shared" si="37"/>
        <v>#N/A</v>
      </c>
    </row>
    <row r="1219" spans="8:34" x14ac:dyDescent="0.2">
      <c r="H1219" s="5"/>
      <c r="I1219" s="5"/>
      <c r="J1219" s="5"/>
      <c r="K1219" s="5"/>
      <c r="O1219" s="4"/>
      <c r="P1219" s="4"/>
      <c r="AB1219" s="4"/>
      <c r="AD1219" s="4"/>
      <c r="AF1219" t="e">
        <f>VLOOKUP(C1219,'גיליון דאטה להכל'!A:H,5,0)</f>
        <v>#N/A</v>
      </c>
      <c r="AG1219" s="104">
        <f t="shared" ref="AG1219:AG1282" si="38">I1219+H1219</f>
        <v>0</v>
      </c>
      <c r="AH1219" t="e">
        <f t="shared" ref="AH1219:AH1282" si="39">_xlfn.CONCAT(AF1219,N1219)</f>
        <v>#N/A</v>
      </c>
    </row>
    <row r="1220" spans="8:34" x14ac:dyDescent="0.2">
      <c r="H1220" s="5"/>
      <c r="I1220" s="5"/>
      <c r="J1220" s="5"/>
      <c r="K1220" s="5"/>
      <c r="O1220" s="4"/>
      <c r="P1220" s="4"/>
      <c r="AB1220" s="4"/>
      <c r="AD1220" s="4"/>
      <c r="AF1220" t="e">
        <f>VLOOKUP(C1220,'גיליון דאטה להכל'!A:H,5,0)</f>
        <v>#N/A</v>
      </c>
      <c r="AG1220" s="104">
        <f t="shared" si="38"/>
        <v>0</v>
      </c>
      <c r="AH1220" t="e">
        <f t="shared" si="39"/>
        <v>#N/A</v>
      </c>
    </row>
    <row r="1221" spans="8:34" x14ac:dyDescent="0.2">
      <c r="H1221" s="5"/>
      <c r="I1221" s="5"/>
      <c r="J1221" s="5"/>
      <c r="K1221" s="5"/>
      <c r="O1221" s="4"/>
      <c r="P1221" s="4"/>
      <c r="AB1221" s="4"/>
      <c r="AD1221" s="4"/>
      <c r="AF1221" t="e">
        <f>VLOOKUP(C1221,'גיליון דאטה להכל'!A:H,5,0)</f>
        <v>#N/A</v>
      </c>
      <c r="AG1221" s="104">
        <f t="shared" si="38"/>
        <v>0</v>
      </c>
      <c r="AH1221" t="e">
        <f t="shared" si="39"/>
        <v>#N/A</v>
      </c>
    </row>
    <row r="1222" spans="8:34" x14ac:dyDescent="0.2">
      <c r="H1222" s="5"/>
      <c r="I1222" s="5"/>
      <c r="J1222" s="5"/>
      <c r="K1222" s="5"/>
      <c r="O1222" s="4"/>
      <c r="P1222" s="4"/>
      <c r="AB1222" s="4"/>
      <c r="AD1222" s="4"/>
      <c r="AF1222" t="e">
        <f>VLOOKUP(C1222,'גיליון דאטה להכל'!A:H,5,0)</f>
        <v>#N/A</v>
      </c>
      <c r="AG1222" s="104">
        <f t="shared" si="38"/>
        <v>0</v>
      </c>
      <c r="AH1222" t="e">
        <f t="shared" si="39"/>
        <v>#N/A</v>
      </c>
    </row>
    <row r="1223" spans="8:34" x14ac:dyDescent="0.2">
      <c r="H1223" s="5"/>
      <c r="I1223" s="5"/>
      <c r="J1223" s="5"/>
      <c r="K1223" s="5"/>
      <c r="O1223" s="4"/>
      <c r="P1223" s="4"/>
      <c r="AB1223" s="4"/>
      <c r="AD1223" s="4"/>
      <c r="AF1223" t="e">
        <f>VLOOKUP(C1223,'גיליון דאטה להכל'!A:H,5,0)</f>
        <v>#N/A</v>
      </c>
      <c r="AG1223" s="104">
        <f t="shared" si="38"/>
        <v>0</v>
      </c>
      <c r="AH1223" t="e">
        <f t="shared" si="39"/>
        <v>#N/A</v>
      </c>
    </row>
    <row r="1224" spans="8:34" x14ac:dyDescent="0.2">
      <c r="H1224" s="5"/>
      <c r="I1224" s="5"/>
      <c r="J1224" s="5"/>
      <c r="K1224" s="5"/>
      <c r="O1224" s="4"/>
      <c r="P1224" s="4"/>
      <c r="AB1224" s="4"/>
      <c r="AD1224" s="4"/>
      <c r="AF1224" t="e">
        <f>VLOOKUP(C1224,'גיליון דאטה להכל'!A:H,5,0)</f>
        <v>#N/A</v>
      </c>
      <c r="AG1224" s="104">
        <f t="shared" si="38"/>
        <v>0</v>
      </c>
      <c r="AH1224" t="e">
        <f t="shared" si="39"/>
        <v>#N/A</v>
      </c>
    </row>
    <row r="1225" spans="8:34" x14ac:dyDescent="0.2">
      <c r="H1225" s="5"/>
      <c r="I1225" s="5"/>
      <c r="J1225" s="5"/>
      <c r="K1225" s="5"/>
      <c r="O1225" s="4"/>
      <c r="P1225" s="4"/>
      <c r="AB1225" s="4"/>
      <c r="AD1225" s="4"/>
      <c r="AF1225" t="e">
        <f>VLOOKUP(C1225,'גיליון דאטה להכל'!A:H,5,0)</f>
        <v>#N/A</v>
      </c>
      <c r="AG1225" s="104">
        <f t="shared" si="38"/>
        <v>0</v>
      </c>
      <c r="AH1225" t="e">
        <f t="shared" si="39"/>
        <v>#N/A</v>
      </c>
    </row>
    <row r="1226" spans="8:34" x14ac:dyDescent="0.2">
      <c r="H1226" s="5"/>
      <c r="I1226" s="5"/>
      <c r="J1226" s="5"/>
      <c r="K1226" s="5"/>
      <c r="O1226" s="4"/>
      <c r="P1226" s="4"/>
      <c r="AB1226" s="4"/>
      <c r="AD1226" s="4"/>
      <c r="AF1226" t="e">
        <f>VLOOKUP(C1226,'גיליון דאטה להכל'!A:H,5,0)</f>
        <v>#N/A</v>
      </c>
      <c r="AG1226" s="104">
        <f t="shared" si="38"/>
        <v>0</v>
      </c>
      <c r="AH1226" t="e">
        <f t="shared" si="39"/>
        <v>#N/A</v>
      </c>
    </row>
    <row r="1227" spans="8:34" x14ac:dyDescent="0.2">
      <c r="H1227" s="5"/>
      <c r="I1227" s="5"/>
      <c r="J1227" s="5"/>
      <c r="K1227" s="5"/>
      <c r="O1227" s="4"/>
      <c r="P1227" s="4"/>
      <c r="AB1227" s="4"/>
      <c r="AD1227" s="4"/>
      <c r="AF1227" t="e">
        <f>VLOOKUP(C1227,'גיליון דאטה להכל'!A:H,5,0)</f>
        <v>#N/A</v>
      </c>
      <c r="AG1227" s="104">
        <f t="shared" si="38"/>
        <v>0</v>
      </c>
      <c r="AH1227" t="e">
        <f t="shared" si="39"/>
        <v>#N/A</v>
      </c>
    </row>
    <row r="1228" spans="8:34" x14ac:dyDescent="0.2">
      <c r="H1228" s="5"/>
      <c r="I1228" s="5"/>
      <c r="J1228" s="5"/>
      <c r="K1228" s="5"/>
      <c r="O1228" s="4"/>
      <c r="P1228" s="4"/>
      <c r="AB1228" s="4"/>
      <c r="AD1228" s="4"/>
      <c r="AF1228" t="e">
        <f>VLOOKUP(C1228,'גיליון דאטה להכל'!A:H,5,0)</f>
        <v>#N/A</v>
      </c>
      <c r="AG1228" s="104">
        <f t="shared" si="38"/>
        <v>0</v>
      </c>
      <c r="AH1228" t="e">
        <f t="shared" si="39"/>
        <v>#N/A</v>
      </c>
    </row>
    <row r="1229" spans="8:34" x14ac:dyDescent="0.2">
      <c r="H1229" s="5"/>
      <c r="I1229" s="5"/>
      <c r="J1229" s="5"/>
      <c r="K1229" s="5"/>
      <c r="O1229" s="4"/>
      <c r="P1229" s="4"/>
      <c r="AB1229" s="4"/>
      <c r="AD1229" s="4"/>
      <c r="AF1229" t="e">
        <f>VLOOKUP(C1229,'גיליון דאטה להכל'!A:H,5,0)</f>
        <v>#N/A</v>
      </c>
      <c r="AG1229" s="104">
        <f t="shared" si="38"/>
        <v>0</v>
      </c>
      <c r="AH1229" t="e">
        <f t="shared" si="39"/>
        <v>#N/A</v>
      </c>
    </row>
    <row r="1230" spans="8:34" x14ac:dyDescent="0.2">
      <c r="H1230" s="5"/>
      <c r="I1230" s="5"/>
      <c r="J1230" s="5"/>
      <c r="K1230" s="5"/>
      <c r="O1230" s="4"/>
      <c r="P1230" s="4"/>
      <c r="AB1230" s="4"/>
      <c r="AD1230" s="4"/>
      <c r="AF1230" t="e">
        <f>VLOOKUP(C1230,'גיליון דאטה להכל'!A:H,5,0)</f>
        <v>#N/A</v>
      </c>
      <c r="AG1230" s="104">
        <f t="shared" si="38"/>
        <v>0</v>
      </c>
      <c r="AH1230" t="e">
        <f t="shared" si="39"/>
        <v>#N/A</v>
      </c>
    </row>
    <row r="1231" spans="8:34" x14ac:dyDescent="0.2">
      <c r="H1231" s="5"/>
      <c r="I1231" s="5"/>
      <c r="J1231" s="5"/>
      <c r="K1231" s="5"/>
      <c r="O1231" s="4"/>
      <c r="P1231" s="4"/>
      <c r="AB1231" s="4"/>
      <c r="AD1231" s="4"/>
      <c r="AF1231" t="e">
        <f>VLOOKUP(C1231,'גיליון דאטה להכל'!A:H,5,0)</f>
        <v>#N/A</v>
      </c>
      <c r="AG1231" s="104">
        <f t="shared" si="38"/>
        <v>0</v>
      </c>
      <c r="AH1231" t="e">
        <f t="shared" si="39"/>
        <v>#N/A</v>
      </c>
    </row>
    <row r="1232" spans="8:34" x14ac:dyDescent="0.2">
      <c r="H1232" s="5"/>
      <c r="I1232" s="5"/>
      <c r="J1232" s="5"/>
      <c r="K1232" s="5"/>
      <c r="O1232" s="4"/>
      <c r="P1232" s="4"/>
      <c r="AB1232" s="4"/>
      <c r="AD1232" s="4"/>
      <c r="AF1232" t="e">
        <f>VLOOKUP(C1232,'גיליון דאטה להכל'!A:H,5,0)</f>
        <v>#N/A</v>
      </c>
      <c r="AG1232" s="104">
        <f t="shared" si="38"/>
        <v>0</v>
      </c>
      <c r="AH1232" t="e">
        <f t="shared" si="39"/>
        <v>#N/A</v>
      </c>
    </row>
    <row r="1233" spans="8:34" x14ac:dyDescent="0.2">
      <c r="H1233" s="5"/>
      <c r="I1233" s="5"/>
      <c r="J1233" s="5"/>
      <c r="K1233" s="5"/>
      <c r="O1233" s="4"/>
      <c r="P1233" s="4"/>
      <c r="AB1233" s="4"/>
      <c r="AD1233" s="4"/>
      <c r="AF1233" t="e">
        <f>VLOOKUP(C1233,'גיליון דאטה להכל'!A:H,5,0)</f>
        <v>#N/A</v>
      </c>
      <c r="AG1233" s="104">
        <f t="shared" si="38"/>
        <v>0</v>
      </c>
      <c r="AH1233" t="e">
        <f t="shared" si="39"/>
        <v>#N/A</v>
      </c>
    </row>
    <row r="1234" spans="8:34" x14ac:dyDescent="0.2">
      <c r="H1234" s="5"/>
      <c r="I1234" s="5"/>
      <c r="J1234" s="5"/>
      <c r="K1234" s="5"/>
      <c r="O1234" s="4"/>
      <c r="P1234" s="4"/>
      <c r="AB1234" s="4"/>
      <c r="AD1234" s="4"/>
      <c r="AF1234" t="e">
        <f>VLOOKUP(C1234,'גיליון דאטה להכל'!A:H,5,0)</f>
        <v>#N/A</v>
      </c>
      <c r="AG1234" s="104">
        <f t="shared" si="38"/>
        <v>0</v>
      </c>
      <c r="AH1234" t="e">
        <f t="shared" si="39"/>
        <v>#N/A</v>
      </c>
    </row>
    <row r="1235" spans="8:34" x14ac:dyDescent="0.2">
      <c r="H1235" s="5"/>
      <c r="I1235" s="5"/>
      <c r="J1235" s="5"/>
      <c r="K1235" s="5"/>
      <c r="O1235" s="4"/>
      <c r="P1235" s="4"/>
      <c r="AB1235" s="4"/>
      <c r="AD1235" s="4"/>
      <c r="AF1235" t="e">
        <f>VLOOKUP(C1235,'גיליון דאטה להכל'!A:H,5,0)</f>
        <v>#N/A</v>
      </c>
      <c r="AG1235" s="104">
        <f t="shared" si="38"/>
        <v>0</v>
      </c>
      <c r="AH1235" t="e">
        <f t="shared" si="39"/>
        <v>#N/A</v>
      </c>
    </row>
    <row r="1236" spans="8:34" x14ac:dyDescent="0.2">
      <c r="H1236" s="5"/>
      <c r="I1236" s="5"/>
      <c r="J1236" s="5"/>
      <c r="K1236" s="5"/>
      <c r="O1236" s="4"/>
      <c r="P1236" s="4"/>
      <c r="AB1236" s="4"/>
      <c r="AD1236" s="4"/>
      <c r="AF1236" t="e">
        <f>VLOOKUP(C1236,'גיליון דאטה להכל'!A:H,5,0)</f>
        <v>#N/A</v>
      </c>
      <c r="AG1236" s="104">
        <f t="shared" si="38"/>
        <v>0</v>
      </c>
      <c r="AH1236" t="e">
        <f t="shared" si="39"/>
        <v>#N/A</v>
      </c>
    </row>
    <row r="1237" spans="8:34" x14ac:dyDescent="0.2">
      <c r="H1237" s="5"/>
      <c r="I1237" s="5"/>
      <c r="J1237" s="5"/>
      <c r="K1237" s="5"/>
      <c r="O1237" s="4"/>
      <c r="P1237" s="4"/>
      <c r="AB1237" s="4"/>
      <c r="AD1237" s="4"/>
      <c r="AF1237" t="e">
        <f>VLOOKUP(C1237,'גיליון דאטה להכל'!A:H,5,0)</f>
        <v>#N/A</v>
      </c>
      <c r="AG1237" s="104">
        <f t="shared" si="38"/>
        <v>0</v>
      </c>
      <c r="AH1237" t="e">
        <f t="shared" si="39"/>
        <v>#N/A</v>
      </c>
    </row>
    <row r="1238" spans="8:34" x14ac:dyDescent="0.2">
      <c r="H1238" s="5"/>
      <c r="I1238" s="5"/>
      <c r="J1238" s="5"/>
      <c r="K1238" s="5"/>
      <c r="O1238" s="4"/>
      <c r="P1238" s="4"/>
      <c r="AB1238" s="4"/>
      <c r="AD1238" s="4"/>
      <c r="AF1238" t="e">
        <f>VLOOKUP(C1238,'גיליון דאטה להכל'!A:H,5,0)</f>
        <v>#N/A</v>
      </c>
      <c r="AG1238" s="104">
        <f t="shared" si="38"/>
        <v>0</v>
      </c>
      <c r="AH1238" t="e">
        <f t="shared" si="39"/>
        <v>#N/A</v>
      </c>
    </row>
    <row r="1239" spans="8:34" x14ac:dyDescent="0.2">
      <c r="H1239" s="5"/>
      <c r="I1239" s="5"/>
      <c r="J1239" s="5"/>
      <c r="K1239" s="5"/>
      <c r="O1239" s="4"/>
      <c r="P1239" s="4"/>
      <c r="AB1239" s="4"/>
      <c r="AD1239" s="4"/>
      <c r="AF1239" t="e">
        <f>VLOOKUP(C1239,'גיליון דאטה להכל'!A:H,5,0)</f>
        <v>#N/A</v>
      </c>
      <c r="AG1239" s="104">
        <f t="shared" si="38"/>
        <v>0</v>
      </c>
      <c r="AH1239" t="e">
        <f t="shared" si="39"/>
        <v>#N/A</v>
      </c>
    </row>
    <row r="1240" spans="8:34" x14ac:dyDescent="0.2">
      <c r="H1240" s="5"/>
      <c r="I1240" s="5"/>
      <c r="J1240" s="5"/>
      <c r="K1240" s="5"/>
      <c r="O1240" s="4"/>
      <c r="P1240" s="4"/>
      <c r="AB1240" s="4"/>
      <c r="AD1240" s="4"/>
      <c r="AF1240" t="e">
        <f>VLOOKUP(C1240,'גיליון דאטה להכל'!A:H,5,0)</f>
        <v>#N/A</v>
      </c>
      <c r="AG1240" s="104">
        <f t="shared" si="38"/>
        <v>0</v>
      </c>
      <c r="AH1240" t="e">
        <f t="shared" si="39"/>
        <v>#N/A</v>
      </c>
    </row>
    <row r="1241" spans="8:34" x14ac:dyDescent="0.2">
      <c r="H1241" s="5"/>
      <c r="I1241" s="5"/>
      <c r="J1241" s="5"/>
      <c r="K1241" s="5"/>
      <c r="O1241" s="4"/>
      <c r="P1241" s="4"/>
      <c r="AB1241" s="4"/>
      <c r="AD1241" s="4"/>
      <c r="AF1241" t="e">
        <f>VLOOKUP(C1241,'גיליון דאטה להכל'!A:H,5,0)</f>
        <v>#N/A</v>
      </c>
      <c r="AG1241" s="104">
        <f t="shared" si="38"/>
        <v>0</v>
      </c>
      <c r="AH1241" t="e">
        <f t="shared" si="39"/>
        <v>#N/A</v>
      </c>
    </row>
    <row r="1242" spans="8:34" x14ac:dyDescent="0.2">
      <c r="H1242" s="5"/>
      <c r="I1242" s="5"/>
      <c r="J1242" s="5"/>
      <c r="K1242" s="5"/>
      <c r="O1242" s="4"/>
      <c r="P1242" s="4"/>
      <c r="AB1242" s="4"/>
      <c r="AD1242" s="4"/>
      <c r="AF1242" t="e">
        <f>VLOOKUP(C1242,'גיליון דאטה להכל'!A:H,5,0)</f>
        <v>#N/A</v>
      </c>
      <c r="AG1242" s="104">
        <f t="shared" si="38"/>
        <v>0</v>
      </c>
      <c r="AH1242" t="e">
        <f t="shared" si="39"/>
        <v>#N/A</v>
      </c>
    </row>
    <row r="1243" spans="8:34" x14ac:dyDescent="0.2">
      <c r="H1243" s="5"/>
      <c r="I1243" s="5"/>
      <c r="J1243" s="5"/>
      <c r="K1243" s="5"/>
      <c r="O1243" s="4"/>
      <c r="P1243" s="4"/>
      <c r="AB1243" s="4"/>
      <c r="AD1243" s="4"/>
      <c r="AF1243" t="e">
        <f>VLOOKUP(C1243,'גיליון דאטה להכל'!A:H,5,0)</f>
        <v>#N/A</v>
      </c>
      <c r="AG1243" s="104">
        <f t="shared" si="38"/>
        <v>0</v>
      </c>
      <c r="AH1243" t="e">
        <f t="shared" si="39"/>
        <v>#N/A</v>
      </c>
    </row>
    <row r="1244" spans="8:34" x14ac:dyDescent="0.2">
      <c r="H1244" s="5"/>
      <c r="I1244" s="5"/>
      <c r="J1244" s="5"/>
      <c r="K1244" s="5"/>
      <c r="O1244" s="4"/>
      <c r="P1244" s="4"/>
      <c r="AB1244" s="4"/>
      <c r="AD1244" s="4"/>
      <c r="AF1244" t="e">
        <f>VLOOKUP(C1244,'גיליון דאטה להכל'!A:H,5,0)</f>
        <v>#N/A</v>
      </c>
      <c r="AG1244" s="104">
        <f t="shared" si="38"/>
        <v>0</v>
      </c>
      <c r="AH1244" t="e">
        <f t="shared" si="39"/>
        <v>#N/A</v>
      </c>
    </row>
    <row r="1245" spans="8:34" x14ac:dyDescent="0.2">
      <c r="H1245" s="5"/>
      <c r="I1245" s="5"/>
      <c r="J1245" s="5"/>
      <c r="K1245" s="5"/>
      <c r="O1245" s="4"/>
      <c r="P1245" s="4"/>
      <c r="AB1245" s="4"/>
      <c r="AD1245" s="4"/>
      <c r="AF1245" t="e">
        <f>VLOOKUP(C1245,'גיליון דאטה להכל'!A:H,5,0)</f>
        <v>#N/A</v>
      </c>
      <c r="AG1245" s="104">
        <f t="shared" si="38"/>
        <v>0</v>
      </c>
      <c r="AH1245" t="e">
        <f t="shared" si="39"/>
        <v>#N/A</v>
      </c>
    </row>
    <row r="1246" spans="8:34" x14ac:dyDescent="0.2">
      <c r="H1246" s="5"/>
      <c r="I1246" s="5"/>
      <c r="J1246" s="5"/>
      <c r="K1246" s="5"/>
      <c r="O1246" s="4"/>
      <c r="P1246" s="4"/>
      <c r="AB1246" s="4"/>
      <c r="AD1246" s="4"/>
      <c r="AF1246" t="e">
        <f>VLOOKUP(C1246,'גיליון דאטה להכל'!A:H,5,0)</f>
        <v>#N/A</v>
      </c>
      <c r="AG1246" s="104">
        <f t="shared" si="38"/>
        <v>0</v>
      </c>
      <c r="AH1246" t="e">
        <f t="shared" si="39"/>
        <v>#N/A</v>
      </c>
    </row>
    <row r="1247" spans="8:34" x14ac:dyDescent="0.2">
      <c r="H1247" s="5"/>
      <c r="I1247" s="5"/>
      <c r="J1247" s="5"/>
      <c r="K1247" s="5"/>
      <c r="O1247" s="4"/>
      <c r="P1247" s="4"/>
      <c r="AB1247" s="4"/>
      <c r="AD1247" s="4"/>
      <c r="AF1247" t="e">
        <f>VLOOKUP(C1247,'גיליון דאטה להכל'!A:H,5,0)</f>
        <v>#N/A</v>
      </c>
      <c r="AG1247" s="104">
        <f t="shared" si="38"/>
        <v>0</v>
      </c>
      <c r="AH1247" t="e">
        <f t="shared" si="39"/>
        <v>#N/A</v>
      </c>
    </row>
    <row r="1248" spans="8:34" x14ac:dyDescent="0.2">
      <c r="H1248" s="5"/>
      <c r="I1248" s="5"/>
      <c r="J1248" s="5"/>
      <c r="K1248" s="5"/>
      <c r="O1248" s="4"/>
      <c r="P1248" s="4"/>
      <c r="AB1248" s="4"/>
      <c r="AD1248" s="4"/>
      <c r="AF1248" t="e">
        <f>VLOOKUP(C1248,'גיליון דאטה להכל'!A:H,5,0)</f>
        <v>#N/A</v>
      </c>
      <c r="AG1248" s="104">
        <f t="shared" si="38"/>
        <v>0</v>
      </c>
      <c r="AH1248" t="e">
        <f t="shared" si="39"/>
        <v>#N/A</v>
      </c>
    </row>
    <row r="1249" spans="8:34" x14ac:dyDescent="0.2">
      <c r="H1249" s="5"/>
      <c r="I1249" s="5"/>
      <c r="J1249" s="5"/>
      <c r="K1249" s="5"/>
      <c r="O1249" s="4"/>
      <c r="P1249" s="4"/>
      <c r="AB1249" s="4"/>
      <c r="AD1249" s="4"/>
      <c r="AF1249" t="e">
        <f>VLOOKUP(C1249,'גיליון דאטה להכל'!A:H,5,0)</f>
        <v>#N/A</v>
      </c>
      <c r="AG1249" s="104">
        <f t="shared" si="38"/>
        <v>0</v>
      </c>
      <c r="AH1249" t="e">
        <f t="shared" si="39"/>
        <v>#N/A</v>
      </c>
    </row>
    <row r="1250" spans="8:34" x14ac:dyDescent="0.2">
      <c r="H1250" s="5"/>
      <c r="I1250" s="5"/>
      <c r="J1250" s="5"/>
      <c r="K1250" s="5"/>
      <c r="L1250" s="95"/>
      <c r="O1250" s="4"/>
      <c r="P1250" s="4"/>
      <c r="AB1250" s="4"/>
      <c r="AD1250" s="4"/>
      <c r="AF1250" t="e">
        <f>VLOOKUP(C1250,'גיליון דאטה להכל'!A:H,5,0)</f>
        <v>#N/A</v>
      </c>
      <c r="AG1250" s="104">
        <f t="shared" si="38"/>
        <v>0</v>
      </c>
      <c r="AH1250" t="e">
        <f t="shared" si="39"/>
        <v>#N/A</v>
      </c>
    </row>
    <row r="1251" spans="8:34" x14ac:dyDescent="0.2">
      <c r="H1251" s="5"/>
      <c r="I1251" s="5"/>
      <c r="J1251" s="5"/>
      <c r="K1251" s="5"/>
      <c r="L1251" s="95"/>
      <c r="O1251" s="4"/>
      <c r="P1251" s="4"/>
      <c r="AB1251" s="4"/>
      <c r="AD1251" s="4"/>
      <c r="AF1251" t="e">
        <f>VLOOKUP(C1251,'גיליון דאטה להכל'!A:H,5,0)</f>
        <v>#N/A</v>
      </c>
      <c r="AG1251" s="104">
        <f t="shared" si="38"/>
        <v>0</v>
      </c>
      <c r="AH1251" t="e">
        <f t="shared" si="39"/>
        <v>#N/A</v>
      </c>
    </row>
    <row r="1252" spans="8:34" x14ac:dyDescent="0.2">
      <c r="H1252" s="5"/>
      <c r="I1252" s="5"/>
      <c r="J1252" s="5"/>
      <c r="K1252" s="5"/>
      <c r="L1252" s="95"/>
      <c r="O1252" s="4"/>
      <c r="P1252" s="4"/>
      <c r="AB1252" s="4"/>
      <c r="AD1252" s="4"/>
      <c r="AF1252" t="e">
        <f>VLOOKUP(C1252,'גיליון דאטה להכל'!A:H,5,0)</f>
        <v>#N/A</v>
      </c>
      <c r="AG1252" s="104">
        <f t="shared" si="38"/>
        <v>0</v>
      </c>
      <c r="AH1252" t="e">
        <f t="shared" si="39"/>
        <v>#N/A</v>
      </c>
    </row>
    <row r="1253" spans="8:34" x14ac:dyDescent="0.2">
      <c r="H1253" s="5"/>
      <c r="I1253" s="5"/>
      <c r="J1253" s="5"/>
      <c r="K1253" s="5"/>
      <c r="L1253" s="95"/>
      <c r="O1253" s="4"/>
      <c r="P1253" s="4"/>
      <c r="AB1253" s="4"/>
      <c r="AD1253" s="4"/>
      <c r="AF1253" t="e">
        <f>VLOOKUP(C1253,'גיליון דאטה להכל'!A:H,5,0)</f>
        <v>#N/A</v>
      </c>
      <c r="AG1253" s="104">
        <f t="shared" si="38"/>
        <v>0</v>
      </c>
      <c r="AH1253" t="e">
        <f t="shared" si="39"/>
        <v>#N/A</v>
      </c>
    </row>
    <row r="1254" spans="8:34" x14ac:dyDescent="0.2">
      <c r="H1254" s="5"/>
      <c r="I1254" s="5"/>
      <c r="J1254" s="5"/>
      <c r="K1254" s="5"/>
      <c r="L1254" s="95"/>
      <c r="O1254" s="4"/>
      <c r="P1254" s="4"/>
      <c r="AB1254" s="4"/>
      <c r="AD1254" s="4"/>
      <c r="AF1254" t="e">
        <f>VLOOKUP(C1254,'גיליון דאטה להכל'!A:H,5,0)</f>
        <v>#N/A</v>
      </c>
      <c r="AG1254" s="104">
        <f t="shared" si="38"/>
        <v>0</v>
      </c>
      <c r="AH1254" t="e">
        <f t="shared" si="39"/>
        <v>#N/A</v>
      </c>
    </row>
    <row r="1255" spans="8:34" x14ac:dyDescent="0.2">
      <c r="H1255" s="5"/>
      <c r="I1255" s="5"/>
      <c r="J1255" s="5"/>
      <c r="K1255" s="5"/>
      <c r="L1255" s="95"/>
      <c r="O1255" s="4"/>
      <c r="P1255" s="4"/>
      <c r="AB1255" s="4"/>
      <c r="AD1255" s="4"/>
      <c r="AF1255" t="e">
        <f>VLOOKUP(C1255,'גיליון דאטה להכל'!A:H,5,0)</f>
        <v>#N/A</v>
      </c>
      <c r="AG1255" s="104">
        <f t="shared" si="38"/>
        <v>0</v>
      </c>
      <c r="AH1255" t="e">
        <f t="shared" si="39"/>
        <v>#N/A</v>
      </c>
    </row>
    <row r="1256" spans="8:34" x14ac:dyDescent="0.2">
      <c r="H1256" s="5"/>
      <c r="I1256" s="5"/>
      <c r="J1256" s="5"/>
      <c r="K1256" s="5"/>
      <c r="L1256" s="95"/>
      <c r="O1256" s="4"/>
      <c r="P1256" s="4"/>
      <c r="AB1256" s="4"/>
      <c r="AD1256" s="4"/>
      <c r="AF1256" t="e">
        <f>VLOOKUP(C1256,'גיליון דאטה להכל'!A:H,5,0)</f>
        <v>#N/A</v>
      </c>
      <c r="AG1256" s="104">
        <f t="shared" si="38"/>
        <v>0</v>
      </c>
      <c r="AH1256" t="e">
        <f t="shared" si="39"/>
        <v>#N/A</v>
      </c>
    </row>
    <row r="1257" spans="8:34" x14ac:dyDescent="0.2">
      <c r="H1257" s="5"/>
      <c r="I1257" s="5"/>
      <c r="J1257" s="5"/>
      <c r="K1257" s="5"/>
      <c r="L1257" s="95"/>
      <c r="O1257" s="4"/>
      <c r="P1257" s="4"/>
      <c r="AB1257" s="4"/>
      <c r="AD1257" s="4"/>
      <c r="AF1257" t="e">
        <f>VLOOKUP(C1257,'גיליון דאטה להכל'!A:H,5,0)</f>
        <v>#N/A</v>
      </c>
      <c r="AG1257" s="104">
        <f t="shared" si="38"/>
        <v>0</v>
      </c>
      <c r="AH1257" t="e">
        <f t="shared" si="39"/>
        <v>#N/A</v>
      </c>
    </row>
    <row r="1258" spans="8:34" x14ac:dyDescent="0.2">
      <c r="H1258" s="5"/>
      <c r="I1258" s="5"/>
      <c r="J1258" s="5"/>
      <c r="K1258" s="5"/>
      <c r="L1258" s="95"/>
      <c r="O1258" s="4"/>
      <c r="P1258" s="4"/>
      <c r="AB1258" s="4"/>
      <c r="AD1258" s="4"/>
      <c r="AF1258" t="e">
        <f>VLOOKUP(C1258,'גיליון דאטה להכל'!A:H,5,0)</f>
        <v>#N/A</v>
      </c>
      <c r="AG1258" s="104">
        <f t="shared" si="38"/>
        <v>0</v>
      </c>
      <c r="AH1258" t="e">
        <f t="shared" si="39"/>
        <v>#N/A</v>
      </c>
    </row>
    <row r="1259" spans="8:34" x14ac:dyDescent="0.2">
      <c r="H1259" s="5"/>
      <c r="I1259" s="5"/>
      <c r="J1259" s="5"/>
      <c r="K1259" s="5"/>
      <c r="L1259" s="95"/>
      <c r="O1259" s="4"/>
      <c r="P1259" s="4"/>
      <c r="AB1259" s="4"/>
      <c r="AD1259" s="4"/>
      <c r="AF1259" t="e">
        <f>VLOOKUP(C1259,'גיליון דאטה להכל'!A:H,5,0)</f>
        <v>#N/A</v>
      </c>
      <c r="AG1259" s="104">
        <f t="shared" si="38"/>
        <v>0</v>
      </c>
      <c r="AH1259" t="e">
        <f t="shared" si="39"/>
        <v>#N/A</v>
      </c>
    </row>
    <row r="1260" spans="8:34" x14ac:dyDescent="0.2">
      <c r="H1260" s="5"/>
      <c r="I1260" s="5"/>
      <c r="J1260" s="5"/>
      <c r="K1260" s="5"/>
      <c r="O1260" s="4"/>
      <c r="P1260" s="4"/>
      <c r="AB1260" s="4"/>
      <c r="AD1260" s="4"/>
      <c r="AF1260" t="e">
        <f>VLOOKUP(C1260,'גיליון דאטה להכל'!A:H,5,0)</f>
        <v>#N/A</v>
      </c>
      <c r="AG1260" s="104">
        <f t="shared" si="38"/>
        <v>0</v>
      </c>
      <c r="AH1260" t="e">
        <f t="shared" si="39"/>
        <v>#N/A</v>
      </c>
    </row>
    <row r="1261" spans="8:34" x14ac:dyDescent="0.2">
      <c r="H1261" s="5"/>
      <c r="I1261" s="5"/>
      <c r="J1261" s="5"/>
      <c r="K1261" s="5"/>
      <c r="O1261" s="4"/>
      <c r="P1261" s="4"/>
      <c r="AB1261" s="4"/>
      <c r="AD1261" s="4"/>
      <c r="AF1261" t="e">
        <f>VLOOKUP(C1261,'גיליון דאטה להכל'!A:H,5,0)</f>
        <v>#N/A</v>
      </c>
      <c r="AG1261" s="104">
        <f t="shared" si="38"/>
        <v>0</v>
      </c>
      <c r="AH1261" t="e">
        <f t="shared" si="39"/>
        <v>#N/A</v>
      </c>
    </row>
    <row r="1262" spans="8:34" x14ac:dyDescent="0.2">
      <c r="H1262" s="5"/>
      <c r="I1262" s="5"/>
      <c r="J1262" s="5"/>
      <c r="K1262" s="5"/>
      <c r="O1262" s="4"/>
      <c r="P1262" s="4"/>
      <c r="AB1262" s="4"/>
      <c r="AD1262" s="4"/>
      <c r="AF1262" t="e">
        <f>VLOOKUP(C1262,'גיליון דאטה להכל'!A:H,5,0)</f>
        <v>#N/A</v>
      </c>
      <c r="AG1262" s="104">
        <f t="shared" si="38"/>
        <v>0</v>
      </c>
      <c r="AH1262" t="e">
        <f t="shared" si="39"/>
        <v>#N/A</v>
      </c>
    </row>
    <row r="1263" spans="8:34" x14ac:dyDescent="0.2">
      <c r="H1263" s="5"/>
      <c r="I1263" s="5"/>
      <c r="J1263" s="5"/>
      <c r="K1263" s="5"/>
      <c r="O1263" s="4"/>
      <c r="P1263" s="4"/>
      <c r="AB1263" s="4"/>
      <c r="AD1263" s="4"/>
      <c r="AF1263" t="e">
        <f>VLOOKUP(C1263,'גיליון דאטה להכל'!A:H,5,0)</f>
        <v>#N/A</v>
      </c>
      <c r="AG1263" s="104">
        <f t="shared" si="38"/>
        <v>0</v>
      </c>
      <c r="AH1263" t="e">
        <f t="shared" si="39"/>
        <v>#N/A</v>
      </c>
    </row>
    <row r="1264" spans="8:34" x14ac:dyDescent="0.2">
      <c r="H1264" s="5"/>
      <c r="I1264" s="5"/>
      <c r="J1264" s="5"/>
      <c r="K1264" s="5"/>
      <c r="O1264" s="4"/>
      <c r="P1264" s="4"/>
      <c r="AB1264" s="4"/>
      <c r="AD1264" s="4"/>
      <c r="AF1264" t="e">
        <f>VLOOKUP(C1264,'גיליון דאטה להכל'!A:H,5,0)</f>
        <v>#N/A</v>
      </c>
      <c r="AG1264" s="104">
        <f t="shared" si="38"/>
        <v>0</v>
      </c>
      <c r="AH1264" t="e">
        <f t="shared" si="39"/>
        <v>#N/A</v>
      </c>
    </row>
    <row r="1265" spans="8:34" x14ac:dyDescent="0.2">
      <c r="H1265" s="5"/>
      <c r="I1265" s="5"/>
      <c r="J1265" s="5"/>
      <c r="K1265" s="5"/>
      <c r="O1265" s="4"/>
      <c r="P1265" s="4"/>
      <c r="AB1265" s="4"/>
      <c r="AD1265" s="4"/>
      <c r="AF1265" t="e">
        <f>VLOOKUP(C1265,'גיליון דאטה להכל'!A:H,5,0)</f>
        <v>#N/A</v>
      </c>
      <c r="AG1265" s="104">
        <f t="shared" si="38"/>
        <v>0</v>
      </c>
      <c r="AH1265" t="e">
        <f t="shared" si="39"/>
        <v>#N/A</v>
      </c>
    </row>
    <row r="1266" spans="8:34" x14ac:dyDescent="0.2">
      <c r="H1266" s="5"/>
      <c r="I1266" s="5"/>
      <c r="J1266" s="5"/>
      <c r="K1266" s="5"/>
      <c r="O1266" s="4"/>
      <c r="P1266" s="4"/>
      <c r="AB1266" s="4"/>
      <c r="AD1266" s="4"/>
      <c r="AF1266" t="e">
        <f>VLOOKUP(C1266,'גיליון דאטה להכל'!A:H,5,0)</f>
        <v>#N/A</v>
      </c>
      <c r="AG1266" s="104">
        <f t="shared" si="38"/>
        <v>0</v>
      </c>
      <c r="AH1266" t="e">
        <f t="shared" si="39"/>
        <v>#N/A</v>
      </c>
    </row>
    <row r="1267" spans="8:34" x14ac:dyDescent="0.2">
      <c r="H1267" s="5"/>
      <c r="I1267" s="5"/>
      <c r="J1267" s="5"/>
      <c r="K1267" s="5"/>
      <c r="O1267" s="4"/>
      <c r="P1267" s="4"/>
      <c r="AB1267" s="4"/>
      <c r="AD1267" s="4"/>
      <c r="AF1267" t="e">
        <f>VLOOKUP(C1267,'גיליון דאטה להכל'!A:H,5,0)</f>
        <v>#N/A</v>
      </c>
      <c r="AG1267" s="104">
        <f t="shared" si="38"/>
        <v>0</v>
      </c>
      <c r="AH1267" t="e">
        <f t="shared" si="39"/>
        <v>#N/A</v>
      </c>
    </row>
    <row r="1268" spans="8:34" x14ac:dyDescent="0.2">
      <c r="H1268" s="5"/>
      <c r="I1268" s="5"/>
      <c r="J1268" s="5"/>
      <c r="K1268" s="5"/>
      <c r="O1268" s="4"/>
      <c r="P1268" s="4"/>
      <c r="AB1268" s="4"/>
      <c r="AD1268" s="4"/>
      <c r="AF1268" t="e">
        <f>VLOOKUP(C1268,'גיליון דאטה להכל'!A:H,5,0)</f>
        <v>#N/A</v>
      </c>
      <c r="AG1268" s="104">
        <f t="shared" si="38"/>
        <v>0</v>
      </c>
      <c r="AH1268" t="e">
        <f t="shared" si="39"/>
        <v>#N/A</v>
      </c>
    </row>
    <row r="1269" spans="8:34" x14ac:dyDescent="0.2">
      <c r="H1269" s="5"/>
      <c r="I1269" s="5"/>
      <c r="J1269" s="5"/>
      <c r="K1269" s="5"/>
      <c r="O1269" s="4"/>
      <c r="P1269" s="4"/>
      <c r="AB1269" s="4"/>
      <c r="AD1269" s="4"/>
      <c r="AF1269" t="e">
        <f>VLOOKUP(C1269,'גיליון דאטה להכל'!A:H,5,0)</f>
        <v>#N/A</v>
      </c>
      <c r="AG1269" s="104">
        <f t="shared" si="38"/>
        <v>0</v>
      </c>
      <c r="AH1269" t="e">
        <f t="shared" si="39"/>
        <v>#N/A</v>
      </c>
    </row>
    <row r="1270" spans="8:34" x14ac:dyDescent="0.2">
      <c r="H1270" s="5"/>
      <c r="I1270" s="5"/>
      <c r="J1270" s="5"/>
      <c r="K1270" s="5"/>
      <c r="O1270" s="4"/>
      <c r="P1270" s="4"/>
      <c r="AB1270" s="4"/>
      <c r="AD1270" s="4"/>
      <c r="AF1270" t="e">
        <f>VLOOKUP(C1270,'גיליון דאטה להכל'!A:H,5,0)</f>
        <v>#N/A</v>
      </c>
      <c r="AG1270" s="104">
        <f t="shared" si="38"/>
        <v>0</v>
      </c>
      <c r="AH1270" t="e">
        <f t="shared" si="39"/>
        <v>#N/A</v>
      </c>
    </row>
    <row r="1271" spans="8:34" x14ac:dyDescent="0.2">
      <c r="H1271" s="5"/>
      <c r="I1271" s="5"/>
      <c r="J1271" s="5"/>
      <c r="K1271" s="5"/>
      <c r="O1271" s="4"/>
      <c r="P1271" s="4"/>
      <c r="AB1271" s="4"/>
      <c r="AD1271" s="4"/>
      <c r="AF1271" t="e">
        <f>VLOOKUP(C1271,'גיליון דאטה להכל'!A:H,5,0)</f>
        <v>#N/A</v>
      </c>
      <c r="AG1271" s="104">
        <f t="shared" si="38"/>
        <v>0</v>
      </c>
      <c r="AH1271" t="e">
        <f t="shared" si="39"/>
        <v>#N/A</v>
      </c>
    </row>
    <row r="1272" spans="8:34" x14ac:dyDescent="0.2">
      <c r="H1272" s="5"/>
      <c r="I1272" s="5"/>
      <c r="J1272" s="5"/>
      <c r="K1272" s="5"/>
      <c r="O1272" s="4"/>
      <c r="P1272" s="4"/>
      <c r="AB1272" s="4"/>
      <c r="AD1272" s="4"/>
      <c r="AF1272" t="e">
        <f>VLOOKUP(C1272,'גיליון דאטה להכל'!A:H,5,0)</f>
        <v>#N/A</v>
      </c>
      <c r="AG1272" s="104">
        <f t="shared" si="38"/>
        <v>0</v>
      </c>
      <c r="AH1272" t="e">
        <f t="shared" si="39"/>
        <v>#N/A</v>
      </c>
    </row>
    <row r="1273" spans="8:34" x14ac:dyDescent="0.2">
      <c r="H1273" s="5"/>
      <c r="I1273" s="5"/>
      <c r="J1273" s="5"/>
      <c r="K1273" s="5"/>
      <c r="O1273" s="4"/>
      <c r="P1273" s="4"/>
      <c r="AB1273" s="4"/>
      <c r="AD1273" s="4"/>
      <c r="AF1273" t="e">
        <f>VLOOKUP(C1273,'גיליון דאטה להכל'!A:H,5,0)</f>
        <v>#N/A</v>
      </c>
      <c r="AG1273" s="104">
        <f t="shared" si="38"/>
        <v>0</v>
      </c>
      <c r="AH1273" t="e">
        <f t="shared" si="39"/>
        <v>#N/A</v>
      </c>
    </row>
    <row r="1274" spans="8:34" x14ac:dyDescent="0.2">
      <c r="H1274" s="5"/>
      <c r="I1274" s="5"/>
      <c r="J1274" s="5"/>
      <c r="K1274" s="5"/>
      <c r="O1274" s="4"/>
      <c r="P1274" s="4"/>
      <c r="AB1274" s="4"/>
      <c r="AD1274" s="4"/>
      <c r="AF1274" t="e">
        <f>VLOOKUP(C1274,'גיליון דאטה להכל'!A:H,5,0)</f>
        <v>#N/A</v>
      </c>
      <c r="AG1274" s="104">
        <f t="shared" si="38"/>
        <v>0</v>
      </c>
      <c r="AH1274" t="e">
        <f t="shared" si="39"/>
        <v>#N/A</v>
      </c>
    </row>
    <row r="1275" spans="8:34" x14ac:dyDescent="0.2">
      <c r="H1275" s="5"/>
      <c r="I1275" s="5"/>
      <c r="J1275" s="5"/>
      <c r="K1275" s="5"/>
      <c r="O1275" s="4"/>
      <c r="P1275" s="4"/>
      <c r="AB1275" s="4"/>
      <c r="AD1275" s="4"/>
      <c r="AF1275" t="e">
        <f>VLOOKUP(C1275,'גיליון דאטה להכל'!A:H,5,0)</f>
        <v>#N/A</v>
      </c>
      <c r="AG1275" s="104">
        <f t="shared" si="38"/>
        <v>0</v>
      </c>
      <c r="AH1275" t="e">
        <f t="shared" si="39"/>
        <v>#N/A</v>
      </c>
    </row>
    <row r="1276" spans="8:34" x14ac:dyDescent="0.2">
      <c r="H1276" s="5"/>
      <c r="I1276" s="5"/>
      <c r="J1276" s="5"/>
      <c r="K1276" s="5"/>
      <c r="O1276" s="4"/>
      <c r="P1276" s="4"/>
      <c r="AB1276" s="4"/>
      <c r="AD1276" s="4"/>
      <c r="AF1276" t="e">
        <f>VLOOKUP(C1276,'גיליון דאטה להכל'!A:H,5,0)</f>
        <v>#N/A</v>
      </c>
      <c r="AG1276" s="104">
        <f t="shared" si="38"/>
        <v>0</v>
      </c>
      <c r="AH1276" t="e">
        <f t="shared" si="39"/>
        <v>#N/A</v>
      </c>
    </row>
    <row r="1277" spans="8:34" x14ac:dyDescent="0.2">
      <c r="H1277" s="5"/>
      <c r="I1277" s="5"/>
      <c r="J1277" s="5"/>
      <c r="K1277" s="5"/>
      <c r="O1277" s="4"/>
      <c r="P1277" s="4"/>
      <c r="AB1277" s="4"/>
      <c r="AD1277" s="4"/>
      <c r="AF1277" t="e">
        <f>VLOOKUP(C1277,'גיליון דאטה להכל'!A:H,5,0)</f>
        <v>#N/A</v>
      </c>
      <c r="AG1277" s="104">
        <f t="shared" si="38"/>
        <v>0</v>
      </c>
      <c r="AH1277" t="e">
        <f t="shared" si="39"/>
        <v>#N/A</v>
      </c>
    </row>
    <row r="1278" spans="8:34" x14ac:dyDescent="0.2">
      <c r="H1278" s="5"/>
      <c r="I1278" s="5"/>
      <c r="J1278" s="5"/>
      <c r="K1278" s="5"/>
      <c r="O1278" s="4"/>
      <c r="P1278" s="4"/>
      <c r="AB1278" s="4"/>
      <c r="AD1278" s="4"/>
      <c r="AF1278" t="e">
        <f>VLOOKUP(C1278,'גיליון דאטה להכל'!A:H,5,0)</f>
        <v>#N/A</v>
      </c>
      <c r="AG1278" s="104">
        <f t="shared" si="38"/>
        <v>0</v>
      </c>
      <c r="AH1278" t="e">
        <f t="shared" si="39"/>
        <v>#N/A</v>
      </c>
    </row>
    <row r="1279" spans="8:34" x14ac:dyDescent="0.2">
      <c r="H1279" s="5"/>
      <c r="I1279" s="5"/>
      <c r="J1279" s="5"/>
      <c r="K1279" s="5"/>
      <c r="O1279" s="4"/>
      <c r="P1279" s="4"/>
      <c r="AB1279" s="4"/>
      <c r="AD1279" s="4"/>
      <c r="AF1279" t="e">
        <f>VLOOKUP(C1279,'גיליון דאטה להכל'!A:H,5,0)</f>
        <v>#N/A</v>
      </c>
      <c r="AG1279" s="104">
        <f t="shared" si="38"/>
        <v>0</v>
      </c>
      <c r="AH1279" t="e">
        <f t="shared" si="39"/>
        <v>#N/A</v>
      </c>
    </row>
    <row r="1280" spans="8:34" x14ac:dyDescent="0.2">
      <c r="H1280" s="5"/>
      <c r="I1280" s="5"/>
      <c r="J1280" s="5"/>
      <c r="K1280" s="5"/>
      <c r="O1280" s="4"/>
      <c r="P1280" s="4"/>
      <c r="AB1280" s="4"/>
      <c r="AD1280" s="4"/>
      <c r="AF1280" t="e">
        <f>VLOOKUP(C1280,'גיליון דאטה להכל'!A:H,5,0)</f>
        <v>#N/A</v>
      </c>
      <c r="AG1280" s="104">
        <f t="shared" si="38"/>
        <v>0</v>
      </c>
      <c r="AH1280" t="e">
        <f t="shared" si="39"/>
        <v>#N/A</v>
      </c>
    </row>
    <row r="1281" spans="8:34" x14ac:dyDescent="0.2">
      <c r="H1281" s="5"/>
      <c r="I1281" s="5"/>
      <c r="J1281" s="5"/>
      <c r="K1281" s="5"/>
      <c r="O1281" s="4"/>
      <c r="P1281" s="4"/>
      <c r="AB1281" s="4"/>
      <c r="AD1281" s="4"/>
      <c r="AF1281" t="e">
        <f>VLOOKUP(C1281,'גיליון דאטה להכל'!A:H,5,0)</f>
        <v>#N/A</v>
      </c>
      <c r="AG1281" s="104">
        <f t="shared" si="38"/>
        <v>0</v>
      </c>
      <c r="AH1281" t="e">
        <f t="shared" si="39"/>
        <v>#N/A</v>
      </c>
    </row>
    <row r="1282" spans="8:34" x14ac:dyDescent="0.2">
      <c r="H1282" s="5"/>
      <c r="I1282" s="5"/>
      <c r="J1282" s="5"/>
      <c r="K1282" s="5"/>
      <c r="O1282" s="4"/>
      <c r="P1282" s="4"/>
      <c r="AB1282" s="4"/>
      <c r="AD1282" s="4"/>
      <c r="AF1282" t="e">
        <f>VLOOKUP(C1282,'גיליון דאטה להכל'!A:H,5,0)</f>
        <v>#N/A</v>
      </c>
      <c r="AG1282" s="104">
        <f t="shared" si="38"/>
        <v>0</v>
      </c>
      <c r="AH1282" t="e">
        <f t="shared" si="39"/>
        <v>#N/A</v>
      </c>
    </row>
    <row r="1283" spans="8:34" x14ac:dyDescent="0.2">
      <c r="H1283" s="5"/>
      <c r="I1283" s="5"/>
      <c r="J1283" s="5"/>
      <c r="K1283" s="5"/>
      <c r="O1283" s="4"/>
      <c r="P1283" s="4"/>
      <c r="AB1283" s="4"/>
      <c r="AD1283" s="4"/>
      <c r="AF1283" t="e">
        <f>VLOOKUP(C1283,'גיליון דאטה להכל'!A:H,5,0)</f>
        <v>#N/A</v>
      </c>
      <c r="AG1283" s="104">
        <f t="shared" ref="AG1283:AG1320" si="40">I1283+H1283</f>
        <v>0</v>
      </c>
      <c r="AH1283" t="e">
        <f t="shared" ref="AH1283:AH1320" si="41">_xlfn.CONCAT(AF1283,N1283)</f>
        <v>#N/A</v>
      </c>
    </row>
    <row r="1284" spans="8:34" x14ac:dyDescent="0.2">
      <c r="H1284" s="5"/>
      <c r="I1284" s="5"/>
      <c r="J1284" s="5"/>
      <c r="K1284" s="5"/>
      <c r="L1284" s="95"/>
      <c r="O1284" s="4"/>
      <c r="P1284" s="4"/>
      <c r="AB1284" s="4"/>
      <c r="AD1284" s="4"/>
      <c r="AF1284" t="e">
        <f>VLOOKUP(C1284,'גיליון דאטה להכל'!A:H,5,0)</f>
        <v>#N/A</v>
      </c>
      <c r="AG1284" s="104">
        <f t="shared" si="40"/>
        <v>0</v>
      </c>
      <c r="AH1284" t="e">
        <f t="shared" si="41"/>
        <v>#N/A</v>
      </c>
    </row>
    <row r="1285" spans="8:34" x14ac:dyDescent="0.2">
      <c r="H1285" s="5"/>
      <c r="I1285" s="5"/>
      <c r="J1285" s="5"/>
      <c r="K1285" s="5"/>
      <c r="L1285" s="95"/>
      <c r="O1285" s="4"/>
      <c r="P1285" s="4"/>
      <c r="AB1285" s="4"/>
      <c r="AD1285" s="4"/>
      <c r="AF1285" t="e">
        <f>VLOOKUP(C1285,'גיליון דאטה להכל'!A:H,5,0)</f>
        <v>#N/A</v>
      </c>
      <c r="AG1285" s="104">
        <f t="shared" si="40"/>
        <v>0</v>
      </c>
      <c r="AH1285" t="e">
        <f t="shared" si="41"/>
        <v>#N/A</v>
      </c>
    </row>
    <row r="1286" spans="8:34" x14ac:dyDescent="0.2">
      <c r="H1286" s="5"/>
      <c r="I1286" s="5"/>
      <c r="J1286" s="5"/>
      <c r="K1286" s="5"/>
      <c r="L1286" s="95"/>
      <c r="O1286" s="4"/>
      <c r="P1286" s="4"/>
      <c r="AB1286" s="4"/>
      <c r="AD1286" s="4"/>
      <c r="AF1286" t="e">
        <f>VLOOKUP(C1286,'גיליון דאטה להכל'!A:H,5,0)</f>
        <v>#N/A</v>
      </c>
      <c r="AG1286" s="104">
        <f t="shared" si="40"/>
        <v>0</v>
      </c>
      <c r="AH1286" t="e">
        <f t="shared" si="41"/>
        <v>#N/A</v>
      </c>
    </row>
    <row r="1287" spans="8:34" x14ac:dyDescent="0.2">
      <c r="H1287" s="5"/>
      <c r="I1287" s="5"/>
      <c r="J1287" s="5"/>
      <c r="K1287" s="5"/>
      <c r="L1287" s="95"/>
      <c r="O1287" s="4"/>
      <c r="P1287" s="4"/>
      <c r="AB1287" s="4"/>
      <c r="AD1287" s="4"/>
      <c r="AF1287" t="e">
        <f>VLOOKUP(C1287,'גיליון דאטה להכל'!A:H,5,0)</f>
        <v>#N/A</v>
      </c>
      <c r="AG1287" s="104">
        <f t="shared" si="40"/>
        <v>0</v>
      </c>
      <c r="AH1287" t="e">
        <f t="shared" si="41"/>
        <v>#N/A</v>
      </c>
    </row>
    <row r="1288" spans="8:34" x14ac:dyDescent="0.2">
      <c r="H1288" s="5"/>
      <c r="I1288" s="5"/>
      <c r="J1288" s="5"/>
      <c r="K1288" s="5"/>
      <c r="L1288" s="95"/>
      <c r="O1288" s="4"/>
      <c r="P1288" s="4"/>
      <c r="AB1288" s="4"/>
      <c r="AD1288" s="4"/>
      <c r="AF1288" t="e">
        <f>VLOOKUP(C1288,'גיליון דאטה להכל'!A:H,5,0)</f>
        <v>#N/A</v>
      </c>
      <c r="AG1288" s="104">
        <f t="shared" si="40"/>
        <v>0</v>
      </c>
      <c r="AH1288" t="e">
        <f t="shared" si="41"/>
        <v>#N/A</v>
      </c>
    </row>
    <row r="1289" spans="8:34" x14ac:dyDescent="0.2">
      <c r="H1289" s="5"/>
      <c r="I1289" s="5"/>
      <c r="J1289" s="5"/>
      <c r="K1289" s="5"/>
      <c r="L1289" s="95"/>
      <c r="O1289" s="4"/>
      <c r="P1289" s="4"/>
      <c r="AB1289" s="4"/>
      <c r="AD1289" s="4"/>
      <c r="AF1289" t="e">
        <f>VLOOKUP(C1289,'גיליון דאטה להכל'!A:H,5,0)</f>
        <v>#N/A</v>
      </c>
      <c r="AG1289" s="104">
        <f t="shared" si="40"/>
        <v>0</v>
      </c>
      <c r="AH1289" t="e">
        <f t="shared" si="41"/>
        <v>#N/A</v>
      </c>
    </row>
    <row r="1290" spans="8:34" x14ac:dyDescent="0.2">
      <c r="H1290" s="5"/>
      <c r="I1290" s="5"/>
      <c r="J1290" s="5"/>
      <c r="K1290" s="5"/>
      <c r="L1290" s="95"/>
      <c r="O1290" s="4"/>
      <c r="P1290" s="4"/>
      <c r="AB1290" s="4"/>
      <c r="AD1290" s="4"/>
      <c r="AF1290" t="e">
        <f>VLOOKUP(C1290,'גיליון דאטה להכל'!A:H,5,0)</f>
        <v>#N/A</v>
      </c>
      <c r="AG1290" s="104">
        <f t="shared" si="40"/>
        <v>0</v>
      </c>
      <c r="AH1290" t="e">
        <f t="shared" si="41"/>
        <v>#N/A</v>
      </c>
    </row>
    <row r="1291" spans="8:34" x14ac:dyDescent="0.2">
      <c r="H1291" s="5"/>
      <c r="I1291" s="5"/>
      <c r="J1291" s="5"/>
      <c r="K1291" s="5"/>
      <c r="L1291" s="95"/>
      <c r="O1291" s="4"/>
      <c r="P1291" s="4"/>
      <c r="AB1291" s="4"/>
      <c r="AD1291" s="4"/>
      <c r="AF1291" t="e">
        <f>VLOOKUP(C1291,'גיליון דאטה להכל'!A:H,5,0)</f>
        <v>#N/A</v>
      </c>
      <c r="AG1291" s="104">
        <f t="shared" si="40"/>
        <v>0</v>
      </c>
      <c r="AH1291" t="e">
        <f t="shared" si="41"/>
        <v>#N/A</v>
      </c>
    </row>
    <row r="1292" spans="8:34" x14ac:dyDescent="0.2">
      <c r="H1292" s="5"/>
      <c r="I1292" s="5"/>
      <c r="J1292" s="5"/>
      <c r="K1292" s="5"/>
      <c r="L1292" s="95"/>
      <c r="O1292" s="4"/>
      <c r="P1292" s="4"/>
      <c r="AB1292" s="4"/>
      <c r="AD1292" s="4"/>
      <c r="AF1292" t="e">
        <f>VLOOKUP(C1292,'גיליון דאטה להכל'!A:H,5,0)</f>
        <v>#N/A</v>
      </c>
      <c r="AG1292" s="104">
        <f t="shared" si="40"/>
        <v>0</v>
      </c>
      <c r="AH1292" t="e">
        <f t="shared" si="41"/>
        <v>#N/A</v>
      </c>
    </row>
    <row r="1293" spans="8:34" x14ac:dyDescent="0.2">
      <c r="H1293" s="5"/>
      <c r="I1293" s="5"/>
      <c r="J1293" s="5"/>
      <c r="K1293" s="5"/>
      <c r="L1293" s="95"/>
      <c r="O1293" s="4"/>
      <c r="P1293" s="4"/>
      <c r="AB1293" s="4"/>
      <c r="AD1293" s="4"/>
      <c r="AF1293" t="e">
        <f>VLOOKUP(C1293,'גיליון דאטה להכל'!A:H,5,0)</f>
        <v>#N/A</v>
      </c>
      <c r="AG1293" s="104">
        <f t="shared" si="40"/>
        <v>0</v>
      </c>
      <c r="AH1293" t="e">
        <f t="shared" si="41"/>
        <v>#N/A</v>
      </c>
    </row>
    <row r="1294" spans="8:34" x14ac:dyDescent="0.2">
      <c r="H1294" s="5"/>
      <c r="I1294" s="5"/>
      <c r="J1294" s="5"/>
      <c r="K1294" s="5"/>
      <c r="L1294" s="95"/>
      <c r="O1294" s="4"/>
      <c r="P1294" s="4"/>
      <c r="AB1294" s="4"/>
      <c r="AD1294" s="4"/>
      <c r="AF1294" t="e">
        <f>VLOOKUP(C1294,'גיליון דאטה להכל'!A:H,5,0)</f>
        <v>#N/A</v>
      </c>
      <c r="AG1294" s="104">
        <f t="shared" si="40"/>
        <v>0</v>
      </c>
      <c r="AH1294" t="e">
        <f t="shared" si="41"/>
        <v>#N/A</v>
      </c>
    </row>
    <row r="1295" spans="8:34" x14ac:dyDescent="0.2">
      <c r="H1295" s="5"/>
      <c r="I1295" s="5"/>
      <c r="J1295" s="5"/>
      <c r="K1295" s="5"/>
      <c r="L1295" s="95"/>
      <c r="O1295" s="4"/>
      <c r="P1295" s="4"/>
      <c r="AB1295" s="4"/>
      <c r="AD1295" s="4"/>
      <c r="AF1295" t="e">
        <f>VLOOKUP(C1295,'גיליון דאטה להכל'!A:H,5,0)</f>
        <v>#N/A</v>
      </c>
      <c r="AG1295" s="104">
        <f t="shared" si="40"/>
        <v>0</v>
      </c>
      <c r="AH1295" t="e">
        <f t="shared" si="41"/>
        <v>#N/A</v>
      </c>
    </row>
    <row r="1296" spans="8:34" x14ac:dyDescent="0.2">
      <c r="H1296" s="5"/>
      <c r="I1296" s="5"/>
      <c r="J1296" s="5"/>
      <c r="K1296" s="5"/>
      <c r="L1296" s="95"/>
      <c r="O1296" s="4"/>
      <c r="P1296" s="4"/>
      <c r="AB1296" s="4"/>
      <c r="AD1296" s="4"/>
      <c r="AF1296" t="e">
        <f>VLOOKUP(C1296,'גיליון דאטה להכל'!A:H,5,0)</f>
        <v>#N/A</v>
      </c>
      <c r="AG1296" s="104">
        <f t="shared" si="40"/>
        <v>0</v>
      </c>
      <c r="AH1296" t="e">
        <f t="shared" si="41"/>
        <v>#N/A</v>
      </c>
    </row>
    <row r="1297" spans="8:34" x14ac:dyDescent="0.2">
      <c r="H1297" s="5"/>
      <c r="I1297" s="5"/>
      <c r="J1297" s="5"/>
      <c r="K1297" s="5"/>
      <c r="L1297" s="95"/>
      <c r="O1297" s="4"/>
      <c r="P1297" s="4"/>
      <c r="AB1297" s="4"/>
      <c r="AD1297" s="4"/>
      <c r="AF1297" t="e">
        <f>VLOOKUP(C1297,'גיליון דאטה להכל'!A:H,5,0)</f>
        <v>#N/A</v>
      </c>
      <c r="AG1297" s="104">
        <f t="shared" si="40"/>
        <v>0</v>
      </c>
      <c r="AH1297" t="e">
        <f t="shared" si="41"/>
        <v>#N/A</v>
      </c>
    </row>
    <row r="1298" spans="8:34" x14ac:dyDescent="0.2">
      <c r="H1298" s="5"/>
      <c r="I1298" s="5"/>
      <c r="J1298" s="5"/>
      <c r="K1298" s="5"/>
      <c r="O1298" s="4"/>
      <c r="P1298" s="4"/>
      <c r="AB1298" s="4"/>
      <c r="AD1298" s="4"/>
      <c r="AF1298" t="e">
        <f>VLOOKUP(C1298,'גיליון דאטה להכל'!A:H,5,0)</f>
        <v>#N/A</v>
      </c>
      <c r="AG1298" s="104">
        <f t="shared" si="40"/>
        <v>0</v>
      </c>
      <c r="AH1298" t="e">
        <f t="shared" si="41"/>
        <v>#N/A</v>
      </c>
    </row>
    <row r="1299" spans="8:34" x14ac:dyDescent="0.2">
      <c r="H1299" s="5"/>
      <c r="I1299" s="5"/>
      <c r="J1299" s="5"/>
      <c r="K1299" s="5"/>
      <c r="O1299" s="4"/>
      <c r="P1299" s="4"/>
      <c r="AB1299" s="4"/>
      <c r="AD1299" s="4"/>
      <c r="AF1299" t="e">
        <f>VLOOKUP(C1299,'גיליון דאטה להכל'!A:H,5,0)</f>
        <v>#N/A</v>
      </c>
      <c r="AG1299" s="104">
        <f t="shared" si="40"/>
        <v>0</v>
      </c>
      <c r="AH1299" t="e">
        <f t="shared" si="41"/>
        <v>#N/A</v>
      </c>
    </row>
    <row r="1300" spans="8:34" x14ac:dyDescent="0.2">
      <c r="H1300" s="5"/>
      <c r="I1300" s="5"/>
      <c r="J1300" s="5"/>
      <c r="K1300" s="5"/>
      <c r="O1300" s="4"/>
      <c r="P1300" s="4"/>
      <c r="AB1300" s="4"/>
      <c r="AD1300" s="4"/>
      <c r="AF1300" t="e">
        <f>VLOOKUP(C1300,'גיליון דאטה להכל'!A:H,5,0)</f>
        <v>#N/A</v>
      </c>
      <c r="AG1300" s="104">
        <f t="shared" si="40"/>
        <v>0</v>
      </c>
      <c r="AH1300" t="e">
        <f t="shared" si="41"/>
        <v>#N/A</v>
      </c>
    </row>
    <row r="1301" spans="8:34" x14ac:dyDescent="0.2">
      <c r="H1301" s="5"/>
      <c r="I1301" s="5"/>
      <c r="J1301" s="5"/>
      <c r="K1301" s="5"/>
      <c r="O1301" s="4"/>
      <c r="P1301" s="4"/>
      <c r="AB1301" s="4"/>
      <c r="AD1301" s="4"/>
      <c r="AF1301" t="e">
        <f>VLOOKUP(C1301,'גיליון דאטה להכל'!A:H,5,0)</f>
        <v>#N/A</v>
      </c>
      <c r="AG1301" s="104">
        <f t="shared" si="40"/>
        <v>0</v>
      </c>
      <c r="AH1301" t="e">
        <f t="shared" si="41"/>
        <v>#N/A</v>
      </c>
    </row>
    <row r="1302" spans="8:34" x14ac:dyDescent="0.2">
      <c r="H1302" s="5"/>
      <c r="I1302" s="5"/>
      <c r="J1302" s="5"/>
      <c r="K1302" s="5"/>
      <c r="O1302" s="4"/>
      <c r="P1302" s="4"/>
      <c r="AB1302" s="4"/>
      <c r="AD1302" s="4"/>
      <c r="AF1302" t="e">
        <f>VLOOKUP(C1302,'גיליון דאטה להכל'!A:H,5,0)</f>
        <v>#N/A</v>
      </c>
      <c r="AG1302" s="104">
        <f t="shared" si="40"/>
        <v>0</v>
      </c>
      <c r="AH1302" t="e">
        <f t="shared" si="41"/>
        <v>#N/A</v>
      </c>
    </row>
    <row r="1303" spans="8:34" x14ac:dyDescent="0.2">
      <c r="H1303" s="5"/>
      <c r="I1303" s="5"/>
      <c r="J1303" s="5"/>
      <c r="K1303" s="5"/>
      <c r="O1303" s="4"/>
      <c r="P1303" s="4"/>
      <c r="AB1303" s="4"/>
      <c r="AD1303" s="4"/>
      <c r="AF1303" t="e">
        <f>VLOOKUP(C1303,'גיליון דאטה להכל'!A:H,5,0)</f>
        <v>#N/A</v>
      </c>
      <c r="AG1303" s="104">
        <f t="shared" si="40"/>
        <v>0</v>
      </c>
      <c r="AH1303" t="e">
        <f t="shared" si="41"/>
        <v>#N/A</v>
      </c>
    </row>
    <row r="1304" spans="8:34" x14ac:dyDescent="0.2">
      <c r="H1304" s="5"/>
      <c r="I1304" s="5"/>
      <c r="J1304" s="5"/>
      <c r="K1304" s="5"/>
      <c r="O1304" s="4"/>
      <c r="P1304" s="4"/>
      <c r="AB1304" s="4"/>
      <c r="AD1304" s="4"/>
      <c r="AF1304" t="e">
        <f>VLOOKUP(C1304,'גיליון דאטה להכל'!A:H,5,0)</f>
        <v>#N/A</v>
      </c>
      <c r="AG1304" s="104">
        <f t="shared" si="40"/>
        <v>0</v>
      </c>
      <c r="AH1304" t="e">
        <f t="shared" si="41"/>
        <v>#N/A</v>
      </c>
    </row>
    <row r="1305" spans="8:34" x14ac:dyDescent="0.2">
      <c r="H1305" s="5"/>
      <c r="I1305" s="5"/>
      <c r="J1305" s="5"/>
      <c r="K1305" s="5"/>
      <c r="O1305" s="4"/>
      <c r="P1305" s="4"/>
      <c r="AB1305" s="4"/>
      <c r="AD1305" s="4"/>
      <c r="AF1305" t="e">
        <f>VLOOKUP(C1305,'גיליון דאטה להכל'!A:H,5,0)</f>
        <v>#N/A</v>
      </c>
      <c r="AG1305" s="104">
        <f t="shared" si="40"/>
        <v>0</v>
      </c>
      <c r="AH1305" t="e">
        <f t="shared" si="41"/>
        <v>#N/A</v>
      </c>
    </row>
    <row r="1306" spans="8:34" x14ac:dyDescent="0.2">
      <c r="H1306" s="5"/>
      <c r="I1306" s="5"/>
      <c r="J1306" s="5"/>
      <c r="K1306" s="5"/>
      <c r="O1306" s="4"/>
      <c r="P1306" s="4"/>
      <c r="AB1306" s="4"/>
      <c r="AD1306" s="4"/>
      <c r="AF1306" t="e">
        <f>VLOOKUP(C1306,'גיליון דאטה להכל'!A:H,5,0)</f>
        <v>#N/A</v>
      </c>
      <c r="AG1306" s="104">
        <f t="shared" si="40"/>
        <v>0</v>
      </c>
      <c r="AH1306" t="e">
        <f t="shared" si="41"/>
        <v>#N/A</v>
      </c>
    </row>
    <row r="1307" spans="8:34" x14ac:dyDescent="0.2">
      <c r="H1307" s="5"/>
      <c r="I1307" s="5"/>
      <c r="J1307" s="5"/>
      <c r="K1307" s="5"/>
      <c r="O1307" s="4"/>
      <c r="P1307" s="4"/>
      <c r="AB1307" s="4"/>
      <c r="AD1307" s="4"/>
      <c r="AF1307" t="e">
        <f>VLOOKUP(C1307,'גיליון דאטה להכל'!A:H,5,0)</f>
        <v>#N/A</v>
      </c>
      <c r="AG1307" s="104">
        <f t="shared" si="40"/>
        <v>0</v>
      </c>
      <c r="AH1307" t="e">
        <f t="shared" si="41"/>
        <v>#N/A</v>
      </c>
    </row>
    <row r="1308" spans="8:34" x14ac:dyDescent="0.2">
      <c r="H1308" s="5"/>
      <c r="I1308" s="5"/>
      <c r="J1308" s="5"/>
      <c r="K1308" s="5"/>
      <c r="O1308" s="4"/>
      <c r="P1308" s="4"/>
      <c r="AB1308" s="4"/>
      <c r="AD1308" s="4"/>
      <c r="AF1308" t="e">
        <f>VLOOKUP(C1308,'גיליון דאטה להכל'!A:H,5,0)</f>
        <v>#N/A</v>
      </c>
      <c r="AG1308" s="104">
        <f t="shared" si="40"/>
        <v>0</v>
      </c>
      <c r="AH1308" t="e">
        <f t="shared" si="41"/>
        <v>#N/A</v>
      </c>
    </row>
    <row r="1309" spans="8:34" x14ac:dyDescent="0.2">
      <c r="H1309" s="5"/>
      <c r="I1309" s="5"/>
      <c r="J1309" s="5"/>
      <c r="K1309" s="5"/>
      <c r="O1309" s="4"/>
      <c r="P1309" s="4"/>
      <c r="AB1309" s="4"/>
      <c r="AD1309" s="4"/>
      <c r="AF1309" t="e">
        <f>VLOOKUP(C1309,'גיליון דאטה להכל'!A:H,5,0)</f>
        <v>#N/A</v>
      </c>
      <c r="AG1309" s="104">
        <f t="shared" si="40"/>
        <v>0</v>
      </c>
      <c r="AH1309" t="e">
        <f t="shared" si="41"/>
        <v>#N/A</v>
      </c>
    </row>
    <row r="1310" spans="8:34" x14ac:dyDescent="0.2">
      <c r="H1310" s="5"/>
      <c r="I1310" s="5"/>
      <c r="J1310" s="5"/>
      <c r="K1310" s="5"/>
      <c r="O1310" s="4"/>
      <c r="P1310" s="4"/>
      <c r="AB1310" s="4"/>
      <c r="AD1310" s="4"/>
      <c r="AF1310" t="e">
        <f>VLOOKUP(C1310,'גיליון דאטה להכל'!A:H,5,0)</f>
        <v>#N/A</v>
      </c>
      <c r="AG1310" s="104">
        <f t="shared" si="40"/>
        <v>0</v>
      </c>
      <c r="AH1310" t="e">
        <f t="shared" si="41"/>
        <v>#N/A</v>
      </c>
    </row>
    <row r="1311" spans="8:34" x14ac:dyDescent="0.2">
      <c r="H1311" s="5"/>
      <c r="I1311" s="5"/>
      <c r="J1311" s="5"/>
      <c r="K1311" s="5"/>
      <c r="O1311" s="4"/>
      <c r="P1311" s="4"/>
      <c r="AB1311" s="4"/>
      <c r="AD1311" s="4"/>
      <c r="AF1311" t="e">
        <f>VLOOKUP(C1311,'גיליון דאטה להכל'!A:H,5,0)</f>
        <v>#N/A</v>
      </c>
      <c r="AG1311" s="104">
        <f t="shared" si="40"/>
        <v>0</v>
      </c>
      <c r="AH1311" t="e">
        <f t="shared" si="41"/>
        <v>#N/A</v>
      </c>
    </row>
    <row r="1312" spans="8:34" x14ac:dyDescent="0.2">
      <c r="H1312" s="5"/>
      <c r="I1312" s="5"/>
      <c r="J1312" s="5"/>
      <c r="K1312" s="5"/>
      <c r="O1312" s="4"/>
      <c r="P1312" s="4"/>
      <c r="AB1312" s="4"/>
      <c r="AD1312" s="4"/>
      <c r="AF1312" t="e">
        <f>VLOOKUP(C1312,'גיליון דאטה להכל'!A:H,5,0)</f>
        <v>#N/A</v>
      </c>
      <c r="AG1312" s="104">
        <f t="shared" si="40"/>
        <v>0</v>
      </c>
      <c r="AH1312" t="e">
        <f t="shared" si="41"/>
        <v>#N/A</v>
      </c>
    </row>
    <row r="1313" spans="8:34" x14ac:dyDescent="0.2">
      <c r="H1313" s="5"/>
      <c r="I1313" s="5"/>
      <c r="J1313" s="5"/>
      <c r="K1313" s="5"/>
      <c r="O1313" s="4"/>
      <c r="P1313" s="4"/>
      <c r="AB1313" s="4"/>
      <c r="AD1313" s="4"/>
      <c r="AF1313" t="e">
        <f>VLOOKUP(C1313,'גיליון דאטה להכל'!A:H,5,0)</f>
        <v>#N/A</v>
      </c>
      <c r="AG1313" s="104">
        <f t="shared" si="40"/>
        <v>0</v>
      </c>
      <c r="AH1313" t="e">
        <f t="shared" si="41"/>
        <v>#N/A</v>
      </c>
    </row>
    <row r="1314" spans="8:34" x14ac:dyDescent="0.2">
      <c r="H1314" s="5"/>
      <c r="I1314" s="5"/>
      <c r="J1314" s="5"/>
      <c r="K1314" s="5"/>
      <c r="O1314" s="4"/>
      <c r="P1314" s="4"/>
      <c r="AB1314" s="4"/>
      <c r="AD1314" s="4"/>
      <c r="AF1314" t="e">
        <f>VLOOKUP(C1314,'גיליון דאטה להכל'!A:H,5,0)</f>
        <v>#N/A</v>
      </c>
      <c r="AG1314" s="104">
        <f t="shared" si="40"/>
        <v>0</v>
      </c>
      <c r="AH1314" t="e">
        <f t="shared" si="41"/>
        <v>#N/A</v>
      </c>
    </row>
    <row r="1315" spans="8:34" x14ac:dyDescent="0.2">
      <c r="H1315" s="5"/>
      <c r="I1315" s="5"/>
      <c r="J1315" s="5"/>
      <c r="K1315" s="5"/>
      <c r="O1315" s="4"/>
      <c r="P1315" s="4"/>
      <c r="AB1315" s="4"/>
      <c r="AD1315" s="4"/>
      <c r="AF1315" t="e">
        <f>VLOOKUP(C1315,'גיליון דאטה להכל'!A:H,5,0)</f>
        <v>#N/A</v>
      </c>
      <c r="AG1315" s="104">
        <f t="shared" si="40"/>
        <v>0</v>
      </c>
      <c r="AH1315" t="e">
        <f t="shared" si="41"/>
        <v>#N/A</v>
      </c>
    </row>
    <row r="1316" spans="8:34" x14ac:dyDescent="0.2">
      <c r="H1316" s="5"/>
      <c r="I1316" s="5"/>
      <c r="J1316" s="5"/>
      <c r="K1316" s="5"/>
      <c r="O1316" s="4"/>
      <c r="P1316" s="4"/>
      <c r="AB1316" s="4"/>
      <c r="AD1316" s="4"/>
      <c r="AF1316" t="e">
        <f>VLOOKUP(C1316,'גיליון דאטה להכל'!A:H,5,0)</f>
        <v>#N/A</v>
      </c>
      <c r="AG1316" s="104">
        <f t="shared" si="40"/>
        <v>0</v>
      </c>
      <c r="AH1316" t="e">
        <f t="shared" si="41"/>
        <v>#N/A</v>
      </c>
    </row>
    <row r="1317" spans="8:34" x14ac:dyDescent="0.2">
      <c r="H1317" s="5"/>
      <c r="I1317" s="5"/>
      <c r="J1317" s="5"/>
      <c r="K1317" s="5"/>
      <c r="O1317" s="4"/>
      <c r="P1317" s="4"/>
      <c r="AB1317" s="4"/>
      <c r="AD1317" s="4"/>
      <c r="AF1317" t="e">
        <f>VLOOKUP(C1317,'גיליון דאטה להכל'!A:H,5,0)</f>
        <v>#N/A</v>
      </c>
      <c r="AG1317" s="104">
        <f t="shared" si="40"/>
        <v>0</v>
      </c>
      <c r="AH1317" t="e">
        <f t="shared" si="41"/>
        <v>#N/A</v>
      </c>
    </row>
    <row r="1318" spans="8:34" x14ac:dyDescent="0.2">
      <c r="H1318" s="5"/>
      <c r="I1318" s="5"/>
      <c r="J1318" s="5"/>
      <c r="K1318" s="5"/>
      <c r="O1318" s="4"/>
      <c r="P1318" s="4"/>
      <c r="AB1318" s="4"/>
      <c r="AD1318" s="4"/>
      <c r="AF1318" t="e">
        <f>VLOOKUP(C1318,'גיליון דאטה להכל'!A:H,5,0)</f>
        <v>#N/A</v>
      </c>
      <c r="AG1318" s="104">
        <f t="shared" si="40"/>
        <v>0</v>
      </c>
      <c r="AH1318" t="e">
        <f t="shared" si="41"/>
        <v>#N/A</v>
      </c>
    </row>
    <row r="1319" spans="8:34" x14ac:dyDescent="0.2">
      <c r="H1319" s="5"/>
      <c r="I1319" s="5"/>
      <c r="J1319" s="5"/>
      <c r="K1319" s="5"/>
      <c r="O1319" s="4"/>
      <c r="P1319" s="4"/>
      <c r="AB1319" s="4"/>
      <c r="AD1319" s="4"/>
      <c r="AG1319" s="104">
        <f t="shared" si="40"/>
        <v>0</v>
      </c>
      <c r="AH1319" t="str">
        <f t="shared" si="41"/>
        <v/>
      </c>
    </row>
    <row r="1320" spans="8:34" x14ac:dyDescent="0.2">
      <c r="H1320" s="5"/>
      <c r="I1320" s="5"/>
      <c r="J1320" s="5"/>
      <c r="K1320" s="5"/>
      <c r="O1320" s="4"/>
      <c r="P1320" s="4"/>
      <c r="AB1320" s="4"/>
      <c r="AD1320" s="4"/>
      <c r="AG1320" s="104">
        <f t="shared" si="40"/>
        <v>0</v>
      </c>
      <c r="AH1320" t="str">
        <f t="shared" si="41"/>
        <v/>
      </c>
    </row>
    <row r="1321" spans="8:34" x14ac:dyDescent="0.2">
      <c r="H1321" s="5"/>
      <c r="I1321" s="5"/>
      <c r="J1321" s="5"/>
      <c r="K1321" s="5"/>
      <c r="O1321" s="4"/>
      <c r="P1321" s="4"/>
      <c r="AB1321" s="4"/>
      <c r="AD1321" s="4"/>
    </row>
    <row r="1322" spans="8:34" x14ac:dyDescent="0.2">
      <c r="H1322" s="5"/>
      <c r="I1322" s="5"/>
      <c r="J1322" s="5"/>
      <c r="K1322" s="5"/>
      <c r="O1322" s="4"/>
      <c r="P1322" s="4"/>
      <c r="AB1322" s="4"/>
      <c r="AD1322" s="4"/>
    </row>
    <row r="1323" spans="8:34" x14ac:dyDescent="0.2">
      <c r="H1323" s="5"/>
      <c r="I1323" s="5"/>
      <c r="J1323" s="5"/>
      <c r="K1323" s="5"/>
      <c r="O1323" s="4"/>
      <c r="P1323" s="4"/>
      <c r="AB1323" s="4"/>
      <c r="AD1323" s="4"/>
    </row>
    <row r="1324" spans="8:34" x14ac:dyDescent="0.2">
      <c r="H1324" s="5"/>
      <c r="I1324" s="5"/>
      <c r="J1324" s="5"/>
      <c r="K1324" s="5"/>
      <c r="O1324" s="4"/>
      <c r="P1324" s="4"/>
      <c r="AB1324" s="4"/>
      <c r="AD1324" s="4"/>
    </row>
    <row r="1325" spans="8:34" x14ac:dyDescent="0.2">
      <c r="H1325" s="5"/>
      <c r="I1325" s="5"/>
      <c r="J1325" s="5"/>
      <c r="K1325" s="5"/>
      <c r="O1325" s="4"/>
      <c r="P1325" s="4"/>
      <c r="AB1325" s="4"/>
      <c r="AD1325" s="4"/>
    </row>
    <row r="1326" spans="8:34" x14ac:dyDescent="0.2">
      <c r="H1326" s="5"/>
      <c r="I1326" s="5"/>
      <c r="J1326" s="5"/>
      <c r="K1326" s="5"/>
      <c r="L1326" s="95"/>
      <c r="O1326" s="4"/>
      <c r="P1326" s="4"/>
      <c r="AB1326" s="4"/>
      <c r="AD1326" s="4"/>
    </row>
    <row r="1327" spans="8:34" x14ac:dyDescent="0.2">
      <c r="H1327" s="5"/>
      <c r="I1327" s="5"/>
      <c r="J1327" s="5"/>
      <c r="K1327" s="5"/>
      <c r="L1327" s="95"/>
      <c r="O1327" s="4"/>
      <c r="P1327" s="4"/>
      <c r="AB1327" s="4"/>
      <c r="AD1327" s="4"/>
    </row>
    <row r="1328" spans="8:34" x14ac:dyDescent="0.2">
      <c r="H1328" s="5"/>
      <c r="I1328" s="5"/>
      <c r="J1328" s="5"/>
      <c r="K1328" s="5"/>
      <c r="L1328" s="95"/>
      <c r="O1328" s="4"/>
      <c r="P1328" s="4"/>
      <c r="AB1328" s="4"/>
      <c r="AD1328" s="4"/>
    </row>
    <row r="1329" spans="8:30" x14ac:dyDescent="0.2">
      <c r="H1329" s="5"/>
      <c r="I1329" s="5"/>
      <c r="J1329" s="5"/>
      <c r="K1329" s="5"/>
      <c r="L1329" s="95"/>
      <c r="O1329" s="4"/>
      <c r="P1329" s="4"/>
      <c r="AB1329" s="4"/>
      <c r="AD1329" s="4"/>
    </row>
    <row r="1330" spans="8:30" x14ac:dyDescent="0.2">
      <c r="H1330" s="5"/>
      <c r="I1330" s="5"/>
      <c r="J1330" s="5"/>
      <c r="K1330" s="5"/>
      <c r="L1330" s="95"/>
      <c r="O1330" s="4"/>
      <c r="P1330" s="4"/>
      <c r="AB1330" s="4"/>
      <c r="AD1330" s="4"/>
    </row>
    <row r="1331" spans="8:30" x14ac:dyDescent="0.2">
      <c r="H1331" s="5"/>
      <c r="I1331" s="5"/>
      <c r="J1331" s="5"/>
      <c r="K1331" s="5"/>
      <c r="L1331" s="95"/>
      <c r="O1331" s="4"/>
      <c r="P1331" s="4"/>
      <c r="AB1331" s="4"/>
      <c r="AD1331" s="4"/>
    </row>
    <row r="1332" spans="8:30" x14ac:dyDescent="0.2">
      <c r="H1332" s="5"/>
      <c r="I1332" s="5"/>
      <c r="J1332" s="5"/>
      <c r="K1332" s="5"/>
      <c r="L1332" s="95"/>
      <c r="O1332" s="4"/>
      <c r="P1332" s="4"/>
      <c r="AB1332" s="4"/>
      <c r="AD1332" s="4"/>
    </row>
    <row r="1333" spans="8:30" x14ac:dyDescent="0.2">
      <c r="H1333" s="5"/>
      <c r="I1333" s="5"/>
      <c r="J1333" s="5"/>
      <c r="K1333" s="5"/>
      <c r="L1333" s="95"/>
      <c r="O1333" s="4"/>
      <c r="P1333" s="4"/>
      <c r="AB1333" s="4"/>
      <c r="AD1333" s="4"/>
    </row>
    <row r="1334" spans="8:30" x14ac:dyDescent="0.2">
      <c r="H1334" s="5"/>
      <c r="I1334" s="5"/>
      <c r="J1334" s="5"/>
      <c r="K1334" s="5"/>
      <c r="L1334" s="95"/>
      <c r="O1334" s="4"/>
      <c r="P1334" s="4"/>
      <c r="AB1334" s="4"/>
      <c r="AD1334" s="4"/>
    </row>
    <row r="1335" spans="8:30" x14ac:dyDescent="0.2">
      <c r="H1335" s="5"/>
      <c r="I1335" s="5"/>
      <c r="J1335" s="5"/>
      <c r="K1335" s="5"/>
      <c r="L1335" s="95"/>
      <c r="O1335" s="4"/>
      <c r="P1335" s="4"/>
      <c r="AB1335" s="4"/>
      <c r="AD1335" s="4"/>
    </row>
    <row r="1336" spans="8:30" x14ac:dyDescent="0.2">
      <c r="H1336" s="5"/>
      <c r="I1336" s="5"/>
      <c r="J1336" s="5"/>
      <c r="K1336" s="5"/>
      <c r="L1336" s="95"/>
      <c r="O1336" s="4"/>
      <c r="P1336" s="4"/>
      <c r="AB1336" s="4"/>
      <c r="AD1336" s="4"/>
    </row>
  </sheetData>
  <autoFilter ref="A1:AG1320" xr:uid="{17AE31CD-1591-484A-A2ED-2AC5267436DC}">
    <filterColumn colId="13">
      <filters>
        <filter val="Conditional release"/>
        <filter val="Restricted - recycling"/>
      </filters>
    </filterColumn>
  </autoFilter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92690-C820-4D24-B547-B9F02BC571DE}">
  <sheetPr codeName="גיליון2"/>
  <dimension ref="A3:B16"/>
  <sheetViews>
    <sheetView rightToLeft="1" workbookViewId="0">
      <selection activeCell="C18" sqref="C18"/>
    </sheetView>
  </sheetViews>
  <sheetFormatPr defaultRowHeight="12.75" x14ac:dyDescent="0.2"/>
  <cols>
    <col min="1" max="1" width="12.85546875" bestFit="1" customWidth="1"/>
    <col min="2" max="4" width="33.140625" bestFit="1" customWidth="1"/>
  </cols>
  <sheetData>
    <row r="3" spans="1:2" x14ac:dyDescent="0.2">
      <c r="A3" s="3" t="s">
        <v>17</v>
      </c>
      <c r="B3" t="s">
        <v>20</v>
      </c>
    </row>
    <row r="4" spans="1:2" x14ac:dyDescent="0.2">
      <c r="A4" t="s">
        <v>22</v>
      </c>
    </row>
    <row r="5" spans="1:2" x14ac:dyDescent="0.2">
      <c r="A5" t="s">
        <v>1990</v>
      </c>
      <c r="B5">
        <v>40100</v>
      </c>
    </row>
    <row r="6" spans="1:2" x14ac:dyDescent="0.2">
      <c r="A6" t="s">
        <v>2013</v>
      </c>
      <c r="B6">
        <v>9600</v>
      </c>
    </row>
    <row r="7" spans="1:2" x14ac:dyDescent="0.2">
      <c r="A7" t="s">
        <v>1998</v>
      </c>
      <c r="B7">
        <v>12540</v>
      </c>
    </row>
    <row r="8" spans="1:2" x14ac:dyDescent="0.2">
      <c r="A8" t="s">
        <v>1997</v>
      </c>
      <c r="B8">
        <v>67660</v>
      </c>
    </row>
    <row r="9" spans="1:2" x14ac:dyDescent="0.2">
      <c r="A9" t="s">
        <v>1994</v>
      </c>
      <c r="B9">
        <v>18000</v>
      </c>
    </row>
    <row r="10" spans="1:2" x14ac:dyDescent="0.2">
      <c r="A10" t="s">
        <v>2041</v>
      </c>
      <c r="B10">
        <v>11770</v>
      </c>
    </row>
    <row r="11" spans="1:2" x14ac:dyDescent="0.2">
      <c r="A11" t="s">
        <v>1995</v>
      </c>
      <c r="B11">
        <v>19000</v>
      </c>
    </row>
    <row r="12" spans="1:2" x14ac:dyDescent="0.2">
      <c r="A12" t="s">
        <v>1993</v>
      </c>
      <c r="B12">
        <v>14792</v>
      </c>
    </row>
    <row r="13" spans="1:2" x14ac:dyDescent="0.2">
      <c r="A13" t="s">
        <v>1996</v>
      </c>
      <c r="B13">
        <v>21800</v>
      </c>
    </row>
    <row r="14" spans="1:2" x14ac:dyDescent="0.2">
      <c r="A14" t="s">
        <v>1992</v>
      </c>
      <c r="B14">
        <v>2100</v>
      </c>
    </row>
    <row r="15" spans="1:2" x14ac:dyDescent="0.2">
      <c r="A15" t="s">
        <v>1989</v>
      </c>
      <c r="B15">
        <v>24000</v>
      </c>
    </row>
    <row r="16" spans="1:2" x14ac:dyDescent="0.2">
      <c r="A16" t="s">
        <v>19</v>
      </c>
      <c r="B16">
        <v>241362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B9A04-113F-4419-BB26-BAF88302DB98}">
  <sheetPr codeName="גיליון3"/>
  <dimension ref="A3:B16"/>
  <sheetViews>
    <sheetView rightToLeft="1" workbookViewId="0">
      <selection activeCell="B12" sqref="B12"/>
    </sheetView>
  </sheetViews>
  <sheetFormatPr defaultRowHeight="12.75" x14ac:dyDescent="0.2"/>
  <cols>
    <col min="1" max="1" width="12.85546875" bestFit="1" customWidth="1"/>
    <col min="2" max="4" width="33.140625" bestFit="1" customWidth="1"/>
  </cols>
  <sheetData>
    <row r="3" spans="1:2" x14ac:dyDescent="0.2">
      <c r="A3" s="3" t="s">
        <v>17</v>
      </c>
      <c r="B3" t="s">
        <v>20</v>
      </c>
    </row>
    <row r="4" spans="1:2" x14ac:dyDescent="0.2">
      <c r="A4" t="s">
        <v>22</v>
      </c>
    </row>
    <row r="5" spans="1:2" x14ac:dyDescent="0.2">
      <c r="A5" t="s">
        <v>1990</v>
      </c>
      <c r="B5">
        <v>40100</v>
      </c>
    </row>
    <row r="6" spans="1:2" x14ac:dyDescent="0.2">
      <c r="A6" t="s">
        <v>2013</v>
      </c>
      <c r="B6">
        <v>9600</v>
      </c>
    </row>
    <row r="7" spans="1:2" x14ac:dyDescent="0.2">
      <c r="A7" t="s">
        <v>1998</v>
      </c>
      <c r="B7">
        <v>12540</v>
      </c>
    </row>
    <row r="8" spans="1:2" x14ac:dyDescent="0.2">
      <c r="A8" t="s">
        <v>1997</v>
      </c>
      <c r="B8">
        <v>67660</v>
      </c>
    </row>
    <row r="9" spans="1:2" x14ac:dyDescent="0.2">
      <c r="A9" t="s">
        <v>1994</v>
      </c>
      <c r="B9">
        <v>18000</v>
      </c>
    </row>
    <row r="10" spans="1:2" x14ac:dyDescent="0.2">
      <c r="A10" t="s">
        <v>2041</v>
      </c>
      <c r="B10">
        <v>11770</v>
      </c>
    </row>
    <row r="11" spans="1:2" x14ac:dyDescent="0.2">
      <c r="A11" t="s">
        <v>1995</v>
      </c>
      <c r="B11">
        <v>19000</v>
      </c>
    </row>
    <row r="12" spans="1:2" x14ac:dyDescent="0.2">
      <c r="A12" t="s">
        <v>1993</v>
      </c>
      <c r="B12">
        <v>14792</v>
      </c>
    </row>
    <row r="13" spans="1:2" x14ac:dyDescent="0.2">
      <c r="A13" t="s">
        <v>1996</v>
      </c>
      <c r="B13">
        <v>21800</v>
      </c>
    </row>
    <row r="14" spans="1:2" x14ac:dyDescent="0.2">
      <c r="A14" t="s">
        <v>1992</v>
      </c>
      <c r="B14">
        <v>2100</v>
      </c>
    </row>
    <row r="15" spans="1:2" x14ac:dyDescent="0.2">
      <c r="A15" t="s">
        <v>1989</v>
      </c>
      <c r="B15">
        <v>24000</v>
      </c>
    </row>
    <row r="16" spans="1:2" x14ac:dyDescent="0.2">
      <c r="A16" t="s">
        <v>19</v>
      </c>
      <c r="B16">
        <v>241362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22A30-50EF-4982-A7D2-4453E4E42E4B}">
  <dimension ref="A3:Q19"/>
  <sheetViews>
    <sheetView rightToLeft="1" workbookViewId="0">
      <selection activeCell="I65" sqref="I65"/>
    </sheetView>
  </sheetViews>
  <sheetFormatPr defaultRowHeight="12.75" x14ac:dyDescent="0.2"/>
  <cols>
    <col min="1" max="1" width="33.140625" bestFit="1" customWidth="1"/>
    <col min="2" max="2" width="13.5703125" bestFit="1" customWidth="1"/>
    <col min="3" max="16" width="10.140625" bestFit="1" customWidth="1"/>
    <col min="17" max="18" width="10.28515625" bestFit="1" customWidth="1"/>
  </cols>
  <sheetData>
    <row r="3" spans="1:17" x14ac:dyDescent="0.2">
      <c r="A3" s="3" t="s">
        <v>20</v>
      </c>
      <c r="B3" s="3" t="s">
        <v>1925</v>
      </c>
    </row>
    <row r="4" spans="1:17" x14ac:dyDescent="0.2">
      <c r="A4" s="3" t="s">
        <v>17</v>
      </c>
      <c r="B4" s="26">
        <v>45962</v>
      </c>
      <c r="C4" s="26">
        <v>45963</v>
      </c>
      <c r="D4" s="26">
        <v>45964</v>
      </c>
      <c r="E4" s="26">
        <v>45965</v>
      </c>
      <c r="F4" s="26">
        <v>45966</v>
      </c>
      <c r="G4" s="26">
        <v>45967</v>
      </c>
      <c r="H4" s="26">
        <v>45968</v>
      </c>
      <c r="I4" s="26">
        <v>45969</v>
      </c>
      <c r="J4" s="26">
        <v>45970</v>
      </c>
      <c r="K4" s="26">
        <v>45971</v>
      </c>
      <c r="L4" s="26">
        <v>45972</v>
      </c>
      <c r="M4" s="26">
        <v>45973</v>
      </c>
      <c r="N4" s="26">
        <v>45974</v>
      </c>
      <c r="O4" s="26">
        <v>45975</v>
      </c>
      <c r="P4" s="26">
        <v>45976</v>
      </c>
      <c r="Q4" t="s">
        <v>19</v>
      </c>
    </row>
    <row r="5" spans="1:17" x14ac:dyDescent="0.2">
      <c r="A5" s="6">
        <v>1</v>
      </c>
      <c r="B5" s="116">
        <v>9216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>
        <v>9216</v>
      </c>
    </row>
    <row r="6" spans="1:17" x14ac:dyDescent="0.2">
      <c r="A6" s="6">
        <v>5</v>
      </c>
      <c r="B6" s="116">
        <v>12000</v>
      </c>
      <c r="C6" s="116">
        <v>17040</v>
      </c>
      <c r="D6" s="116">
        <v>31200</v>
      </c>
      <c r="E6" s="116">
        <v>13200</v>
      </c>
      <c r="F6" s="116">
        <v>31900</v>
      </c>
      <c r="G6" s="116">
        <v>21000</v>
      </c>
      <c r="H6" s="116">
        <v>48000</v>
      </c>
      <c r="I6" s="116">
        <v>26700</v>
      </c>
      <c r="J6" s="116">
        <v>35400</v>
      </c>
      <c r="K6" s="116">
        <v>50400</v>
      </c>
      <c r="L6" s="116">
        <v>58200</v>
      </c>
      <c r="M6" s="116">
        <v>48000</v>
      </c>
      <c r="N6" s="116">
        <v>2000</v>
      </c>
      <c r="O6" s="116">
        <v>15600</v>
      </c>
      <c r="P6" s="116">
        <v>9600</v>
      </c>
      <c r="Q6" s="116">
        <v>420240</v>
      </c>
    </row>
    <row r="7" spans="1:17" x14ac:dyDescent="0.2">
      <c r="A7" s="6">
        <v>10</v>
      </c>
      <c r="B7" s="116"/>
      <c r="C7" s="116">
        <v>10800</v>
      </c>
      <c r="D7" s="116"/>
      <c r="E7" s="116"/>
      <c r="F7" s="116"/>
      <c r="G7" s="116"/>
      <c r="H7" s="116"/>
      <c r="I7" s="116">
        <v>21000</v>
      </c>
      <c r="J7" s="116"/>
      <c r="K7" s="116"/>
      <c r="L7" s="116"/>
      <c r="M7" s="116"/>
      <c r="N7" s="116"/>
      <c r="O7" s="116">
        <v>12000</v>
      </c>
      <c r="P7" s="116">
        <v>24000</v>
      </c>
      <c r="Q7" s="116">
        <v>67800</v>
      </c>
    </row>
    <row r="8" spans="1:17" x14ac:dyDescent="0.2">
      <c r="A8" s="6">
        <v>19</v>
      </c>
      <c r="B8" s="116">
        <v>8160</v>
      </c>
      <c r="C8" s="116">
        <v>20640</v>
      </c>
      <c r="D8" s="116">
        <v>66240</v>
      </c>
      <c r="E8" s="116">
        <v>14640</v>
      </c>
      <c r="F8" s="116">
        <v>37440</v>
      </c>
      <c r="G8" s="116">
        <v>10800</v>
      </c>
      <c r="H8" s="116">
        <v>5040</v>
      </c>
      <c r="I8" s="116">
        <v>5760</v>
      </c>
      <c r="J8" s="116">
        <v>11520</v>
      </c>
      <c r="K8" s="116">
        <v>23280</v>
      </c>
      <c r="L8" s="116">
        <v>44160</v>
      </c>
      <c r="M8" s="116">
        <v>73320</v>
      </c>
      <c r="N8" s="116">
        <v>51300</v>
      </c>
      <c r="O8" s="116">
        <v>55065</v>
      </c>
      <c r="P8" s="116">
        <v>67660</v>
      </c>
      <c r="Q8" s="116">
        <v>495025</v>
      </c>
    </row>
    <row r="9" spans="1:17" x14ac:dyDescent="0.2">
      <c r="A9" s="6">
        <v>23</v>
      </c>
      <c r="B9" s="116">
        <v>7000</v>
      </c>
      <c r="C9" s="116">
        <v>60080</v>
      </c>
      <c r="D9" s="116">
        <v>33000</v>
      </c>
      <c r="E9" s="116">
        <v>16840</v>
      </c>
      <c r="F9" s="116">
        <v>17000</v>
      </c>
      <c r="G9" s="116">
        <v>14840</v>
      </c>
      <c r="H9" s="116">
        <v>24400</v>
      </c>
      <c r="I9" s="116">
        <v>53400</v>
      </c>
      <c r="J9" s="116">
        <v>47550</v>
      </c>
      <c r="K9" s="116">
        <v>12000</v>
      </c>
      <c r="L9" s="116">
        <v>12000</v>
      </c>
      <c r="M9" s="116">
        <v>34960</v>
      </c>
      <c r="N9" s="116">
        <v>24000</v>
      </c>
      <c r="O9" s="116">
        <v>30960</v>
      </c>
      <c r="P9" s="116">
        <v>19000</v>
      </c>
      <c r="Q9" s="116">
        <v>407030</v>
      </c>
    </row>
    <row r="10" spans="1:17" x14ac:dyDescent="0.2">
      <c r="A10" s="6">
        <v>28</v>
      </c>
      <c r="B10" s="116">
        <v>33000</v>
      </c>
      <c r="C10" s="116">
        <v>40000</v>
      </c>
      <c r="D10" s="116">
        <v>14000</v>
      </c>
      <c r="E10" s="116">
        <v>70400</v>
      </c>
      <c r="F10" s="116">
        <v>57800</v>
      </c>
      <c r="G10" s="116">
        <v>35200</v>
      </c>
      <c r="H10" s="116">
        <v>62632</v>
      </c>
      <c r="I10" s="116">
        <v>51600</v>
      </c>
      <c r="J10" s="116">
        <v>73800</v>
      </c>
      <c r="K10" s="116">
        <v>62600</v>
      </c>
      <c r="L10" s="116">
        <v>34800</v>
      </c>
      <c r="M10" s="116">
        <v>66600</v>
      </c>
      <c r="N10" s="116">
        <v>49400</v>
      </c>
      <c r="O10" s="116">
        <v>46900</v>
      </c>
      <c r="P10" s="116">
        <v>38700</v>
      </c>
      <c r="Q10" s="116">
        <v>737432</v>
      </c>
    </row>
    <row r="11" spans="1:17" x14ac:dyDescent="0.2">
      <c r="A11" s="6" t="s">
        <v>1646</v>
      </c>
      <c r="B11" s="116">
        <v>11920</v>
      </c>
      <c r="C11" s="116">
        <v>4000</v>
      </c>
      <c r="D11" s="116">
        <v>8000</v>
      </c>
      <c r="E11" s="116"/>
      <c r="F11" s="116">
        <v>8000</v>
      </c>
      <c r="G11" s="116">
        <v>7000</v>
      </c>
      <c r="H11" s="116">
        <v>5000</v>
      </c>
      <c r="I11" s="116">
        <v>6450</v>
      </c>
      <c r="J11" s="116">
        <v>2000</v>
      </c>
      <c r="K11" s="116">
        <v>15000</v>
      </c>
      <c r="L11" s="116">
        <v>14000</v>
      </c>
      <c r="M11" s="116">
        <v>7000</v>
      </c>
      <c r="N11" s="116"/>
      <c r="O11" s="116">
        <v>8000</v>
      </c>
      <c r="P11" s="116">
        <v>11770</v>
      </c>
      <c r="Q11" s="116">
        <v>108140</v>
      </c>
    </row>
    <row r="12" spans="1:17" x14ac:dyDescent="0.2">
      <c r="A12" s="6" t="s">
        <v>85</v>
      </c>
      <c r="B12" s="116"/>
      <c r="C12" s="116">
        <v>3300</v>
      </c>
      <c r="D12" s="116"/>
      <c r="E12" s="116"/>
      <c r="F12" s="116">
        <v>1650</v>
      </c>
      <c r="G12" s="116">
        <v>1650</v>
      </c>
      <c r="H12" s="116">
        <v>1650</v>
      </c>
      <c r="I12" s="116"/>
      <c r="J12" s="116">
        <v>1650</v>
      </c>
      <c r="K12" s="116">
        <v>1650</v>
      </c>
      <c r="L12" s="116"/>
      <c r="M12" s="116">
        <v>3300</v>
      </c>
      <c r="N12" s="116">
        <v>1650</v>
      </c>
      <c r="O12" s="116"/>
      <c r="P12" s="116"/>
      <c r="Q12" s="116">
        <v>16500</v>
      </c>
    </row>
    <row r="13" spans="1:17" x14ac:dyDescent="0.2">
      <c r="A13" s="6" t="s">
        <v>71</v>
      </c>
      <c r="B13" s="116">
        <v>33000</v>
      </c>
      <c r="C13" s="116">
        <v>22650</v>
      </c>
      <c r="D13" s="116">
        <v>8000</v>
      </c>
      <c r="E13" s="116"/>
      <c r="F13" s="116">
        <v>9600</v>
      </c>
      <c r="G13" s="116">
        <v>8000</v>
      </c>
      <c r="H13" s="116"/>
      <c r="I13" s="116">
        <v>7000</v>
      </c>
      <c r="J13" s="116">
        <v>7500</v>
      </c>
      <c r="K13" s="116"/>
      <c r="L13" s="116"/>
      <c r="M13" s="116"/>
      <c r="N13" s="116"/>
      <c r="O13" s="116">
        <v>9400</v>
      </c>
      <c r="P13" s="116">
        <v>6800</v>
      </c>
      <c r="Q13" s="116">
        <v>111950</v>
      </c>
    </row>
    <row r="14" spans="1:17" x14ac:dyDescent="0.2">
      <c r="A14" s="6" t="s">
        <v>72</v>
      </c>
      <c r="B14" s="116"/>
      <c r="C14" s="116"/>
      <c r="D14" s="116"/>
      <c r="E14" s="116">
        <v>7920</v>
      </c>
      <c r="F14" s="116"/>
      <c r="G14" s="116"/>
      <c r="H14" s="116"/>
      <c r="I14" s="116"/>
      <c r="J14" s="116">
        <v>3600</v>
      </c>
      <c r="K14" s="116"/>
      <c r="L14" s="116"/>
      <c r="M14" s="116"/>
      <c r="N14" s="116"/>
      <c r="O14" s="116">
        <v>6480</v>
      </c>
      <c r="P14" s="116"/>
      <c r="Q14" s="116">
        <v>18000</v>
      </c>
    </row>
    <row r="15" spans="1:17" x14ac:dyDescent="0.2">
      <c r="A15" s="6" t="s">
        <v>81</v>
      </c>
      <c r="B15" s="116"/>
      <c r="C15" s="116">
        <v>59400</v>
      </c>
      <c r="D15" s="116">
        <v>21500</v>
      </c>
      <c r="E15" s="116">
        <v>14100</v>
      </c>
      <c r="F15" s="116">
        <v>27900</v>
      </c>
      <c r="G15" s="116">
        <v>21000</v>
      </c>
      <c r="H15" s="116"/>
      <c r="I15" s="116"/>
      <c r="J15" s="116">
        <v>58200</v>
      </c>
      <c r="K15" s="116">
        <v>31200</v>
      </c>
      <c r="L15" s="116"/>
      <c r="M15" s="116">
        <v>44100</v>
      </c>
      <c r="N15" s="116">
        <v>21000</v>
      </c>
      <c r="O15" s="116">
        <v>26100</v>
      </c>
      <c r="P15" s="116">
        <v>6600</v>
      </c>
      <c r="Q15" s="116">
        <v>331100</v>
      </c>
    </row>
    <row r="16" spans="1:17" x14ac:dyDescent="0.2">
      <c r="A16" s="6" t="s">
        <v>77</v>
      </c>
      <c r="B16" s="116"/>
      <c r="C16" s="116"/>
      <c r="D16" s="116">
        <v>3600</v>
      </c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>
        <v>3600</v>
      </c>
    </row>
    <row r="17" spans="1:17" x14ac:dyDescent="0.2">
      <c r="A17" s="6" t="s">
        <v>79</v>
      </c>
      <c r="B17" s="116"/>
      <c r="C17" s="116">
        <v>3000</v>
      </c>
      <c r="D17" s="116">
        <v>2000</v>
      </c>
      <c r="E17" s="116">
        <v>1500</v>
      </c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>
        <v>1500</v>
      </c>
      <c r="Q17" s="116">
        <v>8000</v>
      </c>
    </row>
    <row r="18" spans="1:17" x14ac:dyDescent="0.2">
      <c r="A18" s="6" t="s">
        <v>83</v>
      </c>
      <c r="B18" s="116">
        <v>3832</v>
      </c>
      <c r="C18" s="116">
        <v>11170</v>
      </c>
      <c r="D18" s="116">
        <v>3951</v>
      </c>
      <c r="E18" s="116">
        <v>3878</v>
      </c>
      <c r="F18" s="116">
        <v>3888</v>
      </c>
      <c r="G18" s="116">
        <v>8095</v>
      </c>
      <c r="H18" s="116">
        <v>3906</v>
      </c>
      <c r="I18" s="116">
        <v>7937</v>
      </c>
      <c r="J18" s="116">
        <v>4881</v>
      </c>
      <c r="K18" s="116">
        <v>12129</v>
      </c>
      <c r="L18" s="116">
        <v>3880</v>
      </c>
      <c r="M18" s="116">
        <v>8174</v>
      </c>
      <c r="N18" s="116">
        <v>3852</v>
      </c>
      <c r="O18" s="116">
        <v>3600</v>
      </c>
      <c r="P18" s="116">
        <v>7425</v>
      </c>
      <c r="Q18" s="116">
        <v>90598</v>
      </c>
    </row>
    <row r="19" spans="1:17" x14ac:dyDescent="0.2">
      <c r="A19" s="6" t="s">
        <v>19</v>
      </c>
      <c r="B19" s="116">
        <v>118128</v>
      </c>
      <c r="C19" s="116">
        <v>252080</v>
      </c>
      <c r="D19" s="116">
        <v>191491</v>
      </c>
      <c r="E19" s="116">
        <v>142478</v>
      </c>
      <c r="F19" s="116">
        <v>195178</v>
      </c>
      <c r="G19" s="116">
        <v>127585</v>
      </c>
      <c r="H19" s="116">
        <v>150628</v>
      </c>
      <c r="I19" s="116">
        <v>179847</v>
      </c>
      <c r="J19" s="116">
        <v>246101</v>
      </c>
      <c r="K19" s="116">
        <v>208259</v>
      </c>
      <c r="L19" s="116">
        <v>167040</v>
      </c>
      <c r="M19" s="116">
        <v>285454</v>
      </c>
      <c r="N19" s="116">
        <v>153202</v>
      </c>
      <c r="O19" s="116">
        <v>214105</v>
      </c>
      <c r="P19" s="116">
        <v>193055</v>
      </c>
      <c r="Q19" s="116">
        <v>2824631</v>
      </c>
    </row>
  </sheetData>
  <pageMargins left="0.7" right="0.7" top="0.75" bottom="0.75" header="0.3" footer="0.3"/>
  <pageSetup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0107-B96C-4AC5-B259-D2D78762B2E9}">
  <sheetPr codeName="גיליון6"/>
  <dimension ref="A2:C30"/>
  <sheetViews>
    <sheetView rightToLeft="1" workbookViewId="0">
      <selection activeCell="C15" sqref="C15"/>
    </sheetView>
  </sheetViews>
  <sheetFormatPr defaultRowHeight="12.75" x14ac:dyDescent="0.2"/>
  <cols>
    <col min="1" max="1" width="15.140625" bestFit="1" customWidth="1"/>
    <col min="2" max="2" width="12" bestFit="1" customWidth="1"/>
    <col min="3" max="4" width="33.140625" bestFit="1" customWidth="1"/>
  </cols>
  <sheetData>
    <row r="2" spans="1:3" x14ac:dyDescent="0.2">
      <c r="A2" s="3" t="s">
        <v>14</v>
      </c>
      <c r="B2" s="6" t="s">
        <v>2052</v>
      </c>
    </row>
    <row r="4" spans="1:3" x14ac:dyDescent="0.2">
      <c r="A4" s="3" t="s">
        <v>17</v>
      </c>
      <c r="B4" s="3" t="s">
        <v>0</v>
      </c>
      <c r="C4" t="s">
        <v>20</v>
      </c>
    </row>
    <row r="5" spans="1:3" x14ac:dyDescent="0.2">
      <c r="A5" s="26" t="s">
        <v>22</v>
      </c>
      <c r="B5" t="s">
        <v>22</v>
      </c>
    </row>
    <row r="6" spans="1:3" x14ac:dyDescent="0.2">
      <c r="A6" s="26">
        <v>45976</v>
      </c>
      <c r="B6">
        <v>10000000442</v>
      </c>
      <c r="C6">
        <v>47500</v>
      </c>
    </row>
    <row r="7" spans="1:3" x14ac:dyDescent="0.2">
      <c r="B7">
        <v>30000000076</v>
      </c>
      <c r="C7">
        <v>6600</v>
      </c>
    </row>
    <row r="8" spans="1:3" x14ac:dyDescent="0.2">
      <c r="B8">
        <v>30000000084</v>
      </c>
      <c r="C8">
        <v>1500</v>
      </c>
    </row>
    <row r="9" spans="1:3" x14ac:dyDescent="0.2">
      <c r="B9">
        <v>30000000113</v>
      </c>
      <c r="C9">
        <v>9900</v>
      </c>
    </row>
    <row r="10" spans="1:3" x14ac:dyDescent="0.2">
      <c r="B10">
        <v>50000000049</v>
      </c>
      <c r="C10">
        <v>3000</v>
      </c>
    </row>
    <row r="11" spans="1:3" x14ac:dyDescent="0.2">
      <c r="B11">
        <v>50000000056</v>
      </c>
      <c r="C11">
        <v>1740</v>
      </c>
    </row>
    <row r="12" spans="1:3" x14ac:dyDescent="0.2">
      <c r="B12">
        <v>50000000072</v>
      </c>
      <c r="C12">
        <v>2100</v>
      </c>
    </row>
    <row r="13" spans="1:3" x14ac:dyDescent="0.2">
      <c r="B13">
        <v>50000000077</v>
      </c>
      <c r="C13">
        <v>8820</v>
      </c>
    </row>
    <row r="14" spans="1:3" x14ac:dyDescent="0.2">
      <c r="B14">
        <v>50000000108</v>
      </c>
      <c r="C14">
        <v>15000</v>
      </c>
    </row>
    <row r="15" spans="1:3" x14ac:dyDescent="0.2">
      <c r="B15">
        <v>10000000401</v>
      </c>
      <c r="C15">
        <v>20160</v>
      </c>
    </row>
    <row r="16" spans="1:3" x14ac:dyDescent="0.2">
      <c r="B16">
        <v>20000000683</v>
      </c>
      <c r="C16">
        <v>6800</v>
      </c>
    </row>
    <row r="17" spans="1:3" x14ac:dyDescent="0.2">
      <c r="B17">
        <v>30000000097</v>
      </c>
      <c r="C17">
        <v>5115</v>
      </c>
    </row>
    <row r="18" spans="1:3" x14ac:dyDescent="0.2">
      <c r="B18">
        <v>10000002484</v>
      </c>
      <c r="C18">
        <v>24000</v>
      </c>
    </row>
    <row r="19" spans="1:3" x14ac:dyDescent="0.2">
      <c r="B19">
        <v>20000000778</v>
      </c>
      <c r="C19">
        <v>11000</v>
      </c>
    </row>
    <row r="20" spans="1:3" x14ac:dyDescent="0.2">
      <c r="B20">
        <v>50000001441</v>
      </c>
      <c r="C20">
        <v>1232</v>
      </c>
    </row>
    <row r="21" spans="1:3" x14ac:dyDescent="0.2">
      <c r="B21">
        <v>10000011550</v>
      </c>
      <c r="C21">
        <v>3770</v>
      </c>
    </row>
    <row r="22" spans="1:3" x14ac:dyDescent="0.2">
      <c r="B22">
        <v>50000000082</v>
      </c>
      <c r="C22">
        <v>7425</v>
      </c>
    </row>
    <row r="23" spans="1:3" x14ac:dyDescent="0.2">
      <c r="B23">
        <v>20000005837</v>
      </c>
      <c r="C23">
        <v>15000</v>
      </c>
    </row>
    <row r="24" spans="1:3" x14ac:dyDescent="0.2">
      <c r="B24">
        <v>10000000898</v>
      </c>
      <c r="C24">
        <v>9600</v>
      </c>
    </row>
    <row r="25" spans="1:3" x14ac:dyDescent="0.2">
      <c r="B25">
        <v>20000000387</v>
      </c>
      <c r="C25">
        <v>8000</v>
      </c>
    </row>
    <row r="26" spans="1:3" x14ac:dyDescent="0.2">
      <c r="B26">
        <v>20000006541</v>
      </c>
      <c r="C26">
        <v>15000</v>
      </c>
    </row>
    <row r="27" spans="1:3" x14ac:dyDescent="0.2">
      <c r="B27">
        <v>10000001150</v>
      </c>
      <c r="C27">
        <v>1400</v>
      </c>
    </row>
    <row r="28" spans="1:3" x14ac:dyDescent="0.2">
      <c r="B28">
        <v>20000000436</v>
      </c>
      <c r="C28">
        <v>8000</v>
      </c>
    </row>
    <row r="29" spans="1:3" x14ac:dyDescent="0.2">
      <c r="B29">
        <v>20000000805</v>
      </c>
      <c r="C29">
        <v>8700</v>
      </c>
    </row>
    <row r="30" spans="1:3" x14ac:dyDescent="0.2">
      <c r="A30" s="26" t="s">
        <v>19</v>
      </c>
      <c r="C30">
        <v>241362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A0384-8F28-4A88-B914-0A483A9E2122}">
  <sheetPr codeName="גיליון4"/>
  <dimension ref="A1:J1646"/>
  <sheetViews>
    <sheetView rightToLeft="1" zoomScale="90" zoomScaleNormal="90" workbookViewId="0">
      <pane ySplit="1" topLeftCell="A1220" activePane="bottomLeft" state="frozen"/>
      <selection pane="bottomLeft" activeCell="A2" sqref="A2:G1262"/>
    </sheetView>
  </sheetViews>
  <sheetFormatPr defaultColWidth="9.140625" defaultRowHeight="14.25" x14ac:dyDescent="0.2"/>
  <cols>
    <col min="1" max="1" width="16.28515625" style="69" bestFit="1" customWidth="1"/>
    <col min="2" max="2" width="18.85546875" style="69" customWidth="1"/>
    <col min="3" max="3" width="20.5703125" style="100" customWidth="1"/>
    <col min="4" max="4" width="14.42578125" style="69" customWidth="1"/>
    <col min="5" max="5" width="14" style="69" customWidth="1"/>
    <col min="6" max="6" width="17.7109375" style="69" bestFit="1" customWidth="1"/>
    <col min="7" max="7" width="53.85546875" style="69" bestFit="1" customWidth="1"/>
    <col min="8" max="8" width="9.140625" style="69" bestFit="1" customWidth="1"/>
    <col min="9" max="9" width="22.140625" style="69" bestFit="1" customWidth="1"/>
    <col min="10" max="10" width="16.5703125" style="69" bestFit="1" customWidth="1"/>
    <col min="11" max="16384" width="9.140625" style="69"/>
  </cols>
  <sheetData>
    <row r="1" spans="1:10" x14ac:dyDescent="0.2">
      <c r="A1" s="69" t="s">
        <v>1230</v>
      </c>
      <c r="B1" s="69" t="s">
        <v>1229</v>
      </c>
      <c r="C1" s="100" t="s">
        <v>1228</v>
      </c>
      <c r="D1" s="69" t="s">
        <v>1227</v>
      </c>
      <c r="E1" s="69" t="s">
        <v>1226</v>
      </c>
      <c r="F1" s="69" t="s">
        <v>1225</v>
      </c>
      <c r="G1" s="69" t="s">
        <v>1224</v>
      </c>
      <c r="H1" s="69" t="s">
        <v>1223</v>
      </c>
      <c r="I1" s="69" t="s">
        <v>1222</v>
      </c>
      <c r="J1" s="69" t="s">
        <v>1221</v>
      </c>
    </row>
    <row r="2" spans="1:10" x14ac:dyDescent="0.2">
      <c r="A2" s="69">
        <v>10000000160</v>
      </c>
      <c r="B2" s="69" t="s">
        <v>262</v>
      </c>
      <c r="C2" s="100">
        <v>20</v>
      </c>
      <c r="D2" s="69" t="e">
        <v>#N/A</v>
      </c>
      <c r="E2" s="69" t="e">
        <v>#N/A</v>
      </c>
      <c r="F2" s="69" t="s">
        <v>246</v>
      </c>
      <c r="G2" s="69" t="s">
        <v>1220</v>
      </c>
      <c r="H2" s="69">
        <v>0</v>
      </c>
      <c r="I2" s="69" t="s">
        <v>261</v>
      </c>
      <c r="J2" s="69">
        <v>42</v>
      </c>
    </row>
    <row r="3" spans="1:10" x14ac:dyDescent="0.2">
      <c r="A3" s="69">
        <v>10000000161</v>
      </c>
      <c r="B3" s="69" t="s">
        <v>262</v>
      </c>
      <c r="C3" s="100">
        <v>10</v>
      </c>
      <c r="D3" s="69" t="e">
        <v>#N/A</v>
      </c>
      <c r="E3" s="69" t="e">
        <v>#N/A</v>
      </c>
      <c r="F3" s="69" t="s">
        <v>246</v>
      </c>
      <c r="G3" s="69" t="s">
        <v>1219</v>
      </c>
      <c r="H3" s="69">
        <v>0</v>
      </c>
      <c r="I3" s="69" t="s">
        <v>261</v>
      </c>
      <c r="J3" s="69">
        <v>42</v>
      </c>
    </row>
    <row r="4" spans="1:10" x14ac:dyDescent="0.2">
      <c r="A4" s="69">
        <v>10000000162</v>
      </c>
      <c r="B4" s="69" t="s">
        <v>262</v>
      </c>
      <c r="C4" s="100">
        <v>20</v>
      </c>
      <c r="D4" s="69" t="e">
        <v>#N/A</v>
      </c>
      <c r="E4" s="69" t="e">
        <v>#N/A</v>
      </c>
      <c r="F4" s="69" t="s">
        <v>246</v>
      </c>
      <c r="G4" s="69" t="s">
        <v>1218</v>
      </c>
      <c r="H4" s="69">
        <v>0</v>
      </c>
      <c r="I4" s="69" t="s">
        <v>261</v>
      </c>
      <c r="J4" s="69">
        <v>42</v>
      </c>
    </row>
    <row r="5" spans="1:10" x14ac:dyDescent="0.2">
      <c r="A5" s="69">
        <v>10000000163</v>
      </c>
      <c r="B5" s="69" t="s">
        <v>262</v>
      </c>
      <c r="C5" s="100">
        <v>20</v>
      </c>
      <c r="D5" s="69" t="e">
        <v>#N/A</v>
      </c>
      <c r="E5" s="69" t="e">
        <v>#N/A</v>
      </c>
      <c r="F5" s="69" t="s">
        <v>246</v>
      </c>
      <c r="G5" s="69" t="s">
        <v>1217</v>
      </c>
      <c r="H5" s="69">
        <v>0</v>
      </c>
      <c r="I5" s="69" t="s">
        <v>261</v>
      </c>
      <c r="J5" s="69">
        <v>42</v>
      </c>
    </row>
    <row r="6" spans="1:10" x14ac:dyDescent="0.2">
      <c r="A6" s="69">
        <v>10000000164</v>
      </c>
      <c r="B6" s="69" t="s">
        <v>262</v>
      </c>
      <c r="C6" s="100">
        <v>20</v>
      </c>
      <c r="D6" s="69" t="e">
        <v>#N/A</v>
      </c>
      <c r="E6" s="69" t="e">
        <v>#N/A</v>
      </c>
      <c r="F6" s="69" t="s">
        <v>246</v>
      </c>
      <c r="G6" s="69" t="s">
        <v>1216</v>
      </c>
      <c r="H6" s="69">
        <v>0</v>
      </c>
      <c r="I6" s="69" t="s">
        <v>261</v>
      </c>
      <c r="J6" s="69">
        <v>42</v>
      </c>
    </row>
    <row r="7" spans="1:10" x14ac:dyDescent="0.2">
      <c r="A7" s="69">
        <v>10000000165</v>
      </c>
      <c r="C7" s="69">
        <v>23</v>
      </c>
      <c r="G7" s="69" t="s">
        <v>1215</v>
      </c>
      <c r="J7" s="69">
        <v>23</v>
      </c>
    </row>
    <row r="8" spans="1:10" x14ac:dyDescent="0.2">
      <c r="A8" s="69">
        <v>10000000169</v>
      </c>
      <c r="B8" s="69">
        <v>10</v>
      </c>
      <c r="C8" s="100">
        <v>10</v>
      </c>
      <c r="D8" s="69" t="e">
        <v>#N/A</v>
      </c>
      <c r="E8" s="69" t="e">
        <v>#N/A</v>
      </c>
      <c r="F8" s="69" t="s">
        <v>246</v>
      </c>
      <c r="G8" t="s">
        <v>1213</v>
      </c>
      <c r="H8" s="69">
        <v>8</v>
      </c>
      <c r="I8" s="69" t="s">
        <v>269</v>
      </c>
      <c r="J8" s="69">
        <v>42</v>
      </c>
    </row>
    <row r="9" spans="1:10" x14ac:dyDescent="0.2">
      <c r="A9" s="69">
        <v>10000000170</v>
      </c>
      <c r="C9" s="100">
        <v>10</v>
      </c>
      <c r="D9" s="69" t="e">
        <v>#N/A</v>
      </c>
      <c r="E9" s="69" t="e">
        <v>#N/A</v>
      </c>
      <c r="F9" s="69" t="s">
        <v>246</v>
      </c>
      <c r="G9" t="s">
        <v>100</v>
      </c>
      <c r="H9" s="69">
        <v>8</v>
      </c>
      <c r="I9" s="69" t="s">
        <v>260</v>
      </c>
      <c r="J9" s="69">
        <v>42</v>
      </c>
    </row>
    <row r="10" spans="1:10" x14ac:dyDescent="0.2">
      <c r="A10" s="69">
        <v>10000000179</v>
      </c>
      <c r="B10" s="69" t="s">
        <v>262</v>
      </c>
      <c r="C10" s="100">
        <v>10</v>
      </c>
      <c r="D10" s="69" t="s">
        <v>1238</v>
      </c>
      <c r="E10" s="69" t="s">
        <v>1242</v>
      </c>
      <c r="F10" s="69" t="s">
        <v>246</v>
      </c>
      <c r="G10" s="69" t="s">
        <v>1214</v>
      </c>
      <c r="H10" s="69">
        <v>0</v>
      </c>
      <c r="I10" s="69" t="s">
        <v>261</v>
      </c>
      <c r="J10" s="69">
        <v>42</v>
      </c>
    </row>
    <row r="11" spans="1:10" x14ac:dyDescent="0.2">
      <c r="A11" s="69">
        <v>10000000180</v>
      </c>
      <c r="C11" s="100">
        <v>19</v>
      </c>
      <c r="G11" s="69" t="s">
        <v>1206</v>
      </c>
      <c r="J11" s="69">
        <v>19</v>
      </c>
    </row>
    <row r="12" spans="1:10" x14ac:dyDescent="0.2">
      <c r="A12" s="69">
        <v>10000000181</v>
      </c>
      <c r="C12" s="100">
        <v>19</v>
      </c>
      <c r="G12" s="69" t="s">
        <v>1205</v>
      </c>
      <c r="J12" s="69">
        <v>19</v>
      </c>
    </row>
    <row r="13" spans="1:10" x14ac:dyDescent="0.2">
      <c r="A13" s="69">
        <v>10000000182</v>
      </c>
      <c r="C13" s="100">
        <v>19</v>
      </c>
      <c r="G13" s="69" t="s">
        <v>1204</v>
      </c>
      <c r="J13" s="69">
        <v>19</v>
      </c>
    </row>
    <row r="14" spans="1:10" x14ac:dyDescent="0.2">
      <c r="A14" s="69">
        <v>10000000185</v>
      </c>
      <c r="C14" s="100">
        <v>19</v>
      </c>
      <c r="G14" s="69" t="s">
        <v>1203</v>
      </c>
      <c r="J14" s="69">
        <v>19</v>
      </c>
    </row>
    <row r="15" spans="1:10" x14ac:dyDescent="0.2">
      <c r="A15" s="69">
        <v>10000000186</v>
      </c>
      <c r="C15" s="100">
        <v>19</v>
      </c>
      <c r="G15" s="69" t="s">
        <v>1202</v>
      </c>
      <c r="J15" s="69">
        <v>19</v>
      </c>
    </row>
    <row r="16" spans="1:10" x14ac:dyDescent="0.2">
      <c r="A16" s="69">
        <v>10000000191</v>
      </c>
      <c r="B16" s="69" t="s">
        <v>220</v>
      </c>
      <c r="C16" s="100" t="s">
        <v>220</v>
      </c>
      <c r="D16" s="69" t="e">
        <v>#N/A</v>
      </c>
      <c r="E16" s="69" t="e">
        <v>#N/A</v>
      </c>
      <c r="F16" s="69" t="s">
        <v>246</v>
      </c>
      <c r="G16" s="69" t="s">
        <v>1212</v>
      </c>
      <c r="H16" s="69">
        <v>0</v>
      </c>
      <c r="I16" s="69" t="s">
        <v>247</v>
      </c>
      <c r="J16" s="69">
        <v>42</v>
      </c>
    </row>
    <row r="17" spans="1:10" x14ac:dyDescent="0.2">
      <c r="A17" s="69">
        <v>10000000192</v>
      </c>
      <c r="B17" s="69" t="s">
        <v>262</v>
      </c>
      <c r="C17" s="100">
        <v>5</v>
      </c>
      <c r="D17" s="69" t="e">
        <v>#N/A</v>
      </c>
      <c r="E17" s="69" t="e">
        <v>#N/A</v>
      </c>
      <c r="F17" s="69" t="s">
        <v>246</v>
      </c>
      <c r="G17" s="69" t="s">
        <v>1211</v>
      </c>
      <c r="H17" s="69">
        <v>0</v>
      </c>
      <c r="I17" s="69" t="s">
        <v>261</v>
      </c>
      <c r="J17" s="69">
        <v>42</v>
      </c>
    </row>
    <row r="18" spans="1:10" x14ac:dyDescent="0.2">
      <c r="A18" s="69">
        <v>10000000193</v>
      </c>
      <c r="B18" s="69" t="s">
        <v>262</v>
      </c>
      <c r="C18" s="100">
        <v>20</v>
      </c>
      <c r="D18" s="69" t="s">
        <v>1240</v>
      </c>
      <c r="E18" s="69" t="s">
        <v>1241</v>
      </c>
      <c r="G18" s="69" t="s">
        <v>1210</v>
      </c>
      <c r="H18" s="69">
        <v>0</v>
      </c>
      <c r="I18" s="69" t="s">
        <v>261</v>
      </c>
      <c r="J18" s="69">
        <v>42</v>
      </c>
    </row>
    <row r="19" spans="1:10" x14ac:dyDescent="0.2">
      <c r="A19" s="69">
        <v>10000000194</v>
      </c>
      <c r="B19" s="69" t="s">
        <v>262</v>
      </c>
      <c r="C19" s="100">
        <v>20</v>
      </c>
      <c r="D19" s="69" t="e">
        <v>#N/A</v>
      </c>
      <c r="E19" s="69" t="e">
        <v>#N/A</v>
      </c>
      <c r="F19" s="69" t="s">
        <v>275</v>
      </c>
      <c r="G19" s="69" t="s">
        <v>1209</v>
      </c>
      <c r="H19" s="69">
        <v>0</v>
      </c>
      <c r="I19" s="69" t="s">
        <v>261</v>
      </c>
      <c r="J19" s="69">
        <v>42</v>
      </c>
    </row>
    <row r="20" spans="1:10" x14ac:dyDescent="0.2">
      <c r="A20" s="69">
        <v>10000000195</v>
      </c>
      <c r="B20" s="69" t="s">
        <v>262</v>
      </c>
      <c r="C20" s="100">
        <v>20</v>
      </c>
      <c r="D20" s="69" t="s">
        <v>1240</v>
      </c>
      <c r="E20" s="69" t="s">
        <v>1241</v>
      </c>
      <c r="F20" s="69" t="s">
        <v>275</v>
      </c>
      <c r="G20" s="69" t="s">
        <v>1208</v>
      </c>
      <c r="H20" s="69">
        <v>0</v>
      </c>
      <c r="I20" s="69" t="s">
        <v>261</v>
      </c>
      <c r="J20" s="69">
        <v>42</v>
      </c>
    </row>
    <row r="21" spans="1:10" x14ac:dyDescent="0.2">
      <c r="A21" s="69">
        <v>10000000196</v>
      </c>
      <c r="B21" s="69" t="s">
        <v>262</v>
      </c>
      <c r="C21" s="100">
        <v>20</v>
      </c>
      <c r="D21" s="69" t="e">
        <v>#N/A</v>
      </c>
      <c r="E21" s="69" t="e">
        <v>#N/A</v>
      </c>
      <c r="F21" s="69" t="s">
        <v>275</v>
      </c>
      <c r="G21" s="69" t="s">
        <v>1207</v>
      </c>
      <c r="H21" s="69">
        <v>0</v>
      </c>
      <c r="I21" s="69" t="s">
        <v>261</v>
      </c>
      <c r="J21" s="69">
        <v>42</v>
      </c>
    </row>
    <row r="22" spans="1:10" x14ac:dyDescent="0.2">
      <c r="A22" s="69">
        <v>10000000213</v>
      </c>
      <c r="B22" s="69" t="s">
        <v>221</v>
      </c>
      <c r="C22" s="100">
        <v>1</v>
      </c>
      <c r="D22" s="69" t="e">
        <v>#N/A</v>
      </c>
      <c r="E22" s="69" t="e">
        <v>#N/A</v>
      </c>
      <c r="F22" s="69" t="s">
        <v>275</v>
      </c>
      <c r="G22" s="69" t="s">
        <v>1201</v>
      </c>
      <c r="H22" s="69">
        <v>0</v>
      </c>
      <c r="I22" s="69" t="s">
        <v>257</v>
      </c>
      <c r="J22" s="69">
        <v>42</v>
      </c>
    </row>
    <row r="23" spans="1:10" x14ac:dyDescent="0.2">
      <c r="A23" s="69">
        <v>10000000219</v>
      </c>
      <c r="B23" s="69" t="s">
        <v>221</v>
      </c>
      <c r="C23" s="100">
        <v>5</v>
      </c>
      <c r="D23" s="69" t="e">
        <v>#N/A</v>
      </c>
      <c r="E23" s="69" t="e">
        <v>#N/A</v>
      </c>
      <c r="F23" s="69" t="s">
        <v>275</v>
      </c>
      <c r="G23" s="69" t="s">
        <v>1200</v>
      </c>
      <c r="H23" s="69">
        <v>0</v>
      </c>
      <c r="I23" s="69" t="s">
        <v>257</v>
      </c>
      <c r="J23" s="69">
        <v>42</v>
      </c>
    </row>
    <row r="24" spans="1:10" x14ac:dyDescent="0.2">
      <c r="A24" s="69">
        <v>10000000229</v>
      </c>
      <c r="B24" s="69" t="s">
        <v>221</v>
      </c>
      <c r="C24" s="100">
        <v>5</v>
      </c>
      <c r="G24" s="70" t="s">
        <v>235</v>
      </c>
      <c r="J24" s="69">
        <v>42</v>
      </c>
    </row>
    <row r="25" spans="1:10" x14ac:dyDescent="0.2">
      <c r="A25" s="69">
        <v>10000000245</v>
      </c>
      <c r="B25" s="69" t="s">
        <v>220</v>
      </c>
      <c r="C25" s="100">
        <v>1</v>
      </c>
      <c r="D25" s="69" t="e">
        <v>#N/A</v>
      </c>
      <c r="E25" s="69" t="e">
        <v>#N/A</v>
      </c>
      <c r="F25" s="69" t="s">
        <v>275</v>
      </c>
      <c r="G25" s="69" t="s">
        <v>1199</v>
      </c>
      <c r="H25" s="69">
        <v>0</v>
      </c>
      <c r="I25" s="69" t="s">
        <v>247</v>
      </c>
      <c r="J25" s="69">
        <v>42</v>
      </c>
    </row>
    <row r="26" spans="1:10" x14ac:dyDescent="0.2">
      <c r="A26" s="69">
        <v>10000000246</v>
      </c>
      <c r="B26" s="69" t="s">
        <v>220</v>
      </c>
      <c r="C26" s="100">
        <v>1</v>
      </c>
      <c r="D26" s="69" t="e">
        <v>#N/A</v>
      </c>
      <c r="E26" s="69" t="e">
        <v>#N/A</v>
      </c>
      <c r="F26" s="69" t="s">
        <v>275</v>
      </c>
      <c r="G26" s="69" t="s">
        <v>1198</v>
      </c>
      <c r="H26" s="69">
        <v>0</v>
      </c>
      <c r="I26" s="69" t="s">
        <v>247</v>
      </c>
      <c r="J26" s="69">
        <v>42</v>
      </c>
    </row>
    <row r="27" spans="1:10" x14ac:dyDescent="0.2">
      <c r="A27" s="69">
        <v>10000000247</v>
      </c>
      <c r="B27" s="69" t="s">
        <v>221</v>
      </c>
      <c r="C27" s="100" t="s">
        <v>221</v>
      </c>
      <c r="D27" s="69" t="e">
        <v>#N/A</v>
      </c>
      <c r="E27" s="69" t="e">
        <v>#N/A</v>
      </c>
      <c r="F27" s="69" t="s">
        <v>275</v>
      </c>
      <c r="G27" s="69" t="s">
        <v>1197</v>
      </c>
      <c r="H27" s="69">
        <v>0</v>
      </c>
      <c r="I27" s="69" t="s">
        <v>257</v>
      </c>
      <c r="J27" s="69">
        <v>42</v>
      </c>
    </row>
    <row r="28" spans="1:10" x14ac:dyDescent="0.2">
      <c r="A28" s="69">
        <v>10000000248</v>
      </c>
      <c r="B28" s="69" t="s">
        <v>221</v>
      </c>
      <c r="C28" s="100">
        <v>5</v>
      </c>
      <c r="D28" s="69" t="e">
        <v>#N/A</v>
      </c>
      <c r="E28" s="69" t="e">
        <v>#N/A</v>
      </c>
      <c r="F28" s="69" t="s">
        <v>275</v>
      </c>
      <c r="G28" s="69" t="s">
        <v>1196</v>
      </c>
      <c r="H28" s="69">
        <v>0</v>
      </c>
      <c r="I28" s="69" t="s">
        <v>257</v>
      </c>
      <c r="J28" s="69">
        <v>42</v>
      </c>
    </row>
    <row r="29" spans="1:10" x14ac:dyDescent="0.2">
      <c r="A29" s="69">
        <v>10000000249</v>
      </c>
      <c r="B29" s="69" t="s">
        <v>221</v>
      </c>
      <c r="C29" s="100">
        <v>5</v>
      </c>
      <c r="D29" s="69" t="e">
        <v>#N/A</v>
      </c>
      <c r="E29" s="69" t="e">
        <v>#N/A</v>
      </c>
      <c r="F29" s="69" t="s">
        <v>275</v>
      </c>
      <c r="G29" s="69" t="s">
        <v>155</v>
      </c>
      <c r="H29" s="69">
        <v>0</v>
      </c>
      <c r="I29" s="69" t="s">
        <v>257</v>
      </c>
      <c r="J29" s="69">
        <v>42</v>
      </c>
    </row>
    <row r="30" spans="1:10" x14ac:dyDescent="0.2">
      <c r="A30" s="69">
        <v>10000000250</v>
      </c>
      <c r="B30" s="69" t="s">
        <v>221</v>
      </c>
      <c r="C30" s="100" t="s">
        <v>221</v>
      </c>
      <c r="D30" s="69" t="e">
        <v>#N/A</v>
      </c>
      <c r="E30" s="69" t="e">
        <v>#N/A</v>
      </c>
      <c r="F30" s="69" t="s">
        <v>275</v>
      </c>
      <c r="G30" s="69" t="s">
        <v>175</v>
      </c>
      <c r="H30" s="69">
        <v>0</v>
      </c>
      <c r="I30" s="69" t="s">
        <v>257</v>
      </c>
      <c r="J30" s="69">
        <v>42</v>
      </c>
    </row>
    <row r="31" spans="1:10" x14ac:dyDescent="0.2">
      <c r="A31" s="69">
        <v>10000000251</v>
      </c>
      <c r="B31" s="69" t="s">
        <v>221</v>
      </c>
      <c r="C31" s="100">
        <v>5</v>
      </c>
      <c r="D31" s="69" t="e">
        <v>#N/A</v>
      </c>
      <c r="E31" s="69" t="e">
        <v>#N/A</v>
      </c>
      <c r="F31" s="69" t="s">
        <v>275</v>
      </c>
      <c r="G31" s="69" t="s">
        <v>1195</v>
      </c>
      <c r="H31" s="69">
        <v>0</v>
      </c>
      <c r="I31" s="69" t="s">
        <v>257</v>
      </c>
      <c r="J31" s="69">
        <v>42</v>
      </c>
    </row>
    <row r="32" spans="1:10" x14ac:dyDescent="0.2">
      <c r="A32" s="69">
        <v>10000000252</v>
      </c>
      <c r="B32" s="69" t="s">
        <v>221</v>
      </c>
      <c r="C32" s="100" t="s">
        <v>221</v>
      </c>
      <c r="D32" s="69" t="e">
        <v>#N/A</v>
      </c>
      <c r="E32" s="69" t="e">
        <v>#N/A</v>
      </c>
      <c r="F32" s="69" t="s">
        <v>275</v>
      </c>
      <c r="G32" s="69" t="s">
        <v>172</v>
      </c>
      <c r="H32" s="69">
        <v>0</v>
      </c>
      <c r="I32" s="69" t="s">
        <v>257</v>
      </c>
      <c r="J32" s="69">
        <v>42</v>
      </c>
    </row>
    <row r="33" spans="1:10" x14ac:dyDescent="0.2">
      <c r="A33" s="69">
        <v>10000000253</v>
      </c>
      <c r="C33" s="100">
        <v>23</v>
      </c>
      <c r="G33" s="69" t="s">
        <v>1177</v>
      </c>
      <c r="J33" s="69">
        <v>23</v>
      </c>
    </row>
    <row r="34" spans="1:10" x14ac:dyDescent="0.2">
      <c r="A34" s="69">
        <v>10000000261</v>
      </c>
      <c r="B34" s="69" t="s">
        <v>262</v>
      </c>
      <c r="C34" s="100">
        <v>1</v>
      </c>
      <c r="D34" s="69" t="e">
        <v>#N/A</v>
      </c>
      <c r="E34" s="69" t="e">
        <v>#N/A</v>
      </c>
      <c r="F34" s="69" t="s">
        <v>293</v>
      </c>
      <c r="G34" s="69" t="s">
        <v>1194</v>
      </c>
      <c r="H34" s="69">
        <v>0</v>
      </c>
      <c r="I34" s="69" t="s">
        <v>261</v>
      </c>
      <c r="J34" s="69">
        <v>42</v>
      </c>
    </row>
    <row r="35" spans="1:10" x14ac:dyDescent="0.2">
      <c r="A35" s="69">
        <v>10000000262</v>
      </c>
      <c r="B35" s="69" t="s">
        <v>262</v>
      </c>
      <c r="C35" s="100">
        <v>1</v>
      </c>
      <c r="D35" s="69" t="e">
        <v>#N/A</v>
      </c>
      <c r="E35" s="69" t="e">
        <v>#N/A</v>
      </c>
      <c r="F35" s="69" t="s">
        <v>246</v>
      </c>
      <c r="G35" s="69" t="s">
        <v>1193</v>
      </c>
      <c r="H35" s="69">
        <v>0</v>
      </c>
      <c r="I35" s="69" t="s">
        <v>261</v>
      </c>
      <c r="J35" s="69">
        <v>42</v>
      </c>
    </row>
    <row r="36" spans="1:10" x14ac:dyDescent="0.2">
      <c r="A36" s="69">
        <v>10000000263</v>
      </c>
      <c r="B36" s="69" t="s">
        <v>221</v>
      </c>
      <c r="C36" s="100" t="s">
        <v>221</v>
      </c>
      <c r="D36" s="69" t="e">
        <v>#N/A</v>
      </c>
      <c r="E36" s="69" t="e">
        <v>#N/A</v>
      </c>
      <c r="F36" s="69" t="s">
        <v>246</v>
      </c>
      <c r="G36" s="69" t="s">
        <v>1192</v>
      </c>
      <c r="H36" s="69">
        <v>0</v>
      </c>
      <c r="I36" s="69" t="s">
        <v>257</v>
      </c>
      <c r="J36" s="69">
        <v>42</v>
      </c>
    </row>
    <row r="37" spans="1:10" x14ac:dyDescent="0.2">
      <c r="A37" s="69">
        <v>10000000270</v>
      </c>
      <c r="C37" s="100">
        <v>23</v>
      </c>
      <c r="G37" s="69" t="s">
        <v>1167</v>
      </c>
      <c r="J37" s="69">
        <v>23</v>
      </c>
    </row>
    <row r="38" spans="1:10" x14ac:dyDescent="0.2">
      <c r="A38" s="69">
        <v>10000000271</v>
      </c>
      <c r="B38" s="69" t="s">
        <v>221</v>
      </c>
      <c r="C38" s="100" t="s">
        <v>221</v>
      </c>
      <c r="D38" s="69" t="e">
        <v>#N/A</v>
      </c>
      <c r="E38" s="69" t="e">
        <v>#N/A</v>
      </c>
      <c r="F38" s="69" t="s">
        <v>246</v>
      </c>
      <c r="G38" s="69" t="s">
        <v>235</v>
      </c>
      <c r="H38" s="69">
        <v>0</v>
      </c>
      <c r="I38" s="69" t="s">
        <v>257</v>
      </c>
      <c r="J38" s="69">
        <v>42</v>
      </c>
    </row>
    <row r="39" spans="1:10" x14ac:dyDescent="0.2">
      <c r="A39" s="69">
        <v>10000000272</v>
      </c>
      <c r="B39" s="69" t="s">
        <v>221</v>
      </c>
      <c r="C39" s="100" t="s">
        <v>221</v>
      </c>
      <c r="D39" s="69" t="e">
        <v>#N/A</v>
      </c>
      <c r="E39" s="69" t="e">
        <v>#N/A</v>
      </c>
      <c r="F39" s="69" t="s">
        <v>275</v>
      </c>
      <c r="G39" s="69" t="s">
        <v>1191</v>
      </c>
      <c r="H39" s="69">
        <v>0</v>
      </c>
      <c r="I39" s="69" t="s">
        <v>257</v>
      </c>
      <c r="J39" s="69">
        <v>42</v>
      </c>
    </row>
    <row r="40" spans="1:10" x14ac:dyDescent="0.2">
      <c r="A40" s="69">
        <v>10000000273</v>
      </c>
      <c r="B40" s="69" t="s">
        <v>221</v>
      </c>
      <c r="C40" s="100" t="s">
        <v>221</v>
      </c>
      <c r="D40" s="69" t="e">
        <v>#N/A</v>
      </c>
      <c r="E40" s="69" t="e">
        <v>#N/A</v>
      </c>
      <c r="F40" s="69" t="s">
        <v>275</v>
      </c>
      <c r="G40" s="69" t="s">
        <v>1190</v>
      </c>
      <c r="H40" s="69">
        <v>0</v>
      </c>
      <c r="I40" s="69" t="s">
        <v>257</v>
      </c>
      <c r="J40" s="69">
        <v>42</v>
      </c>
    </row>
    <row r="41" spans="1:10" x14ac:dyDescent="0.2">
      <c r="A41" s="69">
        <v>10000000274</v>
      </c>
      <c r="B41" s="69" t="s">
        <v>262</v>
      </c>
      <c r="C41" s="100">
        <v>20</v>
      </c>
      <c r="D41" s="69" t="e">
        <v>#N/A</v>
      </c>
      <c r="E41" s="69" t="e">
        <v>#N/A</v>
      </c>
      <c r="F41" s="69" t="s">
        <v>275</v>
      </c>
      <c r="G41" s="69" t="s">
        <v>1189</v>
      </c>
      <c r="H41" s="69">
        <v>0</v>
      </c>
      <c r="I41" s="69" t="s">
        <v>261</v>
      </c>
      <c r="J41" s="69">
        <v>42</v>
      </c>
    </row>
    <row r="42" spans="1:10" x14ac:dyDescent="0.2">
      <c r="A42" s="69">
        <v>10000000275</v>
      </c>
      <c r="B42" s="69" t="s">
        <v>262</v>
      </c>
      <c r="C42" s="100">
        <v>10</v>
      </c>
      <c r="D42" s="69" t="e">
        <v>#N/A</v>
      </c>
      <c r="E42" s="69" t="e">
        <v>#N/A</v>
      </c>
      <c r="F42" s="69" t="s">
        <v>275</v>
      </c>
      <c r="G42" s="69" t="s">
        <v>1188</v>
      </c>
      <c r="H42" s="69">
        <v>0</v>
      </c>
      <c r="I42" s="69" t="s">
        <v>261</v>
      </c>
      <c r="J42" s="69">
        <v>42</v>
      </c>
    </row>
    <row r="43" spans="1:10" x14ac:dyDescent="0.2">
      <c r="A43" s="69">
        <v>10000000276</v>
      </c>
      <c r="B43" s="69" t="s">
        <v>221</v>
      </c>
      <c r="C43" s="100" t="s">
        <v>221</v>
      </c>
      <c r="D43" s="69" t="e">
        <v>#N/A</v>
      </c>
      <c r="E43" s="69" t="e">
        <v>#N/A</v>
      </c>
      <c r="F43" s="69" t="s">
        <v>246</v>
      </c>
      <c r="G43" s="69" t="s">
        <v>1187</v>
      </c>
      <c r="H43" s="69">
        <v>0</v>
      </c>
      <c r="I43" s="69" t="s">
        <v>257</v>
      </c>
      <c r="J43" s="69">
        <v>42</v>
      </c>
    </row>
    <row r="44" spans="1:10" x14ac:dyDescent="0.2">
      <c r="A44" s="69">
        <v>10000000277</v>
      </c>
      <c r="B44" s="69" t="s">
        <v>262</v>
      </c>
      <c r="C44" s="100">
        <v>10</v>
      </c>
      <c r="D44" s="69" t="e">
        <v>#N/A</v>
      </c>
      <c r="E44" s="69" t="e">
        <v>#N/A</v>
      </c>
      <c r="F44" s="69" t="s">
        <v>246</v>
      </c>
      <c r="G44" s="69" t="s">
        <v>1186</v>
      </c>
      <c r="H44" s="69">
        <v>0</v>
      </c>
      <c r="I44" s="69" t="s">
        <v>261</v>
      </c>
      <c r="J44" s="69">
        <v>42</v>
      </c>
    </row>
    <row r="45" spans="1:10" x14ac:dyDescent="0.2">
      <c r="A45" s="69">
        <v>10000000278</v>
      </c>
      <c r="B45" s="69" t="s">
        <v>262</v>
      </c>
      <c r="C45" s="100">
        <v>5</v>
      </c>
      <c r="D45" s="69" t="e">
        <v>#N/A</v>
      </c>
      <c r="E45" s="69" t="e">
        <v>#N/A</v>
      </c>
      <c r="F45" s="69" t="s">
        <v>275</v>
      </c>
      <c r="G45" s="69" t="s">
        <v>1185</v>
      </c>
      <c r="H45" s="69">
        <v>0</v>
      </c>
      <c r="I45" s="69" t="s">
        <v>261</v>
      </c>
      <c r="J45" s="69">
        <v>42</v>
      </c>
    </row>
    <row r="46" spans="1:10" x14ac:dyDescent="0.2">
      <c r="A46" s="69">
        <v>10000000281</v>
      </c>
      <c r="B46" s="69">
        <v>10</v>
      </c>
      <c r="C46" s="100">
        <v>10</v>
      </c>
      <c r="D46" s="69" t="e">
        <v>#N/A</v>
      </c>
      <c r="E46" s="69" t="e">
        <v>#N/A</v>
      </c>
      <c r="F46" s="69" t="s">
        <v>274</v>
      </c>
      <c r="G46" t="s">
        <v>1582</v>
      </c>
      <c r="H46" s="69">
        <v>16</v>
      </c>
      <c r="I46" s="69" t="s">
        <v>273</v>
      </c>
      <c r="J46" s="69">
        <v>42</v>
      </c>
    </row>
    <row r="47" spans="1:10" x14ac:dyDescent="0.2">
      <c r="A47" s="69">
        <v>10000000284</v>
      </c>
      <c r="B47" s="69" t="s">
        <v>220</v>
      </c>
      <c r="C47" s="100">
        <v>5</v>
      </c>
      <c r="D47" s="69" t="e">
        <v>#N/A</v>
      </c>
      <c r="E47" s="69" t="e">
        <v>#N/A</v>
      </c>
      <c r="F47" s="69" t="s">
        <v>246</v>
      </c>
      <c r="G47" s="69" t="s">
        <v>1184</v>
      </c>
      <c r="H47" s="69">
        <v>0</v>
      </c>
      <c r="I47" s="69" t="s">
        <v>247</v>
      </c>
      <c r="J47" s="69">
        <v>42</v>
      </c>
    </row>
    <row r="48" spans="1:10" x14ac:dyDescent="0.2">
      <c r="A48" s="69">
        <v>10000000285</v>
      </c>
      <c r="C48" s="100">
        <v>23</v>
      </c>
      <c r="G48" s="69" t="s">
        <v>1153</v>
      </c>
      <c r="J48" s="69">
        <v>23</v>
      </c>
    </row>
    <row r="49" spans="1:10" x14ac:dyDescent="0.2">
      <c r="A49" s="69">
        <v>10000000286</v>
      </c>
      <c r="B49" s="69" t="s">
        <v>220</v>
      </c>
      <c r="C49" s="100" t="s">
        <v>220</v>
      </c>
      <c r="D49" s="69" t="e">
        <v>#N/A</v>
      </c>
      <c r="E49" s="69" t="e">
        <v>#N/A</v>
      </c>
      <c r="F49" s="69" t="s">
        <v>246</v>
      </c>
      <c r="G49" s="69" t="s">
        <v>1183</v>
      </c>
      <c r="H49" s="69">
        <v>0</v>
      </c>
      <c r="I49" s="69" t="s">
        <v>247</v>
      </c>
      <c r="J49" s="69">
        <v>42</v>
      </c>
    </row>
    <row r="50" spans="1:10" x14ac:dyDescent="0.2">
      <c r="A50" s="69">
        <v>10000000287</v>
      </c>
      <c r="B50" s="69" t="s">
        <v>221</v>
      </c>
      <c r="C50" s="100" t="s">
        <v>221</v>
      </c>
      <c r="D50" s="69" t="e">
        <v>#N/A</v>
      </c>
      <c r="E50" s="69" t="e">
        <v>#N/A</v>
      </c>
      <c r="F50" s="69" t="s">
        <v>246</v>
      </c>
      <c r="G50" s="69" t="s">
        <v>1182</v>
      </c>
      <c r="H50" s="69">
        <v>0</v>
      </c>
      <c r="I50" s="69" t="s">
        <v>257</v>
      </c>
      <c r="J50" s="69">
        <v>42</v>
      </c>
    </row>
    <row r="51" spans="1:10" x14ac:dyDescent="0.2">
      <c r="A51" s="69">
        <v>10000000288</v>
      </c>
      <c r="C51" s="100">
        <v>23</v>
      </c>
      <c r="G51" s="69" t="s">
        <v>1264</v>
      </c>
      <c r="J51" s="69">
        <v>23</v>
      </c>
    </row>
    <row r="52" spans="1:10" x14ac:dyDescent="0.2">
      <c r="A52" s="69">
        <v>10000000289</v>
      </c>
      <c r="B52" s="69" t="s">
        <v>221</v>
      </c>
      <c r="C52" s="100" t="s">
        <v>221</v>
      </c>
      <c r="D52" s="69" t="s">
        <v>1265</v>
      </c>
      <c r="E52" s="69" t="s">
        <v>1242</v>
      </c>
      <c r="F52" s="69" t="s">
        <v>246</v>
      </c>
      <c r="G52" s="69" t="s">
        <v>1181</v>
      </c>
      <c r="H52" s="69">
        <v>0</v>
      </c>
      <c r="I52" s="69" t="s">
        <v>257</v>
      </c>
      <c r="J52" s="69">
        <v>42</v>
      </c>
    </row>
    <row r="53" spans="1:10" x14ac:dyDescent="0.2">
      <c r="A53" s="69">
        <v>10000000290</v>
      </c>
      <c r="B53" s="69" t="s">
        <v>221</v>
      </c>
      <c r="C53" s="100" t="s">
        <v>221</v>
      </c>
      <c r="D53" s="69" t="e">
        <v>#N/A</v>
      </c>
      <c r="E53" s="69" t="e">
        <v>#N/A</v>
      </c>
      <c r="F53" s="69" t="s">
        <v>246</v>
      </c>
      <c r="G53" s="69" t="s">
        <v>1180</v>
      </c>
      <c r="H53" s="69">
        <v>0</v>
      </c>
      <c r="I53" s="69" t="s">
        <v>257</v>
      </c>
      <c r="J53" s="69">
        <v>42</v>
      </c>
    </row>
    <row r="54" spans="1:10" x14ac:dyDescent="0.2">
      <c r="A54" s="69">
        <v>10000000291</v>
      </c>
      <c r="B54" s="69" t="s">
        <v>262</v>
      </c>
      <c r="C54" s="100">
        <v>5</v>
      </c>
      <c r="D54" s="69" t="e">
        <v>#N/A</v>
      </c>
      <c r="E54" s="69" t="e">
        <v>#N/A</v>
      </c>
      <c r="F54" s="69" t="s">
        <v>246</v>
      </c>
      <c r="G54" s="69" t="s">
        <v>1179</v>
      </c>
      <c r="H54" s="69">
        <v>0</v>
      </c>
      <c r="I54" s="69" t="s">
        <v>261</v>
      </c>
      <c r="J54" s="69">
        <v>42</v>
      </c>
    </row>
    <row r="55" spans="1:10" x14ac:dyDescent="0.2">
      <c r="A55" s="69">
        <v>10000000292</v>
      </c>
      <c r="B55" s="69" t="s">
        <v>262</v>
      </c>
      <c r="C55" s="100">
        <v>5</v>
      </c>
      <c r="D55" s="69" t="e">
        <v>#N/A</v>
      </c>
      <c r="E55" s="69" t="e">
        <v>#N/A</v>
      </c>
      <c r="F55" s="69" t="s">
        <v>246</v>
      </c>
      <c r="G55" s="69" t="s">
        <v>1178</v>
      </c>
      <c r="H55" s="69">
        <v>0</v>
      </c>
      <c r="I55" s="69" t="s">
        <v>261</v>
      </c>
      <c r="J55" s="69">
        <v>42</v>
      </c>
    </row>
    <row r="56" spans="1:10" x14ac:dyDescent="0.2">
      <c r="A56" s="69">
        <v>10000000323</v>
      </c>
      <c r="C56" s="100">
        <v>10</v>
      </c>
      <c r="D56" s="69" t="e">
        <v>#N/A</v>
      </c>
      <c r="E56" s="69" t="e">
        <v>#N/A</v>
      </c>
      <c r="F56" s="69" t="s">
        <v>246</v>
      </c>
      <c r="G56" t="s">
        <v>1139</v>
      </c>
      <c r="H56" s="69">
        <v>8</v>
      </c>
      <c r="I56" s="69" t="s">
        <v>267</v>
      </c>
      <c r="J56" s="69">
        <v>42</v>
      </c>
    </row>
    <row r="57" spans="1:10" x14ac:dyDescent="0.2">
      <c r="A57" s="69">
        <v>10000000324</v>
      </c>
      <c r="B57" s="85">
        <v>0.5</v>
      </c>
      <c r="C57" s="100">
        <v>10</v>
      </c>
      <c r="D57" s="69" t="e">
        <v>#N/A</v>
      </c>
      <c r="E57" s="69" t="e">
        <v>#N/A</v>
      </c>
      <c r="F57" s="69" t="s">
        <v>246</v>
      </c>
      <c r="G57" t="s">
        <v>1138</v>
      </c>
      <c r="H57" s="69">
        <v>8</v>
      </c>
      <c r="I57" s="69" t="s">
        <v>256</v>
      </c>
      <c r="J57" s="69">
        <v>42</v>
      </c>
    </row>
    <row r="58" spans="1:10" x14ac:dyDescent="0.2">
      <c r="A58" s="69">
        <v>10000000326</v>
      </c>
      <c r="C58" s="100">
        <v>20</v>
      </c>
      <c r="D58" s="69" t="e">
        <v>#N/A</v>
      </c>
      <c r="E58" s="69" t="e">
        <v>#N/A</v>
      </c>
      <c r="F58" s="69" t="s">
        <v>246</v>
      </c>
      <c r="G58" t="s">
        <v>1137</v>
      </c>
      <c r="H58" s="69">
        <v>8</v>
      </c>
      <c r="I58" s="69" t="s">
        <v>245</v>
      </c>
      <c r="J58" s="69">
        <v>42</v>
      </c>
    </row>
    <row r="59" spans="1:10" x14ac:dyDescent="0.2">
      <c r="A59" s="69">
        <v>10000000338</v>
      </c>
      <c r="B59" s="69" t="s">
        <v>220</v>
      </c>
      <c r="C59" s="100">
        <v>5</v>
      </c>
      <c r="D59" s="69" t="e">
        <v>#N/A</v>
      </c>
      <c r="E59" s="69" t="e">
        <v>#N/A</v>
      </c>
      <c r="F59" s="69" t="s">
        <v>246</v>
      </c>
      <c r="G59" s="69" t="s">
        <v>1176</v>
      </c>
      <c r="H59" s="69">
        <v>0</v>
      </c>
      <c r="I59" s="69" t="s">
        <v>247</v>
      </c>
      <c r="J59" s="69">
        <v>42</v>
      </c>
    </row>
    <row r="60" spans="1:10" x14ac:dyDescent="0.2">
      <c r="A60" s="69">
        <v>10000000339</v>
      </c>
      <c r="B60" s="69" t="s">
        <v>220</v>
      </c>
      <c r="C60" s="100">
        <v>5</v>
      </c>
      <c r="D60" s="69" t="e">
        <v>#N/A</v>
      </c>
      <c r="E60" s="69" t="e">
        <v>#N/A</v>
      </c>
      <c r="F60" s="69" t="s">
        <v>246</v>
      </c>
      <c r="G60" s="69" t="s">
        <v>1175</v>
      </c>
      <c r="H60" s="69">
        <v>0</v>
      </c>
      <c r="I60" s="69" t="s">
        <v>247</v>
      </c>
      <c r="J60" s="69">
        <v>42</v>
      </c>
    </row>
    <row r="61" spans="1:10" x14ac:dyDescent="0.2">
      <c r="A61" s="69">
        <v>10000000340</v>
      </c>
      <c r="B61" s="69" t="s">
        <v>220</v>
      </c>
      <c r="C61" s="100">
        <v>5</v>
      </c>
      <c r="D61" s="69" t="e">
        <v>#N/A</v>
      </c>
      <c r="E61" s="69" t="e">
        <v>#N/A</v>
      </c>
      <c r="F61" s="69" t="s">
        <v>246</v>
      </c>
      <c r="G61" s="69" t="s">
        <v>1174</v>
      </c>
      <c r="H61" s="69">
        <v>0</v>
      </c>
      <c r="I61" s="69" t="s">
        <v>247</v>
      </c>
      <c r="J61" s="69">
        <v>42</v>
      </c>
    </row>
    <row r="62" spans="1:10" x14ac:dyDescent="0.2">
      <c r="A62" s="69">
        <v>10000000341</v>
      </c>
      <c r="B62" s="69" t="s">
        <v>220</v>
      </c>
      <c r="C62" s="100">
        <v>5</v>
      </c>
      <c r="D62" s="69" t="e">
        <v>#N/A</v>
      </c>
      <c r="E62" s="69" t="e">
        <v>#N/A</v>
      </c>
      <c r="F62" s="69" t="s">
        <v>246</v>
      </c>
      <c r="G62" s="69" t="s">
        <v>1173</v>
      </c>
      <c r="H62" s="69">
        <v>0</v>
      </c>
      <c r="I62" s="69" t="s">
        <v>247</v>
      </c>
      <c r="J62" s="69">
        <v>42</v>
      </c>
    </row>
    <row r="63" spans="1:10" x14ac:dyDescent="0.2">
      <c r="A63" s="69">
        <v>10000000342</v>
      </c>
      <c r="B63" s="69">
        <v>10</v>
      </c>
      <c r="C63" s="100">
        <v>10</v>
      </c>
      <c r="D63" s="69" t="e">
        <v>#N/A</v>
      </c>
      <c r="E63" s="69" t="e">
        <v>#N/A</v>
      </c>
      <c r="F63" s="69" t="s">
        <v>246</v>
      </c>
      <c r="G63" t="s">
        <v>1124</v>
      </c>
      <c r="H63" s="69">
        <v>0</v>
      </c>
      <c r="I63" s="69" t="s">
        <v>247</v>
      </c>
      <c r="J63" s="69">
        <v>42</v>
      </c>
    </row>
    <row r="64" spans="1:10" x14ac:dyDescent="0.2">
      <c r="A64" s="69">
        <v>10000000343</v>
      </c>
      <c r="B64" s="69" t="s">
        <v>221</v>
      </c>
      <c r="C64" s="100">
        <v>5</v>
      </c>
      <c r="D64" s="69" t="e">
        <v>#N/A</v>
      </c>
      <c r="E64" s="69" t="e">
        <v>#N/A</v>
      </c>
      <c r="F64" s="69" t="s">
        <v>246</v>
      </c>
      <c r="G64" s="69" t="s">
        <v>1172</v>
      </c>
      <c r="H64" s="69">
        <v>0</v>
      </c>
      <c r="I64" s="69" t="s">
        <v>257</v>
      </c>
      <c r="J64" s="69">
        <v>42</v>
      </c>
    </row>
    <row r="65" spans="1:10" x14ac:dyDescent="0.2">
      <c r="A65" s="69">
        <v>10000000344</v>
      </c>
      <c r="B65" s="69" t="s">
        <v>221</v>
      </c>
      <c r="C65" s="100">
        <v>5</v>
      </c>
      <c r="D65" s="69" t="e">
        <v>#N/A</v>
      </c>
      <c r="E65" s="69" t="e">
        <v>#N/A</v>
      </c>
      <c r="F65" s="69" t="s">
        <v>246</v>
      </c>
      <c r="G65" s="69" t="s">
        <v>1171</v>
      </c>
      <c r="H65" s="69">
        <v>0</v>
      </c>
      <c r="I65" s="69" t="s">
        <v>257</v>
      </c>
      <c r="J65" s="69">
        <v>42</v>
      </c>
    </row>
    <row r="66" spans="1:10" x14ac:dyDescent="0.2">
      <c r="A66" s="69">
        <v>10000000345</v>
      </c>
      <c r="B66" s="69" t="s">
        <v>262</v>
      </c>
      <c r="C66" s="100">
        <v>10</v>
      </c>
      <c r="D66" s="69" t="e">
        <v>#N/A</v>
      </c>
      <c r="E66" s="69" t="e">
        <v>#N/A</v>
      </c>
      <c r="F66" s="69" t="s">
        <v>246</v>
      </c>
      <c r="G66" s="69" t="s">
        <v>1170</v>
      </c>
      <c r="H66" s="69">
        <v>0</v>
      </c>
      <c r="I66" s="69" t="s">
        <v>261</v>
      </c>
      <c r="J66" s="69">
        <v>42</v>
      </c>
    </row>
    <row r="67" spans="1:10" x14ac:dyDescent="0.2">
      <c r="A67" s="69">
        <v>10000000346</v>
      </c>
      <c r="B67" s="69" t="s">
        <v>262</v>
      </c>
      <c r="C67" s="100">
        <v>10</v>
      </c>
      <c r="D67" s="69" t="e">
        <v>#N/A</v>
      </c>
      <c r="E67" s="69" t="e">
        <v>#N/A</v>
      </c>
      <c r="F67" s="69" t="s">
        <v>246</v>
      </c>
      <c r="G67" s="69" t="s">
        <v>1169</v>
      </c>
      <c r="H67" s="69">
        <v>0</v>
      </c>
      <c r="I67" s="69" t="s">
        <v>261</v>
      </c>
      <c r="J67" s="69">
        <v>42</v>
      </c>
    </row>
    <row r="68" spans="1:10" x14ac:dyDescent="0.2">
      <c r="A68" s="69">
        <v>10000000347</v>
      </c>
      <c r="B68" s="69" t="s">
        <v>262</v>
      </c>
      <c r="C68" s="100">
        <v>10</v>
      </c>
      <c r="D68" s="69" t="e">
        <v>#N/A</v>
      </c>
      <c r="E68" s="69" t="e">
        <v>#N/A</v>
      </c>
      <c r="F68" s="69" t="s">
        <v>246</v>
      </c>
      <c r="G68" s="69" t="s">
        <v>1168</v>
      </c>
      <c r="H68" s="69">
        <v>0</v>
      </c>
      <c r="I68" s="69" t="s">
        <v>261</v>
      </c>
      <c r="J68" s="69">
        <v>42</v>
      </c>
    </row>
    <row r="69" spans="1:10" x14ac:dyDescent="0.2">
      <c r="A69" s="69">
        <v>10000000350</v>
      </c>
      <c r="C69" s="100">
        <v>28</v>
      </c>
      <c r="G69" s="69" t="s">
        <v>1116</v>
      </c>
      <c r="J69" s="69">
        <v>28</v>
      </c>
    </row>
    <row r="70" spans="1:10" x14ac:dyDescent="0.2">
      <c r="A70" s="69">
        <v>10000000358</v>
      </c>
      <c r="C70" s="100">
        <v>10</v>
      </c>
      <c r="D70" s="69" t="e">
        <v>#N/A</v>
      </c>
      <c r="E70" s="69" t="e">
        <v>#N/A</v>
      </c>
      <c r="F70" s="69" t="s">
        <v>246</v>
      </c>
      <c r="G70" t="s">
        <v>1109</v>
      </c>
      <c r="H70" s="69">
        <v>8</v>
      </c>
      <c r="I70" s="69" t="s">
        <v>248</v>
      </c>
      <c r="J70" s="69">
        <v>42</v>
      </c>
    </row>
    <row r="71" spans="1:10" x14ac:dyDescent="0.2">
      <c r="A71" s="69">
        <v>10000000362</v>
      </c>
      <c r="B71" s="69" t="s">
        <v>220</v>
      </c>
      <c r="C71" s="100">
        <v>1</v>
      </c>
      <c r="D71" s="69" t="e">
        <v>#N/A</v>
      </c>
      <c r="E71" s="69" t="e">
        <v>#N/A</v>
      </c>
      <c r="F71" s="69" t="s">
        <v>265</v>
      </c>
      <c r="G71" s="69" t="s">
        <v>1166</v>
      </c>
      <c r="H71" s="69">
        <v>0</v>
      </c>
      <c r="I71" s="69" t="s">
        <v>247</v>
      </c>
      <c r="J71" s="69">
        <v>42</v>
      </c>
    </row>
    <row r="72" spans="1:10" x14ac:dyDescent="0.2">
      <c r="A72" s="69">
        <v>10000000363</v>
      </c>
      <c r="C72" s="100">
        <v>28</v>
      </c>
      <c r="G72" s="69" t="s">
        <v>1104</v>
      </c>
      <c r="J72" s="69">
        <v>28</v>
      </c>
    </row>
    <row r="73" spans="1:10" x14ac:dyDescent="0.2">
      <c r="A73" s="69">
        <v>10000000364</v>
      </c>
      <c r="B73" s="69" t="s">
        <v>221</v>
      </c>
      <c r="C73" s="100" t="s">
        <v>221</v>
      </c>
      <c r="D73" s="69" t="e">
        <v>#N/A</v>
      </c>
      <c r="E73" s="69" t="e">
        <v>#N/A</v>
      </c>
      <c r="F73" s="69" t="s">
        <v>265</v>
      </c>
      <c r="G73" s="69" t="s">
        <v>1165</v>
      </c>
      <c r="H73" s="69">
        <v>0</v>
      </c>
      <c r="I73" s="69" t="s">
        <v>257</v>
      </c>
      <c r="J73" s="69">
        <v>42</v>
      </c>
    </row>
    <row r="74" spans="1:10" x14ac:dyDescent="0.2">
      <c r="A74" s="69">
        <v>10000000365</v>
      </c>
      <c r="B74" s="69" t="s">
        <v>221</v>
      </c>
      <c r="C74" s="100" t="s">
        <v>221</v>
      </c>
      <c r="D74" s="69" t="e">
        <v>#N/A</v>
      </c>
      <c r="E74" s="69" t="e">
        <v>#N/A</v>
      </c>
      <c r="F74" s="69" t="s">
        <v>265</v>
      </c>
      <c r="G74" s="69" t="s">
        <v>1164</v>
      </c>
      <c r="H74" s="69">
        <v>0</v>
      </c>
      <c r="I74" s="69" t="s">
        <v>257</v>
      </c>
      <c r="J74" s="69">
        <v>42</v>
      </c>
    </row>
    <row r="75" spans="1:10" x14ac:dyDescent="0.2">
      <c r="A75" s="69">
        <v>10000000366</v>
      </c>
      <c r="B75" s="69" t="s">
        <v>221</v>
      </c>
      <c r="C75" s="100" t="s">
        <v>221</v>
      </c>
      <c r="D75" s="69" t="e">
        <v>#N/A</v>
      </c>
      <c r="E75" s="69" t="e">
        <v>#N/A</v>
      </c>
      <c r="F75" s="69" t="s">
        <v>265</v>
      </c>
      <c r="G75" s="69" t="s">
        <v>1163</v>
      </c>
      <c r="H75" s="69">
        <v>0</v>
      </c>
      <c r="I75" s="69" t="s">
        <v>257</v>
      </c>
      <c r="J75" s="69">
        <v>42</v>
      </c>
    </row>
    <row r="76" spans="1:10" x14ac:dyDescent="0.2">
      <c r="A76" s="69">
        <v>10000000367</v>
      </c>
      <c r="B76" s="69" t="s">
        <v>221</v>
      </c>
      <c r="C76" s="100" t="s">
        <v>221</v>
      </c>
      <c r="D76" s="69" t="e">
        <v>#N/A</v>
      </c>
      <c r="E76" s="69" t="e">
        <v>#N/A</v>
      </c>
      <c r="F76" s="69" t="s">
        <v>265</v>
      </c>
      <c r="G76" s="69" t="s">
        <v>1162</v>
      </c>
      <c r="H76" s="69">
        <v>0</v>
      </c>
      <c r="I76" s="69" t="s">
        <v>257</v>
      </c>
      <c r="J76" s="69">
        <v>42</v>
      </c>
    </row>
    <row r="77" spans="1:10" x14ac:dyDescent="0.2">
      <c r="A77" s="69">
        <v>10000000368</v>
      </c>
      <c r="B77" s="69" t="s">
        <v>221</v>
      </c>
      <c r="C77" s="100">
        <v>5</v>
      </c>
      <c r="D77" s="69" t="e">
        <v>#N/A</v>
      </c>
      <c r="E77" s="69" t="e">
        <v>#N/A</v>
      </c>
      <c r="F77" s="69" t="s">
        <v>265</v>
      </c>
      <c r="G77" s="69" t="s">
        <v>1161</v>
      </c>
      <c r="H77" s="69">
        <v>0</v>
      </c>
      <c r="I77" s="69" t="s">
        <v>257</v>
      </c>
      <c r="J77" s="69">
        <v>42</v>
      </c>
    </row>
    <row r="78" spans="1:10" x14ac:dyDescent="0.2">
      <c r="A78" s="69">
        <v>10000000369</v>
      </c>
      <c r="B78" s="69" t="s">
        <v>221</v>
      </c>
      <c r="C78" s="100" t="s">
        <v>221</v>
      </c>
      <c r="D78" s="69" t="e">
        <v>#N/A</v>
      </c>
      <c r="E78" s="69" t="e">
        <v>#N/A</v>
      </c>
      <c r="F78" s="69" t="s">
        <v>265</v>
      </c>
      <c r="G78" s="69" t="s">
        <v>1160</v>
      </c>
      <c r="H78" s="69">
        <v>0</v>
      </c>
      <c r="I78" s="69" t="s">
        <v>257</v>
      </c>
      <c r="J78" s="69">
        <v>42</v>
      </c>
    </row>
    <row r="79" spans="1:10" x14ac:dyDescent="0.2">
      <c r="A79" s="69">
        <v>10000000370</v>
      </c>
      <c r="B79" s="69" t="s">
        <v>262</v>
      </c>
      <c r="C79" s="100">
        <v>1</v>
      </c>
      <c r="D79" s="69" t="e">
        <v>#N/A</v>
      </c>
      <c r="E79" s="69" t="e">
        <v>#N/A</v>
      </c>
      <c r="F79" s="69" t="s">
        <v>265</v>
      </c>
      <c r="G79" s="69" t="s">
        <v>1159</v>
      </c>
      <c r="H79" s="69">
        <v>0</v>
      </c>
      <c r="I79" s="69" t="s">
        <v>261</v>
      </c>
      <c r="J79" s="69">
        <v>42</v>
      </c>
    </row>
    <row r="80" spans="1:10" x14ac:dyDescent="0.2">
      <c r="A80" s="69">
        <v>10000000371</v>
      </c>
      <c r="B80" s="69" t="s">
        <v>262</v>
      </c>
      <c r="C80" s="100">
        <v>5</v>
      </c>
      <c r="D80" s="69" t="e">
        <v>#N/A</v>
      </c>
      <c r="E80" s="69" t="e">
        <v>#N/A</v>
      </c>
      <c r="F80" s="69" t="s">
        <v>265</v>
      </c>
      <c r="G80" s="69" t="s">
        <v>1158</v>
      </c>
      <c r="H80" s="69">
        <v>0</v>
      </c>
      <c r="I80" s="69" t="s">
        <v>261</v>
      </c>
      <c r="J80" s="69">
        <v>42</v>
      </c>
    </row>
    <row r="81" spans="1:10" x14ac:dyDescent="0.2">
      <c r="A81" s="69">
        <v>10000000372</v>
      </c>
      <c r="B81" s="69" t="s">
        <v>262</v>
      </c>
      <c r="C81" s="100">
        <v>5</v>
      </c>
      <c r="D81" s="69" t="e">
        <v>#N/A</v>
      </c>
      <c r="E81" s="69" t="e">
        <v>#N/A</v>
      </c>
      <c r="F81" s="69" t="s">
        <v>263</v>
      </c>
      <c r="G81" s="69" t="s">
        <v>1157</v>
      </c>
      <c r="H81" s="69">
        <v>0</v>
      </c>
      <c r="I81" s="69" t="s">
        <v>261</v>
      </c>
      <c r="J81" s="69">
        <v>42</v>
      </c>
    </row>
    <row r="82" spans="1:10" x14ac:dyDescent="0.2">
      <c r="A82" s="69">
        <v>10000000373</v>
      </c>
      <c r="B82" s="69" t="s">
        <v>220</v>
      </c>
      <c r="C82" s="100" t="s">
        <v>220</v>
      </c>
      <c r="D82" s="69" t="e">
        <v>#N/A</v>
      </c>
      <c r="E82" s="69" t="e">
        <v>#N/A</v>
      </c>
      <c r="F82" s="69" t="s">
        <v>246</v>
      </c>
      <c r="G82" s="69" t="s">
        <v>1156</v>
      </c>
      <c r="H82" s="69">
        <v>0</v>
      </c>
      <c r="I82" s="69" t="s">
        <v>247</v>
      </c>
      <c r="J82" s="69">
        <v>42</v>
      </c>
    </row>
    <row r="83" spans="1:10" x14ac:dyDescent="0.2">
      <c r="A83" s="69">
        <v>10000000374</v>
      </c>
      <c r="B83" s="69" t="s">
        <v>220</v>
      </c>
      <c r="C83" s="100" t="s">
        <v>220</v>
      </c>
      <c r="D83" s="69" t="e">
        <v>#N/A</v>
      </c>
      <c r="E83" s="69" t="e">
        <v>#N/A</v>
      </c>
      <c r="F83" s="69" t="s">
        <v>246</v>
      </c>
      <c r="G83" s="69" t="s">
        <v>1155</v>
      </c>
      <c r="H83" s="69">
        <v>0</v>
      </c>
      <c r="I83" s="69" t="s">
        <v>247</v>
      </c>
      <c r="J83" s="69">
        <v>42</v>
      </c>
    </row>
    <row r="84" spans="1:10" x14ac:dyDescent="0.2">
      <c r="A84" s="69">
        <v>10000000375</v>
      </c>
      <c r="B84" s="69" t="s">
        <v>221</v>
      </c>
      <c r="C84" s="100" t="s">
        <v>221</v>
      </c>
      <c r="D84" s="69" t="e">
        <v>#N/A</v>
      </c>
      <c r="E84" s="69" t="e">
        <v>#N/A</v>
      </c>
      <c r="F84" s="69" t="s">
        <v>246</v>
      </c>
      <c r="G84" s="69" t="s">
        <v>1154</v>
      </c>
      <c r="H84" s="69">
        <v>0</v>
      </c>
      <c r="I84" s="69" t="s">
        <v>257</v>
      </c>
      <c r="J84" s="69">
        <v>42</v>
      </c>
    </row>
    <row r="85" spans="1:10" x14ac:dyDescent="0.2">
      <c r="A85" s="69">
        <v>10000000377</v>
      </c>
      <c r="C85" s="100">
        <v>19</v>
      </c>
      <c r="G85" s="69" t="s">
        <v>1091</v>
      </c>
      <c r="J85" s="69">
        <v>19</v>
      </c>
    </row>
    <row r="86" spans="1:10" x14ac:dyDescent="0.2">
      <c r="A86" s="69">
        <v>10000000378</v>
      </c>
      <c r="C86" s="100" t="s">
        <v>307</v>
      </c>
      <c r="G86" s="69" t="s">
        <v>1090</v>
      </c>
      <c r="J86" s="69" t="s">
        <v>307</v>
      </c>
    </row>
    <row r="87" spans="1:10" x14ac:dyDescent="0.2">
      <c r="A87" s="69">
        <v>10000000379</v>
      </c>
      <c r="C87" s="100">
        <v>19</v>
      </c>
      <c r="G87" s="69" t="s">
        <v>1089</v>
      </c>
      <c r="J87" s="69">
        <v>19</v>
      </c>
    </row>
    <row r="88" spans="1:10" x14ac:dyDescent="0.2">
      <c r="A88" s="69">
        <v>10000000381</v>
      </c>
      <c r="B88" s="69" t="s">
        <v>220</v>
      </c>
      <c r="C88" s="100" t="s">
        <v>220</v>
      </c>
      <c r="D88" s="69" t="e">
        <v>#N/A</v>
      </c>
      <c r="E88" s="69" t="e">
        <v>#N/A</v>
      </c>
      <c r="F88" s="69" t="s">
        <v>246</v>
      </c>
      <c r="G88" s="69" t="s">
        <v>1152</v>
      </c>
      <c r="H88" s="69">
        <v>0</v>
      </c>
      <c r="I88" s="69" t="s">
        <v>247</v>
      </c>
      <c r="J88" s="69">
        <v>42</v>
      </c>
    </row>
    <row r="89" spans="1:10" x14ac:dyDescent="0.2">
      <c r="A89" s="69">
        <v>10000000382</v>
      </c>
      <c r="B89" s="69" t="s">
        <v>221</v>
      </c>
      <c r="C89" s="100" t="s">
        <v>221</v>
      </c>
      <c r="D89" s="69" t="e">
        <v>#N/A</v>
      </c>
      <c r="E89" s="69" t="e">
        <v>#N/A</v>
      </c>
      <c r="F89" s="69" t="s">
        <v>246</v>
      </c>
      <c r="G89" s="69" t="s">
        <v>1151</v>
      </c>
      <c r="H89" s="69">
        <v>0</v>
      </c>
      <c r="I89" s="69" t="s">
        <v>257</v>
      </c>
      <c r="J89" s="69">
        <v>42</v>
      </c>
    </row>
    <row r="90" spans="1:10" x14ac:dyDescent="0.2">
      <c r="A90" s="69">
        <v>10000000391</v>
      </c>
      <c r="B90" s="69" t="s">
        <v>220</v>
      </c>
      <c r="C90" s="100" t="s">
        <v>220</v>
      </c>
      <c r="D90" s="69" t="e">
        <v>#N/A</v>
      </c>
      <c r="E90" s="69" t="e">
        <v>#N/A</v>
      </c>
      <c r="F90" s="69" t="s">
        <v>275</v>
      </c>
      <c r="G90" s="69" t="s">
        <v>1150</v>
      </c>
      <c r="H90" s="69">
        <v>0</v>
      </c>
      <c r="I90" s="69" t="s">
        <v>247</v>
      </c>
      <c r="J90" s="69">
        <v>42</v>
      </c>
    </row>
    <row r="91" spans="1:10" x14ac:dyDescent="0.2">
      <c r="A91" s="69">
        <v>10000000392</v>
      </c>
      <c r="B91" s="69" t="s">
        <v>221</v>
      </c>
      <c r="C91" s="100" t="s">
        <v>221</v>
      </c>
      <c r="D91" s="69" t="e">
        <v>#N/A</v>
      </c>
      <c r="E91" s="69" t="e">
        <v>#N/A</v>
      </c>
      <c r="F91" s="69" t="s">
        <v>275</v>
      </c>
      <c r="G91" s="69" t="s">
        <v>1149</v>
      </c>
      <c r="H91" s="69">
        <v>0</v>
      </c>
      <c r="I91" s="69" t="s">
        <v>257</v>
      </c>
      <c r="J91" s="69">
        <v>42</v>
      </c>
    </row>
    <row r="92" spans="1:10" x14ac:dyDescent="0.2">
      <c r="A92" s="69">
        <v>10000000393</v>
      </c>
      <c r="B92" s="69" t="s">
        <v>221</v>
      </c>
      <c r="C92" s="100">
        <v>5</v>
      </c>
      <c r="D92" s="69" t="e">
        <v>#N/A</v>
      </c>
      <c r="E92" s="69" t="e">
        <v>#N/A</v>
      </c>
      <c r="F92" s="69" t="s">
        <v>275</v>
      </c>
      <c r="G92" s="69" t="s">
        <v>1148</v>
      </c>
      <c r="H92" s="69">
        <v>0</v>
      </c>
      <c r="I92" s="69" t="s">
        <v>257</v>
      </c>
      <c r="J92" s="69">
        <v>42</v>
      </c>
    </row>
    <row r="93" spans="1:10" x14ac:dyDescent="0.2">
      <c r="A93" s="69">
        <v>10000000394</v>
      </c>
      <c r="B93" s="69" t="s">
        <v>262</v>
      </c>
      <c r="C93" s="100">
        <v>20</v>
      </c>
      <c r="D93" s="69" t="e">
        <v>#N/A</v>
      </c>
      <c r="E93" s="69" t="e">
        <v>#N/A</v>
      </c>
      <c r="F93" s="69" t="s">
        <v>275</v>
      </c>
      <c r="G93" s="69" t="s">
        <v>1147</v>
      </c>
      <c r="H93" s="69">
        <v>0</v>
      </c>
      <c r="I93" s="69" t="s">
        <v>261</v>
      </c>
      <c r="J93" s="69">
        <v>42</v>
      </c>
    </row>
    <row r="94" spans="1:10" x14ac:dyDescent="0.2">
      <c r="A94" s="69">
        <v>10000000395</v>
      </c>
      <c r="B94" s="69" t="s">
        <v>262</v>
      </c>
      <c r="C94" s="100">
        <v>20</v>
      </c>
      <c r="D94" s="69" t="e">
        <v>#N/A</v>
      </c>
      <c r="E94" s="69" t="e">
        <v>#N/A</v>
      </c>
      <c r="F94" s="69" t="s">
        <v>275</v>
      </c>
      <c r="G94" s="69" t="s">
        <v>1146</v>
      </c>
      <c r="H94" s="69">
        <v>0</v>
      </c>
      <c r="I94" s="69" t="s">
        <v>261</v>
      </c>
      <c r="J94" s="69">
        <v>42</v>
      </c>
    </row>
    <row r="95" spans="1:10" x14ac:dyDescent="0.2">
      <c r="A95" s="69">
        <v>10000000396</v>
      </c>
      <c r="B95" s="69" t="s">
        <v>220</v>
      </c>
      <c r="C95" s="100">
        <v>1</v>
      </c>
      <c r="D95" s="69" t="e">
        <v>#N/A</v>
      </c>
      <c r="E95" s="69" t="e">
        <v>#N/A</v>
      </c>
      <c r="F95" s="69" t="s">
        <v>275</v>
      </c>
      <c r="G95" s="69" t="s">
        <v>1145</v>
      </c>
      <c r="H95" s="69">
        <v>0</v>
      </c>
      <c r="I95" s="69" t="s">
        <v>247</v>
      </c>
      <c r="J95" s="69">
        <v>42</v>
      </c>
    </row>
    <row r="96" spans="1:10" x14ac:dyDescent="0.2">
      <c r="A96" s="69">
        <v>10000000397</v>
      </c>
      <c r="C96" s="100">
        <v>28</v>
      </c>
      <c r="G96" s="69" t="s">
        <v>1075</v>
      </c>
      <c r="J96" s="69">
        <v>28</v>
      </c>
    </row>
    <row r="97" spans="1:10" x14ac:dyDescent="0.2">
      <c r="A97" s="69">
        <v>10000000398</v>
      </c>
      <c r="C97" s="100">
        <v>19</v>
      </c>
      <c r="G97" s="69" t="s">
        <v>1074</v>
      </c>
      <c r="J97" s="69">
        <v>19</v>
      </c>
    </row>
    <row r="98" spans="1:10" x14ac:dyDescent="0.2">
      <c r="A98" s="69">
        <v>10000000400</v>
      </c>
      <c r="C98" s="100">
        <v>19</v>
      </c>
      <c r="G98" s="69" t="s">
        <v>1712</v>
      </c>
      <c r="J98" s="69">
        <v>19</v>
      </c>
    </row>
    <row r="99" spans="1:10" x14ac:dyDescent="0.2">
      <c r="A99" s="69">
        <v>10000000401</v>
      </c>
      <c r="C99" s="100" t="s">
        <v>307</v>
      </c>
      <c r="G99" s="69" t="s">
        <v>1072</v>
      </c>
      <c r="J99" s="69" t="s">
        <v>307</v>
      </c>
    </row>
    <row r="100" spans="1:10" x14ac:dyDescent="0.2">
      <c r="A100" s="69">
        <v>10000000402</v>
      </c>
      <c r="C100" s="100" t="s">
        <v>307</v>
      </c>
      <c r="G100" s="69" t="s">
        <v>1071</v>
      </c>
      <c r="J100" s="69" t="s">
        <v>307</v>
      </c>
    </row>
    <row r="101" spans="1:10" x14ac:dyDescent="0.2">
      <c r="A101" s="69">
        <v>10000000403</v>
      </c>
      <c r="C101" s="100" t="s">
        <v>307</v>
      </c>
      <c r="G101" s="69" t="s">
        <v>1070</v>
      </c>
      <c r="J101" s="69" t="s">
        <v>307</v>
      </c>
    </row>
    <row r="102" spans="1:10" x14ac:dyDescent="0.2">
      <c r="A102" s="69">
        <v>10000000404</v>
      </c>
      <c r="C102" s="100">
        <v>19</v>
      </c>
      <c r="G102" s="69" t="s">
        <v>1069</v>
      </c>
      <c r="J102" s="69">
        <v>19</v>
      </c>
    </row>
    <row r="103" spans="1:10" x14ac:dyDescent="0.2">
      <c r="A103" s="69">
        <v>10000000405</v>
      </c>
      <c r="B103" s="69" t="s">
        <v>220</v>
      </c>
      <c r="C103" s="100" t="s">
        <v>220</v>
      </c>
      <c r="D103" s="69" t="e">
        <v>#N/A</v>
      </c>
      <c r="E103" s="69" t="e">
        <v>#N/A</v>
      </c>
      <c r="F103" s="69" t="s">
        <v>275</v>
      </c>
      <c r="G103" s="69" t="s">
        <v>1144</v>
      </c>
      <c r="H103" s="69">
        <v>0</v>
      </c>
      <c r="I103" s="69" t="s">
        <v>247</v>
      </c>
      <c r="J103" s="69">
        <v>42</v>
      </c>
    </row>
    <row r="104" spans="1:10" x14ac:dyDescent="0.2">
      <c r="A104" s="69">
        <v>10000000406</v>
      </c>
      <c r="C104" s="100">
        <v>19</v>
      </c>
      <c r="G104" s="69" t="s">
        <v>1068</v>
      </c>
      <c r="J104" s="69">
        <v>19</v>
      </c>
    </row>
    <row r="105" spans="1:10" x14ac:dyDescent="0.2">
      <c r="A105" s="69">
        <v>10000000407</v>
      </c>
      <c r="B105" s="69" t="s">
        <v>220</v>
      </c>
      <c r="C105" s="100" t="s">
        <v>220</v>
      </c>
      <c r="D105" s="69" t="e">
        <v>#N/A</v>
      </c>
      <c r="E105" s="69" t="e">
        <v>#N/A</v>
      </c>
      <c r="F105" s="69" t="s">
        <v>275</v>
      </c>
      <c r="G105" s="69" t="s">
        <v>1143</v>
      </c>
      <c r="H105" s="69">
        <v>0</v>
      </c>
      <c r="I105" s="69" t="s">
        <v>247</v>
      </c>
      <c r="J105" s="69">
        <v>42</v>
      </c>
    </row>
    <row r="106" spans="1:10" x14ac:dyDescent="0.2">
      <c r="A106" s="69">
        <v>10000000408</v>
      </c>
      <c r="C106" s="100">
        <v>19</v>
      </c>
      <c r="G106" s="69" t="s">
        <v>1067</v>
      </c>
      <c r="J106" s="69">
        <v>19</v>
      </c>
    </row>
    <row r="107" spans="1:10" x14ac:dyDescent="0.2">
      <c r="A107" s="69">
        <v>10000000409</v>
      </c>
      <c r="C107" s="100">
        <v>19</v>
      </c>
      <c r="G107" s="69" t="s">
        <v>1066</v>
      </c>
      <c r="J107" s="69">
        <v>19</v>
      </c>
    </row>
    <row r="108" spans="1:10" x14ac:dyDescent="0.2">
      <c r="A108" s="69">
        <v>10000000410</v>
      </c>
      <c r="B108" s="69" t="s">
        <v>221</v>
      </c>
      <c r="C108" s="100" t="s">
        <v>221</v>
      </c>
      <c r="D108" s="69" t="e">
        <v>#N/A</v>
      </c>
      <c r="E108" s="69" t="e">
        <v>#N/A</v>
      </c>
      <c r="F108" s="69" t="s">
        <v>275</v>
      </c>
      <c r="G108" s="69" t="s">
        <v>1142</v>
      </c>
      <c r="H108" s="69">
        <v>0</v>
      </c>
      <c r="I108" s="69" t="s">
        <v>257</v>
      </c>
      <c r="J108" s="69">
        <v>42</v>
      </c>
    </row>
    <row r="109" spans="1:10" x14ac:dyDescent="0.2">
      <c r="A109" s="69">
        <v>10000000411</v>
      </c>
      <c r="C109" s="100">
        <v>19</v>
      </c>
      <c r="G109" s="69" t="s">
        <v>198</v>
      </c>
      <c r="J109" s="69">
        <v>19</v>
      </c>
    </row>
    <row r="110" spans="1:10" x14ac:dyDescent="0.2">
      <c r="A110" s="69">
        <v>10000000412</v>
      </c>
      <c r="B110" s="69" t="s">
        <v>221</v>
      </c>
      <c r="C110" s="100" t="s">
        <v>221</v>
      </c>
      <c r="D110" s="69" t="e">
        <v>#N/A</v>
      </c>
      <c r="E110" s="69" t="e">
        <v>#N/A</v>
      </c>
      <c r="F110" s="69" t="s">
        <v>275</v>
      </c>
      <c r="G110" s="69" t="s">
        <v>1141</v>
      </c>
      <c r="H110" s="69">
        <v>0</v>
      </c>
      <c r="I110" s="69" t="s">
        <v>257</v>
      </c>
      <c r="J110" s="69">
        <v>42</v>
      </c>
    </row>
    <row r="111" spans="1:10" x14ac:dyDescent="0.2">
      <c r="A111" s="69">
        <v>10000000413</v>
      </c>
      <c r="C111" s="100">
        <v>19</v>
      </c>
      <c r="G111" s="69" t="s">
        <v>1065</v>
      </c>
      <c r="J111" s="69">
        <v>19</v>
      </c>
    </row>
    <row r="112" spans="1:10" x14ac:dyDescent="0.2">
      <c r="A112" s="69">
        <v>10000000414</v>
      </c>
      <c r="C112" s="100">
        <v>19</v>
      </c>
      <c r="G112" s="69" t="s">
        <v>1064</v>
      </c>
      <c r="J112" s="69">
        <v>19</v>
      </c>
    </row>
    <row r="113" spans="1:10" x14ac:dyDescent="0.2">
      <c r="A113" s="69">
        <v>10000000415</v>
      </c>
      <c r="C113" s="100">
        <v>19</v>
      </c>
      <c r="G113" s="69" t="s">
        <v>1063</v>
      </c>
      <c r="J113" s="69">
        <v>19</v>
      </c>
    </row>
    <row r="114" spans="1:10" x14ac:dyDescent="0.2">
      <c r="A114" s="69">
        <v>10000000416</v>
      </c>
      <c r="C114" s="100">
        <v>19</v>
      </c>
      <c r="G114" s="69" t="s">
        <v>1062</v>
      </c>
      <c r="J114" s="69">
        <v>19</v>
      </c>
    </row>
    <row r="115" spans="1:10" x14ac:dyDescent="0.2">
      <c r="A115" s="69">
        <v>10000000417</v>
      </c>
      <c r="C115" s="100">
        <v>19</v>
      </c>
      <c r="G115" s="69" t="s">
        <v>1061</v>
      </c>
      <c r="J115" s="69">
        <v>19</v>
      </c>
    </row>
    <row r="116" spans="1:10" x14ac:dyDescent="0.2">
      <c r="A116" s="69">
        <v>10000000419</v>
      </c>
      <c r="C116" s="100">
        <v>19</v>
      </c>
      <c r="G116" s="69" t="s">
        <v>200</v>
      </c>
      <c r="J116" s="69">
        <v>19</v>
      </c>
    </row>
    <row r="117" spans="1:10" x14ac:dyDescent="0.2">
      <c r="A117" s="69">
        <v>10000000420</v>
      </c>
      <c r="C117" s="100">
        <v>19</v>
      </c>
      <c r="G117" s="69" t="s">
        <v>1060</v>
      </c>
      <c r="J117" s="69">
        <v>19</v>
      </c>
    </row>
    <row r="118" spans="1:10" x14ac:dyDescent="0.2">
      <c r="A118" s="69">
        <v>10000000421</v>
      </c>
      <c r="C118" s="100">
        <v>19</v>
      </c>
      <c r="G118" s="69" t="s">
        <v>1059</v>
      </c>
      <c r="J118" s="69">
        <v>19</v>
      </c>
    </row>
    <row r="119" spans="1:10" x14ac:dyDescent="0.2">
      <c r="A119" s="69">
        <v>10000000422</v>
      </c>
      <c r="C119" s="100">
        <v>19</v>
      </c>
      <c r="G119" s="69" t="s">
        <v>142</v>
      </c>
      <c r="J119" s="69">
        <v>19</v>
      </c>
    </row>
    <row r="120" spans="1:10" x14ac:dyDescent="0.2">
      <c r="A120" s="69">
        <v>10000000426</v>
      </c>
      <c r="C120" s="100">
        <v>19</v>
      </c>
      <c r="G120" s="69" t="s">
        <v>176</v>
      </c>
      <c r="J120" s="69">
        <v>19</v>
      </c>
    </row>
    <row r="121" spans="1:10" x14ac:dyDescent="0.2">
      <c r="A121" s="69">
        <v>10000000430</v>
      </c>
      <c r="C121" s="100">
        <v>19</v>
      </c>
      <c r="G121" s="69" t="s">
        <v>130</v>
      </c>
      <c r="J121" s="69">
        <v>19</v>
      </c>
    </row>
    <row r="122" spans="1:10" x14ac:dyDescent="0.2">
      <c r="A122" s="69">
        <v>10000000431</v>
      </c>
      <c r="B122" s="69" t="s">
        <v>221</v>
      </c>
      <c r="C122" s="100" t="s">
        <v>221</v>
      </c>
      <c r="D122" s="69" t="e">
        <v>#N/A</v>
      </c>
      <c r="E122" s="69" t="e">
        <v>#N/A</v>
      </c>
      <c r="F122" s="69" t="s">
        <v>275</v>
      </c>
      <c r="G122" s="69" t="s">
        <v>1140</v>
      </c>
      <c r="H122" s="69">
        <v>0</v>
      </c>
      <c r="I122" s="69" t="s">
        <v>257</v>
      </c>
      <c r="J122" s="69">
        <v>42</v>
      </c>
    </row>
    <row r="123" spans="1:10" x14ac:dyDescent="0.2">
      <c r="A123" s="69">
        <v>10000000432</v>
      </c>
      <c r="C123" s="100">
        <v>19</v>
      </c>
      <c r="G123" s="69" t="s">
        <v>1058</v>
      </c>
      <c r="H123" s="69">
        <v>0</v>
      </c>
      <c r="J123" s="69">
        <v>42</v>
      </c>
    </row>
    <row r="124" spans="1:10" x14ac:dyDescent="0.2">
      <c r="A124" s="69">
        <v>10000000433</v>
      </c>
      <c r="C124" s="100">
        <v>19</v>
      </c>
      <c r="G124" s="69" t="s">
        <v>1057</v>
      </c>
      <c r="H124" s="69">
        <v>0</v>
      </c>
      <c r="J124" s="69">
        <v>42</v>
      </c>
    </row>
    <row r="125" spans="1:10" x14ac:dyDescent="0.2">
      <c r="A125" s="69">
        <v>10000000434</v>
      </c>
      <c r="B125" s="69" t="s">
        <v>262</v>
      </c>
      <c r="C125" s="100">
        <v>10</v>
      </c>
      <c r="D125" s="69" t="e">
        <v>#N/A</v>
      </c>
      <c r="E125" s="69" t="e">
        <v>#N/A</v>
      </c>
      <c r="F125" s="69" t="s">
        <v>275</v>
      </c>
      <c r="G125" s="69" t="s">
        <v>1138</v>
      </c>
      <c r="H125" s="69">
        <v>0</v>
      </c>
      <c r="I125" s="69" t="s">
        <v>261</v>
      </c>
      <c r="J125" s="69">
        <v>42</v>
      </c>
    </row>
    <row r="126" spans="1:10" x14ac:dyDescent="0.2">
      <c r="A126" s="69">
        <v>10000000435</v>
      </c>
      <c r="C126" s="100">
        <v>19</v>
      </c>
      <c r="G126" s="69" t="s">
        <v>1056</v>
      </c>
      <c r="H126" s="69">
        <v>0</v>
      </c>
      <c r="J126" s="69">
        <v>42</v>
      </c>
    </row>
    <row r="127" spans="1:10" x14ac:dyDescent="0.2">
      <c r="A127" s="69">
        <v>10000000436</v>
      </c>
      <c r="B127" s="69" t="s">
        <v>262</v>
      </c>
      <c r="C127" s="100">
        <v>20</v>
      </c>
      <c r="D127" s="69" t="e">
        <v>#N/A</v>
      </c>
      <c r="E127" s="69" t="e">
        <v>#N/A</v>
      </c>
      <c r="F127" s="69" t="s">
        <v>275</v>
      </c>
      <c r="G127" s="69" t="s">
        <v>1137</v>
      </c>
      <c r="H127" s="69">
        <v>0</v>
      </c>
      <c r="I127" s="69" t="s">
        <v>261</v>
      </c>
      <c r="J127" s="69">
        <v>42</v>
      </c>
    </row>
    <row r="128" spans="1:10" x14ac:dyDescent="0.2">
      <c r="A128" s="69">
        <v>10000000437</v>
      </c>
      <c r="B128" s="69" t="s">
        <v>220</v>
      </c>
      <c r="C128" s="100">
        <v>5</v>
      </c>
      <c r="D128" s="69" t="e">
        <v>#N/A</v>
      </c>
      <c r="E128" s="69" t="e">
        <v>#N/A</v>
      </c>
      <c r="F128" s="69" t="s">
        <v>275</v>
      </c>
      <c r="G128" s="69" t="s">
        <v>1136</v>
      </c>
      <c r="H128" s="69">
        <v>0</v>
      </c>
      <c r="I128" s="69" t="s">
        <v>247</v>
      </c>
      <c r="J128" s="69">
        <v>42</v>
      </c>
    </row>
    <row r="129" spans="1:10" x14ac:dyDescent="0.2">
      <c r="A129" s="69">
        <v>10000000438</v>
      </c>
      <c r="B129" s="69" t="s">
        <v>220</v>
      </c>
      <c r="C129" s="100" t="s">
        <v>220</v>
      </c>
      <c r="D129" s="69" t="s">
        <v>1244</v>
      </c>
      <c r="E129" s="69" t="s">
        <v>1242</v>
      </c>
      <c r="F129" s="69" t="s">
        <v>275</v>
      </c>
      <c r="G129" s="69" t="s">
        <v>1135</v>
      </c>
      <c r="H129" s="69">
        <v>0</v>
      </c>
      <c r="I129" s="69" t="s">
        <v>247</v>
      </c>
      <c r="J129" s="69">
        <v>42</v>
      </c>
    </row>
    <row r="130" spans="1:10" x14ac:dyDescent="0.2">
      <c r="A130" s="69">
        <v>10000000439</v>
      </c>
      <c r="B130" s="69" t="s">
        <v>221</v>
      </c>
      <c r="C130" s="100" t="s">
        <v>221</v>
      </c>
      <c r="D130" s="69" t="e">
        <v>#N/A</v>
      </c>
      <c r="E130" s="69" t="e">
        <v>#N/A</v>
      </c>
      <c r="F130" s="69" t="s">
        <v>275</v>
      </c>
      <c r="G130" s="69" t="s">
        <v>1134</v>
      </c>
      <c r="H130" s="69">
        <v>0</v>
      </c>
      <c r="I130" s="69" t="s">
        <v>257</v>
      </c>
      <c r="J130" s="69">
        <v>42</v>
      </c>
    </row>
    <row r="131" spans="1:10" x14ac:dyDescent="0.2">
      <c r="A131" s="69">
        <v>10000000440</v>
      </c>
      <c r="B131" s="69" t="s">
        <v>221</v>
      </c>
      <c r="C131" s="100" t="s">
        <v>221</v>
      </c>
      <c r="D131" s="69" t="e">
        <v>#N/A</v>
      </c>
      <c r="E131" s="69" t="e">
        <v>#N/A</v>
      </c>
      <c r="F131" s="69" t="s">
        <v>275</v>
      </c>
      <c r="G131" s="69" t="s">
        <v>1133</v>
      </c>
      <c r="H131" s="69">
        <v>0</v>
      </c>
      <c r="I131" s="69" t="s">
        <v>257</v>
      </c>
      <c r="J131" s="69">
        <v>42</v>
      </c>
    </row>
    <row r="132" spans="1:10" x14ac:dyDescent="0.2">
      <c r="A132" s="69">
        <v>10000000441</v>
      </c>
      <c r="C132" s="100">
        <v>19</v>
      </c>
      <c r="G132" s="69" t="s">
        <v>1054</v>
      </c>
      <c r="J132" s="69">
        <v>19</v>
      </c>
    </row>
    <row r="133" spans="1:10" x14ac:dyDescent="0.2">
      <c r="A133" s="69">
        <v>10000000442</v>
      </c>
      <c r="C133" s="100">
        <v>19</v>
      </c>
      <c r="G133" s="69" t="s">
        <v>1053</v>
      </c>
      <c r="H133" s="69">
        <v>0</v>
      </c>
      <c r="J133" s="69">
        <v>42</v>
      </c>
    </row>
    <row r="134" spans="1:10" x14ac:dyDescent="0.2">
      <c r="A134" s="69">
        <v>10000000443</v>
      </c>
      <c r="B134" s="69" t="s">
        <v>221</v>
      </c>
      <c r="C134" s="100" t="s">
        <v>221</v>
      </c>
      <c r="D134" s="69" t="e">
        <v>#N/A</v>
      </c>
      <c r="E134" s="69" t="e">
        <v>#N/A</v>
      </c>
      <c r="F134" s="69" t="s">
        <v>275</v>
      </c>
      <c r="G134" s="69" t="s">
        <v>1132</v>
      </c>
      <c r="H134" s="69">
        <v>0</v>
      </c>
      <c r="I134" s="69" t="s">
        <v>257</v>
      </c>
      <c r="J134" s="69">
        <v>42</v>
      </c>
    </row>
    <row r="135" spans="1:10" x14ac:dyDescent="0.2">
      <c r="A135" s="69">
        <v>10000000444</v>
      </c>
      <c r="B135" s="69" t="s">
        <v>221</v>
      </c>
      <c r="C135" s="100" t="s">
        <v>221</v>
      </c>
      <c r="D135" s="69" t="e">
        <v>#N/A</v>
      </c>
      <c r="E135" s="69" t="e">
        <v>#N/A</v>
      </c>
      <c r="F135" s="69" t="s">
        <v>275</v>
      </c>
      <c r="G135" s="69" t="s">
        <v>1131</v>
      </c>
      <c r="H135" s="69">
        <v>0</v>
      </c>
      <c r="I135" s="69" t="s">
        <v>257</v>
      </c>
      <c r="J135" s="69">
        <v>42</v>
      </c>
    </row>
    <row r="136" spans="1:10" x14ac:dyDescent="0.2">
      <c r="A136" s="69">
        <v>10000000445</v>
      </c>
      <c r="C136" s="100">
        <v>19</v>
      </c>
      <c r="G136" s="69" t="s">
        <v>149</v>
      </c>
      <c r="H136" s="69">
        <v>0</v>
      </c>
      <c r="J136" s="69">
        <v>42</v>
      </c>
    </row>
    <row r="137" spans="1:10" x14ac:dyDescent="0.2">
      <c r="A137" s="69">
        <v>10000000446</v>
      </c>
      <c r="B137" s="69" t="s">
        <v>221</v>
      </c>
      <c r="C137" s="100">
        <v>1</v>
      </c>
      <c r="D137" s="69" t="e">
        <v>#N/A</v>
      </c>
      <c r="E137" s="69" t="e">
        <v>#N/A</v>
      </c>
      <c r="F137" s="69" t="s">
        <v>275</v>
      </c>
      <c r="G137" s="69" t="s">
        <v>1130</v>
      </c>
      <c r="H137" s="69">
        <v>0</v>
      </c>
      <c r="I137" s="69" t="s">
        <v>257</v>
      </c>
      <c r="J137" s="69">
        <v>42</v>
      </c>
    </row>
    <row r="138" spans="1:10" x14ac:dyDescent="0.2">
      <c r="A138" s="69">
        <v>10000000447</v>
      </c>
      <c r="B138" s="69" t="s">
        <v>221</v>
      </c>
      <c r="C138" s="100">
        <v>5</v>
      </c>
      <c r="D138" s="69" t="e">
        <v>#N/A</v>
      </c>
      <c r="E138" s="69" t="e">
        <v>#N/A</v>
      </c>
      <c r="F138" s="69" t="s">
        <v>275</v>
      </c>
      <c r="G138" s="69" t="s">
        <v>1129</v>
      </c>
      <c r="H138" s="69">
        <v>0</v>
      </c>
      <c r="I138" s="69" t="s">
        <v>257</v>
      </c>
      <c r="J138" s="69">
        <v>42</v>
      </c>
    </row>
    <row r="139" spans="1:10" x14ac:dyDescent="0.2">
      <c r="A139" s="69">
        <v>10000000448</v>
      </c>
      <c r="B139" s="69" t="s">
        <v>221</v>
      </c>
      <c r="C139" s="100">
        <v>5</v>
      </c>
      <c r="D139" s="69" t="e">
        <v>#N/A</v>
      </c>
      <c r="E139" s="69" t="e">
        <v>#N/A</v>
      </c>
      <c r="F139" s="69" t="s">
        <v>275</v>
      </c>
      <c r="G139" s="69" t="s">
        <v>1128</v>
      </c>
      <c r="H139" s="69">
        <v>0</v>
      </c>
      <c r="I139" s="69" t="s">
        <v>257</v>
      </c>
      <c r="J139" s="69">
        <v>42</v>
      </c>
    </row>
    <row r="140" spans="1:10" x14ac:dyDescent="0.2">
      <c r="A140" s="69">
        <v>10000000449</v>
      </c>
      <c r="B140" s="69" t="s">
        <v>221</v>
      </c>
      <c r="C140" s="100">
        <v>1</v>
      </c>
      <c r="D140" s="69" t="e">
        <v>#N/A</v>
      </c>
      <c r="E140" s="69" t="e">
        <v>#N/A</v>
      </c>
      <c r="F140" s="69" t="s">
        <v>275</v>
      </c>
      <c r="G140" s="69" t="s">
        <v>1127</v>
      </c>
      <c r="H140" s="69">
        <v>0</v>
      </c>
      <c r="I140" s="69" t="s">
        <v>257</v>
      </c>
      <c r="J140" s="69">
        <v>42</v>
      </c>
    </row>
    <row r="141" spans="1:10" x14ac:dyDescent="0.2">
      <c r="A141" s="69">
        <v>10000000450</v>
      </c>
      <c r="B141" s="69" t="s">
        <v>221</v>
      </c>
      <c r="C141" s="100">
        <v>5</v>
      </c>
      <c r="D141" s="69" t="e">
        <v>#N/A</v>
      </c>
      <c r="E141" s="69" t="e">
        <v>#N/A</v>
      </c>
      <c r="F141" s="69" t="s">
        <v>275</v>
      </c>
      <c r="G141" s="69" t="s">
        <v>1126</v>
      </c>
      <c r="H141" s="69">
        <v>0</v>
      </c>
      <c r="I141" s="69" t="s">
        <v>257</v>
      </c>
      <c r="J141" s="69">
        <v>42</v>
      </c>
    </row>
    <row r="142" spans="1:10" x14ac:dyDescent="0.2">
      <c r="A142" s="69">
        <v>10000000451</v>
      </c>
      <c r="B142" s="69" t="s">
        <v>221</v>
      </c>
      <c r="C142" s="100">
        <v>5</v>
      </c>
      <c r="D142" s="69" t="e">
        <v>#N/A</v>
      </c>
      <c r="E142" s="69" t="e">
        <v>#N/A</v>
      </c>
      <c r="F142" s="69" t="s">
        <v>275</v>
      </c>
      <c r="G142" s="69" t="s">
        <v>1125</v>
      </c>
      <c r="H142" s="69">
        <v>0</v>
      </c>
      <c r="I142" s="69" t="s">
        <v>257</v>
      </c>
      <c r="J142" s="69">
        <v>42</v>
      </c>
    </row>
    <row r="143" spans="1:10" x14ac:dyDescent="0.2">
      <c r="A143" s="69">
        <v>10000000452</v>
      </c>
      <c r="B143" s="69" t="s">
        <v>262</v>
      </c>
      <c r="C143" s="100">
        <v>10</v>
      </c>
      <c r="D143" s="69" t="e">
        <v>#N/A</v>
      </c>
      <c r="E143" s="69" t="e">
        <v>#N/A</v>
      </c>
      <c r="F143" s="69" t="s">
        <v>275</v>
      </c>
      <c r="G143" s="69" t="s">
        <v>1124</v>
      </c>
      <c r="H143" s="69">
        <v>0</v>
      </c>
      <c r="I143" s="69" t="s">
        <v>261</v>
      </c>
      <c r="J143" s="69">
        <v>42</v>
      </c>
    </row>
    <row r="144" spans="1:10" x14ac:dyDescent="0.2">
      <c r="A144" s="69">
        <v>10000000453</v>
      </c>
      <c r="B144" s="69" t="s">
        <v>262</v>
      </c>
      <c r="C144" s="100">
        <v>10</v>
      </c>
      <c r="D144" s="69" t="e">
        <v>#N/A</v>
      </c>
      <c r="E144" s="69" t="e">
        <v>#N/A</v>
      </c>
      <c r="F144" s="69" t="s">
        <v>275</v>
      </c>
      <c r="G144" s="69" t="s">
        <v>1123</v>
      </c>
      <c r="H144" s="69">
        <v>0</v>
      </c>
      <c r="I144" s="69" t="s">
        <v>261</v>
      </c>
      <c r="J144" s="69">
        <v>42</v>
      </c>
    </row>
    <row r="145" spans="1:10" x14ac:dyDescent="0.2">
      <c r="A145" s="69">
        <v>10000000454</v>
      </c>
      <c r="B145" s="69" t="s">
        <v>262</v>
      </c>
      <c r="C145" s="100">
        <v>10</v>
      </c>
      <c r="D145" s="69" t="e">
        <v>#N/A</v>
      </c>
      <c r="E145" s="69" t="e">
        <v>#N/A</v>
      </c>
      <c r="F145" s="69" t="s">
        <v>275</v>
      </c>
      <c r="G145" s="69" t="s">
        <v>1122</v>
      </c>
      <c r="H145" s="69">
        <v>0</v>
      </c>
      <c r="I145" s="69" t="s">
        <v>261</v>
      </c>
      <c r="J145" s="69">
        <v>42</v>
      </c>
    </row>
    <row r="146" spans="1:10" x14ac:dyDescent="0.2">
      <c r="A146" s="69">
        <v>10000000455</v>
      </c>
      <c r="B146" s="69" t="s">
        <v>262</v>
      </c>
      <c r="C146" s="100">
        <v>10</v>
      </c>
      <c r="D146" s="69" t="e">
        <v>#N/A</v>
      </c>
      <c r="E146" s="69" t="e">
        <v>#N/A</v>
      </c>
      <c r="F146" s="69" t="s">
        <v>275</v>
      </c>
      <c r="G146" s="69" t="s">
        <v>1121</v>
      </c>
      <c r="H146" s="69">
        <v>0</v>
      </c>
      <c r="I146" s="69" t="s">
        <v>261</v>
      </c>
      <c r="J146" s="69">
        <v>42</v>
      </c>
    </row>
    <row r="147" spans="1:10" x14ac:dyDescent="0.2">
      <c r="A147" s="69">
        <v>10000000456</v>
      </c>
      <c r="B147" s="69" t="s">
        <v>262</v>
      </c>
      <c r="C147" s="100">
        <v>5</v>
      </c>
      <c r="D147" s="69" t="e">
        <v>#N/A</v>
      </c>
      <c r="E147" s="69" t="e">
        <v>#N/A</v>
      </c>
      <c r="F147" s="69" t="s">
        <v>275</v>
      </c>
      <c r="G147" s="69" t="s">
        <v>1120</v>
      </c>
      <c r="H147" s="69">
        <v>0</v>
      </c>
      <c r="I147" s="69" t="s">
        <v>261</v>
      </c>
      <c r="J147" s="69">
        <v>42</v>
      </c>
    </row>
    <row r="148" spans="1:10" x14ac:dyDescent="0.2">
      <c r="A148" s="69">
        <v>10000000457</v>
      </c>
      <c r="B148" s="69" t="s">
        <v>262</v>
      </c>
      <c r="C148" s="100">
        <v>10</v>
      </c>
      <c r="D148" s="69" t="e">
        <v>#N/A</v>
      </c>
      <c r="E148" s="69" t="e">
        <v>#N/A</v>
      </c>
      <c r="F148" s="69" t="s">
        <v>275</v>
      </c>
      <c r="G148" s="69" t="s">
        <v>1119</v>
      </c>
      <c r="H148" s="69">
        <v>0</v>
      </c>
      <c r="I148" s="69" t="s">
        <v>261</v>
      </c>
      <c r="J148" s="69">
        <v>42</v>
      </c>
    </row>
    <row r="149" spans="1:10" x14ac:dyDescent="0.2">
      <c r="A149" s="69">
        <v>10000000458</v>
      </c>
      <c r="B149" s="69" t="s">
        <v>262</v>
      </c>
      <c r="C149" s="100">
        <v>10</v>
      </c>
      <c r="D149" s="69" t="e">
        <v>#N/A</v>
      </c>
      <c r="E149" s="69" t="e">
        <v>#N/A</v>
      </c>
      <c r="F149" s="69" t="s">
        <v>275</v>
      </c>
      <c r="G149" s="69" t="s">
        <v>1118</v>
      </c>
      <c r="H149" s="69">
        <v>0</v>
      </c>
      <c r="I149" s="69" t="s">
        <v>261</v>
      </c>
      <c r="J149" s="69">
        <v>42</v>
      </c>
    </row>
    <row r="150" spans="1:10" x14ac:dyDescent="0.2">
      <c r="A150" s="69">
        <v>10000000459</v>
      </c>
      <c r="B150" s="69" t="s">
        <v>262</v>
      </c>
      <c r="C150" s="100">
        <v>10</v>
      </c>
      <c r="D150" s="69" t="e">
        <v>#N/A</v>
      </c>
      <c r="E150" s="69" t="e">
        <v>#N/A</v>
      </c>
      <c r="F150" s="69" t="s">
        <v>275</v>
      </c>
      <c r="G150" s="69" t="s">
        <v>1117</v>
      </c>
      <c r="H150" s="69">
        <v>0</v>
      </c>
      <c r="I150" s="69" t="s">
        <v>261</v>
      </c>
      <c r="J150" s="69">
        <v>42</v>
      </c>
    </row>
    <row r="151" spans="1:10" x14ac:dyDescent="0.2">
      <c r="A151" s="69">
        <v>10000000468</v>
      </c>
      <c r="B151" s="69" t="s">
        <v>221</v>
      </c>
      <c r="C151" s="100">
        <v>5</v>
      </c>
      <c r="D151" s="69" t="e">
        <v>#N/A</v>
      </c>
      <c r="E151" s="69" t="e">
        <v>#N/A</v>
      </c>
      <c r="F151" s="69" t="s">
        <v>275</v>
      </c>
      <c r="G151" s="69" t="s">
        <v>1115</v>
      </c>
      <c r="H151" s="69">
        <v>0</v>
      </c>
      <c r="I151" s="69" t="s">
        <v>257</v>
      </c>
      <c r="J151" s="69">
        <v>42</v>
      </c>
    </row>
    <row r="152" spans="1:10" x14ac:dyDescent="0.2">
      <c r="A152" s="69">
        <v>10000000469</v>
      </c>
      <c r="B152" s="69" t="s">
        <v>221</v>
      </c>
      <c r="C152" s="100">
        <v>5</v>
      </c>
      <c r="D152" s="69" t="e">
        <v>#N/A</v>
      </c>
      <c r="E152" s="69" t="e">
        <v>#N/A</v>
      </c>
      <c r="F152" s="69" t="s">
        <v>275</v>
      </c>
      <c r="G152" s="69" t="s">
        <v>1114</v>
      </c>
      <c r="H152" s="69">
        <v>0</v>
      </c>
      <c r="I152" s="69" t="s">
        <v>257</v>
      </c>
      <c r="J152" s="69">
        <v>42</v>
      </c>
    </row>
    <row r="153" spans="1:10" x14ac:dyDescent="0.2">
      <c r="A153" s="69">
        <v>10000000470</v>
      </c>
      <c r="B153" s="69" t="s">
        <v>221</v>
      </c>
      <c r="C153" s="100">
        <v>5</v>
      </c>
      <c r="D153" s="69" t="e">
        <v>#N/A</v>
      </c>
      <c r="E153" s="69" t="e">
        <v>#N/A</v>
      </c>
      <c r="F153" s="69" t="s">
        <v>275</v>
      </c>
      <c r="G153" s="69" t="s">
        <v>1113</v>
      </c>
      <c r="H153" s="69">
        <v>0</v>
      </c>
      <c r="I153" s="69" t="s">
        <v>257</v>
      </c>
      <c r="J153" s="69">
        <v>42</v>
      </c>
    </row>
    <row r="154" spans="1:10" x14ac:dyDescent="0.2">
      <c r="A154" s="69">
        <v>10000000471</v>
      </c>
      <c r="B154" s="69" t="s">
        <v>221</v>
      </c>
      <c r="C154" s="100">
        <v>5</v>
      </c>
      <c r="D154" s="69" t="e">
        <v>#N/A</v>
      </c>
      <c r="E154" s="69" t="e">
        <v>#N/A</v>
      </c>
      <c r="F154" s="69" t="s">
        <v>275</v>
      </c>
      <c r="G154" s="69" t="s">
        <v>1112</v>
      </c>
      <c r="H154" s="69">
        <v>0</v>
      </c>
      <c r="I154" s="69" t="s">
        <v>257</v>
      </c>
      <c r="J154" s="69">
        <v>42</v>
      </c>
    </row>
    <row r="155" spans="1:10" x14ac:dyDescent="0.2">
      <c r="A155" s="69">
        <v>10000000472</v>
      </c>
      <c r="B155" s="69" t="s">
        <v>221</v>
      </c>
      <c r="C155" s="100">
        <v>5</v>
      </c>
      <c r="D155" s="69" t="e">
        <v>#N/A</v>
      </c>
      <c r="E155" s="69" t="e">
        <v>#N/A</v>
      </c>
      <c r="F155" s="69" t="s">
        <v>275</v>
      </c>
      <c r="G155" s="69" t="s">
        <v>1111</v>
      </c>
      <c r="H155" s="69">
        <v>0</v>
      </c>
      <c r="I155" s="69" t="s">
        <v>257</v>
      </c>
      <c r="J155" s="69">
        <v>42</v>
      </c>
    </row>
    <row r="156" spans="1:10" x14ac:dyDescent="0.2">
      <c r="A156" s="69">
        <v>10000000473</v>
      </c>
      <c r="B156" s="69" t="s">
        <v>262</v>
      </c>
      <c r="C156" s="100">
        <v>5</v>
      </c>
      <c r="D156" s="69" t="e">
        <v>#N/A</v>
      </c>
      <c r="E156" s="69" t="e">
        <v>#N/A</v>
      </c>
      <c r="F156" s="69" t="s">
        <v>275</v>
      </c>
      <c r="G156" s="69" t="s">
        <v>1110</v>
      </c>
      <c r="H156" s="69">
        <v>0</v>
      </c>
      <c r="I156" s="69" t="s">
        <v>261</v>
      </c>
      <c r="J156" s="69">
        <v>42</v>
      </c>
    </row>
    <row r="157" spans="1:10" x14ac:dyDescent="0.2">
      <c r="A157" s="69">
        <v>10000000474</v>
      </c>
      <c r="B157" s="69" t="s">
        <v>262</v>
      </c>
      <c r="C157" s="100">
        <v>5</v>
      </c>
      <c r="D157" s="69" t="e">
        <v>#N/A</v>
      </c>
      <c r="E157" s="69" t="e">
        <v>#N/A</v>
      </c>
      <c r="F157" s="69" t="s">
        <v>275</v>
      </c>
      <c r="G157" s="69" t="s">
        <v>1109</v>
      </c>
      <c r="H157" s="69">
        <v>0</v>
      </c>
      <c r="I157" s="69" t="s">
        <v>261</v>
      </c>
      <c r="J157" s="69">
        <v>42</v>
      </c>
    </row>
    <row r="158" spans="1:10" x14ac:dyDescent="0.2">
      <c r="A158" s="69">
        <v>10000000475</v>
      </c>
      <c r="B158" s="69" t="s">
        <v>262</v>
      </c>
      <c r="C158" s="100">
        <v>10</v>
      </c>
      <c r="D158" s="69" t="e">
        <v>#N/A</v>
      </c>
      <c r="E158" s="69" t="e">
        <v>#N/A</v>
      </c>
      <c r="F158" s="69" t="s">
        <v>275</v>
      </c>
      <c r="G158" s="69" t="s">
        <v>1108</v>
      </c>
      <c r="H158" s="69">
        <v>0</v>
      </c>
      <c r="I158" s="69" t="s">
        <v>261</v>
      </c>
      <c r="J158" s="69">
        <v>42</v>
      </c>
    </row>
    <row r="159" spans="1:10" x14ac:dyDescent="0.2">
      <c r="A159" s="69">
        <v>10000000476</v>
      </c>
      <c r="B159" s="69" t="s">
        <v>262</v>
      </c>
      <c r="C159" s="100">
        <v>5</v>
      </c>
      <c r="D159" s="69" t="e">
        <v>#N/A</v>
      </c>
      <c r="E159" s="69" t="e">
        <v>#N/A</v>
      </c>
      <c r="F159" s="69" t="s">
        <v>275</v>
      </c>
      <c r="G159" s="69" t="s">
        <v>1107</v>
      </c>
      <c r="H159" s="69">
        <v>0</v>
      </c>
      <c r="I159" s="69" t="s">
        <v>261</v>
      </c>
      <c r="J159" s="69">
        <v>42</v>
      </c>
    </row>
    <row r="160" spans="1:10" x14ac:dyDescent="0.2">
      <c r="A160" s="69">
        <v>10000000477</v>
      </c>
      <c r="B160" s="69" t="s">
        <v>262</v>
      </c>
      <c r="C160" s="100">
        <v>10</v>
      </c>
      <c r="D160" s="69" t="e">
        <v>#N/A</v>
      </c>
      <c r="E160" s="69" t="e">
        <v>#N/A</v>
      </c>
      <c r="F160" s="69" t="s">
        <v>275</v>
      </c>
      <c r="G160" s="69" t="s">
        <v>1106</v>
      </c>
      <c r="H160" s="69">
        <v>0</v>
      </c>
      <c r="I160" s="69" t="s">
        <v>261</v>
      </c>
      <c r="J160" s="69">
        <v>42</v>
      </c>
    </row>
    <row r="161" spans="1:10" x14ac:dyDescent="0.2">
      <c r="A161" s="69">
        <v>10000000478</v>
      </c>
      <c r="B161" s="69" t="s">
        <v>262</v>
      </c>
      <c r="C161" s="100">
        <v>10</v>
      </c>
      <c r="D161" s="69" t="e">
        <v>#N/A</v>
      </c>
      <c r="E161" s="69" t="e">
        <v>#N/A</v>
      </c>
      <c r="F161" s="69" t="s">
        <v>275</v>
      </c>
      <c r="G161" s="69" t="s">
        <v>1105</v>
      </c>
      <c r="H161" s="69">
        <v>0</v>
      </c>
      <c r="I161" s="69" t="s">
        <v>261</v>
      </c>
      <c r="J161" s="69">
        <v>42</v>
      </c>
    </row>
    <row r="162" spans="1:10" x14ac:dyDescent="0.2">
      <c r="A162" s="69">
        <v>10000000479</v>
      </c>
      <c r="C162" s="100">
        <v>23</v>
      </c>
      <c r="G162" s="69" t="s">
        <v>1019</v>
      </c>
      <c r="J162" s="69">
        <v>23</v>
      </c>
    </row>
    <row r="163" spans="1:10" x14ac:dyDescent="0.2">
      <c r="A163" s="69">
        <v>10000000485</v>
      </c>
      <c r="B163" s="93" t="s">
        <v>296</v>
      </c>
      <c r="C163" s="102" t="s">
        <v>296</v>
      </c>
      <c r="G163" s="69" t="s">
        <v>1017</v>
      </c>
      <c r="J163" s="69">
        <v>24</v>
      </c>
    </row>
    <row r="164" spans="1:10" x14ac:dyDescent="0.2">
      <c r="A164" s="69">
        <v>10000000486</v>
      </c>
      <c r="B164" s="69" t="s">
        <v>221</v>
      </c>
      <c r="C164" s="100" t="s">
        <v>221</v>
      </c>
      <c r="D164" s="69" t="e">
        <v>#N/A</v>
      </c>
      <c r="E164" s="69" t="e">
        <v>#N/A</v>
      </c>
      <c r="F164" s="69" t="s">
        <v>303</v>
      </c>
      <c r="G164" s="69" t="s">
        <v>1103</v>
      </c>
      <c r="H164" s="69">
        <v>0</v>
      </c>
      <c r="I164" s="69" t="s">
        <v>257</v>
      </c>
      <c r="J164" s="69">
        <v>42</v>
      </c>
    </row>
    <row r="165" spans="1:10" x14ac:dyDescent="0.2">
      <c r="A165" s="69">
        <v>10000000487</v>
      </c>
      <c r="B165" s="69" t="s">
        <v>221</v>
      </c>
      <c r="C165" s="100" t="s">
        <v>221</v>
      </c>
      <c r="D165" s="69" t="e">
        <v>#N/A</v>
      </c>
      <c r="E165" s="69" t="e">
        <v>#N/A</v>
      </c>
      <c r="F165" s="69" t="s">
        <v>303</v>
      </c>
      <c r="G165" s="69" t="s">
        <v>1102</v>
      </c>
      <c r="H165" s="69">
        <v>0</v>
      </c>
      <c r="I165" s="69" t="s">
        <v>257</v>
      </c>
      <c r="J165" s="69">
        <v>42</v>
      </c>
    </row>
    <row r="166" spans="1:10" x14ac:dyDescent="0.2">
      <c r="A166" s="69">
        <v>10000000488</v>
      </c>
      <c r="B166" s="69" t="s">
        <v>221</v>
      </c>
      <c r="C166" s="100" t="s">
        <v>221</v>
      </c>
      <c r="D166" s="69" t="e">
        <v>#N/A</v>
      </c>
      <c r="E166" s="69" t="e">
        <v>#N/A</v>
      </c>
      <c r="F166" s="69" t="s">
        <v>303</v>
      </c>
      <c r="G166" s="69" t="s">
        <v>1101</v>
      </c>
      <c r="H166" s="69">
        <v>0</v>
      </c>
      <c r="I166" s="69" t="s">
        <v>257</v>
      </c>
      <c r="J166" s="69">
        <v>42</v>
      </c>
    </row>
    <row r="167" spans="1:10" x14ac:dyDescent="0.2">
      <c r="A167" s="69">
        <v>10000000489</v>
      </c>
      <c r="B167" s="69" t="s">
        <v>221</v>
      </c>
      <c r="C167" s="100" t="s">
        <v>221</v>
      </c>
      <c r="D167" s="69" t="e">
        <v>#N/A</v>
      </c>
      <c r="E167" s="69" t="e">
        <v>#N/A</v>
      </c>
      <c r="F167" s="69" t="s">
        <v>303</v>
      </c>
      <c r="G167" s="69" t="s">
        <v>1100</v>
      </c>
      <c r="H167" s="69">
        <v>0</v>
      </c>
      <c r="I167" s="69" t="s">
        <v>257</v>
      </c>
      <c r="J167" s="69">
        <v>42</v>
      </c>
    </row>
    <row r="168" spans="1:10" x14ac:dyDescent="0.2">
      <c r="A168" s="69">
        <v>10000000490</v>
      </c>
      <c r="B168" s="69" t="s">
        <v>262</v>
      </c>
      <c r="C168" s="100">
        <v>20</v>
      </c>
      <c r="D168" s="69" t="e">
        <v>#N/A</v>
      </c>
      <c r="E168" s="69" t="e">
        <v>#N/A</v>
      </c>
      <c r="F168" s="69" t="s">
        <v>303</v>
      </c>
      <c r="G168" s="69" t="s">
        <v>1099</v>
      </c>
      <c r="H168" s="69">
        <v>0</v>
      </c>
      <c r="I168" s="69" t="s">
        <v>261</v>
      </c>
      <c r="J168" s="69">
        <v>42</v>
      </c>
    </row>
    <row r="169" spans="1:10" x14ac:dyDescent="0.2">
      <c r="A169" s="69">
        <v>10000000491</v>
      </c>
      <c r="B169" s="69" t="s">
        <v>220</v>
      </c>
      <c r="C169" s="100" t="s">
        <v>220</v>
      </c>
      <c r="D169" s="69" t="e">
        <v>#N/A</v>
      </c>
      <c r="E169" s="69" t="e">
        <v>#N/A</v>
      </c>
      <c r="F169" s="69" t="s">
        <v>303</v>
      </c>
      <c r="G169" s="69" t="s">
        <v>1098</v>
      </c>
      <c r="H169" s="69">
        <v>0</v>
      </c>
      <c r="I169" s="69" t="s">
        <v>247</v>
      </c>
      <c r="J169" s="69">
        <v>42</v>
      </c>
    </row>
    <row r="170" spans="1:10" x14ac:dyDescent="0.2">
      <c r="A170" s="69">
        <v>10000000492</v>
      </c>
      <c r="B170" s="69" t="s">
        <v>220</v>
      </c>
      <c r="C170" s="100" t="s">
        <v>220</v>
      </c>
      <c r="D170" s="69" t="e">
        <v>#N/A</v>
      </c>
      <c r="E170" s="69" t="e">
        <v>#N/A</v>
      </c>
      <c r="F170" s="69" t="s">
        <v>303</v>
      </c>
      <c r="G170" s="69" t="s">
        <v>1097</v>
      </c>
      <c r="H170" s="69">
        <v>0</v>
      </c>
      <c r="I170" s="69" t="s">
        <v>247</v>
      </c>
      <c r="J170" s="69">
        <v>42</v>
      </c>
    </row>
    <row r="171" spans="1:10" x14ac:dyDescent="0.2">
      <c r="A171" s="69">
        <v>10000000493</v>
      </c>
      <c r="B171" s="69" t="s">
        <v>221</v>
      </c>
      <c r="C171" s="100" t="s">
        <v>221</v>
      </c>
      <c r="D171" s="69" t="e">
        <v>#N/A</v>
      </c>
      <c r="E171" s="69" t="e">
        <v>#N/A</v>
      </c>
      <c r="F171" s="69" t="s">
        <v>303</v>
      </c>
      <c r="G171" s="69" t="s">
        <v>206</v>
      </c>
      <c r="H171" s="69">
        <v>0</v>
      </c>
      <c r="I171" s="69" t="s">
        <v>257</v>
      </c>
      <c r="J171" s="69">
        <v>42</v>
      </c>
    </row>
    <row r="172" spans="1:10" x14ac:dyDescent="0.2">
      <c r="A172" s="69">
        <v>10000000494</v>
      </c>
      <c r="B172" s="69" t="s">
        <v>221</v>
      </c>
      <c r="C172" s="100" t="s">
        <v>221</v>
      </c>
      <c r="D172" s="69" t="e">
        <v>#N/A</v>
      </c>
      <c r="E172" s="69" t="e">
        <v>#N/A</v>
      </c>
      <c r="F172" s="69" t="s">
        <v>303</v>
      </c>
      <c r="G172" s="69" t="s">
        <v>1096</v>
      </c>
      <c r="H172" s="69">
        <v>0</v>
      </c>
      <c r="I172" s="69" t="s">
        <v>257</v>
      </c>
      <c r="J172" s="69">
        <v>42</v>
      </c>
    </row>
    <row r="173" spans="1:10" x14ac:dyDescent="0.2">
      <c r="A173" s="69">
        <v>10000000495</v>
      </c>
      <c r="B173" s="69" t="s">
        <v>221</v>
      </c>
      <c r="C173" s="100" t="s">
        <v>221</v>
      </c>
      <c r="D173" s="69" t="e">
        <v>#N/A</v>
      </c>
      <c r="E173" s="69" t="e">
        <v>#N/A</v>
      </c>
      <c r="F173" s="69" t="s">
        <v>303</v>
      </c>
      <c r="G173" s="69" t="s">
        <v>1095</v>
      </c>
      <c r="H173" s="69">
        <v>0</v>
      </c>
      <c r="I173" s="69" t="s">
        <v>257</v>
      </c>
      <c r="J173" s="69">
        <v>42</v>
      </c>
    </row>
    <row r="174" spans="1:10" x14ac:dyDescent="0.2">
      <c r="A174" s="69">
        <v>10000000496</v>
      </c>
      <c r="B174" s="69" t="s">
        <v>221</v>
      </c>
      <c r="C174" s="100" t="s">
        <v>221</v>
      </c>
      <c r="D174" s="69" t="e">
        <v>#N/A</v>
      </c>
      <c r="E174" s="69" t="e">
        <v>#N/A</v>
      </c>
      <c r="F174" s="69" t="s">
        <v>303</v>
      </c>
      <c r="G174" s="69" t="s">
        <v>1094</v>
      </c>
      <c r="H174" s="69">
        <v>0</v>
      </c>
      <c r="I174" s="69" t="s">
        <v>257</v>
      </c>
      <c r="J174" s="69">
        <v>42</v>
      </c>
    </row>
    <row r="175" spans="1:10" x14ac:dyDescent="0.2">
      <c r="A175" s="69">
        <v>10000000497</v>
      </c>
      <c r="B175" s="69" t="s">
        <v>221</v>
      </c>
      <c r="C175" s="100" t="s">
        <v>221</v>
      </c>
      <c r="D175" s="69" t="e">
        <v>#N/A</v>
      </c>
      <c r="E175" s="69" t="e">
        <v>#N/A</v>
      </c>
      <c r="F175" s="69" t="s">
        <v>303</v>
      </c>
      <c r="G175" s="69" t="s">
        <v>1093</v>
      </c>
      <c r="H175" s="69">
        <v>0</v>
      </c>
      <c r="I175" s="69" t="s">
        <v>257</v>
      </c>
      <c r="J175" s="69">
        <v>42</v>
      </c>
    </row>
    <row r="176" spans="1:10" x14ac:dyDescent="0.2">
      <c r="A176" s="69">
        <v>10000000498</v>
      </c>
      <c r="B176" s="69">
        <v>42</v>
      </c>
      <c r="D176" s="69" t="e">
        <v>#N/A</v>
      </c>
      <c r="E176" s="69" t="e">
        <v>#N/A</v>
      </c>
      <c r="F176" s="69" t="s">
        <v>303</v>
      </c>
      <c r="G176" s="69" t="s">
        <v>1092</v>
      </c>
      <c r="H176" s="69">
        <v>0</v>
      </c>
      <c r="I176" s="69" t="s">
        <v>261</v>
      </c>
      <c r="J176" s="69">
        <v>42</v>
      </c>
    </row>
    <row r="177" spans="1:10" x14ac:dyDescent="0.2">
      <c r="A177" s="69">
        <v>10000000499</v>
      </c>
      <c r="B177" s="93" t="s">
        <v>296</v>
      </c>
      <c r="C177" s="102" t="s">
        <v>296</v>
      </c>
      <c r="G177" s="69" t="s">
        <v>1629</v>
      </c>
      <c r="J177" s="69">
        <v>24</v>
      </c>
    </row>
    <row r="178" spans="1:10" x14ac:dyDescent="0.2">
      <c r="A178" s="69">
        <v>10000000506</v>
      </c>
      <c r="B178" s="93" t="s">
        <v>296</v>
      </c>
      <c r="C178" s="102" t="s">
        <v>296</v>
      </c>
      <c r="G178" s="69" t="s">
        <v>1015</v>
      </c>
      <c r="J178" s="69">
        <v>24</v>
      </c>
    </row>
    <row r="179" spans="1:10" x14ac:dyDescent="0.2">
      <c r="A179" s="69">
        <v>10000000507</v>
      </c>
      <c r="B179" s="93" t="s">
        <v>296</v>
      </c>
      <c r="C179" s="102" t="s">
        <v>296</v>
      </c>
      <c r="G179" s="69" t="s">
        <v>1014</v>
      </c>
      <c r="J179" s="69">
        <v>24</v>
      </c>
    </row>
    <row r="180" spans="1:10" x14ac:dyDescent="0.2">
      <c r="A180" s="69">
        <v>10000000508</v>
      </c>
      <c r="B180" s="69" t="s">
        <v>221</v>
      </c>
      <c r="C180" s="100" t="s">
        <v>221</v>
      </c>
      <c r="D180" s="69" t="e">
        <v>#N/A</v>
      </c>
      <c r="E180" s="69" t="e">
        <v>#N/A</v>
      </c>
      <c r="F180" s="69" t="s">
        <v>275</v>
      </c>
      <c r="G180" s="69" t="s">
        <v>1088</v>
      </c>
      <c r="H180" s="69">
        <v>0</v>
      </c>
      <c r="I180" s="69" t="s">
        <v>257</v>
      </c>
      <c r="J180" s="69">
        <v>42</v>
      </c>
    </row>
    <row r="181" spans="1:10" x14ac:dyDescent="0.2">
      <c r="A181" s="69">
        <v>10000000509</v>
      </c>
      <c r="B181" s="93" t="s">
        <v>296</v>
      </c>
      <c r="C181" s="102" t="s">
        <v>296</v>
      </c>
      <c r="G181" s="69" t="s">
        <v>1013</v>
      </c>
      <c r="J181" s="69">
        <v>24</v>
      </c>
    </row>
    <row r="182" spans="1:10" x14ac:dyDescent="0.2">
      <c r="A182" s="69">
        <v>10000000511</v>
      </c>
      <c r="B182" s="93" t="s">
        <v>296</v>
      </c>
      <c r="C182" s="102" t="s">
        <v>296</v>
      </c>
      <c r="G182" s="69" t="s">
        <v>1012</v>
      </c>
      <c r="J182" s="69">
        <v>24</v>
      </c>
    </row>
    <row r="183" spans="1:10" x14ac:dyDescent="0.2">
      <c r="A183" s="69">
        <v>10000000512</v>
      </c>
      <c r="B183" s="93" t="s">
        <v>296</v>
      </c>
      <c r="C183" s="102" t="s">
        <v>296</v>
      </c>
      <c r="G183" s="69" t="s">
        <v>1011</v>
      </c>
      <c r="J183" s="69">
        <v>24</v>
      </c>
    </row>
    <row r="184" spans="1:10" x14ac:dyDescent="0.2">
      <c r="A184" s="69">
        <v>10000000513</v>
      </c>
      <c r="B184" s="93" t="s">
        <v>296</v>
      </c>
      <c r="C184" s="102" t="s">
        <v>296</v>
      </c>
      <c r="G184" s="69" t="s">
        <v>1010</v>
      </c>
      <c r="J184" s="69">
        <v>24</v>
      </c>
    </row>
    <row r="185" spans="1:10" x14ac:dyDescent="0.2">
      <c r="A185" s="69">
        <v>10000000516</v>
      </c>
      <c r="B185" s="93" t="s">
        <v>296</v>
      </c>
      <c r="C185" s="102" t="s">
        <v>296</v>
      </c>
      <c r="G185" s="69" t="s">
        <v>1009</v>
      </c>
      <c r="J185" s="69">
        <v>24</v>
      </c>
    </row>
    <row r="186" spans="1:10" x14ac:dyDescent="0.2">
      <c r="A186" s="69">
        <v>10000000517</v>
      </c>
      <c r="B186" s="93" t="s">
        <v>296</v>
      </c>
      <c r="C186" s="102" t="s">
        <v>296</v>
      </c>
      <c r="G186" s="69" t="s">
        <v>1008</v>
      </c>
      <c r="J186" s="69">
        <v>24</v>
      </c>
    </row>
    <row r="187" spans="1:10" x14ac:dyDescent="0.2">
      <c r="A187" s="69">
        <v>10000000520</v>
      </c>
      <c r="B187" s="69" t="s">
        <v>220</v>
      </c>
      <c r="C187" s="100" t="s">
        <v>220</v>
      </c>
      <c r="D187" s="69" t="e">
        <v>#N/A</v>
      </c>
      <c r="E187" s="69" t="e">
        <v>#N/A</v>
      </c>
      <c r="F187" s="69" t="s">
        <v>275</v>
      </c>
      <c r="G187" s="69" t="s">
        <v>1085</v>
      </c>
      <c r="H187" s="69">
        <v>0</v>
      </c>
      <c r="I187" s="69" t="s">
        <v>247</v>
      </c>
      <c r="J187" s="69">
        <v>42</v>
      </c>
    </row>
    <row r="188" spans="1:10" x14ac:dyDescent="0.2">
      <c r="A188" s="69">
        <v>10000000521</v>
      </c>
      <c r="B188" s="69" t="s">
        <v>220</v>
      </c>
      <c r="C188" s="100" t="s">
        <v>220</v>
      </c>
      <c r="D188" s="69" t="e">
        <v>#N/A</v>
      </c>
      <c r="E188" s="69" t="e">
        <v>#N/A</v>
      </c>
      <c r="F188" s="69" t="s">
        <v>275</v>
      </c>
      <c r="G188" s="69" t="s">
        <v>1084</v>
      </c>
      <c r="H188" s="69">
        <v>0</v>
      </c>
      <c r="I188" s="69" t="s">
        <v>247</v>
      </c>
      <c r="J188" s="69">
        <v>42</v>
      </c>
    </row>
    <row r="189" spans="1:10" x14ac:dyDescent="0.2">
      <c r="A189" s="69">
        <v>10000000522</v>
      </c>
      <c r="B189" s="69" t="s">
        <v>221</v>
      </c>
      <c r="C189" s="100" t="s">
        <v>221</v>
      </c>
      <c r="D189" s="69" t="s">
        <v>1302</v>
      </c>
      <c r="E189" s="69" t="s">
        <v>1241</v>
      </c>
      <c r="F189" s="69" t="s">
        <v>275</v>
      </c>
      <c r="G189" s="69" t="s">
        <v>1083</v>
      </c>
      <c r="H189" s="69">
        <v>0</v>
      </c>
      <c r="I189" s="69" t="s">
        <v>257</v>
      </c>
      <c r="J189" s="69">
        <v>42</v>
      </c>
    </row>
    <row r="190" spans="1:10" x14ac:dyDescent="0.2">
      <c r="A190" s="69">
        <v>10000000523</v>
      </c>
      <c r="B190" s="69" t="s">
        <v>221</v>
      </c>
      <c r="C190" s="100" t="s">
        <v>221</v>
      </c>
      <c r="D190" s="69" t="e">
        <v>#N/A</v>
      </c>
      <c r="E190" s="69" t="e">
        <v>#N/A</v>
      </c>
      <c r="F190" s="69" t="s">
        <v>275</v>
      </c>
      <c r="G190" s="69" t="s">
        <v>1082</v>
      </c>
      <c r="H190" s="69">
        <v>0</v>
      </c>
      <c r="I190" s="69" t="s">
        <v>257</v>
      </c>
      <c r="J190" s="69">
        <v>42</v>
      </c>
    </row>
    <row r="191" spans="1:10" x14ac:dyDescent="0.2">
      <c r="A191" s="69">
        <v>10000000524</v>
      </c>
      <c r="B191" s="69" t="s">
        <v>221</v>
      </c>
      <c r="C191" s="100" t="s">
        <v>221</v>
      </c>
      <c r="D191" s="69" t="e">
        <v>#N/A</v>
      </c>
      <c r="E191" s="69" t="e">
        <v>#N/A</v>
      </c>
      <c r="F191" s="69" t="s">
        <v>275</v>
      </c>
      <c r="G191" s="69" t="s">
        <v>1081</v>
      </c>
      <c r="H191" s="69">
        <v>0</v>
      </c>
      <c r="I191" s="69" t="s">
        <v>257</v>
      </c>
      <c r="J191" s="69">
        <v>42</v>
      </c>
    </row>
    <row r="192" spans="1:10" x14ac:dyDescent="0.2">
      <c r="A192" s="69">
        <v>10000000525</v>
      </c>
      <c r="B192" s="69" t="s">
        <v>262</v>
      </c>
      <c r="C192" s="100">
        <v>20</v>
      </c>
      <c r="D192" s="69" t="e">
        <v>#N/A</v>
      </c>
      <c r="E192" s="69" t="e">
        <v>#N/A</v>
      </c>
      <c r="F192" s="69" t="s">
        <v>275</v>
      </c>
      <c r="G192" s="69" t="s">
        <v>1080</v>
      </c>
      <c r="H192" s="69">
        <v>0</v>
      </c>
      <c r="I192" s="69" t="s">
        <v>261</v>
      </c>
      <c r="J192" s="69">
        <v>42</v>
      </c>
    </row>
    <row r="193" spans="1:10" x14ac:dyDescent="0.2">
      <c r="A193" s="69">
        <v>10000000526</v>
      </c>
      <c r="B193" s="69" t="s">
        <v>262</v>
      </c>
      <c r="C193" s="100">
        <v>20</v>
      </c>
      <c r="D193" s="69" t="e">
        <v>#N/A</v>
      </c>
      <c r="E193" s="69" t="e">
        <v>#N/A</v>
      </c>
      <c r="F193" s="69" t="s">
        <v>275</v>
      </c>
      <c r="G193" s="69" t="s">
        <v>1079</v>
      </c>
      <c r="H193" s="69">
        <v>0</v>
      </c>
      <c r="I193" s="69" t="s">
        <v>261</v>
      </c>
      <c r="J193" s="69">
        <v>42</v>
      </c>
    </row>
    <row r="194" spans="1:10" x14ac:dyDescent="0.2">
      <c r="A194" s="69">
        <v>10000000529</v>
      </c>
      <c r="B194" s="69" t="s">
        <v>262</v>
      </c>
      <c r="C194" s="100">
        <v>20</v>
      </c>
      <c r="D194" s="69" t="e">
        <v>#N/A</v>
      </c>
      <c r="E194" s="69" t="e">
        <v>#N/A</v>
      </c>
      <c r="F194" s="69" t="s">
        <v>275</v>
      </c>
      <c r="G194" s="69" t="s">
        <v>1078</v>
      </c>
      <c r="H194" s="69">
        <v>0</v>
      </c>
      <c r="I194" s="69" t="s">
        <v>261</v>
      </c>
      <c r="J194" s="69">
        <v>42</v>
      </c>
    </row>
    <row r="195" spans="1:10" x14ac:dyDescent="0.2">
      <c r="A195" s="69">
        <v>10000000530</v>
      </c>
      <c r="B195" s="69" t="s">
        <v>262</v>
      </c>
      <c r="C195" s="100">
        <v>5</v>
      </c>
      <c r="D195" s="69" t="e">
        <v>#N/A</v>
      </c>
      <c r="E195" s="69" t="e">
        <v>#N/A</v>
      </c>
      <c r="F195" s="69" t="s">
        <v>275</v>
      </c>
      <c r="G195" s="69" t="s">
        <v>1077</v>
      </c>
      <c r="H195" s="69">
        <v>0</v>
      </c>
      <c r="I195" s="69" t="s">
        <v>261</v>
      </c>
      <c r="J195" s="69">
        <v>42</v>
      </c>
    </row>
    <row r="196" spans="1:10" x14ac:dyDescent="0.2">
      <c r="A196" s="69">
        <v>10000000531</v>
      </c>
      <c r="B196" s="69" t="s">
        <v>262</v>
      </c>
      <c r="C196" s="100">
        <v>20</v>
      </c>
      <c r="D196" s="69" t="e">
        <v>#N/A</v>
      </c>
      <c r="E196" s="69" t="e">
        <v>#N/A</v>
      </c>
      <c r="F196" s="69" t="s">
        <v>275</v>
      </c>
      <c r="G196" s="69" t="s">
        <v>1076</v>
      </c>
      <c r="H196" s="69">
        <v>0</v>
      </c>
      <c r="I196" s="69" t="s">
        <v>261</v>
      </c>
      <c r="J196" s="69">
        <v>42</v>
      </c>
    </row>
    <row r="197" spans="1:10" x14ac:dyDescent="0.2">
      <c r="A197" s="69">
        <v>10000000538</v>
      </c>
      <c r="C197" s="100">
        <v>28</v>
      </c>
      <c r="G197" s="69" t="s">
        <v>1713</v>
      </c>
      <c r="J197" s="69">
        <v>28</v>
      </c>
    </row>
    <row r="198" spans="1:10" x14ac:dyDescent="0.2">
      <c r="A198" s="69">
        <v>10000000542</v>
      </c>
      <c r="B198" s="69" t="s">
        <v>221</v>
      </c>
      <c r="C198" s="100">
        <v>5</v>
      </c>
      <c r="G198" s="69" t="s">
        <v>1003</v>
      </c>
      <c r="J198" s="69">
        <v>42</v>
      </c>
    </row>
    <row r="199" spans="1:10" x14ac:dyDescent="0.2">
      <c r="A199" s="69">
        <v>10000000549</v>
      </c>
      <c r="C199" s="100">
        <v>23</v>
      </c>
      <c r="G199" s="69" t="s">
        <v>999</v>
      </c>
      <c r="J199" s="69">
        <v>23</v>
      </c>
    </row>
    <row r="200" spans="1:10" x14ac:dyDescent="0.2">
      <c r="A200" s="69">
        <v>10000000550</v>
      </c>
      <c r="C200" s="100">
        <v>23</v>
      </c>
      <c r="G200" s="69" t="s">
        <v>998</v>
      </c>
      <c r="J200" s="69">
        <v>23</v>
      </c>
    </row>
    <row r="201" spans="1:10" x14ac:dyDescent="0.2">
      <c r="A201" s="69">
        <v>10000000554</v>
      </c>
      <c r="C201" s="100">
        <v>23</v>
      </c>
      <c r="G201" s="69" t="s">
        <v>996</v>
      </c>
      <c r="J201" s="69">
        <v>23</v>
      </c>
    </row>
    <row r="202" spans="1:10" x14ac:dyDescent="0.2">
      <c r="A202" s="69">
        <v>10000000560</v>
      </c>
      <c r="C202" s="100">
        <v>23</v>
      </c>
      <c r="G202" s="69" t="s">
        <v>995</v>
      </c>
      <c r="J202" s="69">
        <v>23</v>
      </c>
    </row>
    <row r="203" spans="1:10" x14ac:dyDescent="0.2">
      <c r="A203" s="69">
        <v>10000000584</v>
      </c>
      <c r="B203" s="69">
        <v>10</v>
      </c>
      <c r="C203" s="100">
        <v>10</v>
      </c>
      <c r="D203" s="69" t="e">
        <v>#N/A</v>
      </c>
      <c r="E203" s="69" t="e">
        <v>#N/A</v>
      </c>
      <c r="F203" s="69" t="s">
        <v>274</v>
      </c>
      <c r="G203" t="s">
        <v>982</v>
      </c>
      <c r="H203" s="69">
        <v>60</v>
      </c>
      <c r="I203" s="69" t="s">
        <v>340</v>
      </c>
      <c r="J203" s="69">
        <v>42</v>
      </c>
    </row>
    <row r="204" spans="1:10" x14ac:dyDescent="0.2">
      <c r="A204" s="69">
        <v>10000000587</v>
      </c>
      <c r="B204" s="69">
        <v>10</v>
      </c>
      <c r="C204" s="100">
        <v>10</v>
      </c>
      <c r="D204" s="69" t="e">
        <v>#N/A</v>
      </c>
      <c r="E204" s="69" t="e">
        <v>#N/A</v>
      </c>
      <c r="F204" s="69" t="s">
        <v>274</v>
      </c>
      <c r="G204" s="69" t="s">
        <v>1059</v>
      </c>
      <c r="H204" s="69">
        <v>50</v>
      </c>
      <c r="I204" s="69" t="s">
        <v>273</v>
      </c>
      <c r="J204" s="69">
        <v>42</v>
      </c>
    </row>
    <row r="205" spans="1:10" x14ac:dyDescent="0.2">
      <c r="A205" s="69">
        <v>10000000590</v>
      </c>
      <c r="C205" s="100">
        <v>28</v>
      </c>
      <c r="G205" s="69" t="s">
        <v>977</v>
      </c>
      <c r="J205" s="69">
        <v>28</v>
      </c>
    </row>
    <row r="206" spans="1:10" x14ac:dyDescent="0.2">
      <c r="A206" s="69">
        <v>10000000617</v>
      </c>
      <c r="B206" s="69" t="s">
        <v>220</v>
      </c>
      <c r="C206" s="100">
        <v>5</v>
      </c>
      <c r="D206" s="69" t="e">
        <v>#N/A</v>
      </c>
      <c r="E206" s="69" t="e">
        <v>#N/A</v>
      </c>
      <c r="F206" s="69" t="s">
        <v>275</v>
      </c>
      <c r="G206" s="69" t="s">
        <v>244</v>
      </c>
      <c r="H206" s="69">
        <v>0</v>
      </c>
      <c r="I206" s="69" t="s">
        <v>247</v>
      </c>
      <c r="J206" s="69">
        <v>42</v>
      </c>
    </row>
    <row r="207" spans="1:10" x14ac:dyDescent="0.2">
      <c r="A207" s="69">
        <v>10000000618</v>
      </c>
      <c r="B207" s="69" t="s">
        <v>221</v>
      </c>
      <c r="C207" s="100">
        <v>5</v>
      </c>
      <c r="D207" s="69" t="e">
        <v>#N/A</v>
      </c>
      <c r="E207" s="69" t="e">
        <v>#N/A</v>
      </c>
      <c r="F207" s="69" t="s">
        <v>275</v>
      </c>
      <c r="G207" s="69" t="s">
        <v>1055</v>
      </c>
      <c r="H207" s="69">
        <v>0</v>
      </c>
      <c r="I207" s="69" t="s">
        <v>257</v>
      </c>
      <c r="J207" s="69">
        <v>42</v>
      </c>
    </row>
    <row r="208" spans="1:10" x14ac:dyDescent="0.2">
      <c r="A208" s="69">
        <v>10000000630</v>
      </c>
      <c r="B208" s="69" t="s">
        <v>220</v>
      </c>
      <c r="D208" s="69" t="e">
        <v>#N/A</v>
      </c>
      <c r="E208" s="69" t="e">
        <v>#N/A</v>
      </c>
      <c r="F208" s="69" t="s">
        <v>274</v>
      </c>
      <c r="G208" s="69" t="s">
        <v>1052</v>
      </c>
      <c r="H208" s="69">
        <v>0</v>
      </c>
      <c r="I208" s="69" t="s">
        <v>247</v>
      </c>
      <c r="J208" s="69">
        <v>42</v>
      </c>
    </row>
    <row r="209" spans="1:10" x14ac:dyDescent="0.2">
      <c r="A209" s="69">
        <v>10000000632</v>
      </c>
      <c r="B209" s="69" t="s">
        <v>220</v>
      </c>
      <c r="D209" s="69" t="e">
        <v>#N/A</v>
      </c>
      <c r="E209" s="69" t="e">
        <v>#N/A</v>
      </c>
      <c r="F209" s="69" t="s">
        <v>274</v>
      </c>
      <c r="G209" s="69" t="s">
        <v>1051</v>
      </c>
      <c r="H209" s="69">
        <v>0</v>
      </c>
      <c r="I209" s="69" t="s">
        <v>247</v>
      </c>
      <c r="J209" s="69">
        <v>42</v>
      </c>
    </row>
    <row r="210" spans="1:10" x14ac:dyDescent="0.2">
      <c r="A210" s="69">
        <v>10000000634</v>
      </c>
      <c r="C210" s="100">
        <v>28</v>
      </c>
      <c r="G210" s="69" t="s">
        <v>934</v>
      </c>
      <c r="J210" s="69">
        <v>28</v>
      </c>
    </row>
    <row r="211" spans="1:10" x14ac:dyDescent="0.2">
      <c r="A211" s="69">
        <v>10000000635</v>
      </c>
      <c r="B211" s="69" t="s">
        <v>220</v>
      </c>
      <c r="C211" s="100" t="s">
        <v>220</v>
      </c>
      <c r="D211" s="69" t="e">
        <v>#N/A</v>
      </c>
      <c r="E211" s="69" t="e">
        <v>#N/A</v>
      </c>
      <c r="F211" s="69" t="s">
        <v>275</v>
      </c>
      <c r="G211" s="69" t="s">
        <v>1050</v>
      </c>
      <c r="H211" s="69">
        <v>0</v>
      </c>
      <c r="I211" s="69" t="s">
        <v>247</v>
      </c>
      <c r="J211" s="69">
        <v>42</v>
      </c>
    </row>
    <row r="212" spans="1:10" x14ac:dyDescent="0.2">
      <c r="A212" s="69">
        <v>10000000636</v>
      </c>
      <c r="B212" s="69" t="s">
        <v>262</v>
      </c>
      <c r="C212" s="100">
        <v>5</v>
      </c>
      <c r="D212" s="69" t="e">
        <v>#N/A</v>
      </c>
      <c r="E212" s="69" t="e">
        <v>#N/A</v>
      </c>
      <c r="F212" s="69" t="s">
        <v>275</v>
      </c>
      <c r="G212" s="69" t="s">
        <v>1049</v>
      </c>
      <c r="H212" s="69">
        <v>0</v>
      </c>
      <c r="I212" s="69" t="s">
        <v>261</v>
      </c>
      <c r="J212" s="69">
        <v>42</v>
      </c>
    </row>
    <row r="213" spans="1:10" x14ac:dyDescent="0.2">
      <c r="A213" s="69">
        <v>10000000637</v>
      </c>
      <c r="B213" s="69" t="s">
        <v>262</v>
      </c>
      <c r="C213" s="100">
        <v>20</v>
      </c>
      <c r="D213" s="69" t="e">
        <v>#N/A</v>
      </c>
      <c r="E213" s="69" t="e">
        <v>#N/A</v>
      </c>
      <c r="F213" s="69" t="s">
        <v>275</v>
      </c>
      <c r="G213" s="69" t="s">
        <v>1048</v>
      </c>
      <c r="H213" s="69">
        <v>0</v>
      </c>
      <c r="I213" s="69" t="s">
        <v>261</v>
      </c>
      <c r="J213" s="69">
        <v>42</v>
      </c>
    </row>
    <row r="214" spans="1:10" x14ac:dyDescent="0.2">
      <c r="A214" s="69">
        <v>10000000638</v>
      </c>
      <c r="B214" s="69" t="s">
        <v>220</v>
      </c>
      <c r="C214" s="100" t="s">
        <v>220</v>
      </c>
      <c r="D214" s="69" t="e">
        <v>#N/A</v>
      </c>
      <c r="E214" s="69" t="e">
        <v>#N/A</v>
      </c>
      <c r="F214" s="69" t="s">
        <v>74</v>
      </c>
      <c r="G214" s="69" t="s">
        <v>1047</v>
      </c>
      <c r="H214" s="69">
        <v>0</v>
      </c>
      <c r="I214" s="69" t="s">
        <v>247</v>
      </c>
      <c r="J214" s="69">
        <v>42</v>
      </c>
    </row>
    <row r="215" spans="1:10" x14ac:dyDescent="0.2">
      <c r="A215" s="69">
        <v>10000000639</v>
      </c>
      <c r="B215" s="69" t="s">
        <v>262</v>
      </c>
      <c r="C215" s="100">
        <v>10</v>
      </c>
      <c r="D215" s="69" t="e">
        <v>#N/A</v>
      </c>
      <c r="E215" s="69" t="e">
        <v>#N/A</v>
      </c>
      <c r="F215" s="69" t="s">
        <v>74</v>
      </c>
      <c r="G215" s="69" t="s">
        <v>1046</v>
      </c>
      <c r="H215" s="69">
        <v>0</v>
      </c>
      <c r="I215" s="69" t="s">
        <v>261</v>
      </c>
      <c r="J215" s="69">
        <v>42</v>
      </c>
    </row>
    <row r="216" spans="1:10" x14ac:dyDescent="0.2">
      <c r="A216" s="69">
        <v>10000000640</v>
      </c>
      <c r="B216" s="69" t="s">
        <v>221</v>
      </c>
      <c r="C216" s="100">
        <v>5</v>
      </c>
      <c r="D216" s="69" t="e">
        <v>#N/A</v>
      </c>
      <c r="E216" s="69" t="e">
        <v>#N/A</v>
      </c>
      <c r="F216" s="69" t="s">
        <v>246</v>
      </c>
      <c r="G216" s="69" t="s">
        <v>1045</v>
      </c>
      <c r="H216" s="69">
        <v>0</v>
      </c>
      <c r="I216" s="69" t="s">
        <v>257</v>
      </c>
      <c r="J216" s="69">
        <v>42</v>
      </c>
    </row>
    <row r="217" spans="1:10" x14ac:dyDescent="0.2">
      <c r="A217" s="69">
        <v>10000000641</v>
      </c>
      <c r="B217" s="69" t="s">
        <v>221</v>
      </c>
      <c r="C217" s="100">
        <v>5</v>
      </c>
      <c r="D217" s="69" t="e">
        <v>#N/A</v>
      </c>
      <c r="E217" s="69" t="e">
        <v>#N/A</v>
      </c>
      <c r="F217" s="69" t="s">
        <v>246</v>
      </c>
      <c r="G217" s="69" t="s">
        <v>1044</v>
      </c>
      <c r="H217" s="69">
        <v>0</v>
      </c>
      <c r="I217" s="69" t="s">
        <v>257</v>
      </c>
      <c r="J217" s="69">
        <v>42</v>
      </c>
    </row>
    <row r="218" spans="1:10" x14ac:dyDescent="0.2">
      <c r="A218" s="69">
        <v>10000000642</v>
      </c>
      <c r="B218" s="69" t="s">
        <v>262</v>
      </c>
      <c r="C218" s="100">
        <v>5</v>
      </c>
      <c r="D218" s="69" t="e">
        <v>#N/A</v>
      </c>
      <c r="E218" s="69" t="e">
        <v>#N/A</v>
      </c>
      <c r="F218" s="69" t="s">
        <v>246</v>
      </c>
      <c r="G218" s="69" t="s">
        <v>1043</v>
      </c>
      <c r="H218" s="69">
        <v>0</v>
      </c>
      <c r="I218" s="69" t="s">
        <v>261</v>
      </c>
      <c r="J218" s="69">
        <v>42</v>
      </c>
    </row>
    <row r="219" spans="1:10" x14ac:dyDescent="0.2">
      <c r="A219" s="69">
        <v>10000000643</v>
      </c>
      <c r="B219" s="69" t="s">
        <v>220</v>
      </c>
      <c r="C219" s="100">
        <v>5</v>
      </c>
      <c r="D219" s="69" t="e">
        <v>#N/A</v>
      </c>
      <c r="E219" s="69" t="e">
        <v>#N/A</v>
      </c>
      <c r="F219" s="69" t="s">
        <v>293</v>
      </c>
      <c r="G219" s="69" t="s">
        <v>1042</v>
      </c>
      <c r="H219" s="69">
        <v>0</v>
      </c>
      <c r="I219" s="69" t="s">
        <v>247</v>
      </c>
      <c r="J219" s="69">
        <v>42</v>
      </c>
    </row>
    <row r="220" spans="1:10" x14ac:dyDescent="0.2">
      <c r="A220" s="69">
        <v>10000000644</v>
      </c>
      <c r="B220" s="69" t="s">
        <v>220</v>
      </c>
      <c r="C220" s="100">
        <v>5</v>
      </c>
      <c r="D220" s="69" t="e">
        <v>#N/A</v>
      </c>
      <c r="E220" s="69" t="e">
        <v>#N/A</v>
      </c>
      <c r="F220" s="69" t="s">
        <v>293</v>
      </c>
      <c r="G220" s="69" t="s">
        <v>1041</v>
      </c>
      <c r="H220" s="69">
        <v>0</v>
      </c>
      <c r="I220" s="69" t="s">
        <v>247</v>
      </c>
      <c r="J220" s="69">
        <v>42</v>
      </c>
    </row>
    <row r="221" spans="1:10" x14ac:dyDescent="0.2">
      <c r="A221" s="69">
        <v>10000000645</v>
      </c>
      <c r="B221" s="69" t="s">
        <v>221</v>
      </c>
      <c r="C221" s="100">
        <v>5</v>
      </c>
      <c r="D221" s="69" t="e">
        <v>#N/A</v>
      </c>
      <c r="E221" s="69" t="e">
        <v>#N/A</v>
      </c>
      <c r="F221" s="69" t="s">
        <v>293</v>
      </c>
      <c r="G221" s="69" t="s">
        <v>1040</v>
      </c>
      <c r="H221" s="69">
        <v>0</v>
      </c>
      <c r="I221" s="69" t="s">
        <v>257</v>
      </c>
      <c r="J221" s="69">
        <v>42</v>
      </c>
    </row>
    <row r="222" spans="1:10" x14ac:dyDescent="0.2">
      <c r="A222" s="69">
        <v>10000000646</v>
      </c>
      <c r="B222" s="69" t="s">
        <v>221</v>
      </c>
      <c r="C222" s="100">
        <v>5</v>
      </c>
      <c r="D222" s="69" t="e">
        <v>#N/A</v>
      </c>
      <c r="E222" s="69" t="e">
        <v>#N/A</v>
      </c>
      <c r="F222" s="69" t="s">
        <v>293</v>
      </c>
      <c r="G222" s="69" t="s">
        <v>1039</v>
      </c>
      <c r="H222" s="69">
        <v>0</v>
      </c>
      <c r="I222" s="69" t="s">
        <v>257</v>
      </c>
      <c r="J222" s="69">
        <v>42</v>
      </c>
    </row>
    <row r="223" spans="1:10" x14ac:dyDescent="0.2">
      <c r="A223" s="69">
        <v>10000000647</v>
      </c>
      <c r="B223" s="69" t="s">
        <v>262</v>
      </c>
      <c r="C223" s="100">
        <v>5</v>
      </c>
      <c r="D223" s="69" t="e">
        <v>#N/A</v>
      </c>
      <c r="E223" s="69" t="e">
        <v>#N/A</v>
      </c>
      <c r="F223" s="69" t="s">
        <v>293</v>
      </c>
      <c r="G223" s="69" t="s">
        <v>1038</v>
      </c>
      <c r="H223" s="69">
        <v>0</v>
      </c>
      <c r="I223" s="69" t="s">
        <v>261</v>
      </c>
      <c r="J223" s="69">
        <v>42</v>
      </c>
    </row>
    <row r="224" spans="1:10" x14ac:dyDescent="0.2">
      <c r="A224" s="69">
        <v>10000000648</v>
      </c>
      <c r="B224" s="69" t="s">
        <v>262</v>
      </c>
      <c r="C224" s="100">
        <v>10</v>
      </c>
      <c r="D224" s="69" t="e">
        <v>#N/A</v>
      </c>
      <c r="E224" s="69" t="e">
        <v>#N/A</v>
      </c>
      <c r="F224" s="69" t="s">
        <v>293</v>
      </c>
      <c r="G224" s="69" t="s">
        <v>1037</v>
      </c>
      <c r="H224" s="69">
        <v>0</v>
      </c>
      <c r="I224" s="69" t="s">
        <v>261</v>
      </c>
      <c r="J224" s="69">
        <v>42</v>
      </c>
    </row>
    <row r="225" spans="1:10" x14ac:dyDescent="0.2">
      <c r="A225" s="69">
        <v>10000000649</v>
      </c>
      <c r="B225" s="69" t="s">
        <v>220</v>
      </c>
      <c r="C225" s="100">
        <v>5</v>
      </c>
      <c r="D225" s="69" t="e">
        <v>#N/A</v>
      </c>
      <c r="E225" s="69" t="e">
        <v>#N/A</v>
      </c>
      <c r="F225" s="69" t="s">
        <v>246</v>
      </c>
      <c r="G225" s="69" t="s">
        <v>1036</v>
      </c>
      <c r="H225" s="69">
        <v>0</v>
      </c>
      <c r="I225" s="69" t="s">
        <v>247</v>
      </c>
      <c r="J225" s="69">
        <v>42</v>
      </c>
    </row>
    <row r="226" spans="1:10" x14ac:dyDescent="0.2">
      <c r="A226" s="69">
        <v>10000000650</v>
      </c>
      <c r="B226" s="69" t="s">
        <v>220</v>
      </c>
      <c r="C226" s="100">
        <v>1</v>
      </c>
      <c r="D226" s="69" t="e">
        <v>#N/A</v>
      </c>
      <c r="E226" s="69" t="e">
        <v>#N/A</v>
      </c>
      <c r="F226" s="69" t="s">
        <v>246</v>
      </c>
      <c r="G226" s="69" t="s">
        <v>1035</v>
      </c>
      <c r="H226" s="69">
        <v>0</v>
      </c>
      <c r="I226" s="69" t="s">
        <v>247</v>
      </c>
      <c r="J226" s="69">
        <v>42</v>
      </c>
    </row>
    <row r="227" spans="1:10" x14ac:dyDescent="0.2">
      <c r="A227" s="69">
        <v>10000000651</v>
      </c>
      <c r="B227" s="69" t="s">
        <v>220</v>
      </c>
      <c r="C227" s="100" t="s">
        <v>220</v>
      </c>
      <c r="D227" s="69" t="e">
        <v>#N/A</v>
      </c>
      <c r="E227" s="69" t="e">
        <v>#N/A</v>
      </c>
      <c r="F227" s="69" t="s">
        <v>246</v>
      </c>
      <c r="G227" s="69" t="s">
        <v>1034</v>
      </c>
      <c r="H227" s="69">
        <v>0</v>
      </c>
      <c r="I227" s="69" t="s">
        <v>247</v>
      </c>
      <c r="J227" s="69">
        <v>42</v>
      </c>
    </row>
    <row r="228" spans="1:10" x14ac:dyDescent="0.2">
      <c r="A228" s="69">
        <v>10000000652</v>
      </c>
      <c r="B228" s="69" t="s">
        <v>220</v>
      </c>
      <c r="C228" s="100">
        <v>1</v>
      </c>
      <c r="D228" s="69" t="e">
        <v>#N/A</v>
      </c>
      <c r="E228" s="69" t="e">
        <v>#N/A</v>
      </c>
      <c r="F228" s="69" t="s">
        <v>246</v>
      </c>
      <c r="G228" s="69" t="s">
        <v>1033</v>
      </c>
      <c r="H228" s="69">
        <v>0</v>
      </c>
      <c r="I228" s="69" t="s">
        <v>247</v>
      </c>
      <c r="J228" s="69">
        <v>42</v>
      </c>
    </row>
    <row r="229" spans="1:10" x14ac:dyDescent="0.2">
      <c r="A229" s="69">
        <v>10000000653</v>
      </c>
      <c r="B229" s="69" t="s">
        <v>220</v>
      </c>
      <c r="C229" s="100">
        <v>1</v>
      </c>
      <c r="D229" s="69" t="e">
        <v>#N/A</v>
      </c>
      <c r="E229" s="69" t="e">
        <v>#N/A</v>
      </c>
      <c r="F229" s="69" t="s">
        <v>246</v>
      </c>
      <c r="G229" s="69" t="s">
        <v>1032</v>
      </c>
      <c r="H229" s="69">
        <v>0</v>
      </c>
      <c r="I229" s="69" t="s">
        <v>247</v>
      </c>
      <c r="J229" s="69">
        <v>42</v>
      </c>
    </row>
    <row r="230" spans="1:10" x14ac:dyDescent="0.2">
      <c r="A230" s="69">
        <v>10000000654</v>
      </c>
      <c r="B230" s="69" t="s">
        <v>220</v>
      </c>
      <c r="C230" s="100">
        <v>1</v>
      </c>
      <c r="D230" s="69" t="e">
        <v>#N/A</v>
      </c>
      <c r="E230" s="69" t="e">
        <v>#N/A</v>
      </c>
      <c r="F230" s="69" t="s">
        <v>246</v>
      </c>
      <c r="G230" s="69" t="s">
        <v>1031</v>
      </c>
      <c r="H230" s="69">
        <v>0</v>
      </c>
      <c r="I230" s="69" t="s">
        <v>247</v>
      </c>
      <c r="J230" s="69">
        <v>42</v>
      </c>
    </row>
    <row r="231" spans="1:10" x14ac:dyDescent="0.2">
      <c r="A231" s="69">
        <v>10000000655</v>
      </c>
      <c r="B231" s="69" t="s">
        <v>220</v>
      </c>
      <c r="C231" s="100" t="s">
        <v>220</v>
      </c>
      <c r="D231" s="69" t="e">
        <v>#N/A</v>
      </c>
      <c r="E231" s="69" t="e">
        <v>#N/A</v>
      </c>
      <c r="F231" s="69" t="s">
        <v>246</v>
      </c>
      <c r="G231" s="69" t="s">
        <v>1030</v>
      </c>
      <c r="H231" s="69">
        <v>0</v>
      </c>
      <c r="I231" s="69" t="s">
        <v>247</v>
      </c>
      <c r="J231" s="69">
        <v>42</v>
      </c>
    </row>
    <row r="232" spans="1:10" x14ac:dyDescent="0.2">
      <c r="A232" s="69">
        <v>10000000656</v>
      </c>
      <c r="B232" s="69" t="s">
        <v>221</v>
      </c>
      <c r="C232" s="100">
        <v>5</v>
      </c>
      <c r="D232" s="69" t="e">
        <v>#N/A</v>
      </c>
      <c r="E232" s="69" t="e">
        <v>#N/A</v>
      </c>
      <c r="F232" s="69" t="s">
        <v>246</v>
      </c>
      <c r="G232" s="69" t="s">
        <v>193</v>
      </c>
      <c r="H232" s="69">
        <v>0</v>
      </c>
      <c r="I232" s="69" t="s">
        <v>257</v>
      </c>
      <c r="J232" s="69">
        <v>42</v>
      </c>
    </row>
    <row r="233" spans="1:10" x14ac:dyDescent="0.2">
      <c r="A233" s="69">
        <v>10000000657</v>
      </c>
      <c r="B233" s="69" t="s">
        <v>221</v>
      </c>
      <c r="C233" s="100" t="s">
        <v>221</v>
      </c>
      <c r="D233" s="69" t="e">
        <v>#N/A</v>
      </c>
      <c r="E233" s="69" t="e">
        <v>#N/A</v>
      </c>
      <c r="F233" s="69" t="s">
        <v>246</v>
      </c>
      <c r="G233" s="69" t="s">
        <v>1029</v>
      </c>
      <c r="H233" s="69">
        <v>0</v>
      </c>
      <c r="I233" s="69" t="s">
        <v>257</v>
      </c>
      <c r="J233" s="69">
        <v>42</v>
      </c>
    </row>
    <row r="234" spans="1:10" x14ac:dyDescent="0.2">
      <c r="A234" s="69">
        <v>10000000658</v>
      </c>
      <c r="B234" s="69" t="s">
        <v>221</v>
      </c>
      <c r="C234" s="100">
        <v>5</v>
      </c>
      <c r="D234" s="69" t="e">
        <v>#N/A</v>
      </c>
      <c r="E234" s="69" t="e">
        <v>#N/A</v>
      </c>
      <c r="F234" s="69" t="s">
        <v>246</v>
      </c>
      <c r="G234" s="69" t="s">
        <v>1028</v>
      </c>
      <c r="H234" s="69">
        <v>0</v>
      </c>
      <c r="I234" s="69" t="s">
        <v>257</v>
      </c>
      <c r="J234" s="69">
        <v>42</v>
      </c>
    </row>
    <row r="235" spans="1:10" x14ac:dyDescent="0.2">
      <c r="A235" s="69">
        <v>10000000659</v>
      </c>
      <c r="B235" s="69" t="s">
        <v>221</v>
      </c>
      <c r="C235" s="100" t="s">
        <v>221</v>
      </c>
      <c r="D235" s="69" t="e">
        <v>#N/A</v>
      </c>
      <c r="E235" s="69" t="e">
        <v>#N/A</v>
      </c>
      <c r="F235" s="69" t="s">
        <v>246</v>
      </c>
      <c r="G235" s="69" t="s">
        <v>1027</v>
      </c>
      <c r="H235" s="69">
        <v>0</v>
      </c>
      <c r="I235" s="69" t="s">
        <v>257</v>
      </c>
      <c r="J235" s="69">
        <v>42</v>
      </c>
    </row>
    <row r="236" spans="1:10" x14ac:dyDescent="0.2">
      <c r="A236" s="69">
        <v>10000000660</v>
      </c>
      <c r="B236" s="69" t="s">
        <v>221</v>
      </c>
      <c r="C236" s="100" t="s">
        <v>221</v>
      </c>
      <c r="D236" s="69" t="e">
        <v>#N/A</v>
      </c>
      <c r="E236" s="69" t="e">
        <v>#N/A</v>
      </c>
      <c r="F236" s="69" t="s">
        <v>246</v>
      </c>
      <c r="G236" s="69" t="s">
        <v>1026</v>
      </c>
      <c r="H236" s="69">
        <v>0</v>
      </c>
      <c r="I236" s="69" t="s">
        <v>257</v>
      </c>
      <c r="J236" s="69">
        <v>42</v>
      </c>
    </row>
    <row r="237" spans="1:10" x14ac:dyDescent="0.2">
      <c r="A237" s="69">
        <v>10000000661</v>
      </c>
      <c r="B237" s="69" t="s">
        <v>221</v>
      </c>
      <c r="C237" s="100">
        <v>5</v>
      </c>
      <c r="D237" s="69" t="e">
        <v>#N/A</v>
      </c>
      <c r="E237" s="69" t="e">
        <v>#N/A</v>
      </c>
      <c r="F237" s="69" t="s">
        <v>246</v>
      </c>
      <c r="G237" s="69" t="s">
        <v>1025</v>
      </c>
      <c r="H237" s="69">
        <v>0</v>
      </c>
      <c r="I237" s="69" t="s">
        <v>257</v>
      </c>
      <c r="J237" s="69">
        <v>42</v>
      </c>
    </row>
    <row r="238" spans="1:10" x14ac:dyDescent="0.2">
      <c r="A238" s="69">
        <v>10000000662</v>
      </c>
      <c r="B238" s="69" t="s">
        <v>221</v>
      </c>
      <c r="C238" s="100">
        <v>5</v>
      </c>
      <c r="D238" s="69" t="e">
        <v>#N/A</v>
      </c>
      <c r="E238" s="69" t="e">
        <v>#N/A</v>
      </c>
      <c r="F238" s="69" t="s">
        <v>246</v>
      </c>
      <c r="G238" s="69" t="s">
        <v>1024</v>
      </c>
      <c r="H238" s="69">
        <v>0</v>
      </c>
      <c r="I238" s="69" t="s">
        <v>257</v>
      </c>
      <c r="J238" s="69">
        <v>42</v>
      </c>
    </row>
    <row r="239" spans="1:10" x14ac:dyDescent="0.2">
      <c r="A239" s="69">
        <v>10000000663</v>
      </c>
      <c r="B239" s="69" t="s">
        <v>221</v>
      </c>
      <c r="C239" s="100">
        <v>5</v>
      </c>
      <c r="D239" s="69" t="e">
        <v>#N/A</v>
      </c>
      <c r="E239" s="69" t="e">
        <v>#N/A</v>
      </c>
      <c r="F239" s="69" t="s">
        <v>246</v>
      </c>
      <c r="G239" s="69" t="s">
        <v>1023</v>
      </c>
      <c r="H239" s="69">
        <v>0</v>
      </c>
      <c r="I239" s="69" t="s">
        <v>257</v>
      </c>
      <c r="J239" s="69">
        <v>42</v>
      </c>
    </row>
    <row r="240" spans="1:10" x14ac:dyDescent="0.2">
      <c r="A240" s="69">
        <v>10000000664</v>
      </c>
      <c r="B240" s="69" t="s">
        <v>221</v>
      </c>
      <c r="C240" s="100">
        <v>5</v>
      </c>
      <c r="D240" s="69" t="e">
        <v>#N/A</v>
      </c>
      <c r="E240" s="69" t="e">
        <v>#N/A</v>
      </c>
      <c r="F240" s="69" t="s">
        <v>246</v>
      </c>
      <c r="G240" s="69" t="s">
        <v>1022</v>
      </c>
      <c r="H240" s="69">
        <v>0</v>
      </c>
      <c r="I240" s="69" t="s">
        <v>257</v>
      </c>
      <c r="J240" s="69">
        <v>42</v>
      </c>
    </row>
    <row r="241" spans="1:10" x14ac:dyDescent="0.2">
      <c r="A241" s="69">
        <v>10000000665</v>
      </c>
      <c r="B241" s="69" t="s">
        <v>221</v>
      </c>
      <c r="C241" s="100">
        <v>5</v>
      </c>
      <c r="D241" s="69" t="e">
        <v>#N/A</v>
      </c>
      <c r="E241" s="69" t="e">
        <v>#N/A</v>
      </c>
      <c r="F241" s="69" t="s">
        <v>246</v>
      </c>
      <c r="G241" s="69" t="s">
        <v>1021</v>
      </c>
      <c r="H241" s="69">
        <v>0</v>
      </c>
      <c r="I241" s="69" t="s">
        <v>257</v>
      </c>
      <c r="J241" s="69">
        <v>42</v>
      </c>
    </row>
    <row r="242" spans="1:10" x14ac:dyDescent="0.2">
      <c r="A242" s="69">
        <v>10000000666</v>
      </c>
      <c r="B242" s="69" t="s">
        <v>221</v>
      </c>
      <c r="C242" s="100">
        <v>1</v>
      </c>
      <c r="D242" s="69" t="e">
        <v>#N/A</v>
      </c>
      <c r="E242" s="69" t="e">
        <v>#N/A</v>
      </c>
      <c r="F242" s="69" t="s">
        <v>246</v>
      </c>
      <c r="G242" s="69" t="s">
        <v>1020</v>
      </c>
      <c r="H242" s="69">
        <v>0</v>
      </c>
      <c r="I242" s="69" t="s">
        <v>257</v>
      </c>
      <c r="J242" s="69">
        <v>42</v>
      </c>
    </row>
    <row r="243" spans="1:10" x14ac:dyDescent="0.2">
      <c r="A243" s="69">
        <v>10000000676</v>
      </c>
      <c r="B243" s="69" t="s">
        <v>387</v>
      </c>
      <c r="C243" s="100">
        <v>5</v>
      </c>
      <c r="D243" s="69" t="e">
        <v>#N/A</v>
      </c>
      <c r="E243" s="69" t="e">
        <v>#N/A</v>
      </c>
      <c r="F243" s="69" t="s">
        <v>275</v>
      </c>
      <c r="G243" s="69" t="s">
        <v>1018</v>
      </c>
      <c r="H243" s="69">
        <v>6</v>
      </c>
      <c r="I243" s="69" t="s">
        <v>385</v>
      </c>
      <c r="J243" s="69">
        <v>24</v>
      </c>
    </row>
    <row r="244" spans="1:10" x14ac:dyDescent="0.2">
      <c r="A244" s="69">
        <v>10000000683</v>
      </c>
      <c r="C244" s="100" t="s">
        <v>307</v>
      </c>
      <c r="G244" s="69" t="s">
        <v>895</v>
      </c>
      <c r="J244" s="69" t="s">
        <v>307</v>
      </c>
    </row>
    <row r="245" spans="1:10" x14ac:dyDescent="0.2">
      <c r="A245" s="69">
        <v>10000000686</v>
      </c>
      <c r="C245" s="100" t="s">
        <v>307</v>
      </c>
      <c r="G245" s="69" t="s">
        <v>1725</v>
      </c>
      <c r="J245" s="69" t="s">
        <v>307</v>
      </c>
    </row>
    <row r="246" spans="1:10" x14ac:dyDescent="0.2">
      <c r="A246" s="69">
        <v>10000000693</v>
      </c>
      <c r="B246" s="69" t="s">
        <v>387</v>
      </c>
      <c r="C246" s="100" t="e">
        <v>#N/A</v>
      </c>
      <c r="D246" s="69" t="e">
        <v>#N/A</v>
      </c>
      <c r="E246" s="69" t="e">
        <v>#N/A</v>
      </c>
      <c r="F246" s="69" t="s">
        <v>303</v>
      </c>
      <c r="G246" s="69" t="s">
        <v>1016</v>
      </c>
      <c r="H246" s="69">
        <v>10</v>
      </c>
      <c r="I246" s="69" t="s">
        <v>385</v>
      </c>
      <c r="J246" s="69">
        <v>24</v>
      </c>
    </row>
    <row r="247" spans="1:10" x14ac:dyDescent="0.2">
      <c r="A247" s="69">
        <v>10000000694</v>
      </c>
      <c r="C247" s="100" t="s">
        <v>307</v>
      </c>
      <c r="G247" s="69" t="s">
        <v>894</v>
      </c>
      <c r="J247" s="69" t="s">
        <v>307</v>
      </c>
    </row>
    <row r="248" spans="1:10" x14ac:dyDescent="0.2">
      <c r="A248" s="69">
        <v>10000000700</v>
      </c>
      <c r="C248" s="100" t="s">
        <v>307</v>
      </c>
      <c r="G248" s="69" t="s">
        <v>893</v>
      </c>
      <c r="J248" s="69" t="s">
        <v>307</v>
      </c>
    </row>
    <row r="249" spans="1:10" x14ac:dyDescent="0.2">
      <c r="A249" s="69">
        <v>10000000702</v>
      </c>
      <c r="C249" s="100" t="s">
        <v>307</v>
      </c>
      <c r="G249" s="69" t="s">
        <v>892</v>
      </c>
      <c r="J249" s="69" t="s">
        <v>307</v>
      </c>
    </row>
    <row r="250" spans="1:10" x14ac:dyDescent="0.2">
      <c r="A250" s="69">
        <v>10000000703</v>
      </c>
      <c r="C250" s="100" t="s">
        <v>307</v>
      </c>
      <c r="G250" s="69" t="s">
        <v>891</v>
      </c>
      <c r="J250" s="69" t="s">
        <v>307</v>
      </c>
    </row>
    <row r="251" spans="1:10" x14ac:dyDescent="0.2">
      <c r="A251" s="69">
        <v>10000000706</v>
      </c>
      <c r="C251" s="100" t="s">
        <v>307</v>
      </c>
      <c r="G251" s="69" t="s">
        <v>890</v>
      </c>
      <c r="J251" s="69" t="s">
        <v>307</v>
      </c>
    </row>
    <row r="252" spans="1:10" x14ac:dyDescent="0.2">
      <c r="A252" s="69">
        <v>10000000707</v>
      </c>
      <c r="C252" s="100" t="s">
        <v>307</v>
      </c>
      <c r="G252" s="69" t="s">
        <v>889</v>
      </c>
      <c r="J252" s="69" t="s">
        <v>307</v>
      </c>
    </row>
    <row r="253" spans="1:10" x14ac:dyDescent="0.2">
      <c r="A253" s="69">
        <v>10000000708</v>
      </c>
      <c r="C253" s="100" t="s">
        <v>307</v>
      </c>
      <c r="G253" s="69" t="s">
        <v>1726</v>
      </c>
      <c r="J253" s="69" t="s">
        <v>307</v>
      </c>
    </row>
    <row r="254" spans="1:10" x14ac:dyDescent="0.2">
      <c r="A254" s="69">
        <v>10000000710</v>
      </c>
      <c r="C254" s="100" t="s">
        <v>307</v>
      </c>
      <c r="G254" s="69" t="s">
        <v>888</v>
      </c>
      <c r="H254" s="69">
        <v>10</v>
      </c>
      <c r="J254" s="69">
        <v>24</v>
      </c>
    </row>
    <row r="255" spans="1:10" x14ac:dyDescent="0.2">
      <c r="A255" s="69">
        <v>10000000711</v>
      </c>
      <c r="C255" s="100" t="s">
        <v>307</v>
      </c>
      <c r="G255" s="69" t="s">
        <v>887</v>
      </c>
      <c r="H255" s="69">
        <v>0</v>
      </c>
      <c r="J255" s="69">
        <v>42</v>
      </c>
    </row>
    <row r="256" spans="1:10" x14ac:dyDescent="0.2">
      <c r="A256" s="69">
        <v>10000000712</v>
      </c>
      <c r="C256" s="100" t="s">
        <v>307</v>
      </c>
      <c r="G256" s="69" t="s">
        <v>886</v>
      </c>
      <c r="H256" s="69">
        <v>0</v>
      </c>
      <c r="J256" s="69">
        <v>42</v>
      </c>
    </row>
    <row r="257" spans="1:10" x14ac:dyDescent="0.2">
      <c r="A257" s="69">
        <v>10000000713</v>
      </c>
      <c r="B257" s="69" t="s">
        <v>221</v>
      </c>
      <c r="C257" s="100" t="s">
        <v>221</v>
      </c>
      <c r="D257" s="69" t="e">
        <v>#N/A</v>
      </c>
      <c r="E257" s="69" t="e">
        <v>#N/A</v>
      </c>
      <c r="F257" s="69" t="s">
        <v>275</v>
      </c>
      <c r="G257" s="69" t="s">
        <v>1007</v>
      </c>
      <c r="H257" s="69">
        <v>0</v>
      </c>
      <c r="I257" s="69" t="s">
        <v>257</v>
      </c>
      <c r="J257" s="69">
        <v>42</v>
      </c>
    </row>
    <row r="258" spans="1:10" x14ac:dyDescent="0.2">
      <c r="A258" s="69">
        <v>10000000714</v>
      </c>
      <c r="C258" s="100" t="s">
        <v>307</v>
      </c>
      <c r="G258" s="69" t="s">
        <v>885</v>
      </c>
      <c r="H258" s="69">
        <v>0</v>
      </c>
      <c r="J258" s="69">
        <v>42</v>
      </c>
    </row>
    <row r="259" spans="1:10" x14ac:dyDescent="0.2">
      <c r="A259" s="69">
        <v>10000000715</v>
      </c>
      <c r="C259" s="100" t="s">
        <v>307</v>
      </c>
      <c r="G259" s="69" t="s">
        <v>1727</v>
      </c>
      <c r="H259" s="69">
        <v>0</v>
      </c>
      <c r="J259" s="69">
        <v>42</v>
      </c>
    </row>
    <row r="260" spans="1:10" x14ac:dyDescent="0.2">
      <c r="A260" s="69">
        <v>10000000716</v>
      </c>
      <c r="B260" s="69" t="s">
        <v>221</v>
      </c>
      <c r="C260" s="100" t="s">
        <v>221</v>
      </c>
      <c r="D260" s="69" t="e">
        <v>#N/A</v>
      </c>
      <c r="E260" s="69" t="e">
        <v>#N/A</v>
      </c>
      <c r="F260" s="69" t="s">
        <v>263</v>
      </c>
      <c r="G260" s="69" t="s">
        <v>1006</v>
      </c>
      <c r="H260" s="69">
        <v>0</v>
      </c>
      <c r="I260" s="69" t="s">
        <v>257</v>
      </c>
      <c r="J260" s="69">
        <v>42</v>
      </c>
    </row>
    <row r="261" spans="1:10" x14ac:dyDescent="0.2">
      <c r="A261" s="69">
        <v>10000000718</v>
      </c>
      <c r="C261" s="100" t="s">
        <v>307</v>
      </c>
      <c r="G261" s="69" t="s">
        <v>884</v>
      </c>
      <c r="H261" s="69">
        <v>0</v>
      </c>
      <c r="J261" s="69">
        <v>42</v>
      </c>
    </row>
    <row r="262" spans="1:10" x14ac:dyDescent="0.2">
      <c r="A262" s="69">
        <v>10000000719</v>
      </c>
      <c r="B262" s="69" t="s">
        <v>221</v>
      </c>
      <c r="C262" s="100" t="s">
        <v>221</v>
      </c>
      <c r="D262" s="69" t="e">
        <v>#N/A</v>
      </c>
      <c r="E262" s="69" t="e">
        <v>#N/A</v>
      </c>
      <c r="F262" s="69" t="s">
        <v>275</v>
      </c>
      <c r="G262" s="69" t="s">
        <v>1005</v>
      </c>
      <c r="H262" s="69">
        <v>0</v>
      </c>
      <c r="I262" s="69" t="s">
        <v>257</v>
      </c>
      <c r="J262" s="69">
        <v>42</v>
      </c>
    </row>
    <row r="263" spans="1:10" x14ac:dyDescent="0.2">
      <c r="A263" s="69">
        <v>10000000720</v>
      </c>
      <c r="C263" s="100">
        <v>19</v>
      </c>
      <c r="G263" s="69" t="s">
        <v>883</v>
      </c>
      <c r="H263" s="69">
        <v>0</v>
      </c>
      <c r="J263" s="69">
        <v>42</v>
      </c>
    </row>
    <row r="264" spans="1:10" x14ac:dyDescent="0.2">
      <c r="A264" s="69">
        <v>10000000721</v>
      </c>
      <c r="C264" s="100">
        <v>19</v>
      </c>
      <c r="G264" s="69" t="s">
        <v>882</v>
      </c>
      <c r="H264" s="69">
        <v>0</v>
      </c>
      <c r="J264" s="69">
        <v>42</v>
      </c>
    </row>
    <row r="265" spans="1:10" x14ac:dyDescent="0.2">
      <c r="A265" s="69">
        <v>10000000722</v>
      </c>
      <c r="C265" s="100">
        <v>19</v>
      </c>
      <c r="G265" s="69" t="s">
        <v>881</v>
      </c>
      <c r="H265" s="69">
        <v>0</v>
      </c>
      <c r="J265" s="69">
        <v>42</v>
      </c>
    </row>
    <row r="266" spans="1:10" x14ac:dyDescent="0.2">
      <c r="A266" s="69">
        <v>10000000723</v>
      </c>
      <c r="C266" s="100">
        <v>19</v>
      </c>
      <c r="G266" s="69" t="s">
        <v>880</v>
      </c>
      <c r="H266" s="69">
        <v>0</v>
      </c>
      <c r="J266" s="69">
        <v>42</v>
      </c>
    </row>
    <row r="267" spans="1:10" x14ac:dyDescent="0.2">
      <c r="A267" s="69">
        <v>10000000732</v>
      </c>
      <c r="B267" s="69" t="s">
        <v>220</v>
      </c>
      <c r="C267" s="100" t="s">
        <v>220</v>
      </c>
      <c r="D267" s="69" t="e">
        <v>#N/A</v>
      </c>
      <c r="E267" s="69" t="e">
        <v>#N/A</v>
      </c>
      <c r="F267" s="69" t="s">
        <v>275</v>
      </c>
      <c r="G267" s="69" t="s">
        <v>1004</v>
      </c>
      <c r="H267" s="69">
        <v>0</v>
      </c>
      <c r="I267" s="69" t="s">
        <v>247</v>
      </c>
      <c r="J267" s="69">
        <v>42</v>
      </c>
    </row>
    <row r="268" spans="1:10" x14ac:dyDescent="0.2">
      <c r="A268" s="69">
        <v>10000000733</v>
      </c>
      <c r="C268" s="100" t="s">
        <v>307</v>
      </c>
      <c r="G268" s="69" t="s">
        <v>874</v>
      </c>
      <c r="H268" s="69">
        <v>0</v>
      </c>
      <c r="J268" s="69">
        <v>42</v>
      </c>
    </row>
    <row r="269" spans="1:10" x14ac:dyDescent="0.2">
      <c r="A269" s="69">
        <v>10000000734</v>
      </c>
      <c r="C269" s="100" t="s">
        <v>307</v>
      </c>
      <c r="G269" s="69" t="s">
        <v>873</v>
      </c>
      <c r="H269" s="69">
        <v>0</v>
      </c>
      <c r="J269" s="69">
        <v>42</v>
      </c>
    </row>
    <row r="270" spans="1:10" x14ac:dyDescent="0.2">
      <c r="A270" s="69">
        <v>10000000735</v>
      </c>
      <c r="C270" s="100" t="s">
        <v>307</v>
      </c>
      <c r="G270" s="69" t="s">
        <v>112</v>
      </c>
      <c r="H270" s="69">
        <v>0</v>
      </c>
      <c r="J270" s="69">
        <v>42</v>
      </c>
    </row>
    <row r="271" spans="1:10" x14ac:dyDescent="0.2">
      <c r="A271" s="69">
        <v>10000000736</v>
      </c>
      <c r="B271" s="69" t="s">
        <v>221</v>
      </c>
      <c r="C271" s="100" t="s">
        <v>221</v>
      </c>
      <c r="D271" s="69" t="e">
        <v>#N/A</v>
      </c>
      <c r="E271" s="69" t="e">
        <v>#N/A</v>
      </c>
      <c r="F271" s="69" t="s">
        <v>275</v>
      </c>
      <c r="G271" s="69" t="s">
        <v>1002</v>
      </c>
      <c r="H271" s="69">
        <v>0</v>
      </c>
      <c r="I271" s="69" t="s">
        <v>257</v>
      </c>
      <c r="J271" s="69">
        <v>42</v>
      </c>
    </row>
    <row r="272" spans="1:10" x14ac:dyDescent="0.2">
      <c r="A272" s="69">
        <v>10000000737</v>
      </c>
      <c r="C272" s="100" t="s">
        <v>307</v>
      </c>
      <c r="G272" s="69" t="s">
        <v>872</v>
      </c>
      <c r="H272" s="69">
        <v>0</v>
      </c>
      <c r="J272" s="69">
        <v>42</v>
      </c>
    </row>
    <row r="273" spans="1:10" x14ac:dyDescent="0.2">
      <c r="A273" s="69">
        <v>10000000738</v>
      </c>
      <c r="B273" s="69" t="s">
        <v>262</v>
      </c>
      <c r="C273" s="100">
        <v>10</v>
      </c>
      <c r="D273" s="69" t="e">
        <v>#N/A</v>
      </c>
      <c r="E273" s="69" t="e">
        <v>#N/A</v>
      </c>
      <c r="F273" s="69" t="s">
        <v>275</v>
      </c>
      <c r="G273" s="69" t="s">
        <v>1001</v>
      </c>
      <c r="H273" s="69">
        <v>0</v>
      </c>
      <c r="I273" s="69" t="s">
        <v>261</v>
      </c>
      <c r="J273" s="69">
        <v>42</v>
      </c>
    </row>
    <row r="274" spans="1:10" x14ac:dyDescent="0.2">
      <c r="A274" s="69">
        <v>10000000739</v>
      </c>
      <c r="C274" s="100">
        <v>19</v>
      </c>
      <c r="G274" s="69" t="s">
        <v>871</v>
      </c>
      <c r="H274" s="69">
        <v>0</v>
      </c>
      <c r="J274" s="69">
        <v>42</v>
      </c>
    </row>
    <row r="275" spans="1:10" x14ac:dyDescent="0.2">
      <c r="A275" s="69">
        <v>10000000740</v>
      </c>
      <c r="B275" s="69" t="s">
        <v>262</v>
      </c>
      <c r="C275" s="100">
        <v>20</v>
      </c>
      <c r="D275" s="69" t="e">
        <v>#N/A</v>
      </c>
      <c r="E275" s="69" t="e">
        <v>#N/A</v>
      </c>
      <c r="F275" s="69" t="s">
        <v>275</v>
      </c>
      <c r="G275" s="69" t="s">
        <v>1000</v>
      </c>
      <c r="H275" s="69">
        <v>0</v>
      </c>
      <c r="I275" s="69" t="s">
        <v>261</v>
      </c>
      <c r="J275" s="69">
        <v>42</v>
      </c>
    </row>
    <row r="276" spans="1:10" x14ac:dyDescent="0.2">
      <c r="A276" s="69">
        <v>10000000742</v>
      </c>
      <c r="C276" s="100" t="s">
        <v>307</v>
      </c>
      <c r="G276" s="69" t="s">
        <v>1684</v>
      </c>
      <c r="J276" s="69" t="s">
        <v>307</v>
      </c>
    </row>
    <row r="277" spans="1:10" x14ac:dyDescent="0.2">
      <c r="A277" s="69">
        <v>10000000744</v>
      </c>
      <c r="C277" s="100" t="s">
        <v>307</v>
      </c>
      <c r="G277" s="69" t="s">
        <v>870</v>
      </c>
      <c r="J277" s="69" t="s">
        <v>307</v>
      </c>
    </row>
    <row r="278" spans="1:10" x14ac:dyDescent="0.2">
      <c r="A278" s="69">
        <v>10000000746</v>
      </c>
      <c r="C278" s="100" t="s">
        <v>307</v>
      </c>
      <c r="G278" s="69" t="s">
        <v>869</v>
      </c>
      <c r="J278" s="69" t="s">
        <v>307</v>
      </c>
    </row>
    <row r="279" spans="1:10" x14ac:dyDescent="0.2">
      <c r="A279" s="69">
        <v>10000000747</v>
      </c>
      <c r="C279" s="100" t="s">
        <v>307</v>
      </c>
      <c r="G279" s="69" t="s">
        <v>868</v>
      </c>
      <c r="J279" s="69" t="s">
        <v>307</v>
      </c>
    </row>
    <row r="280" spans="1:10" x14ac:dyDescent="0.2">
      <c r="A280" s="69">
        <v>10000000750</v>
      </c>
      <c r="C280" s="100" t="s">
        <v>307</v>
      </c>
      <c r="G280" s="69" t="s">
        <v>867</v>
      </c>
      <c r="J280" s="69" t="s">
        <v>307</v>
      </c>
    </row>
    <row r="281" spans="1:10" x14ac:dyDescent="0.2">
      <c r="A281" s="69">
        <v>10000000752</v>
      </c>
      <c r="B281" s="69" t="s">
        <v>220</v>
      </c>
      <c r="C281" s="100" t="s">
        <v>220</v>
      </c>
      <c r="D281" s="69" t="e">
        <v>#N/A</v>
      </c>
      <c r="E281" s="69" t="e">
        <v>#N/A</v>
      </c>
      <c r="F281" s="69" t="s">
        <v>263</v>
      </c>
      <c r="G281" s="69" t="s">
        <v>997</v>
      </c>
      <c r="H281" s="69">
        <v>0</v>
      </c>
      <c r="I281" s="69" t="s">
        <v>247</v>
      </c>
      <c r="J281" s="69">
        <v>42</v>
      </c>
    </row>
    <row r="282" spans="1:10" x14ac:dyDescent="0.2">
      <c r="A282" s="69">
        <v>10000000753</v>
      </c>
      <c r="C282" s="100" t="s">
        <v>307</v>
      </c>
      <c r="G282" s="69" t="s">
        <v>866</v>
      </c>
      <c r="H282" s="69">
        <v>0</v>
      </c>
      <c r="J282" s="69">
        <v>42</v>
      </c>
    </row>
    <row r="283" spans="1:10" x14ac:dyDescent="0.2">
      <c r="A283" s="69">
        <v>10000000754</v>
      </c>
      <c r="C283" s="100" t="s">
        <v>307</v>
      </c>
      <c r="G283" s="69" t="s">
        <v>865</v>
      </c>
      <c r="J283" s="69" t="s">
        <v>307</v>
      </c>
    </row>
    <row r="284" spans="1:10" x14ac:dyDescent="0.2">
      <c r="A284" s="69">
        <v>10000000756</v>
      </c>
      <c r="C284" s="100" t="s">
        <v>307</v>
      </c>
      <c r="G284" s="69" t="s">
        <v>1685</v>
      </c>
      <c r="J284" s="69" t="s">
        <v>307</v>
      </c>
    </row>
    <row r="285" spans="1:10" x14ac:dyDescent="0.2">
      <c r="A285" s="69">
        <v>10000000757</v>
      </c>
      <c r="C285" s="100" t="s">
        <v>307</v>
      </c>
      <c r="G285" s="69" t="s">
        <v>864</v>
      </c>
      <c r="J285" s="69" t="s">
        <v>307</v>
      </c>
    </row>
    <row r="286" spans="1:10" x14ac:dyDescent="0.2">
      <c r="A286" s="69">
        <v>10000000759</v>
      </c>
      <c r="C286" s="100">
        <v>19</v>
      </c>
      <c r="G286" s="69" t="s">
        <v>863</v>
      </c>
      <c r="H286" s="69">
        <v>0</v>
      </c>
      <c r="J286" s="69">
        <v>42</v>
      </c>
    </row>
    <row r="287" spans="1:10" x14ac:dyDescent="0.2">
      <c r="A287" s="69">
        <v>10000000760</v>
      </c>
      <c r="C287" s="100" t="s">
        <v>307</v>
      </c>
      <c r="G287" s="69" t="s">
        <v>862</v>
      </c>
      <c r="J287" s="69" t="s">
        <v>307</v>
      </c>
    </row>
    <row r="288" spans="1:10" x14ac:dyDescent="0.2">
      <c r="A288" s="69">
        <v>10000000761</v>
      </c>
      <c r="C288" s="100" t="s">
        <v>307</v>
      </c>
      <c r="G288" s="69" t="s">
        <v>861</v>
      </c>
      <c r="J288" s="69" t="s">
        <v>307</v>
      </c>
    </row>
    <row r="289" spans="1:10" x14ac:dyDescent="0.2">
      <c r="A289" s="69">
        <v>10000000764</v>
      </c>
      <c r="C289" s="100" t="s">
        <v>307</v>
      </c>
      <c r="G289" s="69" t="s">
        <v>1686</v>
      </c>
      <c r="J289" s="69" t="s">
        <v>307</v>
      </c>
    </row>
    <row r="290" spans="1:10" x14ac:dyDescent="0.2">
      <c r="A290" s="69">
        <v>10000000765</v>
      </c>
      <c r="C290" s="100" t="s">
        <v>307</v>
      </c>
      <c r="G290" s="69" t="s">
        <v>860</v>
      </c>
      <c r="J290" s="69" t="s">
        <v>307</v>
      </c>
    </row>
    <row r="291" spans="1:10" x14ac:dyDescent="0.2">
      <c r="A291" s="69">
        <v>10000000766</v>
      </c>
      <c r="C291" s="100" t="s">
        <v>307</v>
      </c>
      <c r="G291" s="69" t="s">
        <v>859</v>
      </c>
      <c r="J291" s="69" t="s">
        <v>307</v>
      </c>
    </row>
    <row r="292" spans="1:10" x14ac:dyDescent="0.2">
      <c r="A292" s="69">
        <v>10000000768</v>
      </c>
      <c r="C292" s="100" t="s">
        <v>307</v>
      </c>
      <c r="G292" s="69" t="s">
        <v>858</v>
      </c>
      <c r="J292" s="69" t="s">
        <v>307</v>
      </c>
    </row>
    <row r="293" spans="1:10" x14ac:dyDescent="0.2">
      <c r="A293" s="69">
        <v>10000000770</v>
      </c>
      <c r="C293" s="100" t="s">
        <v>307</v>
      </c>
      <c r="G293" s="69" t="s">
        <v>857</v>
      </c>
      <c r="J293" s="69" t="s">
        <v>307</v>
      </c>
    </row>
    <row r="294" spans="1:10" x14ac:dyDescent="0.2">
      <c r="A294" s="69">
        <v>10000000771</v>
      </c>
      <c r="C294" s="100" t="s">
        <v>307</v>
      </c>
      <c r="G294" s="69" t="s">
        <v>141</v>
      </c>
      <c r="J294" s="69" t="s">
        <v>307</v>
      </c>
    </row>
    <row r="295" spans="1:10" x14ac:dyDescent="0.2">
      <c r="A295" s="69">
        <v>10000000772</v>
      </c>
      <c r="C295" s="100" t="s">
        <v>307</v>
      </c>
      <c r="G295" s="69" t="s">
        <v>856</v>
      </c>
      <c r="H295" s="69">
        <v>0</v>
      </c>
      <c r="J295" s="69">
        <v>42</v>
      </c>
    </row>
    <row r="296" spans="1:10" x14ac:dyDescent="0.2">
      <c r="A296" s="69">
        <v>10000000773</v>
      </c>
      <c r="C296" s="100" t="s">
        <v>307</v>
      </c>
      <c r="G296" s="69" t="s">
        <v>855</v>
      </c>
      <c r="H296" s="69">
        <v>0</v>
      </c>
      <c r="J296" s="69">
        <v>42</v>
      </c>
    </row>
    <row r="297" spans="1:10" x14ac:dyDescent="0.2">
      <c r="A297" s="69">
        <v>10000000774</v>
      </c>
      <c r="C297" s="100" t="s">
        <v>307</v>
      </c>
      <c r="G297" s="69" t="s">
        <v>854</v>
      </c>
      <c r="H297" s="69">
        <v>0</v>
      </c>
      <c r="J297" s="69">
        <v>42</v>
      </c>
    </row>
    <row r="298" spans="1:10" x14ac:dyDescent="0.2">
      <c r="A298" s="69">
        <v>10000000775</v>
      </c>
      <c r="C298" s="100" t="s">
        <v>307</v>
      </c>
      <c r="G298" s="69" t="s">
        <v>853</v>
      </c>
      <c r="H298" s="69">
        <v>0</v>
      </c>
      <c r="J298" s="69">
        <v>42</v>
      </c>
    </row>
    <row r="299" spans="1:10" x14ac:dyDescent="0.2">
      <c r="A299" s="69">
        <v>10000000776</v>
      </c>
      <c r="B299" s="69" t="s">
        <v>220</v>
      </c>
      <c r="C299" s="100" t="s">
        <v>220</v>
      </c>
      <c r="D299" s="69" t="e">
        <v>#N/A</v>
      </c>
      <c r="E299" s="69" t="e">
        <v>#N/A</v>
      </c>
      <c r="F299" s="69" t="s">
        <v>275</v>
      </c>
      <c r="G299" s="69" t="s">
        <v>994</v>
      </c>
      <c r="H299" s="69">
        <v>0</v>
      </c>
      <c r="I299" s="69" t="s">
        <v>247</v>
      </c>
      <c r="J299" s="69">
        <v>42</v>
      </c>
    </row>
    <row r="300" spans="1:10" x14ac:dyDescent="0.2">
      <c r="A300" s="69">
        <v>10000000777</v>
      </c>
      <c r="B300" s="69" t="s">
        <v>221</v>
      </c>
      <c r="C300" s="100" t="s">
        <v>221</v>
      </c>
      <c r="D300" s="69" t="e">
        <v>#N/A</v>
      </c>
      <c r="E300" s="69" t="e">
        <v>#N/A</v>
      </c>
      <c r="F300" s="69" t="s">
        <v>275</v>
      </c>
      <c r="G300" s="69" t="s">
        <v>993</v>
      </c>
      <c r="H300" s="69">
        <v>0</v>
      </c>
      <c r="I300" s="69" t="s">
        <v>257</v>
      </c>
      <c r="J300" s="69">
        <v>42</v>
      </c>
    </row>
    <row r="301" spans="1:10" x14ac:dyDescent="0.2">
      <c r="A301" s="69">
        <v>10000000778</v>
      </c>
      <c r="C301" s="100" t="s">
        <v>307</v>
      </c>
      <c r="G301" s="69" t="s">
        <v>852</v>
      </c>
      <c r="H301" s="69">
        <v>0</v>
      </c>
      <c r="J301" s="69">
        <v>42</v>
      </c>
    </row>
    <row r="302" spans="1:10" x14ac:dyDescent="0.2">
      <c r="A302" s="69">
        <v>10000000779</v>
      </c>
      <c r="C302" s="100" t="s">
        <v>307</v>
      </c>
      <c r="G302" s="69" t="s">
        <v>851</v>
      </c>
      <c r="H302" s="69">
        <v>0</v>
      </c>
      <c r="J302" s="69">
        <v>42</v>
      </c>
    </row>
    <row r="303" spans="1:10" x14ac:dyDescent="0.2">
      <c r="A303" s="69">
        <v>10000000780</v>
      </c>
      <c r="B303" s="69" t="s">
        <v>221</v>
      </c>
      <c r="C303" s="100" t="s">
        <v>221</v>
      </c>
      <c r="D303" s="69" t="s">
        <v>1246</v>
      </c>
      <c r="E303" s="69" t="s">
        <v>1239</v>
      </c>
      <c r="F303" s="69" t="s">
        <v>275</v>
      </c>
      <c r="G303" s="69" t="s">
        <v>991</v>
      </c>
      <c r="H303" s="69">
        <v>0</v>
      </c>
      <c r="I303" s="69" t="s">
        <v>257</v>
      </c>
      <c r="J303" s="69">
        <v>42</v>
      </c>
    </row>
    <row r="304" spans="1:10" x14ac:dyDescent="0.2">
      <c r="A304" s="69">
        <v>10000000781</v>
      </c>
      <c r="B304" s="69" t="s">
        <v>221</v>
      </c>
      <c r="C304" s="100">
        <v>5</v>
      </c>
      <c r="D304" s="69" t="e">
        <v>#N/A</v>
      </c>
      <c r="E304" s="69" t="e">
        <v>#N/A</v>
      </c>
      <c r="F304" s="69" t="s">
        <v>275</v>
      </c>
      <c r="G304" s="69" t="s">
        <v>990</v>
      </c>
      <c r="H304" s="69">
        <v>0</v>
      </c>
      <c r="I304" s="69" t="s">
        <v>257</v>
      </c>
      <c r="J304" s="69">
        <v>42</v>
      </c>
    </row>
    <row r="305" spans="1:10" x14ac:dyDescent="0.2">
      <c r="A305" s="69">
        <v>10000000782</v>
      </c>
      <c r="B305" s="69" t="s">
        <v>221</v>
      </c>
      <c r="C305" s="100" t="s">
        <v>221</v>
      </c>
      <c r="D305" s="69" t="e">
        <v>#N/A</v>
      </c>
      <c r="E305" s="69" t="e">
        <v>#N/A</v>
      </c>
      <c r="F305" s="69" t="s">
        <v>275</v>
      </c>
      <c r="G305" s="69" t="s">
        <v>989</v>
      </c>
      <c r="H305" s="69">
        <v>0</v>
      </c>
      <c r="I305" s="69" t="s">
        <v>257</v>
      </c>
      <c r="J305" s="69">
        <v>42</v>
      </c>
    </row>
    <row r="306" spans="1:10" x14ac:dyDescent="0.2">
      <c r="A306" s="69">
        <v>10000000792</v>
      </c>
      <c r="C306" s="100">
        <v>20</v>
      </c>
      <c r="D306" s="69" t="e">
        <v>#N/A</v>
      </c>
      <c r="E306" s="69" t="e">
        <v>#N/A</v>
      </c>
      <c r="F306" s="69" t="s">
        <v>75</v>
      </c>
      <c r="G306" t="s">
        <v>839</v>
      </c>
      <c r="H306" s="69">
        <v>4</v>
      </c>
      <c r="I306" s="69" t="s">
        <v>314</v>
      </c>
      <c r="J306" s="69">
        <v>42</v>
      </c>
    </row>
    <row r="307" spans="1:10" x14ac:dyDescent="0.2">
      <c r="A307" s="69">
        <v>10000000798</v>
      </c>
      <c r="B307" s="69" t="s">
        <v>221</v>
      </c>
      <c r="C307" s="100">
        <v>5</v>
      </c>
      <c r="D307" s="69" t="e">
        <v>#N/A</v>
      </c>
      <c r="E307" s="69" t="e">
        <v>#N/A</v>
      </c>
      <c r="F307" s="69" t="s">
        <v>275</v>
      </c>
      <c r="G307" s="69" t="s">
        <v>983</v>
      </c>
      <c r="H307" s="69">
        <v>0</v>
      </c>
      <c r="I307" s="69" t="s">
        <v>257</v>
      </c>
      <c r="J307" s="69">
        <v>42</v>
      </c>
    </row>
    <row r="308" spans="1:10" x14ac:dyDescent="0.2">
      <c r="A308" s="69">
        <v>10000000799</v>
      </c>
      <c r="B308" s="69" t="s">
        <v>262</v>
      </c>
      <c r="C308" s="100">
        <v>10</v>
      </c>
      <c r="D308" s="69" t="e">
        <v>#N/A</v>
      </c>
      <c r="E308" s="69" t="e">
        <v>#N/A</v>
      </c>
      <c r="F308" s="69" t="s">
        <v>275</v>
      </c>
      <c r="G308" s="69" t="s">
        <v>982</v>
      </c>
      <c r="H308" s="69">
        <v>0</v>
      </c>
      <c r="I308" s="69" t="s">
        <v>261</v>
      </c>
      <c r="J308" s="69">
        <v>42</v>
      </c>
    </row>
    <row r="309" spans="1:10" x14ac:dyDescent="0.2">
      <c r="A309" s="69">
        <v>10000000800</v>
      </c>
      <c r="B309" s="69" t="s">
        <v>220</v>
      </c>
      <c r="C309" s="100" t="s">
        <v>220</v>
      </c>
      <c r="D309" s="69" t="e">
        <v>#N/A</v>
      </c>
      <c r="E309" s="69" t="e">
        <v>#N/A</v>
      </c>
      <c r="F309" s="69" t="s">
        <v>275</v>
      </c>
      <c r="G309" s="69" t="s">
        <v>981</v>
      </c>
      <c r="H309" s="69">
        <v>0</v>
      </c>
      <c r="I309" s="69" t="s">
        <v>247</v>
      </c>
      <c r="J309" s="69">
        <v>42</v>
      </c>
    </row>
    <row r="310" spans="1:10" x14ac:dyDescent="0.2">
      <c r="A310" s="69">
        <v>10000000801</v>
      </c>
      <c r="B310" s="69" t="s">
        <v>220</v>
      </c>
      <c r="C310" s="100">
        <v>5</v>
      </c>
      <c r="D310" s="69" t="e">
        <v>#N/A</v>
      </c>
      <c r="E310" s="69" t="e">
        <v>#N/A</v>
      </c>
      <c r="F310" s="69" t="s">
        <v>275</v>
      </c>
      <c r="G310" s="69" t="s">
        <v>980</v>
      </c>
      <c r="H310" s="69">
        <v>0</v>
      </c>
      <c r="I310" s="69" t="s">
        <v>247</v>
      </c>
      <c r="J310" s="69">
        <v>42</v>
      </c>
    </row>
    <row r="311" spans="1:10" x14ac:dyDescent="0.2">
      <c r="A311" s="69">
        <v>10000000802</v>
      </c>
      <c r="B311" s="69" t="s">
        <v>262</v>
      </c>
      <c r="C311" s="100">
        <v>10</v>
      </c>
      <c r="D311" s="69" t="e">
        <v>#N/A</v>
      </c>
      <c r="E311" s="69" t="e">
        <v>#N/A</v>
      </c>
      <c r="F311" s="69" t="s">
        <v>275</v>
      </c>
      <c r="G311" s="69" t="s">
        <v>979</v>
      </c>
      <c r="H311" s="69">
        <v>0</v>
      </c>
      <c r="I311" s="69" t="s">
        <v>261</v>
      </c>
      <c r="J311" s="69">
        <v>42</v>
      </c>
    </row>
    <row r="312" spans="1:10" x14ac:dyDescent="0.2">
      <c r="A312" s="69">
        <v>10000000803</v>
      </c>
      <c r="B312" s="69" t="s">
        <v>262</v>
      </c>
      <c r="C312" s="100">
        <v>20</v>
      </c>
      <c r="D312" s="69" t="e">
        <v>#N/A</v>
      </c>
      <c r="E312" s="69" t="e">
        <v>#N/A</v>
      </c>
      <c r="F312" s="69" t="s">
        <v>275</v>
      </c>
      <c r="G312" s="69" t="s">
        <v>978</v>
      </c>
      <c r="H312" s="69">
        <v>0</v>
      </c>
      <c r="I312" s="69" t="s">
        <v>261</v>
      </c>
      <c r="J312" s="69">
        <v>42</v>
      </c>
    </row>
    <row r="313" spans="1:10" x14ac:dyDescent="0.2">
      <c r="A313" s="70">
        <v>10000000804</v>
      </c>
      <c r="B313" s="69" t="s">
        <v>221</v>
      </c>
      <c r="C313" s="100">
        <v>5</v>
      </c>
      <c r="G313" s="70" t="s">
        <v>229</v>
      </c>
      <c r="J313" s="69">
        <v>42</v>
      </c>
    </row>
    <row r="314" spans="1:10" x14ac:dyDescent="0.2">
      <c r="A314" s="69">
        <v>10000000812</v>
      </c>
      <c r="B314" s="69" t="s">
        <v>221</v>
      </c>
      <c r="C314" s="100">
        <v>5</v>
      </c>
      <c r="D314" s="69" t="e">
        <v>#N/A</v>
      </c>
      <c r="E314" s="69" t="e">
        <v>#N/A</v>
      </c>
      <c r="F314" s="69" t="s">
        <v>275</v>
      </c>
      <c r="G314" s="69" t="s">
        <v>976</v>
      </c>
      <c r="H314" s="69">
        <v>0</v>
      </c>
      <c r="I314" s="69" t="s">
        <v>257</v>
      </c>
      <c r="J314" s="69">
        <v>42</v>
      </c>
    </row>
    <row r="315" spans="1:10" x14ac:dyDescent="0.2">
      <c r="A315" s="69">
        <v>10000000813</v>
      </c>
      <c r="B315" s="69" t="s">
        <v>221</v>
      </c>
      <c r="C315" s="100">
        <v>5</v>
      </c>
      <c r="D315" s="69" t="e">
        <v>#N/A</v>
      </c>
      <c r="E315" s="69" t="e">
        <v>#N/A</v>
      </c>
      <c r="F315" s="69" t="s">
        <v>275</v>
      </c>
      <c r="G315" s="69" t="s">
        <v>975</v>
      </c>
      <c r="H315" s="69">
        <v>0</v>
      </c>
      <c r="I315" s="69" t="s">
        <v>257</v>
      </c>
      <c r="J315" s="69">
        <v>42</v>
      </c>
    </row>
    <row r="316" spans="1:10" x14ac:dyDescent="0.2">
      <c r="A316" s="69">
        <v>10000000814</v>
      </c>
      <c r="B316" s="69" t="s">
        <v>221</v>
      </c>
      <c r="C316" s="100" t="s">
        <v>221</v>
      </c>
      <c r="D316" s="69" t="e">
        <v>#N/A</v>
      </c>
      <c r="E316" s="69" t="e">
        <v>#N/A</v>
      </c>
      <c r="F316" s="69" t="s">
        <v>275</v>
      </c>
      <c r="G316" s="69" t="s">
        <v>974</v>
      </c>
      <c r="H316" s="69">
        <v>0</v>
      </c>
      <c r="I316" s="69" t="s">
        <v>257</v>
      </c>
      <c r="J316" s="69">
        <v>42</v>
      </c>
    </row>
    <row r="317" spans="1:10" x14ac:dyDescent="0.2">
      <c r="A317" s="69">
        <v>10000000815</v>
      </c>
      <c r="B317" s="69" t="s">
        <v>221</v>
      </c>
      <c r="C317" s="100" t="s">
        <v>221</v>
      </c>
      <c r="D317" s="69" t="e">
        <v>#N/A</v>
      </c>
      <c r="E317" s="69" t="e">
        <v>#N/A</v>
      </c>
      <c r="F317" s="69" t="s">
        <v>275</v>
      </c>
      <c r="G317" s="69" t="s">
        <v>973</v>
      </c>
      <c r="H317" s="69">
        <v>0</v>
      </c>
      <c r="I317" s="69" t="s">
        <v>257</v>
      </c>
      <c r="J317" s="69">
        <v>42</v>
      </c>
    </row>
    <row r="318" spans="1:10" x14ac:dyDescent="0.2">
      <c r="A318" s="69">
        <v>10000000816</v>
      </c>
      <c r="B318" s="69" t="s">
        <v>221</v>
      </c>
      <c r="C318" s="100">
        <v>5</v>
      </c>
      <c r="D318" s="69" t="e">
        <v>#N/A</v>
      </c>
      <c r="E318" s="69" t="e">
        <v>#N/A</v>
      </c>
      <c r="F318" s="69" t="s">
        <v>275</v>
      </c>
      <c r="G318" s="69" t="s">
        <v>972</v>
      </c>
      <c r="H318" s="69">
        <v>0</v>
      </c>
      <c r="I318" s="69" t="s">
        <v>257</v>
      </c>
      <c r="J318" s="69">
        <v>42</v>
      </c>
    </row>
    <row r="319" spans="1:10" x14ac:dyDescent="0.2">
      <c r="A319" s="69">
        <v>10000000817</v>
      </c>
      <c r="B319" s="69" t="s">
        <v>221</v>
      </c>
      <c r="C319" s="100" t="s">
        <v>221</v>
      </c>
      <c r="D319" s="69" t="e">
        <v>#N/A</v>
      </c>
      <c r="E319" s="69" t="e">
        <v>#N/A</v>
      </c>
      <c r="F319" s="69" t="s">
        <v>275</v>
      </c>
      <c r="G319" s="69" t="s">
        <v>971</v>
      </c>
      <c r="H319" s="69">
        <v>0</v>
      </c>
      <c r="I319" s="69" t="s">
        <v>257</v>
      </c>
      <c r="J319" s="69">
        <v>42</v>
      </c>
    </row>
    <row r="320" spans="1:10" x14ac:dyDescent="0.2">
      <c r="A320" s="69">
        <v>10000000821</v>
      </c>
      <c r="B320" s="69" t="s">
        <v>221</v>
      </c>
      <c r="C320" s="100">
        <v>5</v>
      </c>
      <c r="G320" s="69" t="s">
        <v>813</v>
      </c>
      <c r="H320" s="69">
        <v>19.2</v>
      </c>
      <c r="J320" s="69">
        <v>42</v>
      </c>
    </row>
    <row r="321" spans="1:10" x14ac:dyDescent="0.2">
      <c r="A321" s="69">
        <v>10000000822</v>
      </c>
      <c r="B321" s="69" t="s">
        <v>220</v>
      </c>
      <c r="C321" s="100" t="s">
        <v>220</v>
      </c>
      <c r="D321" s="69" t="e">
        <v>#N/A</v>
      </c>
      <c r="E321" s="69" t="e">
        <v>#N/A</v>
      </c>
      <c r="F321" s="69" t="s">
        <v>275</v>
      </c>
      <c r="G321" s="69" t="s">
        <v>970</v>
      </c>
      <c r="H321" s="69">
        <v>0</v>
      </c>
      <c r="I321" s="69" t="s">
        <v>247</v>
      </c>
      <c r="J321" s="69">
        <v>42</v>
      </c>
    </row>
    <row r="322" spans="1:10" x14ac:dyDescent="0.2">
      <c r="A322" s="69">
        <v>10000000823</v>
      </c>
      <c r="B322" s="69" t="s">
        <v>221</v>
      </c>
      <c r="C322" s="100">
        <v>5</v>
      </c>
      <c r="D322" s="69" t="e">
        <v>#N/A</v>
      </c>
      <c r="E322" s="69" t="e">
        <v>#N/A</v>
      </c>
      <c r="F322" s="69" t="s">
        <v>275</v>
      </c>
      <c r="G322" s="69" t="s">
        <v>969</v>
      </c>
      <c r="H322" s="69">
        <v>0</v>
      </c>
      <c r="I322" s="69" t="s">
        <v>257</v>
      </c>
      <c r="J322" s="69">
        <v>42</v>
      </c>
    </row>
    <row r="323" spans="1:10" x14ac:dyDescent="0.2">
      <c r="A323" s="69">
        <v>10000000824</v>
      </c>
      <c r="B323" s="69" t="s">
        <v>221</v>
      </c>
      <c r="C323" s="100" t="s">
        <v>221</v>
      </c>
      <c r="D323" s="69" t="e">
        <v>#N/A</v>
      </c>
      <c r="E323" s="69" t="e">
        <v>#N/A</v>
      </c>
      <c r="F323" s="69" t="s">
        <v>275</v>
      </c>
      <c r="G323" s="69" t="s">
        <v>968</v>
      </c>
      <c r="H323" s="69">
        <v>0</v>
      </c>
      <c r="I323" s="69" t="s">
        <v>257</v>
      </c>
      <c r="J323" s="69">
        <v>42</v>
      </c>
    </row>
    <row r="324" spans="1:10" x14ac:dyDescent="0.2">
      <c r="A324" s="69">
        <v>10000000825</v>
      </c>
      <c r="B324" s="69" t="s">
        <v>220</v>
      </c>
      <c r="C324" s="100" t="s">
        <v>220</v>
      </c>
      <c r="D324" s="69" t="e">
        <v>#N/A</v>
      </c>
      <c r="E324" s="69" t="e">
        <v>#N/A</v>
      </c>
      <c r="F324" s="69" t="s">
        <v>275</v>
      </c>
      <c r="G324" s="69" t="s">
        <v>967</v>
      </c>
      <c r="H324" s="69">
        <v>0</v>
      </c>
      <c r="I324" s="69" t="s">
        <v>247</v>
      </c>
      <c r="J324" s="69">
        <v>42</v>
      </c>
    </row>
    <row r="325" spans="1:10" x14ac:dyDescent="0.2">
      <c r="A325" s="69">
        <v>10000000826</v>
      </c>
      <c r="B325" s="69" t="s">
        <v>220</v>
      </c>
      <c r="C325" s="100" t="s">
        <v>220</v>
      </c>
      <c r="D325" s="69" t="s">
        <v>1246</v>
      </c>
      <c r="E325" s="69" t="s">
        <v>1239</v>
      </c>
      <c r="F325" s="69" t="s">
        <v>275</v>
      </c>
      <c r="G325" s="69" t="s">
        <v>966</v>
      </c>
      <c r="H325" s="69">
        <v>0</v>
      </c>
      <c r="I325" s="69" t="s">
        <v>247</v>
      </c>
      <c r="J325" s="69">
        <v>42</v>
      </c>
    </row>
    <row r="326" spans="1:10" x14ac:dyDescent="0.2">
      <c r="A326" s="69">
        <v>10000000827</v>
      </c>
      <c r="B326" s="69" t="s">
        <v>220</v>
      </c>
      <c r="C326" s="100">
        <v>1</v>
      </c>
      <c r="D326" s="69" t="e">
        <v>#N/A</v>
      </c>
      <c r="E326" s="69" t="e">
        <v>#N/A</v>
      </c>
      <c r="F326" s="69" t="s">
        <v>275</v>
      </c>
      <c r="G326" s="69" t="s">
        <v>965</v>
      </c>
      <c r="H326" s="69">
        <v>0</v>
      </c>
      <c r="I326" s="69" t="s">
        <v>247</v>
      </c>
      <c r="J326" s="69">
        <v>42</v>
      </c>
    </row>
    <row r="327" spans="1:10" x14ac:dyDescent="0.2">
      <c r="A327" s="69">
        <v>10000000828</v>
      </c>
      <c r="B327" s="69" t="s">
        <v>220</v>
      </c>
      <c r="C327" s="100" t="s">
        <v>220</v>
      </c>
      <c r="D327" s="69" t="e">
        <v>#N/A</v>
      </c>
      <c r="E327" s="69" t="e">
        <v>#N/A</v>
      </c>
      <c r="F327" s="69" t="s">
        <v>275</v>
      </c>
      <c r="G327" s="69" t="s">
        <v>964</v>
      </c>
      <c r="H327" s="69">
        <v>0</v>
      </c>
      <c r="I327" s="69" t="s">
        <v>247</v>
      </c>
      <c r="J327" s="69">
        <v>42</v>
      </c>
    </row>
    <row r="328" spans="1:10" x14ac:dyDescent="0.2">
      <c r="A328" s="69">
        <v>10000000829</v>
      </c>
      <c r="B328" s="69" t="s">
        <v>220</v>
      </c>
      <c r="C328" s="100">
        <v>5</v>
      </c>
      <c r="D328" s="69" t="e">
        <v>#N/A</v>
      </c>
      <c r="E328" s="69" t="e">
        <v>#N/A</v>
      </c>
      <c r="F328" s="69" t="s">
        <v>275</v>
      </c>
      <c r="G328" s="69" t="s">
        <v>963</v>
      </c>
      <c r="H328" s="69">
        <v>0</v>
      </c>
      <c r="I328" s="69" t="s">
        <v>247</v>
      </c>
      <c r="J328" s="69">
        <v>42</v>
      </c>
    </row>
    <row r="329" spans="1:10" x14ac:dyDescent="0.2">
      <c r="A329" s="69">
        <v>10000000830</v>
      </c>
      <c r="B329" s="69" t="s">
        <v>220</v>
      </c>
      <c r="C329" s="100">
        <v>5</v>
      </c>
      <c r="D329" s="69" t="e">
        <v>#N/A</v>
      </c>
      <c r="E329" s="69" t="e">
        <v>#N/A</v>
      </c>
      <c r="F329" s="69" t="s">
        <v>275</v>
      </c>
      <c r="G329" s="69" t="s">
        <v>962</v>
      </c>
      <c r="H329" s="69">
        <v>0</v>
      </c>
      <c r="I329" s="69" t="s">
        <v>247</v>
      </c>
      <c r="J329" s="69">
        <v>42</v>
      </c>
    </row>
    <row r="330" spans="1:10" x14ac:dyDescent="0.2">
      <c r="A330" s="69">
        <v>10000000831</v>
      </c>
      <c r="B330" s="69" t="s">
        <v>220</v>
      </c>
      <c r="C330" s="100">
        <v>5</v>
      </c>
      <c r="D330" s="69" t="e">
        <v>#N/A</v>
      </c>
      <c r="E330" s="69" t="e">
        <v>#N/A</v>
      </c>
      <c r="F330" s="69" t="s">
        <v>275</v>
      </c>
      <c r="G330" s="69" t="s">
        <v>961</v>
      </c>
      <c r="H330" s="69">
        <v>0</v>
      </c>
      <c r="I330" s="69" t="s">
        <v>247</v>
      </c>
      <c r="J330" s="69">
        <v>42</v>
      </c>
    </row>
    <row r="331" spans="1:10" x14ac:dyDescent="0.2">
      <c r="A331" s="69">
        <v>10000000832</v>
      </c>
      <c r="B331" s="69" t="s">
        <v>220</v>
      </c>
      <c r="C331" s="100">
        <v>5</v>
      </c>
      <c r="D331" s="69" t="e">
        <v>#N/A</v>
      </c>
      <c r="E331" s="69" t="e">
        <v>#N/A</v>
      </c>
      <c r="F331" s="69" t="s">
        <v>275</v>
      </c>
      <c r="G331" s="69" t="s">
        <v>960</v>
      </c>
      <c r="H331" s="69">
        <v>0</v>
      </c>
      <c r="I331" s="69" t="s">
        <v>247</v>
      </c>
      <c r="J331" s="69">
        <v>42</v>
      </c>
    </row>
    <row r="332" spans="1:10" x14ac:dyDescent="0.2">
      <c r="A332" s="69">
        <v>10000000833</v>
      </c>
      <c r="B332" s="69" t="s">
        <v>220</v>
      </c>
      <c r="C332" s="100">
        <v>5</v>
      </c>
      <c r="D332" s="69" t="e">
        <v>#N/A</v>
      </c>
      <c r="E332" s="69" t="e">
        <v>#N/A</v>
      </c>
      <c r="F332" s="69" t="s">
        <v>275</v>
      </c>
      <c r="G332" s="69" t="s">
        <v>959</v>
      </c>
      <c r="H332" s="69">
        <v>0</v>
      </c>
      <c r="I332" s="69" t="s">
        <v>247</v>
      </c>
      <c r="J332" s="69">
        <v>42</v>
      </c>
    </row>
    <row r="333" spans="1:10" x14ac:dyDescent="0.2">
      <c r="A333" s="69">
        <v>10000000834</v>
      </c>
      <c r="B333" s="69" t="s">
        <v>221</v>
      </c>
      <c r="C333" s="100">
        <v>5</v>
      </c>
      <c r="D333" s="69" t="e">
        <v>#N/A</v>
      </c>
      <c r="E333" s="69" t="e">
        <v>#N/A</v>
      </c>
      <c r="F333" s="69" t="s">
        <v>275</v>
      </c>
      <c r="G333" s="69" t="s">
        <v>958</v>
      </c>
      <c r="H333" s="69">
        <v>0</v>
      </c>
      <c r="I333" s="69" t="s">
        <v>257</v>
      </c>
      <c r="J333" s="69">
        <v>42</v>
      </c>
    </row>
    <row r="334" spans="1:10" x14ac:dyDescent="0.2">
      <c r="A334" s="69">
        <v>10000000835</v>
      </c>
      <c r="B334" s="69" t="s">
        <v>221</v>
      </c>
      <c r="C334" s="100">
        <v>5</v>
      </c>
      <c r="D334" s="69" t="e">
        <v>#N/A</v>
      </c>
      <c r="E334" s="69" t="e">
        <v>#N/A</v>
      </c>
      <c r="F334" s="69" t="s">
        <v>275</v>
      </c>
      <c r="G334" s="69" t="s">
        <v>957</v>
      </c>
      <c r="H334" s="69">
        <v>0</v>
      </c>
      <c r="I334" s="69" t="s">
        <v>257</v>
      </c>
      <c r="J334" s="69">
        <v>42</v>
      </c>
    </row>
    <row r="335" spans="1:10" x14ac:dyDescent="0.2">
      <c r="A335" s="69">
        <v>10000000836</v>
      </c>
      <c r="B335" s="69" t="s">
        <v>221</v>
      </c>
      <c r="C335" s="100">
        <v>5</v>
      </c>
      <c r="D335" s="69" t="e">
        <v>#N/A</v>
      </c>
      <c r="E335" s="69" t="e">
        <v>#N/A</v>
      </c>
      <c r="F335" s="69" t="s">
        <v>275</v>
      </c>
      <c r="G335" s="69" t="s">
        <v>956</v>
      </c>
      <c r="H335" s="69">
        <v>0</v>
      </c>
      <c r="I335" s="69" t="s">
        <v>257</v>
      </c>
      <c r="J335" s="69">
        <v>42</v>
      </c>
    </row>
    <row r="336" spans="1:10" x14ac:dyDescent="0.2">
      <c r="A336" s="69">
        <v>10000000837</v>
      </c>
      <c r="B336" s="69" t="s">
        <v>221</v>
      </c>
      <c r="C336" s="100">
        <v>5</v>
      </c>
      <c r="D336" s="69" t="e">
        <v>#N/A</v>
      </c>
      <c r="E336" s="69" t="e">
        <v>#N/A</v>
      </c>
      <c r="F336" s="69" t="s">
        <v>275</v>
      </c>
      <c r="G336" s="69" t="s">
        <v>955</v>
      </c>
      <c r="H336" s="69">
        <v>0</v>
      </c>
      <c r="I336" s="69" t="s">
        <v>257</v>
      </c>
      <c r="J336" s="69">
        <v>42</v>
      </c>
    </row>
    <row r="337" spans="1:10" x14ac:dyDescent="0.2">
      <c r="A337" s="69">
        <v>10000000838</v>
      </c>
      <c r="B337" s="69" t="s">
        <v>221</v>
      </c>
      <c r="C337" s="100">
        <v>5</v>
      </c>
      <c r="D337" s="69" t="e">
        <v>#N/A</v>
      </c>
      <c r="E337" s="69" t="e">
        <v>#N/A</v>
      </c>
      <c r="F337" s="69" t="s">
        <v>275</v>
      </c>
      <c r="G337" s="69" t="s">
        <v>954</v>
      </c>
      <c r="H337" s="69">
        <v>0</v>
      </c>
      <c r="I337" s="69" t="s">
        <v>257</v>
      </c>
      <c r="J337" s="69">
        <v>42</v>
      </c>
    </row>
    <row r="338" spans="1:10" x14ac:dyDescent="0.2">
      <c r="A338" s="69">
        <v>10000000839</v>
      </c>
      <c r="B338" s="69" t="s">
        <v>221</v>
      </c>
      <c r="C338" s="100">
        <v>5</v>
      </c>
      <c r="D338" s="69" t="e">
        <v>#N/A</v>
      </c>
      <c r="E338" s="69" t="e">
        <v>#N/A</v>
      </c>
      <c r="F338" s="69" t="s">
        <v>275</v>
      </c>
      <c r="G338" s="69" t="s">
        <v>953</v>
      </c>
      <c r="H338" s="69">
        <v>0</v>
      </c>
      <c r="I338" s="69" t="s">
        <v>257</v>
      </c>
      <c r="J338" s="69">
        <v>42</v>
      </c>
    </row>
    <row r="339" spans="1:10" x14ac:dyDescent="0.2">
      <c r="A339" s="69">
        <v>10000000840</v>
      </c>
      <c r="B339" s="69">
        <v>10</v>
      </c>
      <c r="C339" s="100">
        <v>10</v>
      </c>
      <c r="D339" s="69" t="e">
        <v>#N/A</v>
      </c>
      <c r="E339" s="69" t="e">
        <v>#N/A</v>
      </c>
      <c r="F339" s="69" t="s">
        <v>275</v>
      </c>
      <c r="G339" s="69" t="s">
        <v>952</v>
      </c>
      <c r="H339" s="69">
        <v>0</v>
      </c>
      <c r="I339" s="69" t="s">
        <v>257</v>
      </c>
      <c r="J339" s="69">
        <v>42</v>
      </c>
    </row>
    <row r="340" spans="1:10" x14ac:dyDescent="0.2">
      <c r="A340" s="69">
        <v>10000000841</v>
      </c>
      <c r="B340" s="69" t="s">
        <v>221</v>
      </c>
      <c r="C340" s="100" t="s">
        <v>221</v>
      </c>
      <c r="D340" s="69" t="e">
        <v>#N/A</v>
      </c>
      <c r="E340" s="69" t="e">
        <v>#N/A</v>
      </c>
      <c r="F340" s="69" t="s">
        <v>275</v>
      </c>
      <c r="G340" s="69" t="s">
        <v>951</v>
      </c>
      <c r="H340" s="69">
        <v>0</v>
      </c>
      <c r="I340" s="69" t="s">
        <v>257</v>
      </c>
      <c r="J340" s="69">
        <v>42</v>
      </c>
    </row>
    <row r="341" spans="1:10" x14ac:dyDescent="0.2">
      <c r="A341" s="69">
        <v>10000000842</v>
      </c>
      <c r="B341" s="69" t="s">
        <v>221</v>
      </c>
      <c r="C341" s="100">
        <v>5</v>
      </c>
      <c r="D341" s="69" t="e">
        <v>#N/A</v>
      </c>
      <c r="E341" s="69" t="e">
        <v>#N/A</v>
      </c>
      <c r="F341" s="69" t="s">
        <v>275</v>
      </c>
      <c r="G341" s="69" t="s">
        <v>950</v>
      </c>
      <c r="H341" s="69">
        <v>0</v>
      </c>
      <c r="I341" s="69" t="s">
        <v>257</v>
      </c>
      <c r="J341" s="69">
        <v>42</v>
      </c>
    </row>
    <row r="342" spans="1:10" x14ac:dyDescent="0.2">
      <c r="A342" s="69">
        <v>10000000843</v>
      </c>
      <c r="B342" s="69" t="s">
        <v>221</v>
      </c>
      <c r="C342" s="100">
        <v>5</v>
      </c>
      <c r="D342" s="69" t="e">
        <v>#N/A</v>
      </c>
      <c r="E342" s="69" t="e">
        <v>#N/A</v>
      </c>
      <c r="F342" s="69" t="s">
        <v>275</v>
      </c>
      <c r="G342" s="69" t="s">
        <v>949</v>
      </c>
      <c r="H342" s="69">
        <v>0</v>
      </c>
      <c r="I342" s="69" t="s">
        <v>257</v>
      </c>
      <c r="J342" s="69">
        <v>42</v>
      </c>
    </row>
    <row r="343" spans="1:10" x14ac:dyDescent="0.2">
      <c r="A343" s="69">
        <v>10000000844</v>
      </c>
      <c r="B343" s="69" t="s">
        <v>221</v>
      </c>
      <c r="C343" s="100" t="s">
        <v>221</v>
      </c>
      <c r="D343" s="69" t="e">
        <v>#N/A</v>
      </c>
      <c r="E343" s="69" t="e">
        <v>#N/A</v>
      </c>
      <c r="F343" s="69" t="s">
        <v>275</v>
      </c>
      <c r="G343" s="69" t="s">
        <v>948</v>
      </c>
      <c r="H343" s="69">
        <v>0</v>
      </c>
      <c r="I343" s="69" t="s">
        <v>257</v>
      </c>
      <c r="J343" s="69">
        <v>42</v>
      </c>
    </row>
    <row r="344" spans="1:10" x14ac:dyDescent="0.2">
      <c r="A344" s="69">
        <v>10000000845</v>
      </c>
      <c r="B344" s="69" t="s">
        <v>221</v>
      </c>
      <c r="C344" s="100" t="s">
        <v>221</v>
      </c>
      <c r="D344" s="69" t="s">
        <v>1246</v>
      </c>
      <c r="E344" s="69" t="s">
        <v>1239</v>
      </c>
      <c r="F344" s="69" t="s">
        <v>275</v>
      </c>
      <c r="G344" s="69" t="s">
        <v>947</v>
      </c>
      <c r="H344" s="69">
        <v>0</v>
      </c>
      <c r="I344" s="69" t="s">
        <v>257</v>
      </c>
      <c r="J344" s="69">
        <v>42</v>
      </c>
    </row>
    <row r="345" spans="1:10" x14ac:dyDescent="0.2">
      <c r="A345" s="69">
        <v>10000000846</v>
      </c>
      <c r="B345" s="69" t="s">
        <v>221</v>
      </c>
      <c r="C345" s="100">
        <v>5</v>
      </c>
      <c r="D345" s="69" t="e">
        <v>#N/A</v>
      </c>
      <c r="E345" s="69" t="e">
        <v>#N/A</v>
      </c>
      <c r="F345" s="69" t="s">
        <v>275</v>
      </c>
      <c r="G345" s="69" t="s">
        <v>946</v>
      </c>
      <c r="H345" s="69">
        <v>0</v>
      </c>
      <c r="I345" s="69" t="s">
        <v>257</v>
      </c>
      <c r="J345" s="69">
        <v>42</v>
      </c>
    </row>
    <row r="346" spans="1:10" x14ac:dyDescent="0.2">
      <c r="A346" s="69">
        <v>10000000847</v>
      </c>
      <c r="B346" s="69" t="s">
        <v>221</v>
      </c>
      <c r="C346" s="100" t="s">
        <v>221</v>
      </c>
      <c r="D346" s="69" t="e">
        <v>#N/A</v>
      </c>
      <c r="E346" s="69" t="e">
        <v>#N/A</v>
      </c>
      <c r="F346" s="69" t="s">
        <v>275</v>
      </c>
      <c r="G346" s="69" t="s">
        <v>945</v>
      </c>
      <c r="H346" s="69">
        <v>0</v>
      </c>
      <c r="I346" s="69" t="s">
        <v>257</v>
      </c>
      <c r="J346" s="69">
        <v>42</v>
      </c>
    </row>
    <row r="347" spans="1:10" x14ac:dyDescent="0.2">
      <c r="A347" s="69">
        <v>10000000848</v>
      </c>
      <c r="B347" s="69" t="s">
        <v>221</v>
      </c>
      <c r="C347" s="100">
        <v>1</v>
      </c>
      <c r="D347" s="69" t="e">
        <v>#N/A</v>
      </c>
      <c r="E347" s="69" t="e">
        <v>#N/A</v>
      </c>
      <c r="F347" s="69" t="s">
        <v>275</v>
      </c>
      <c r="G347" s="69" t="s">
        <v>944</v>
      </c>
      <c r="H347" s="69">
        <v>0</v>
      </c>
      <c r="I347" s="69" t="s">
        <v>257</v>
      </c>
      <c r="J347" s="69">
        <v>42</v>
      </c>
    </row>
    <row r="348" spans="1:10" x14ac:dyDescent="0.2">
      <c r="A348" s="69">
        <v>10000000849</v>
      </c>
      <c r="B348" s="69" t="s">
        <v>221</v>
      </c>
      <c r="C348" s="100">
        <v>1</v>
      </c>
      <c r="D348" s="69" t="e">
        <v>#N/A</v>
      </c>
      <c r="E348" s="69" t="e">
        <v>#N/A</v>
      </c>
      <c r="F348" s="69" t="s">
        <v>275</v>
      </c>
      <c r="G348" s="69" t="s">
        <v>943</v>
      </c>
      <c r="H348" s="69">
        <v>0</v>
      </c>
      <c r="I348" s="69" t="s">
        <v>257</v>
      </c>
      <c r="J348" s="69">
        <v>42</v>
      </c>
    </row>
    <row r="349" spans="1:10" x14ac:dyDescent="0.2">
      <c r="A349" s="69">
        <v>10000000850</v>
      </c>
      <c r="B349" s="69" t="s">
        <v>221</v>
      </c>
      <c r="C349" s="100">
        <v>1</v>
      </c>
      <c r="D349" s="69" t="e">
        <v>#N/A</v>
      </c>
      <c r="E349" s="69" t="e">
        <v>#N/A</v>
      </c>
      <c r="F349" s="69" t="s">
        <v>275</v>
      </c>
      <c r="G349" s="69" t="s">
        <v>942</v>
      </c>
      <c r="H349" s="69">
        <v>0</v>
      </c>
      <c r="I349" s="69" t="s">
        <v>257</v>
      </c>
      <c r="J349" s="69">
        <v>42</v>
      </c>
    </row>
    <row r="350" spans="1:10" x14ac:dyDescent="0.2">
      <c r="A350" s="69">
        <v>10000000851</v>
      </c>
      <c r="B350" s="69" t="s">
        <v>221</v>
      </c>
      <c r="C350" s="100" t="s">
        <v>221</v>
      </c>
      <c r="D350" s="69" t="e">
        <v>#N/A</v>
      </c>
      <c r="E350" s="69" t="e">
        <v>#N/A</v>
      </c>
      <c r="F350" s="69" t="s">
        <v>275</v>
      </c>
      <c r="G350" s="69" t="s">
        <v>941</v>
      </c>
      <c r="H350" s="69">
        <v>0</v>
      </c>
      <c r="I350" s="69" t="s">
        <v>257</v>
      </c>
      <c r="J350" s="69">
        <v>42</v>
      </c>
    </row>
    <row r="351" spans="1:10" x14ac:dyDescent="0.2">
      <c r="A351" s="69">
        <v>10000000852</v>
      </c>
      <c r="B351" s="69" t="s">
        <v>262</v>
      </c>
      <c r="C351" s="100">
        <v>10</v>
      </c>
      <c r="D351" s="69" t="e">
        <v>#N/A</v>
      </c>
      <c r="E351" s="69" t="e">
        <v>#N/A</v>
      </c>
      <c r="F351" s="69" t="s">
        <v>275</v>
      </c>
      <c r="G351" s="69" t="s">
        <v>940</v>
      </c>
      <c r="H351" s="69">
        <v>0</v>
      </c>
      <c r="I351" s="69" t="s">
        <v>261</v>
      </c>
      <c r="J351" s="69">
        <v>42</v>
      </c>
    </row>
    <row r="352" spans="1:10" x14ac:dyDescent="0.2">
      <c r="A352" s="69">
        <v>10000000853</v>
      </c>
      <c r="B352" s="69" t="s">
        <v>262</v>
      </c>
      <c r="C352" s="100">
        <v>10</v>
      </c>
      <c r="D352" s="69" t="e">
        <v>#N/A</v>
      </c>
      <c r="E352" s="69" t="e">
        <v>#N/A</v>
      </c>
      <c r="F352" s="69" t="s">
        <v>275</v>
      </c>
      <c r="G352" s="69" t="s">
        <v>939</v>
      </c>
      <c r="H352" s="69">
        <v>0</v>
      </c>
      <c r="I352" s="69" t="s">
        <v>261</v>
      </c>
      <c r="J352" s="69">
        <v>42</v>
      </c>
    </row>
    <row r="353" spans="1:10" x14ac:dyDescent="0.2">
      <c r="A353" s="69">
        <v>10000000854</v>
      </c>
      <c r="B353" s="69" t="s">
        <v>262</v>
      </c>
      <c r="C353" s="100">
        <v>20</v>
      </c>
      <c r="D353" s="69" t="e">
        <v>#N/A</v>
      </c>
      <c r="E353" s="69" t="e">
        <v>#N/A</v>
      </c>
      <c r="F353" s="69" t="s">
        <v>275</v>
      </c>
      <c r="G353" s="69" t="s">
        <v>938</v>
      </c>
      <c r="H353" s="69">
        <v>0</v>
      </c>
      <c r="I353" s="69" t="s">
        <v>261</v>
      </c>
      <c r="J353" s="69">
        <v>42</v>
      </c>
    </row>
    <row r="354" spans="1:10" x14ac:dyDescent="0.2">
      <c r="A354" s="69">
        <v>10000000855</v>
      </c>
      <c r="B354" s="69" t="s">
        <v>262</v>
      </c>
      <c r="C354" s="100">
        <v>5</v>
      </c>
      <c r="D354" s="69" t="e">
        <v>#N/A</v>
      </c>
      <c r="E354" s="69" t="e">
        <v>#N/A</v>
      </c>
      <c r="F354" s="69" t="s">
        <v>275</v>
      </c>
      <c r="G354" s="69" t="s">
        <v>937</v>
      </c>
      <c r="H354" s="69">
        <v>0</v>
      </c>
      <c r="I354" s="69" t="s">
        <v>261</v>
      </c>
      <c r="J354" s="69">
        <v>42</v>
      </c>
    </row>
    <row r="355" spans="1:10" x14ac:dyDescent="0.2">
      <c r="A355" s="69">
        <v>10000000856</v>
      </c>
      <c r="B355" s="69" t="s">
        <v>262</v>
      </c>
      <c r="C355" s="100">
        <v>5</v>
      </c>
      <c r="D355" s="69" t="e">
        <v>#N/A</v>
      </c>
      <c r="E355" s="69" t="e">
        <v>#N/A</v>
      </c>
      <c r="F355" s="69" t="s">
        <v>275</v>
      </c>
      <c r="G355" s="69" t="s">
        <v>936</v>
      </c>
      <c r="H355" s="69">
        <v>0</v>
      </c>
      <c r="I355" s="69" t="s">
        <v>261</v>
      </c>
      <c r="J355" s="69">
        <v>42</v>
      </c>
    </row>
    <row r="356" spans="1:10" x14ac:dyDescent="0.2">
      <c r="A356" s="69">
        <v>10000000857</v>
      </c>
      <c r="B356" s="69" t="s">
        <v>262</v>
      </c>
      <c r="C356" s="100">
        <v>5</v>
      </c>
      <c r="D356" s="69" t="e">
        <v>#N/A</v>
      </c>
      <c r="E356" s="69" t="e">
        <v>#N/A</v>
      </c>
      <c r="F356" s="69" t="s">
        <v>275</v>
      </c>
      <c r="G356" s="69" t="s">
        <v>935</v>
      </c>
      <c r="H356" s="69">
        <v>0</v>
      </c>
      <c r="I356" s="69" t="s">
        <v>261</v>
      </c>
      <c r="J356" s="69">
        <v>42</v>
      </c>
    </row>
    <row r="357" spans="1:10" x14ac:dyDescent="0.2">
      <c r="A357" s="69">
        <v>10000000861</v>
      </c>
      <c r="C357" s="100">
        <v>10</v>
      </c>
      <c r="D357" s="69" t="e">
        <v>#N/A</v>
      </c>
      <c r="E357" s="69" t="e">
        <v>#N/A</v>
      </c>
      <c r="F357" s="69" t="s">
        <v>275</v>
      </c>
      <c r="G357" t="s">
        <v>779</v>
      </c>
      <c r="H357" s="69">
        <v>19.2</v>
      </c>
      <c r="I357" s="69" t="s">
        <v>276</v>
      </c>
      <c r="J357" s="69">
        <v>42</v>
      </c>
    </row>
    <row r="358" spans="1:10" x14ac:dyDescent="0.2">
      <c r="A358" s="69">
        <v>10000000862</v>
      </c>
      <c r="B358" s="69">
        <v>10</v>
      </c>
      <c r="C358" s="100">
        <v>10</v>
      </c>
      <c r="G358" t="s">
        <v>778</v>
      </c>
      <c r="J358" s="69">
        <v>42</v>
      </c>
    </row>
    <row r="359" spans="1:10" x14ac:dyDescent="0.2">
      <c r="A359" s="69">
        <v>10000000873</v>
      </c>
      <c r="B359" s="69" t="s">
        <v>221</v>
      </c>
      <c r="C359" s="100">
        <v>1</v>
      </c>
      <c r="D359" s="69" t="e">
        <v>#N/A</v>
      </c>
      <c r="E359" s="69" t="e">
        <v>#N/A</v>
      </c>
      <c r="F359" s="69" t="s">
        <v>275</v>
      </c>
      <c r="G359" s="69" t="s">
        <v>933</v>
      </c>
      <c r="H359" s="69">
        <v>0</v>
      </c>
      <c r="I359" s="69" t="s">
        <v>257</v>
      </c>
      <c r="J359" s="69">
        <v>42</v>
      </c>
    </row>
    <row r="360" spans="1:10" x14ac:dyDescent="0.2">
      <c r="A360" s="69">
        <v>10000000874</v>
      </c>
      <c r="B360" s="69" t="s">
        <v>221</v>
      </c>
      <c r="C360" s="100" t="s">
        <v>221</v>
      </c>
      <c r="D360" s="69" t="e">
        <v>#N/A</v>
      </c>
      <c r="E360" s="69" t="e">
        <v>#N/A</v>
      </c>
      <c r="F360" s="69" t="s">
        <v>275</v>
      </c>
      <c r="G360" s="69" t="s">
        <v>932</v>
      </c>
      <c r="H360" s="69">
        <v>0</v>
      </c>
      <c r="I360" s="69" t="s">
        <v>257</v>
      </c>
      <c r="J360" s="69">
        <v>42</v>
      </c>
    </row>
    <row r="361" spans="1:10" x14ac:dyDescent="0.2">
      <c r="A361" s="69">
        <v>10000000875</v>
      </c>
      <c r="B361" s="69" t="s">
        <v>221</v>
      </c>
      <c r="C361" s="100" t="s">
        <v>221</v>
      </c>
      <c r="D361" s="69" t="e">
        <v>#N/A</v>
      </c>
      <c r="E361" s="69" t="e">
        <v>#N/A</v>
      </c>
      <c r="F361" s="69" t="s">
        <v>275</v>
      </c>
      <c r="G361" s="69" t="s">
        <v>931</v>
      </c>
      <c r="H361" s="69">
        <v>0</v>
      </c>
      <c r="I361" s="69" t="s">
        <v>257</v>
      </c>
      <c r="J361" s="69">
        <v>42</v>
      </c>
    </row>
    <row r="362" spans="1:10" x14ac:dyDescent="0.2">
      <c r="A362" s="69">
        <v>10000000876</v>
      </c>
      <c r="B362" s="69" t="s">
        <v>221</v>
      </c>
      <c r="C362" s="100">
        <v>1</v>
      </c>
      <c r="D362" s="69" t="e">
        <v>#N/A</v>
      </c>
      <c r="E362" s="69" t="e">
        <v>#N/A</v>
      </c>
      <c r="F362" s="69" t="s">
        <v>275</v>
      </c>
      <c r="G362" s="69" t="s">
        <v>930</v>
      </c>
      <c r="H362" s="69">
        <v>0</v>
      </c>
      <c r="I362" s="69" t="s">
        <v>257</v>
      </c>
      <c r="J362" s="69">
        <v>42</v>
      </c>
    </row>
    <row r="363" spans="1:10" x14ac:dyDescent="0.2">
      <c r="A363" s="69">
        <v>10000000877</v>
      </c>
      <c r="B363" s="69" t="s">
        <v>221</v>
      </c>
      <c r="C363" s="100">
        <v>1</v>
      </c>
      <c r="D363" s="69" t="e">
        <v>#N/A</v>
      </c>
      <c r="E363" s="69" t="e">
        <v>#N/A</v>
      </c>
      <c r="F363" s="69" t="s">
        <v>275</v>
      </c>
      <c r="G363" s="69" t="s">
        <v>929</v>
      </c>
      <c r="H363" s="69">
        <v>0</v>
      </c>
      <c r="I363" s="69" t="s">
        <v>257</v>
      </c>
      <c r="J363" s="69">
        <v>42</v>
      </c>
    </row>
    <row r="364" spans="1:10" x14ac:dyDescent="0.2">
      <c r="A364" s="69">
        <v>10000000878</v>
      </c>
      <c r="B364" s="69" t="s">
        <v>221</v>
      </c>
      <c r="C364" s="100">
        <v>1</v>
      </c>
      <c r="D364" s="69" t="e">
        <v>#N/A</v>
      </c>
      <c r="E364" s="69" t="e">
        <v>#N/A</v>
      </c>
      <c r="F364" s="69" t="s">
        <v>275</v>
      </c>
      <c r="G364" s="69" t="s">
        <v>928</v>
      </c>
      <c r="H364" s="69">
        <v>0</v>
      </c>
      <c r="I364" s="69" t="s">
        <v>257</v>
      </c>
      <c r="J364" s="69">
        <v>42</v>
      </c>
    </row>
    <row r="365" spans="1:10" x14ac:dyDescent="0.2">
      <c r="A365" s="69">
        <v>10000000879</v>
      </c>
      <c r="B365" s="69" t="s">
        <v>221</v>
      </c>
      <c r="C365" s="100">
        <v>1</v>
      </c>
      <c r="D365" s="69" t="e">
        <v>#N/A</v>
      </c>
      <c r="E365" s="69" t="e">
        <v>#N/A</v>
      </c>
      <c r="F365" s="69" t="s">
        <v>275</v>
      </c>
      <c r="G365" s="69" t="s">
        <v>927</v>
      </c>
      <c r="H365" s="69">
        <v>0</v>
      </c>
      <c r="I365" s="69" t="s">
        <v>257</v>
      </c>
      <c r="J365" s="69">
        <v>42</v>
      </c>
    </row>
    <row r="366" spans="1:10" x14ac:dyDescent="0.2">
      <c r="A366" s="69">
        <v>10000000880</v>
      </c>
      <c r="B366" s="69" t="s">
        <v>262</v>
      </c>
      <c r="C366" s="100">
        <v>10</v>
      </c>
      <c r="D366" s="69" t="e">
        <v>#N/A</v>
      </c>
      <c r="E366" s="69" t="e">
        <v>#N/A</v>
      </c>
      <c r="F366" s="69" t="s">
        <v>275</v>
      </c>
      <c r="G366" s="69" t="s">
        <v>926</v>
      </c>
      <c r="H366" s="69">
        <v>0</v>
      </c>
      <c r="I366" s="69" t="s">
        <v>261</v>
      </c>
      <c r="J366" s="69">
        <v>42</v>
      </c>
    </row>
    <row r="367" spans="1:10" x14ac:dyDescent="0.2">
      <c r="A367" s="69">
        <v>10000000881</v>
      </c>
      <c r="B367" s="69" t="s">
        <v>262</v>
      </c>
      <c r="C367" s="100">
        <v>1</v>
      </c>
      <c r="D367" s="69" t="e">
        <v>#N/A</v>
      </c>
      <c r="E367" s="69" t="e">
        <v>#N/A</v>
      </c>
      <c r="F367" s="69" t="s">
        <v>275</v>
      </c>
      <c r="G367" s="69" t="s">
        <v>925</v>
      </c>
      <c r="H367" s="69">
        <v>0</v>
      </c>
      <c r="I367" s="69" t="s">
        <v>261</v>
      </c>
      <c r="J367" s="69">
        <v>42</v>
      </c>
    </row>
    <row r="368" spans="1:10" x14ac:dyDescent="0.2">
      <c r="A368" s="69">
        <v>10000000882</v>
      </c>
      <c r="B368" s="69" t="s">
        <v>262</v>
      </c>
      <c r="C368" s="100">
        <v>1</v>
      </c>
      <c r="D368" s="69" t="e">
        <v>#N/A</v>
      </c>
      <c r="E368" s="69" t="e">
        <v>#N/A</v>
      </c>
      <c r="F368" s="69" t="s">
        <v>275</v>
      </c>
      <c r="G368" s="69" t="s">
        <v>924</v>
      </c>
      <c r="H368" s="69">
        <v>0</v>
      </c>
      <c r="I368" s="69" t="s">
        <v>261</v>
      </c>
      <c r="J368" s="69">
        <v>42</v>
      </c>
    </row>
    <row r="369" spans="1:10" x14ac:dyDescent="0.2">
      <c r="A369" s="69">
        <v>10000000883</v>
      </c>
      <c r="B369" s="69" t="s">
        <v>262</v>
      </c>
      <c r="C369" s="100">
        <v>1</v>
      </c>
      <c r="D369" s="69" t="e">
        <v>#N/A</v>
      </c>
      <c r="E369" s="69" t="e">
        <v>#N/A</v>
      </c>
      <c r="F369" s="69" t="s">
        <v>275</v>
      </c>
      <c r="G369" s="69" t="s">
        <v>923</v>
      </c>
      <c r="H369" s="69">
        <v>0</v>
      </c>
      <c r="I369" s="69" t="s">
        <v>261</v>
      </c>
      <c r="J369" s="69">
        <v>42</v>
      </c>
    </row>
    <row r="370" spans="1:10" x14ac:dyDescent="0.2">
      <c r="A370" s="69">
        <v>10000000884</v>
      </c>
      <c r="B370" s="69" t="s">
        <v>262</v>
      </c>
      <c r="C370" s="100">
        <v>1</v>
      </c>
      <c r="D370" s="69" t="e">
        <v>#N/A</v>
      </c>
      <c r="E370" s="69" t="e">
        <v>#N/A</v>
      </c>
      <c r="F370" s="69" t="s">
        <v>275</v>
      </c>
      <c r="G370" s="69" t="s">
        <v>922</v>
      </c>
      <c r="H370" s="69">
        <v>0</v>
      </c>
      <c r="I370" s="69" t="s">
        <v>261</v>
      </c>
      <c r="J370" s="69">
        <v>42</v>
      </c>
    </row>
    <row r="371" spans="1:10" x14ac:dyDescent="0.2">
      <c r="A371" s="69">
        <v>10000000889</v>
      </c>
      <c r="B371" s="69" t="s">
        <v>221</v>
      </c>
      <c r="C371" s="100" t="s">
        <v>221</v>
      </c>
      <c r="D371" s="69" t="e">
        <v>#N/A</v>
      </c>
      <c r="E371" s="69" t="e">
        <v>#N/A</v>
      </c>
      <c r="F371" s="69" t="s">
        <v>275</v>
      </c>
      <c r="G371" s="69" t="s">
        <v>921</v>
      </c>
      <c r="H371" s="69">
        <v>0</v>
      </c>
      <c r="I371" s="69" t="s">
        <v>257</v>
      </c>
      <c r="J371" s="69">
        <v>42</v>
      </c>
    </row>
    <row r="372" spans="1:10" x14ac:dyDescent="0.2">
      <c r="A372" s="69">
        <v>10000000890</v>
      </c>
      <c r="B372" s="69" t="s">
        <v>262</v>
      </c>
      <c r="C372" s="100">
        <v>5</v>
      </c>
      <c r="D372" s="69" t="e">
        <v>#N/A</v>
      </c>
      <c r="E372" s="69" t="e">
        <v>#N/A</v>
      </c>
      <c r="F372" s="69" t="s">
        <v>246</v>
      </c>
      <c r="G372" s="69" t="s">
        <v>920</v>
      </c>
      <c r="H372" s="69">
        <v>0</v>
      </c>
      <c r="I372" s="69" t="s">
        <v>261</v>
      </c>
      <c r="J372" s="69">
        <v>42</v>
      </c>
    </row>
    <row r="373" spans="1:10" x14ac:dyDescent="0.2">
      <c r="A373" s="69">
        <v>10000000891</v>
      </c>
      <c r="B373" s="69" t="s">
        <v>262</v>
      </c>
      <c r="C373" s="100">
        <v>5</v>
      </c>
      <c r="D373" s="69" t="e">
        <v>#N/A</v>
      </c>
      <c r="E373" s="69" t="e">
        <v>#N/A</v>
      </c>
      <c r="F373" s="69" t="s">
        <v>246</v>
      </c>
      <c r="G373" s="69" t="s">
        <v>919</v>
      </c>
      <c r="H373" s="69">
        <v>0</v>
      </c>
      <c r="I373" s="69" t="s">
        <v>261</v>
      </c>
      <c r="J373" s="69">
        <v>42</v>
      </c>
    </row>
    <row r="374" spans="1:10" x14ac:dyDescent="0.2">
      <c r="A374" s="69">
        <v>10000000892</v>
      </c>
      <c r="B374" s="69" t="s">
        <v>262</v>
      </c>
      <c r="C374" s="100">
        <v>5</v>
      </c>
      <c r="D374" s="69" t="e">
        <v>#N/A</v>
      </c>
      <c r="E374" s="69" t="e">
        <v>#N/A</v>
      </c>
      <c r="F374" s="69" t="s">
        <v>246</v>
      </c>
      <c r="G374" s="69" t="s">
        <v>918</v>
      </c>
      <c r="H374" s="69">
        <v>0</v>
      </c>
      <c r="I374" s="69" t="s">
        <v>261</v>
      </c>
      <c r="J374" s="69">
        <v>42</v>
      </c>
    </row>
    <row r="375" spans="1:10" x14ac:dyDescent="0.2">
      <c r="A375" s="69">
        <v>10000000893</v>
      </c>
      <c r="B375" s="69" t="s">
        <v>220</v>
      </c>
      <c r="C375" s="100">
        <v>5</v>
      </c>
      <c r="D375" s="69" t="e">
        <v>#N/A</v>
      </c>
      <c r="E375" s="69" t="e">
        <v>#N/A</v>
      </c>
      <c r="F375" s="69" t="s">
        <v>275</v>
      </c>
      <c r="G375" s="69" t="s">
        <v>917</v>
      </c>
      <c r="H375" s="69">
        <v>0</v>
      </c>
      <c r="I375" s="69" t="s">
        <v>247</v>
      </c>
      <c r="J375" s="69">
        <v>42</v>
      </c>
    </row>
    <row r="376" spans="1:10" x14ac:dyDescent="0.2">
      <c r="A376" s="69">
        <v>10000000894</v>
      </c>
      <c r="B376" s="69" t="s">
        <v>221</v>
      </c>
      <c r="C376" s="100">
        <v>5</v>
      </c>
      <c r="D376" s="69" t="e">
        <v>#N/A</v>
      </c>
      <c r="E376" s="69" t="e">
        <v>#N/A</v>
      </c>
      <c r="F376" s="69" t="s">
        <v>275</v>
      </c>
      <c r="G376" s="69" t="s">
        <v>916</v>
      </c>
      <c r="H376" s="69">
        <v>0</v>
      </c>
      <c r="I376" s="69" t="s">
        <v>257</v>
      </c>
      <c r="J376" s="69">
        <v>42</v>
      </c>
    </row>
    <row r="377" spans="1:10" x14ac:dyDescent="0.2">
      <c r="A377" s="69">
        <v>10000000895</v>
      </c>
      <c r="B377" s="69" t="s">
        <v>221</v>
      </c>
      <c r="C377" s="100">
        <v>5</v>
      </c>
      <c r="D377" s="69" t="e">
        <v>#N/A</v>
      </c>
      <c r="E377" s="69" t="e">
        <v>#N/A</v>
      </c>
      <c r="F377" s="69" t="s">
        <v>275</v>
      </c>
      <c r="G377" s="69" t="s">
        <v>915</v>
      </c>
      <c r="H377" s="69">
        <v>0</v>
      </c>
      <c r="I377" s="69" t="s">
        <v>257</v>
      </c>
      <c r="J377" s="69">
        <v>42</v>
      </c>
    </row>
    <row r="378" spans="1:10" x14ac:dyDescent="0.2">
      <c r="A378" s="69">
        <v>10000000896</v>
      </c>
      <c r="B378" s="69" t="s">
        <v>221</v>
      </c>
      <c r="C378" s="100">
        <v>5</v>
      </c>
      <c r="D378" s="69" t="e">
        <v>#N/A</v>
      </c>
      <c r="E378" s="69" t="e">
        <v>#N/A</v>
      </c>
      <c r="F378" s="69" t="s">
        <v>275</v>
      </c>
      <c r="G378" s="69" t="s">
        <v>914</v>
      </c>
      <c r="H378" s="69">
        <v>0</v>
      </c>
      <c r="I378" s="69" t="s">
        <v>257</v>
      </c>
      <c r="J378" s="69">
        <v>42</v>
      </c>
    </row>
    <row r="379" spans="1:10" x14ac:dyDescent="0.2">
      <c r="A379" s="69">
        <v>10000000897</v>
      </c>
      <c r="B379" s="69" t="s">
        <v>221</v>
      </c>
      <c r="C379" s="100">
        <v>5</v>
      </c>
      <c r="D379" s="69" t="e">
        <v>#N/A</v>
      </c>
      <c r="E379" s="69" t="e">
        <v>#N/A</v>
      </c>
      <c r="F379" s="69" t="s">
        <v>275</v>
      </c>
      <c r="G379" s="69" t="s">
        <v>913</v>
      </c>
      <c r="H379" s="69">
        <v>0</v>
      </c>
      <c r="I379" s="69" t="s">
        <v>257</v>
      </c>
      <c r="J379" s="69">
        <v>42</v>
      </c>
    </row>
    <row r="380" spans="1:10" x14ac:dyDescent="0.2">
      <c r="A380" s="69">
        <v>10000000898</v>
      </c>
      <c r="B380" s="69" t="s">
        <v>221</v>
      </c>
      <c r="C380" s="100">
        <v>5</v>
      </c>
      <c r="D380" s="69" t="e">
        <v>#N/A</v>
      </c>
      <c r="E380" s="69" t="e">
        <v>#N/A</v>
      </c>
      <c r="F380" s="69" t="s">
        <v>275</v>
      </c>
      <c r="G380" s="69" t="s">
        <v>912</v>
      </c>
      <c r="H380" s="69">
        <v>0</v>
      </c>
      <c r="I380" s="69" t="s">
        <v>257</v>
      </c>
      <c r="J380" s="69">
        <v>42</v>
      </c>
    </row>
    <row r="381" spans="1:10" x14ac:dyDescent="0.2">
      <c r="A381" s="69">
        <v>10000000899</v>
      </c>
      <c r="B381" s="69" t="s">
        <v>220</v>
      </c>
      <c r="C381" s="100">
        <v>5</v>
      </c>
      <c r="D381" s="69" t="e">
        <v>#N/A</v>
      </c>
      <c r="E381" s="69" t="e">
        <v>#N/A</v>
      </c>
      <c r="F381" s="69" t="s">
        <v>275</v>
      </c>
      <c r="G381" s="69" t="s">
        <v>911</v>
      </c>
      <c r="H381" s="69">
        <v>0</v>
      </c>
      <c r="I381" s="69" t="s">
        <v>247</v>
      </c>
      <c r="J381" s="69">
        <v>42</v>
      </c>
    </row>
    <row r="382" spans="1:10" x14ac:dyDescent="0.2">
      <c r="A382" s="69">
        <v>10000000900</v>
      </c>
      <c r="B382" s="69" t="s">
        <v>220</v>
      </c>
      <c r="C382" s="100">
        <v>5</v>
      </c>
      <c r="D382" s="69" t="e">
        <v>#N/A</v>
      </c>
      <c r="E382" s="69" t="e">
        <v>#N/A</v>
      </c>
      <c r="F382" s="69" t="s">
        <v>275</v>
      </c>
      <c r="G382" s="69" t="s">
        <v>910</v>
      </c>
      <c r="H382" s="69">
        <v>0</v>
      </c>
      <c r="I382" s="69" t="s">
        <v>247</v>
      </c>
      <c r="J382" s="69">
        <v>42</v>
      </c>
    </row>
    <row r="383" spans="1:10" x14ac:dyDescent="0.2">
      <c r="A383" s="69">
        <v>10000000901</v>
      </c>
      <c r="B383" s="69" t="s">
        <v>220</v>
      </c>
      <c r="C383" s="100" t="s">
        <v>220</v>
      </c>
      <c r="D383" s="69" t="e">
        <v>#N/A</v>
      </c>
      <c r="E383" s="69" t="e">
        <v>#N/A</v>
      </c>
      <c r="F383" s="69" t="s">
        <v>275</v>
      </c>
      <c r="G383" s="69" t="s">
        <v>909</v>
      </c>
      <c r="H383" s="69">
        <v>0</v>
      </c>
      <c r="I383" s="69" t="s">
        <v>247</v>
      </c>
      <c r="J383" s="69">
        <v>42</v>
      </c>
    </row>
    <row r="384" spans="1:10" x14ac:dyDescent="0.2">
      <c r="A384" s="69">
        <v>10000000902</v>
      </c>
      <c r="B384" s="69" t="s">
        <v>221</v>
      </c>
      <c r="C384" s="100">
        <v>5</v>
      </c>
      <c r="D384" s="69" t="e">
        <v>#N/A</v>
      </c>
      <c r="E384" s="69" t="e">
        <v>#N/A</v>
      </c>
      <c r="F384" s="69" t="s">
        <v>275</v>
      </c>
      <c r="G384" s="69" t="s">
        <v>908</v>
      </c>
      <c r="H384" s="69">
        <v>0</v>
      </c>
      <c r="I384" s="69" t="s">
        <v>257</v>
      </c>
      <c r="J384" s="69">
        <v>42</v>
      </c>
    </row>
    <row r="385" spans="1:10" x14ac:dyDescent="0.2">
      <c r="A385" s="69">
        <v>10000000903</v>
      </c>
      <c r="B385" s="69" t="s">
        <v>221</v>
      </c>
      <c r="C385" s="100">
        <v>5</v>
      </c>
      <c r="D385" s="69" t="e">
        <v>#N/A</v>
      </c>
      <c r="E385" s="69" t="e">
        <v>#N/A</v>
      </c>
      <c r="F385" s="69" t="s">
        <v>275</v>
      </c>
      <c r="G385" s="69" t="s">
        <v>907</v>
      </c>
      <c r="H385" s="69">
        <v>0</v>
      </c>
      <c r="I385" s="69" t="s">
        <v>257</v>
      </c>
      <c r="J385" s="69">
        <v>42</v>
      </c>
    </row>
    <row r="386" spans="1:10" x14ac:dyDescent="0.2">
      <c r="A386" s="69">
        <v>10000000904</v>
      </c>
      <c r="B386" s="69" t="s">
        <v>221</v>
      </c>
      <c r="C386" s="100">
        <v>5</v>
      </c>
      <c r="D386" s="69" t="e">
        <v>#N/A</v>
      </c>
      <c r="E386" s="69" t="e">
        <v>#N/A</v>
      </c>
      <c r="F386" s="69" t="s">
        <v>275</v>
      </c>
      <c r="G386" s="69" t="s">
        <v>906</v>
      </c>
      <c r="H386" s="69">
        <v>0</v>
      </c>
      <c r="I386" s="69" t="s">
        <v>257</v>
      </c>
      <c r="J386" s="69">
        <v>42</v>
      </c>
    </row>
    <row r="387" spans="1:10" x14ac:dyDescent="0.2">
      <c r="A387" s="69">
        <v>10000000905</v>
      </c>
      <c r="B387" s="69" t="s">
        <v>221</v>
      </c>
      <c r="C387" s="100">
        <v>5</v>
      </c>
      <c r="D387" s="69" t="e">
        <v>#N/A</v>
      </c>
      <c r="E387" s="69" t="e">
        <v>#N/A</v>
      </c>
      <c r="F387" s="69" t="s">
        <v>275</v>
      </c>
      <c r="G387" s="69" t="s">
        <v>211</v>
      </c>
      <c r="H387" s="69">
        <v>0</v>
      </c>
      <c r="I387" s="69" t="s">
        <v>257</v>
      </c>
      <c r="J387" s="69">
        <v>42</v>
      </c>
    </row>
    <row r="388" spans="1:10" x14ac:dyDescent="0.2">
      <c r="A388" s="69">
        <v>10000000906</v>
      </c>
      <c r="B388" s="69" t="s">
        <v>221</v>
      </c>
      <c r="C388" s="100">
        <v>5</v>
      </c>
      <c r="D388" s="69" t="e">
        <v>#N/A</v>
      </c>
      <c r="E388" s="69" t="e">
        <v>#N/A</v>
      </c>
      <c r="F388" s="69" t="s">
        <v>275</v>
      </c>
      <c r="G388" s="69" t="s">
        <v>905</v>
      </c>
      <c r="H388" s="69">
        <v>0</v>
      </c>
      <c r="I388" s="69" t="s">
        <v>257</v>
      </c>
      <c r="J388" s="69">
        <v>42</v>
      </c>
    </row>
    <row r="389" spans="1:10" x14ac:dyDescent="0.2">
      <c r="A389" s="69">
        <v>10000000907</v>
      </c>
      <c r="B389" s="69" t="s">
        <v>221</v>
      </c>
      <c r="C389" s="100">
        <v>5</v>
      </c>
      <c r="D389" s="69" t="e">
        <v>#N/A</v>
      </c>
      <c r="E389" s="69" t="e">
        <v>#N/A</v>
      </c>
      <c r="F389" s="69" t="s">
        <v>275</v>
      </c>
      <c r="G389" s="69" t="s">
        <v>904</v>
      </c>
      <c r="H389" s="69">
        <v>0</v>
      </c>
      <c r="I389" s="69" t="s">
        <v>257</v>
      </c>
      <c r="J389" s="69">
        <v>42</v>
      </c>
    </row>
    <row r="390" spans="1:10" x14ac:dyDescent="0.2">
      <c r="A390" s="69">
        <v>10000000908</v>
      </c>
      <c r="B390" s="69" t="s">
        <v>221</v>
      </c>
      <c r="C390" s="100" t="s">
        <v>221</v>
      </c>
      <c r="D390" s="69" t="e">
        <v>#N/A</v>
      </c>
      <c r="E390" s="69" t="e">
        <v>#N/A</v>
      </c>
      <c r="F390" s="69" t="s">
        <v>275</v>
      </c>
      <c r="G390" s="69" t="s">
        <v>903</v>
      </c>
      <c r="H390" s="69">
        <v>0</v>
      </c>
      <c r="I390" s="69" t="s">
        <v>257</v>
      </c>
      <c r="J390" s="69">
        <v>42</v>
      </c>
    </row>
    <row r="391" spans="1:10" x14ac:dyDescent="0.2">
      <c r="A391" s="69">
        <v>10000000909</v>
      </c>
      <c r="B391" s="69" t="s">
        <v>221</v>
      </c>
      <c r="C391" s="100">
        <v>5</v>
      </c>
      <c r="D391" s="69" t="e">
        <v>#N/A</v>
      </c>
      <c r="E391" s="69" t="e">
        <v>#N/A</v>
      </c>
      <c r="F391" s="69" t="s">
        <v>275</v>
      </c>
      <c r="G391" s="69" t="s">
        <v>902</v>
      </c>
      <c r="H391" s="69">
        <v>0</v>
      </c>
      <c r="I391" s="69" t="s">
        <v>257</v>
      </c>
      <c r="J391" s="69">
        <v>42</v>
      </c>
    </row>
    <row r="392" spans="1:10" x14ac:dyDescent="0.2">
      <c r="A392" s="69">
        <v>10000000910</v>
      </c>
      <c r="B392" s="69" t="s">
        <v>221</v>
      </c>
      <c r="C392" s="100">
        <v>5</v>
      </c>
      <c r="D392" s="69" t="e">
        <v>#N/A</v>
      </c>
      <c r="E392" s="69" t="e">
        <v>#N/A</v>
      </c>
      <c r="F392" s="69" t="s">
        <v>275</v>
      </c>
      <c r="G392" s="69" t="s">
        <v>901</v>
      </c>
      <c r="H392" s="69">
        <v>0</v>
      </c>
      <c r="I392" s="69" t="s">
        <v>257</v>
      </c>
      <c r="J392" s="69">
        <v>42</v>
      </c>
    </row>
    <row r="393" spans="1:10" x14ac:dyDescent="0.2">
      <c r="A393" s="69">
        <v>10000000911</v>
      </c>
      <c r="B393" s="69" t="s">
        <v>221</v>
      </c>
      <c r="C393" s="100">
        <v>5</v>
      </c>
      <c r="D393" s="69" t="e">
        <v>#N/A</v>
      </c>
      <c r="E393" s="69" t="e">
        <v>#N/A</v>
      </c>
      <c r="F393" s="69" t="s">
        <v>275</v>
      </c>
      <c r="G393" s="69" t="s">
        <v>900</v>
      </c>
      <c r="H393" s="69">
        <v>0</v>
      </c>
      <c r="I393" s="69" t="s">
        <v>257</v>
      </c>
      <c r="J393" s="69">
        <v>42</v>
      </c>
    </row>
    <row r="394" spans="1:10" x14ac:dyDescent="0.2">
      <c r="A394" s="69">
        <v>10000000912</v>
      </c>
      <c r="B394" s="69" t="s">
        <v>221</v>
      </c>
      <c r="C394" s="100">
        <v>5</v>
      </c>
      <c r="D394" s="69" t="e">
        <v>#N/A</v>
      </c>
      <c r="E394" s="69" t="e">
        <v>#N/A</v>
      </c>
      <c r="F394" s="69" t="s">
        <v>275</v>
      </c>
      <c r="G394" s="69" t="s">
        <v>899</v>
      </c>
      <c r="H394" s="69">
        <v>0</v>
      </c>
      <c r="I394" s="69" t="s">
        <v>257</v>
      </c>
      <c r="J394" s="69">
        <v>42</v>
      </c>
    </row>
    <row r="395" spans="1:10" x14ac:dyDescent="0.2">
      <c r="A395" s="69">
        <v>10000000913</v>
      </c>
      <c r="B395" s="69" t="s">
        <v>262</v>
      </c>
      <c r="C395" s="100">
        <v>5</v>
      </c>
      <c r="D395" s="69" t="e">
        <v>#N/A</v>
      </c>
      <c r="E395" s="69" t="e">
        <v>#N/A</v>
      </c>
      <c r="F395" s="69" t="s">
        <v>275</v>
      </c>
      <c r="G395" s="69" t="s">
        <v>898</v>
      </c>
      <c r="H395" s="69">
        <v>0</v>
      </c>
      <c r="I395" s="69" t="s">
        <v>261</v>
      </c>
      <c r="J395" s="69">
        <v>42</v>
      </c>
    </row>
    <row r="396" spans="1:10" x14ac:dyDescent="0.2">
      <c r="A396" s="69">
        <v>10000000914</v>
      </c>
      <c r="B396" s="69" t="s">
        <v>262</v>
      </c>
      <c r="C396" s="100">
        <v>5</v>
      </c>
      <c r="D396" s="69" t="e">
        <v>#N/A</v>
      </c>
      <c r="E396" s="69" t="e">
        <v>#N/A</v>
      </c>
      <c r="F396" s="69" t="s">
        <v>275</v>
      </c>
      <c r="G396" s="69" t="s">
        <v>897</v>
      </c>
      <c r="H396" s="69">
        <v>0</v>
      </c>
      <c r="I396" s="69" t="s">
        <v>261</v>
      </c>
      <c r="J396" s="69">
        <v>42</v>
      </c>
    </row>
    <row r="397" spans="1:10" x14ac:dyDescent="0.2">
      <c r="A397" s="69">
        <v>10000000915</v>
      </c>
      <c r="B397" s="69" t="s">
        <v>262</v>
      </c>
      <c r="C397" s="100">
        <v>10</v>
      </c>
      <c r="D397" s="69" t="e">
        <v>#N/A</v>
      </c>
      <c r="E397" s="69" t="e">
        <v>#N/A</v>
      </c>
      <c r="F397" s="69" t="s">
        <v>275</v>
      </c>
      <c r="G397" s="69" t="s">
        <v>896</v>
      </c>
      <c r="H397" s="69">
        <v>0</v>
      </c>
      <c r="I397" s="69" t="s">
        <v>261</v>
      </c>
      <c r="J397" s="69">
        <v>42</v>
      </c>
    </row>
    <row r="398" spans="1:10" x14ac:dyDescent="0.2">
      <c r="A398" s="69">
        <v>10000000927</v>
      </c>
      <c r="B398" s="69" t="s">
        <v>1624</v>
      </c>
      <c r="C398" s="100" t="s">
        <v>1624</v>
      </c>
      <c r="G398" s="69" t="s">
        <v>1624</v>
      </c>
      <c r="J398" s="92" t="s">
        <v>1625</v>
      </c>
    </row>
    <row r="399" spans="1:10" x14ac:dyDescent="0.2">
      <c r="A399" s="69">
        <v>10000000929</v>
      </c>
      <c r="B399" s="84">
        <v>44105</v>
      </c>
      <c r="C399" s="100">
        <v>10</v>
      </c>
      <c r="D399" s="69" t="e">
        <v>#N/A</v>
      </c>
      <c r="E399" s="69" t="e">
        <v>#N/A</v>
      </c>
      <c r="F399" s="69" t="s">
        <v>274</v>
      </c>
      <c r="G399" t="s">
        <v>723</v>
      </c>
      <c r="H399" s="69">
        <v>4</v>
      </c>
      <c r="I399" s="69" t="s">
        <v>490</v>
      </c>
      <c r="J399" s="69">
        <v>42</v>
      </c>
    </row>
    <row r="400" spans="1:10" x14ac:dyDescent="0.2">
      <c r="A400" s="69">
        <v>10000000930</v>
      </c>
      <c r="C400" s="100">
        <v>23</v>
      </c>
      <c r="G400" s="69" t="s">
        <v>722</v>
      </c>
      <c r="J400" s="69">
        <v>23</v>
      </c>
    </row>
    <row r="401" spans="1:10" x14ac:dyDescent="0.2">
      <c r="A401" s="69">
        <v>10000000931</v>
      </c>
      <c r="C401" s="100">
        <v>23</v>
      </c>
      <c r="G401" s="69" t="s">
        <v>721</v>
      </c>
      <c r="J401" s="69">
        <v>23</v>
      </c>
    </row>
    <row r="402" spans="1:10" x14ac:dyDescent="0.2">
      <c r="A402" s="69">
        <v>10000000966</v>
      </c>
      <c r="B402" s="69" t="s">
        <v>220</v>
      </c>
      <c r="C402" s="100">
        <v>1</v>
      </c>
      <c r="G402" s="70" t="s">
        <v>242</v>
      </c>
      <c r="J402" s="69">
        <v>42</v>
      </c>
    </row>
    <row r="403" spans="1:10" x14ac:dyDescent="0.2">
      <c r="A403" s="69">
        <v>10000000994</v>
      </c>
      <c r="G403" s="70" t="s">
        <v>239</v>
      </c>
      <c r="J403" s="69">
        <v>42</v>
      </c>
    </row>
    <row r="404" spans="1:10" x14ac:dyDescent="0.2">
      <c r="A404" s="69">
        <v>10000000999</v>
      </c>
      <c r="C404" s="100">
        <v>23</v>
      </c>
      <c r="G404" s="69" t="s">
        <v>687</v>
      </c>
      <c r="J404" s="69">
        <v>23</v>
      </c>
    </row>
    <row r="405" spans="1:10" x14ac:dyDescent="0.2">
      <c r="A405" s="69">
        <v>10000001012</v>
      </c>
      <c r="B405" s="69" t="s">
        <v>221</v>
      </c>
      <c r="C405" s="100">
        <v>1</v>
      </c>
      <c r="D405" s="69" t="e">
        <v>#N/A</v>
      </c>
      <c r="E405" s="69" t="e">
        <v>#N/A</v>
      </c>
      <c r="F405" s="69" t="s">
        <v>275</v>
      </c>
      <c r="G405" s="69" t="s">
        <v>879</v>
      </c>
      <c r="H405" s="69">
        <v>0</v>
      </c>
      <c r="I405" s="69" t="s">
        <v>257</v>
      </c>
      <c r="J405" s="69">
        <v>42</v>
      </c>
    </row>
    <row r="406" spans="1:10" x14ac:dyDescent="0.2">
      <c r="A406" s="69">
        <v>10000001013</v>
      </c>
      <c r="B406" s="69" t="s">
        <v>221</v>
      </c>
      <c r="C406" s="100">
        <v>5</v>
      </c>
      <c r="D406" s="69" t="e">
        <v>#N/A</v>
      </c>
      <c r="E406" s="69" t="e">
        <v>#N/A</v>
      </c>
      <c r="F406" s="69" t="s">
        <v>275</v>
      </c>
      <c r="G406" s="69" t="s">
        <v>878</v>
      </c>
      <c r="H406" s="69">
        <v>0</v>
      </c>
      <c r="I406" s="69" t="s">
        <v>257</v>
      </c>
      <c r="J406" s="69">
        <v>42</v>
      </c>
    </row>
    <row r="407" spans="1:10" x14ac:dyDescent="0.2">
      <c r="A407" s="69">
        <v>10000001014</v>
      </c>
      <c r="B407" s="69" t="s">
        <v>221</v>
      </c>
      <c r="C407" s="100">
        <v>5</v>
      </c>
      <c r="D407" s="69" t="e">
        <v>#N/A</v>
      </c>
      <c r="E407" s="69" t="e">
        <v>#N/A</v>
      </c>
      <c r="F407" s="69" t="s">
        <v>275</v>
      </c>
      <c r="G407" s="69" t="s">
        <v>877</v>
      </c>
      <c r="H407" s="69">
        <v>0</v>
      </c>
      <c r="I407" s="69" t="s">
        <v>257</v>
      </c>
      <c r="J407" s="69">
        <v>42</v>
      </c>
    </row>
    <row r="408" spans="1:10" x14ac:dyDescent="0.2">
      <c r="A408" s="69">
        <v>10000001015</v>
      </c>
      <c r="B408" s="69" t="s">
        <v>221</v>
      </c>
      <c r="C408" s="100">
        <v>5</v>
      </c>
      <c r="D408" s="69" t="e">
        <v>#N/A</v>
      </c>
      <c r="E408" s="69" t="e">
        <v>#N/A</v>
      </c>
      <c r="F408" s="69" t="s">
        <v>275</v>
      </c>
      <c r="G408" s="69" t="s">
        <v>876</v>
      </c>
      <c r="H408" s="69">
        <v>0</v>
      </c>
      <c r="I408" s="69" t="s">
        <v>257</v>
      </c>
      <c r="J408" s="69">
        <v>42</v>
      </c>
    </row>
    <row r="409" spans="1:10" x14ac:dyDescent="0.2">
      <c r="A409" s="69">
        <v>10000001016</v>
      </c>
      <c r="B409" s="69" t="s">
        <v>221</v>
      </c>
      <c r="C409" s="100">
        <v>5</v>
      </c>
      <c r="D409" s="69" t="e">
        <v>#N/A</v>
      </c>
      <c r="E409" s="69" t="e">
        <v>#N/A</v>
      </c>
      <c r="F409" s="69" t="s">
        <v>275</v>
      </c>
      <c r="G409" s="69" t="s">
        <v>875</v>
      </c>
      <c r="H409" s="69">
        <v>0</v>
      </c>
      <c r="I409" s="69" t="s">
        <v>257</v>
      </c>
      <c r="J409" s="69">
        <v>42</v>
      </c>
    </row>
    <row r="410" spans="1:10" x14ac:dyDescent="0.2">
      <c r="A410" s="69">
        <v>10000001038</v>
      </c>
      <c r="C410" s="100">
        <v>23</v>
      </c>
      <c r="G410" s="69" t="s">
        <v>662</v>
      </c>
      <c r="J410" s="69">
        <v>23</v>
      </c>
    </row>
    <row r="411" spans="1:10" x14ac:dyDescent="0.2">
      <c r="A411" s="69">
        <v>10000001063</v>
      </c>
      <c r="C411" s="100">
        <v>10</v>
      </c>
      <c r="D411" s="69" t="e">
        <v>#N/A</v>
      </c>
      <c r="E411" s="69" t="e">
        <v>#N/A</v>
      </c>
      <c r="F411" s="69" t="s">
        <v>274</v>
      </c>
      <c r="G411" t="s">
        <v>647</v>
      </c>
      <c r="H411" s="69">
        <v>20</v>
      </c>
      <c r="I411" s="69" t="s">
        <v>308</v>
      </c>
      <c r="J411" s="69">
        <v>42</v>
      </c>
    </row>
    <row r="412" spans="1:10" x14ac:dyDescent="0.2">
      <c r="A412" s="69">
        <v>10000001064</v>
      </c>
      <c r="B412" s="84">
        <v>44105</v>
      </c>
      <c r="C412" s="100">
        <v>10</v>
      </c>
      <c r="D412" s="69" t="e">
        <v>#N/A</v>
      </c>
      <c r="E412" s="69" t="e">
        <v>#N/A</v>
      </c>
      <c r="F412" s="69" t="s">
        <v>274</v>
      </c>
      <c r="G412" t="s">
        <v>1576</v>
      </c>
      <c r="H412" s="69">
        <v>4</v>
      </c>
      <c r="I412" s="69" t="s">
        <v>490</v>
      </c>
      <c r="J412" s="69">
        <v>42</v>
      </c>
    </row>
    <row r="413" spans="1:10" x14ac:dyDescent="0.2">
      <c r="A413" s="69">
        <v>10000001069</v>
      </c>
      <c r="B413" s="69">
        <v>10</v>
      </c>
      <c r="C413" s="100">
        <v>10</v>
      </c>
      <c r="D413" s="69" t="e">
        <v>#N/A</v>
      </c>
      <c r="E413" s="69" t="e">
        <v>#N/A</v>
      </c>
      <c r="F413" s="69" t="s">
        <v>346</v>
      </c>
      <c r="G413" t="s">
        <v>1584</v>
      </c>
      <c r="H413" s="69">
        <v>3</v>
      </c>
      <c r="I413" s="69" t="s">
        <v>343</v>
      </c>
      <c r="J413" s="69">
        <v>42</v>
      </c>
    </row>
    <row r="414" spans="1:10" x14ac:dyDescent="0.2">
      <c r="A414" s="69">
        <v>10000001070</v>
      </c>
      <c r="B414" s="69" t="s">
        <v>221</v>
      </c>
      <c r="C414" s="100">
        <v>10</v>
      </c>
      <c r="G414" t="s">
        <v>642</v>
      </c>
      <c r="I414" s="69">
        <v>42</v>
      </c>
      <c r="J414" s="69">
        <v>42</v>
      </c>
    </row>
    <row r="415" spans="1:10" x14ac:dyDescent="0.2">
      <c r="A415" s="69">
        <v>10000001072</v>
      </c>
      <c r="C415" s="100">
        <v>28</v>
      </c>
      <c r="G415" s="69" t="s">
        <v>118</v>
      </c>
      <c r="J415" s="69">
        <v>28</v>
      </c>
    </row>
    <row r="416" spans="1:10" x14ac:dyDescent="0.2">
      <c r="A416" s="69">
        <v>10000001073</v>
      </c>
      <c r="C416" s="100">
        <v>28</v>
      </c>
      <c r="G416" s="69" t="s">
        <v>179</v>
      </c>
      <c r="J416" s="69">
        <v>28</v>
      </c>
    </row>
    <row r="417" spans="1:10" x14ac:dyDescent="0.2">
      <c r="A417" s="69">
        <v>10000001087</v>
      </c>
      <c r="B417" s="69" t="s">
        <v>221</v>
      </c>
      <c r="C417" s="100">
        <v>5</v>
      </c>
      <c r="D417" s="69" t="e">
        <v>#N/A</v>
      </c>
      <c r="E417" s="69" t="e">
        <v>#N/A</v>
      </c>
      <c r="F417" s="69" t="s">
        <v>275</v>
      </c>
      <c r="G417" s="69" t="s">
        <v>850</v>
      </c>
      <c r="H417" s="69">
        <v>0</v>
      </c>
      <c r="I417" s="69" t="s">
        <v>257</v>
      </c>
      <c r="J417" s="69">
        <v>42</v>
      </c>
    </row>
    <row r="418" spans="1:10" x14ac:dyDescent="0.2">
      <c r="A418" s="69">
        <v>10000001088</v>
      </c>
      <c r="B418" s="69" t="s">
        <v>221</v>
      </c>
      <c r="C418" s="100">
        <v>5</v>
      </c>
      <c r="D418" s="69" t="e">
        <v>#N/A</v>
      </c>
      <c r="E418" s="69" t="e">
        <v>#N/A</v>
      </c>
      <c r="F418" s="69" t="s">
        <v>275</v>
      </c>
      <c r="G418" s="69" t="s">
        <v>849</v>
      </c>
      <c r="H418" s="69">
        <v>0</v>
      </c>
      <c r="I418" s="69" t="s">
        <v>257</v>
      </c>
      <c r="J418" s="69">
        <v>42</v>
      </c>
    </row>
    <row r="419" spans="1:10" x14ac:dyDescent="0.2">
      <c r="A419" s="69">
        <v>10000001089</v>
      </c>
      <c r="B419" s="69" t="s">
        <v>221</v>
      </c>
      <c r="C419" s="100" t="s">
        <v>221</v>
      </c>
      <c r="D419" s="69" t="e">
        <v>#N/A</v>
      </c>
      <c r="E419" s="69" t="e">
        <v>#N/A</v>
      </c>
      <c r="F419" s="69" t="s">
        <v>275</v>
      </c>
      <c r="G419" s="69" t="s">
        <v>848</v>
      </c>
      <c r="H419" s="69">
        <v>0</v>
      </c>
      <c r="I419" s="69" t="s">
        <v>257</v>
      </c>
      <c r="J419" s="69">
        <v>42</v>
      </c>
    </row>
    <row r="420" spans="1:10" x14ac:dyDescent="0.2">
      <c r="A420" s="69">
        <v>10000001090</v>
      </c>
      <c r="B420" s="69" t="s">
        <v>221</v>
      </c>
      <c r="C420" s="100" t="s">
        <v>221</v>
      </c>
      <c r="D420" s="69" t="e">
        <v>#N/A</v>
      </c>
      <c r="E420" s="69" t="e">
        <v>#N/A</v>
      </c>
      <c r="F420" s="69" t="s">
        <v>275</v>
      </c>
      <c r="G420" s="69" t="s">
        <v>847</v>
      </c>
      <c r="H420" s="69">
        <v>0</v>
      </c>
      <c r="I420" s="69" t="s">
        <v>257</v>
      </c>
      <c r="J420" s="69">
        <v>42</v>
      </c>
    </row>
    <row r="421" spans="1:10" x14ac:dyDescent="0.2">
      <c r="A421" s="69">
        <v>10000001091</v>
      </c>
      <c r="B421" s="69" t="s">
        <v>221</v>
      </c>
      <c r="C421" s="100" t="s">
        <v>221</v>
      </c>
      <c r="D421" s="69" t="e">
        <v>#N/A</v>
      </c>
      <c r="E421" s="69" t="e">
        <v>#N/A</v>
      </c>
      <c r="F421" s="69" t="s">
        <v>275</v>
      </c>
      <c r="G421" s="69" t="s">
        <v>846</v>
      </c>
      <c r="H421" s="69">
        <v>0</v>
      </c>
      <c r="I421" s="69" t="s">
        <v>257</v>
      </c>
      <c r="J421" s="69">
        <v>42</v>
      </c>
    </row>
    <row r="422" spans="1:10" x14ac:dyDescent="0.2">
      <c r="A422" s="69">
        <v>10000001092</v>
      </c>
      <c r="B422" s="69" t="s">
        <v>221</v>
      </c>
      <c r="C422" s="100">
        <v>5</v>
      </c>
      <c r="D422" s="69" t="e">
        <v>#N/A</v>
      </c>
      <c r="E422" s="69" t="e">
        <v>#N/A</v>
      </c>
      <c r="F422" s="69" t="s">
        <v>275</v>
      </c>
      <c r="G422" s="69" t="s">
        <v>845</v>
      </c>
      <c r="H422" s="69">
        <v>0</v>
      </c>
      <c r="I422" s="69" t="s">
        <v>257</v>
      </c>
      <c r="J422" s="69">
        <v>42</v>
      </c>
    </row>
    <row r="423" spans="1:10" x14ac:dyDescent="0.2">
      <c r="A423" s="69">
        <v>10000001093</v>
      </c>
      <c r="B423" s="69" t="s">
        <v>221</v>
      </c>
      <c r="C423" s="100">
        <v>5</v>
      </c>
      <c r="D423" s="69" t="e">
        <v>#N/A</v>
      </c>
      <c r="E423" s="69" t="e">
        <v>#N/A</v>
      </c>
      <c r="F423" s="69" t="s">
        <v>275</v>
      </c>
      <c r="G423" s="69" t="s">
        <v>844</v>
      </c>
      <c r="H423" s="69">
        <v>0</v>
      </c>
      <c r="I423" s="69" t="s">
        <v>257</v>
      </c>
      <c r="J423" s="69">
        <v>42</v>
      </c>
    </row>
    <row r="424" spans="1:10" x14ac:dyDescent="0.2">
      <c r="A424" s="69">
        <v>10000001094</v>
      </c>
      <c r="B424" s="69" t="s">
        <v>221</v>
      </c>
      <c r="C424" s="100">
        <v>1</v>
      </c>
      <c r="D424" s="69" t="e">
        <v>#N/A</v>
      </c>
      <c r="E424" s="69" t="e">
        <v>#N/A</v>
      </c>
      <c r="F424" s="69" t="s">
        <v>275</v>
      </c>
      <c r="G424" s="69" t="s">
        <v>843</v>
      </c>
      <c r="H424" s="69">
        <v>0</v>
      </c>
      <c r="I424" s="69" t="s">
        <v>257</v>
      </c>
      <c r="J424" s="69">
        <v>42</v>
      </c>
    </row>
    <row r="425" spans="1:10" x14ac:dyDescent="0.2">
      <c r="A425" s="69">
        <v>10000001095</v>
      </c>
      <c r="B425" s="69" t="s">
        <v>221</v>
      </c>
      <c r="C425" s="100">
        <v>1</v>
      </c>
      <c r="D425" s="69" t="e">
        <v>#N/A</v>
      </c>
      <c r="E425" s="69" t="e">
        <v>#N/A</v>
      </c>
      <c r="F425" s="69" t="s">
        <v>275</v>
      </c>
      <c r="G425" s="69" t="s">
        <v>842</v>
      </c>
      <c r="H425" s="69">
        <v>0</v>
      </c>
      <c r="I425" s="69" t="s">
        <v>257</v>
      </c>
      <c r="J425" s="69">
        <v>42</v>
      </c>
    </row>
    <row r="426" spans="1:10" x14ac:dyDescent="0.2">
      <c r="A426" s="69">
        <v>10000001096</v>
      </c>
      <c r="B426" s="69" t="s">
        <v>262</v>
      </c>
      <c r="C426" s="100">
        <v>1</v>
      </c>
      <c r="D426" s="69" t="e">
        <v>#N/A</v>
      </c>
      <c r="E426" s="69" t="e">
        <v>#N/A</v>
      </c>
      <c r="F426" s="69" t="s">
        <v>275</v>
      </c>
      <c r="G426" s="69" t="s">
        <v>841</v>
      </c>
      <c r="H426" s="69">
        <v>0</v>
      </c>
      <c r="I426" s="69" t="s">
        <v>261</v>
      </c>
      <c r="J426" s="69">
        <v>42</v>
      </c>
    </row>
    <row r="427" spans="1:10" x14ac:dyDescent="0.2">
      <c r="A427" s="69">
        <v>10000001097</v>
      </c>
      <c r="B427" s="69" t="s">
        <v>262</v>
      </c>
      <c r="C427" s="100">
        <v>10</v>
      </c>
      <c r="D427" s="69" t="e">
        <v>#N/A</v>
      </c>
      <c r="E427" s="69" t="e">
        <v>#N/A</v>
      </c>
      <c r="F427" s="69" t="s">
        <v>275</v>
      </c>
      <c r="G427" s="69" t="s">
        <v>840</v>
      </c>
      <c r="H427" s="69">
        <v>0</v>
      </c>
      <c r="I427" s="69" t="s">
        <v>261</v>
      </c>
      <c r="J427" s="69">
        <v>42</v>
      </c>
    </row>
    <row r="428" spans="1:10" x14ac:dyDescent="0.2">
      <c r="A428" s="69">
        <v>10000001098</v>
      </c>
      <c r="B428" s="69" t="s">
        <v>262</v>
      </c>
      <c r="C428" s="100">
        <v>1</v>
      </c>
      <c r="D428" s="69" t="e">
        <v>#N/A</v>
      </c>
      <c r="E428" s="69" t="e">
        <v>#N/A</v>
      </c>
      <c r="F428" s="69" t="s">
        <v>275</v>
      </c>
      <c r="G428" s="69" t="s">
        <v>839</v>
      </c>
      <c r="H428" s="69">
        <v>0</v>
      </c>
      <c r="I428" s="69" t="s">
        <v>261</v>
      </c>
      <c r="J428" s="69">
        <v>42</v>
      </c>
    </row>
    <row r="429" spans="1:10" x14ac:dyDescent="0.2">
      <c r="A429" s="69">
        <v>10000001099</v>
      </c>
      <c r="B429" s="69" t="s">
        <v>220</v>
      </c>
      <c r="C429" s="100" t="s">
        <v>220</v>
      </c>
      <c r="D429" s="69" t="e">
        <v>#N/A</v>
      </c>
      <c r="E429" s="69" t="e">
        <v>#N/A</v>
      </c>
      <c r="F429" s="69" t="s">
        <v>275</v>
      </c>
      <c r="G429" s="69" t="s">
        <v>838</v>
      </c>
      <c r="H429" s="69">
        <v>0</v>
      </c>
      <c r="I429" s="69" t="s">
        <v>247</v>
      </c>
      <c r="J429" s="69">
        <v>42</v>
      </c>
    </row>
    <row r="430" spans="1:10" x14ac:dyDescent="0.2">
      <c r="A430" s="69">
        <v>10000001100</v>
      </c>
      <c r="B430" s="69" t="s">
        <v>220</v>
      </c>
      <c r="C430" s="100">
        <v>1</v>
      </c>
      <c r="D430" s="69" t="e">
        <v>#N/A</v>
      </c>
      <c r="E430" s="69" t="e">
        <v>#N/A</v>
      </c>
      <c r="F430" s="69" t="s">
        <v>275</v>
      </c>
      <c r="G430" s="69" t="s">
        <v>837</v>
      </c>
      <c r="H430" s="69">
        <v>0</v>
      </c>
      <c r="I430" s="69" t="s">
        <v>247</v>
      </c>
      <c r="J430" s="69">
        <v>42</v>
      </c>
    </row>
    <row r="431" spans="1:10" x14ac:dyDescent="0.2">
      <c r="A431" s="69">
        <v>10000001101</v>
      </c>
      <c r="B431" s="69" t="s">
        <v>220</v>
      </c>
      <c r="C431" s="100">
        <v>1</v>
      </c>
      <c r="D431" s="69" t="e">
        <v>#N/A</v>
      </c>
      <c r="E431" s="69" t="e">
        <v>#N/A</v>
      </c>
      <c r="F431" s="69" t="s">
        <v>275</v>
      </c>
      <c r="G431" s="69" t="s">
        <v>836</v>
      </c>
      <c r="H431" s="69">
        <v>0</v>
      </c>
      <c r="I431" s="69" t="s">
        <v>247</v>
      </c>
      <c r="J431" s="69">
        <v>42</v>
      </c>
    </row>
    <row r="432" spans="1:10" x14ac:dyDescent="0.2">
      <c r="A432" s="69">
        <v>10000001102</v>
      </c>
      <c r="B432" s="69" t="s">
        <v>221</v>
      </c>
      <c r="C432" s="100">
        <v>1</v>
      </c>
      <c r="D432" s="69" t="e">
        <v>#N/A</v>
      </c>
      <c r="E432" s="69" t="e">
        <v>#N/A</v>
      </c>
      <c r="F432" s="69" t="s">
        <v>275</v>
      </c>
      <c r="G432" s="69" t="s">
        <v>835</v>
      </c>
      <c r="H432" s="69">
        <v>0</v>
      </c>
      <c r="I432" s="69" t="s">
        <v>257</v>
      </c>
      <c r="J432" s="69">
        <v>42</v>
      </c>
    </row>
    <row r="433" spans="1:10" x14ac:dyDescent="0.2">
      <c r="A433" s="69">
        <v>10000001103</v>
      </c>
      <c r="B433" s="69" t="s">
        <v>221</v>
      </c>
      <c r="C433" s="100" t="s">
        <v>221</v>
      </c>
      <c r="D433" s="69" t="e">
        <v>#N/A</v>
      </c>
      <c r="E433" s="69" t="e">
        <v>#N/A</v>
      </c>
      <c r="F433" s="69" t="s">
        <v>275</v>
      </c>
      <c r="G433" s="69" t="s">
        <v>834</v>
      </c>
      <c r="H433" s="69">
        <v>0</v>
      </c>
      <c r="I433" s="69" t="s">
        <v>257</v>
      </c>
      <c r="J433" s="69">
        <v>42</v>
      </c>
    </row>
    <row r="434" spans="1:10" x14ac:dyDescent="0.2">
      <c r="A434" s="69">
        <v>10000001104</v>
      </c>
      <c r="B434" s="69" t="s">
        <v>221</v>
      </c>
      <c r="C434" s="100">
        <v>1</v>
      </c>
      <c r="D434" s="69" t="e">
        <v>#N/A</v>
      </c>
      <c r="E434" s="69" t="e">
        <v>#N/A</v>
      </c>
      <c r="F434" s="69" t="s">
        <v>275</v>
      </c>
      <c r="G434" s="69" t="s">
        <v>833</v>
      </c>
      <c r="H434" s="69">
        <v>0</v>
      </c>
      <c r="I434" s="69" t="s">
        <v>257</v>
      </c>
      <c r="J434" s="69">
        <v>42</v>
      </c>
    </row>
    <row r="435" spans="1:10" x14ac:dyDescent="0.2">
      <c r="A435" s="69">
        <v>10000001105</v>
      </c>
      <c r="B435" s="69" t="s">
        <v>221</v>
      </c>
      <c r="C435" s="100">
        <v>1</v>
      </c>
      <c r="D435" s="69" t="e">
        <v>#N/A</v>
      </c>
      <c r="E435" s="69" t="e">
        <v>#N/A</v>
      </c>
      <c r="F435" s="69" t="s">
        <v>275</v>
      </c>
      <c r="G435" s="69" t="s">
        <v>832</v>
      </c>
      <c r="H435" s="69">
        <v>0</v>
      </c>
      <c r="I435" s="69" t="s">
        <v>257</v>
      </c>
      <c r="J435" s="69">
        <v>42</v>
      </c>
    </row>
    <row r="436" spans="1:10" x14ac:dyDescent="0.2">
      <c r="A436" s="69">
        <v>10000001106</v>
      </c>
      <c r="B436" s="69" t="s">
        <v>221</v>
      </c>
      <c r="C436" s="100" t="s">
        <v>221</v>
      </c>
      <c r="D436" s="69" t="e">
        <v>#N/A</v>
      </c>
      <c r="E436" s="69" t="e">
        <v>#N/A</v>
      </c>
      <c r="F436" s="69" t="s">
        <v>275</v>
      </c>
      <c r="G436" s="69" t="s">
        <v>831</v>
      </c>
      <c r="H436" s="69">
        <v>0</v>
      </c>
      <c r="I436" s="69" t="s">
        <v>257</v>
      </c>
      <c r="J436" s="69">
        <v>42</v>
      </c>
    </row>
    <row r="437" spans="1:10" x14ac:dyDescent="0.2">
      <c r="A437" s="69">
        <v>10000001107</v>
      </c>
      <c r="B437" s="69" t="s">
        <v>221</v>
      </c>
      <c r="C437" s="100" t="s">
        <v>221</v>
      </c>
      <c r="D437" s="69" t="e">
        <v>#N/A</v>
      </c>
      <c r="E437" s="69" t="e">
        <v>#N/A</v>
      </c>
      <c r="F437" s="69" t="s">
        <v>275</v>
      </c>
      <c r="G437" s="69" t="s">
        <v>830</v>
      </c>
      <c r="H437" s="69">
        <v>0</v>
      </c>
      <c r="I437" s="69" t="s">
        <v>257</v>
      </c>
      <c r="J437" s="69">
        <v>42</v>
      </c>
    </row>
    <row r="438" spans="1:10" x14ac:dyDescent="0.2">
      <c r="A438" s="69">
        <v>10000001108</v>
      </c>
      <c r="B438" s="69" t="s">
        <v>221</v>
      </c>
      <c r="C438" s="100">
        <v>5</v>
      </c>
      <c r="D438" s="69" t="e">
        <v>#N/A</v>
      </c>
      <c r="E438" s="69" t="e">
        <v>#N/A</v>
      </c>
      <c r="F438" s="69" t="s">
        <v>275</v>
      </c>
      <c r="G438" s="69" t="s">
        <v>829</v>
      </c>
      <c r="H438" s="69">
        <v>0</v>
      </c>
      <c r="I438" s="69" t="s">
        <v>257</v>
      </c>
      <c r="J438" s="69">
        <v>42</v>
      </c>
    </row>
    <row r="439" spans="1:10" x14ac:dyDescent="0.2">
      <c r="A439" s="69">
        <v>10000001109</v>
      </c>
      <c r="B439" s="69" t="s">
        <v>221</v>
      </c>
      <c r="C439" s="100" t="s">
        <v>221</v>
      </c>
      <c r="D439" s="69" t="e">
        <v>#N/A</v>
      </c>
      <c r="E439" s="69" t="e">
        <v>#N/A</v>
      </c>
      <c r="F439" s="69" t="s">
        <v>275</v>
      </c>
      <c r="G439" s="69" t="s">
        <v>828</v>
      </c>
      <c r="H439" s="69">
        <v>0</v>
      </c>
      <c r="I439" s="69" t="s">
        <v>257</v>
      </c>
      <c r="J439" s="69">
        <v>42</v>
      </c>
    </row>
    <row r="440" spans="1:10" x14ac:dyDescent="0.2">
      <c r="A440" s="69">
        <v>10000001110</v>
      </c>
      <c r="B440" s="69" t="s">
        <v>221</v>
      </c>
      <c r="C440" s="100">
        <v>5</v>
      </c>
      <c r="D440" s="69" t="e">
        <v>#N/A</v>
      </c>
      <c r="E440" s="69" t="e">
        <v>#N/A</v>
      </c>
      <c r="F440" s="69" t="s">
        <v>275</v>
      </c>
      <c r="G440" s="69" t="s">
        <v>229</v>
      </c>
      <c r="H440" s="69">
        <v>0</v>
      </c>
      <c r="I440" s="69" t="s">
        <v>257</v>
      </c>
      <c r="J440" s="69">
        <v>42</v>
      </c>
    </row>
    <row r="441" spans="1:10" x14ac:dyDescent="0.2">
      <c r="A441" s="69">
        <v>10000001111</v>
      </c>
      <c r="B441" s="69" t="s">
        <v>221</v>
      </c>
      <c r="C441" s="100">
        <v>5</v>
      </c>
      <c r="D441" s="69" t="e">
        <v>#N/A</v>
      </c>
      <c r="E441" s="69" t="e">
        <v>#N/A</v>
      </c>
      <c r="F441" s="69" t="s">
        <v>275</v>
      </c>
      <c r="G441" s="69" t="s">
        <v>827</v>
      </c>
      <c r="H441" s="69">
        <v>0</v>
      </c>
      <c r="I441" s="69" t="s">
        <v>257</v>
      </c>
      <c r="J441" s="69">
        <v>42</v>
      </c>
    </row>
    <row r="442" spans="1:10" x14ac:dyDescent="0.2">
      <c r="A442" s="69">
        <v>10000001112</v>
      </c>
      <c r="B442" s="69" t="s">
        <v>221</v>
      </c>
      <c r="C442" s="100" t="s">
        <v>221</v>
      </c>
      <c r="D442" s="69" t="e">
        <v>#N/A</v>
      </c>
      <c r="E442" s="69" t="e">
        <v>#N/A</v>
      </c>
      <c r="F442" s="69" t="s">
        <v>275</v>
      </c>
      <c r="G442" s="69" t="s">
        <v>826</v>
      </c>
      <c r="H442" s="69">
        <v>0</v>
      </c>
      <c r="I442" s="69" t="s">
        <v>257</v>
      </c>
      <c r="J442" s="69">
        <v>42</v>
      </c>
    </row>
    <row r="443" spans="1:10" x14ac:dyDescent="0.2">
      <c r="A443" s="69">
        <v>10000001113</v>
      </c>
      <c r="B443" s="69" t="s">
        <v>221</v>
      </c>
      <c r="C443" s="100">
        <v>5</v>
      </c>
      <c r="D443" s="69" t="e">
        <v>#N/A</v>
      </c>
      <c r="E443" s="69" t="e">
        <v>#N/A</v>
      </c>
      <c r="F443" s="69" t="s">
        <v>275</v>
      </c>
      <c r="G443" s="69" t="s">
        <v>825</v>
      </c>
      <c r="H443" s="69">
        <v>0</v>
      </c>
      <c r="I443" s="69" t="s">
        <v>257</v>
      </c>
      <c r="J443" s="69">
        <v>42</v>
      </c>
    </row>
    <row r="444" spans="1:10" x14ac:dyDescent="0.2">
      <c r="A444" s="69">
        <v>10000001114</v>
      </c>
      <c r="B444" s="69" t="s">
        <v>221</v>
      </c>
      <c r="C444" s="100">
        <v>5</v>
      </c>
      <c r="D444" s="69" t="e">
        <v>#N/A</v>
      </c>
      <c r="E444" s="69" t="e">
        <v>#N/A</v>
      </c>
      <c r="F444" s="69" t="s">
        <v>275</v>
      </c>
      <c r="G444" s="69" t="s">
        <v>824</v>
      </c>
      <c r="H444" s="69">
        <v>0</v>
      </c>
      <c r="I444" s="69" t="s">
        <v>257</v>
      </c>
      <c r="J444" s="69">
        <v>42</v>
      </c>
    </row>
    <row r="445" spans="1:10" x14ac:dyDescent="0.2">
      <c r="A445" s="69">
        <v>10000001115</v>
      </c>
      <c r="B445" s="69" t="s">
        <v>221</v>
      </c>
      <c r="C445" s="100">
        <v>5</v>
      </c>
      <c r="D445" s="69" t="e">
        <v>#N/A</v>
      </c>
      <c r="E445" s="69" t="e">
        <v>#N/A</v>
      </c>
      <c r="F445" s="69" t="s">
        <v>275</v>
      </c>
      <c r="G445" s="69" t="s">
        <v>823</v>
      </c>
      <c r="H445" s="69">
        <v>0</v>
      </c>
      <c r="I445" s="69" t="s">
        <v>257</v>
      </c>
      <c r="J445" s="69">
        <v>42</v>
      </c>
    </row>
    <row r="446" spans="1:10" x14ac:dyDescent="0.2">
      <c r="A446" s="69">
        <v>10000001116</v>
      </c>
      <c r="B446" s="69" t="s">
        <v>221</v>
      </c>
      <c r="C446" s="100">
        <v>5</v>
      </c>
      <c r="D446" s="69" t="e">
        <v>#N/A</v>
      </c>
      <c r="E446" s="69" t="e">
        <v>#N/A</v>
      </c>
      <c r="F446" s="69" t="s">
        <v>275</v>
      </c>
      <c r="G446" s="69" t="s">
        <v>822</v>
      </c>
      <c r="H446" s="69">
        <v>0</v>
      </c>
      <c r="I446" s="69" t="s">
        <v>257</v>
      </c>
      <c r="J446" s="69">
        <v>42</v>
      </c>
    </row>
    <row r="447" spans="1:10" x14ac:dyDescent="0.2">
      <c r="A447" s="69">
        <v>10000001117</v>
      </c>
      <c r="B447" s="69" t="s">
        <v>221</v>
      </c>
      <c r="C447" s="100" t="s">
        <v>221</v>
      </c>
      <c r="D447" s="69" t="e">
        <v>#N/A</v>
      </c>
      <c r="E447" s="69" t="e">
        <v>#N/A</v>
      </c>
      <c r="F447" s="69" t="s">
        <v>275</v>
      </c>
      <c r="G447" s="69" t="s">
        <v>821</v>
      </c>
      <c r="H447" s="69">
        <v>0</v>
      </c>
      <c r="I447" s="69" t="s">
        <v>257</v>
      </c>
      <c r="J447" s="69">
        <v>42</v>
      </c>
    </row>
    <row r="448" spans="1:10" x14ac:dyDescent="0.2">
      <c r="A448" s="69">
        <v>10000001118</v>
      </c>
      <c r="B448" s="69" t="s">
        <v>221</v>
      </c>
      <c r="C448" s="100" t="s">
        <v>221</v>
      </c>
      <c r="D448" s="69" t="e">
        <v>#N/A</v>
      </c>
      <c r="E448" s="69" t="e">
        <v>#N/A</v>
      </c>
      <c r="F448" s="69" t="s">
        <v>275</v>
      </c>
      <c r="G448" s="69" t="s">
        <v>820</v>
      </c>
      <c r="H448" s="69">
        <v>0</v>
      </c>
      <c r="I448" s="69" t="s">
        <v>257</v>
      </c>
      <c r="J448" s="69">
        <v>42</v>
      </c>
    </row>
    <row r="449" spans="1:10" x14ac:dyDescent="0.2">
      <c r="A449" s="69">
        <v>10000001119</v>
      </c>
      <c r="B449" s="69" t="s">
        <v>221</v>
      </c>
      <c r="C449" s="100">
        <v>5</v>
      </c>
      <c r="D449" s="69" t="e">
        <v>#N/A</v>
      </c>
      <c r="E449" s="69" t="e">
        <v>#N/A</v>
      </c>
      <c r="F449" s="69" t="s">
        <v>275</v>
      </c>
      <c r="G449" s="69" t="s">
        <v>819</v>
      </c>
      <c r="H449" s="69">
        <v>0</v>
      </c>
      <c r="I449" s="69" t="s">
        <v>257</v>
      </c>
      <c r="J449" s="69">
        <v>42</v>
      </c>
    </row>
    <row r="450" spans="1:10" x14ac:dyDescent="0.2">
      <c r="A450" s="69">
        <v>10000001120</v>
      </c>
      <c r="B450" s="69" t="s">
        <v>221</v>
      </c>
      <c r="C450" s="100">
        <v>5</v>
      </c>
      <c r="D450" s="69" t="e">
        <v>#N/A</v>
      </c>
      <c r="E450" s="69" t="e">
        <v>#N/A</v>
      </c>
      <c r="F450" s="69" t="s">
        <v>275</v>
      </c>
      <c r="G450" s="69" t="s">
        <v>818</v>
      </c>
      <c r="H450" s="69">
        <v>0</v>
      </c>
      <c r="I450" s="69" t="s">
        <v>257</v>
      </c>
      <c r="J450" s="69">
        <v>42</v>
      </c>
    </row>
    <row r="451" spans="1:10" x14ac:dyDescent="0.2">
      <c r="A451" s="69">
        <v>10000001121</v>
      </c>
      <c r="B451" s="69" t="s">
        <v>221</v>
      </c>
      <c r="C451" s="100">
        <v>5</v>
      </c>
      <c r="D451" s="69" t="e">
        <v>#N/A</v>
      </c>
      <c r="E451" s="69" t="e">
        <v>#N/A</v>
      </c>
      <c r="F451" s="69" t="s">
        <v>275</v>
      </c>
      <c r="G451" s="69" t="s">
        <v>817</v>
      </c>
      <c r="H451" s="69">
        <v>0</v>
      </c>
      <c r="I451" s="69" t="s">
        <v>257</v>
      </c>
      <c r="J451" s="69">
        <v>42</v>
      </c>
    </row>
    <row r="452" spans="1:10" x14ac:dyDescent="0.2">
      <c r="A452" s="69">
        <v>10000001122</v>
      </c>
      <c r="B452" s="69" t="s">
        <v>221</v>
      </c>
      <c r="C452" s="100" t="s">
        <v>221</v>
      </c>
      <c r="D452" s="69" t="e">
        <v>#N/A</v>
      </c>
      <c r="E452" s="69" t="e">
        <v>#N/A</v>
      </c>
      <c r="F452" s="69" t="s">
        <v>275</v>
      </c>
      <c r="G452" s="69" t="s">
        <v>816</v>
      </c>
      <c r="H452" s="69">
        <v>0</v>
      </c>
      <c r="I452" s="69" t="s">
        <v>257</v>
      </c>
      <c r="J452" s="69">
        <v>42</v>
      </c>
    </row>
    <row r="453" spans="1:10" x14ac:dyDescent="0.2">
      <c r="A453" s="69">
        <v>10000001123</v>
      </c>
      <c r="B453" s="69" t="s">
        <v>221</v>
      </c>
      <c r="C453" s="100">
        <v>5</v>
      </c>
      <c r="D453" s="69" t="e">
        <v>#N/A</v>
      </c>
      <c r="E453" s="69" t="e">
        <v>#N/A</v>
      </c>
      <c r="F453" s="69" t="s">
        <v>275</v>
      </c>
      <c r="G453" s="69" t="s">
        <v>815</v>
      </c>
      <c r="H453" s="69">
        <v>0</v>
      </c>
      <c r="I453" s="69" t="s">
        <v>257</v>
      </c>
      <c r="J453" s="69">
        <v>42</v>
      </c>
    </row>
    <row r="454" spans="1:10" x14ac:dyDescent="0.2">
      <c r="A454" s="69">
        <v>10000001124</v>
      </c>
      <c r="B454" s="69" t="s">
        <v>221</v>
      </c>
      <c r="C454" s="100">
        <v>5</v>
      </c>
      <c r="D454" s="69" t="e">
        <v>#N/A</v>
      </c>
      <c r="E454" s="69" t="e">
        <v>#N/A</v>
      </c>
      <c r="F454" s="69" t="s">
        <v>275</v>
      </c>
      <c r="G454" s="69" t="s">
        <v>814</v>
      </c>
      <c r="H454" s="69">
        <v>0</v>
      </c>
      <c r="I454" s="69" t="s">
        <v>257</v>
      </c>
      <c r="J454" s="69">
        <v>42</v>
      </c>
    </row>
    <row r="455" spans="1:10" x14ac:dyDescent="0.2">
      <c r="A455" s="69">
        <v>10000001125</v>
      </c>
      <c r="C455" s="100">
        <v>23</v>
      </c>
      <c r="G455" s="69" t="s">
        <v>609</v>
      </c>
      <c r="H455" s="69">
        <v>0</v>
      </c>
      <c r="J455" s="69">
        <v>42</v>
      </c>
    </row>
    <row r="456" spans="1:10" x14ac:dyDescent="0.2">
      <c r="A456" s="69">
        <v>10000001126</v>
      </c>
      <c r="C456" s="100">
        <v>23</v>
      </c>
      <c r="G456" s="69" t="s">
        <v>207</v>
      </c>
      <c r="H456" s="69">
        <v>0</v>
      </c>
      <c r="J456" s="69">
        <v>42</v>
      </c>
    </row>
    <row r="457" spans="1:10" x14ac:dyDescent="0.2">
      <c r="A457" s="69">
        <v>10000001128</v>
      </c>
      <c r="B457" s="69" t="s">
        <v>221</v>
      </c>
      <c r="C457" s="100" t="s">
        <v>221</v>
      </c>
      <c r="D457" s="69" t="e">
        <v>#N/A</v>
      </c>
      <c r="E457" s="69" t="e">
        <v>#N/A</v>
      </c>
      <c r="F457" s="69" t="s">
        <v>275</v>
      </c>
      <c r="G457" s="69" t="s">
        <v>813</v>
      </c>
      <c r="H457" s="69">
        <v>0</v>
      </c>
      <c r="I457" s="69" t="s">
        <v>257</v>
      </c>
      <c r="J457" s="69">
        <v>42</v>
      </c>
    </row>
    <row r="458" spans="1:10" x14ac:dyDescent="0.2">
      <c r="A458" s="69">
        <v>10000001129</v>
      </c>
      <c r="B458" s="69" t="s">
        <v>262</v>
      </c>
      <c r="C458" s="100">
        <v>10</v>
      </c>
      <c r="D458" s="69" t="e">
        <v>#N/A</v>
      </c>
      <c r="E458" s="69" t="e">
        <v>#N/A</v>
      </c>
      <c r="F458" s="69" t="s">
        <v>275</v>
      </c>
      <c r="G458" s="69" t="s">
        <v>812</v>
      </c>
      <c r="H458" s="69">
        <v>0</v>
      </c>
      <c r="I458" s="69" t="s">
        <v>261</v>
      </c>
      <c r="J458" s="69">
        <v>42</v>
      </c>
    </row>
    <row r="459" spans="1:10" x14ac:dyDescent="0.2">
      <c r="A459" s="69">
        <v>10000001130</v>
      </c>
      <c r="B459" s="69" t="s">
        <v>262</v>
      </c>
      <c r="C459" s="100">
        <v>10</v>
      </c>
      <c r="D459" s="69" t="e">
        <v>#N/A</v>
      </c>
      <c r="E459" s="69" t="e">
        <v>#N/A</v>
      </c>
      <c r="F459" s="69" t="s">
        <v>275</v>
      </c>
      <c r="G459" s="69" t="s">
        <v>811</v>
      </c>
      <c r="H459" s="69">
        <v>0</v>
      </c>
      <c r="I459" s="69" t="s">
        <v>261</v>
      </c>
      <c r="J459" s="69">
        <v>42</v>
      </c>
    </row>
    <row r="460" spans="1:10" x14ac:dyDescent="0.2">
      <c r="A460" s="69">
        <v>10000001137</v>
      </c>
      <c r="B460" s="69" t="s">
        <v>221</v>
      </c>
      <c r="C460" s="100">
        <v>5</v>
      </c>
      <c r="G460" s="69" t="s">
        <v>232</v>
      </c>
      <c r="J460" s="69">
        <v>42</v>
      </c>
    </row>
    <row r="461" spans="1:10" x14ac:dyDescent="0.2">
      <c r="A461" s="69">
        <v>10000001146</v>
      </c>
      <c r="B461" s="69" t="s">
        <v>220</v>
      </c>
      <c r="C461" s="100" t="s">
        <v>220</v>
      </c>
      <c r="D461" s="69" t="e">
        <v>#N/A</v>
      </c>
      <c r="E461" s="69" t="e">
        <v>#N/A</v>
      </c>
      <c r="F461" s="69" t="s">
        <v>275</v>
      </c>
      <c r="G461" s="69" t="s">
        <v>810</v>
      </c>
      <c r="H461" s="69">
        <v>0</v>
      </c>
      <c r="I461" s="69" t="s">
        <v>247</v>
      </c>
      <c r="J461" s="69">
        <v>42</v>
      </c>
    </row>
    <row r="462" spans="1:10" x14ac:dyDescent="0.2">
      <c r="A462" s="69">
        <v>10000001147</v>
      </c>
      <c r="B462" s="69" t="s">
        <v>220</v>
      </c>
      <c r="C462" s="100">
        <v>5</v>
      </c>
      <c r="D462" s="69" t="e">
        <v>#N/A</v>
      </c>
      <c r="E462" s="69" t="e">
        <v>#N/A</v>
      </c>
      <c r="F462" s="69" t="s">
        <v>275</v>
      </c>
      <c r="G462" s="69" t="s">
        <v>809</v>
      </c>
      <c r="H462" s="69">
        <v>0</v>
      </c>
      <c r="I462" s="69" t="s">
        <v>247</v>
      </c>
      <c r="J462" s="69">
        <v>42</v>
      </c>
    </row>
    <row r="463" spans="1:10" x14ac:dyDescent="0.2">
      <c r="A463" s="69">
        <v>10000001148</v>
      </c>
      <c r="B463" s="69" t="s">
        <v>221</v>
      </c>
      <c r="C463" s="100">
        <v>5</v>
      </c>
      <c r="D463" s="69" t="e">
        <v>#N/A</v>
      </c>
      <c r="E463" s="69" t="e">
        <v>#N/A</v>
      </c>
      <c r="F463" s="69" t="s">
        <v>275</v>
      </c>
      <c r="G463" s="69" t="s">
        <v>808</v>
      </c>
      <c r="H463" s="69">
        <v>0</v>
      </c>
      <c r="I463" s="69" t="s">
        <v>257</v>
      </c>
      <c r="J463" s="69">
        <v>42</v>
      </c>
    </row>
    <row r="464" spans="1:10" x14ac:dyDescent="0.2">
      <c r="A464" s="69">
        <v>10000001149</v>
      </c>
      <c r="B464" s="69" t="s">
        <v>221</v>
      </c>
      <c r="C464" s="100" t="s">
        <v>221</v>
      </c>
      <c r="D464" s="69" t="e">
        <v>#N/A</v>
      </c>
      <c r="E464" s="69" t="e">
        <v>#N/A</v>
      </c>
      <c r="F464" s="69" t="s">
        <v>275</v>
      </c>
      <c r="G464" s="69" t="s">
        <v>807</v>
      </c>
      <c r="H464" s="69">
        <v>0</v>
      </c>
      <c r="I464" s="69" t="s">
        <v>257</v>
      </c>
      <c r="J464" s="69">
        <v>42</v>
      </c>
    </row>
    <row r="465" spans="1:10" x14ac:dyDescent="0.2">
      <c r="A465" s="69">
        <v>10000001150</v>
      </c>
      <c r="B465" s="69" t="s">
        <v>221</v>
      </c>
      <c r="C465" s="100" t="s">
        <v>221</v>
      </c>
      <c r="D465" s="69" t="s">
        <v>1403</v>
      </c>
      <c r="E465" s="69" t="s">
        <v>1242</v>
      </c>
      <c r="F465" s="69" t="s">
        <v>275</v>
      </c>
      <c r="G465" s="69" t="s">
        <v>806</v>
      </c>
      <c r="H465" s="69">
        <v>0</v>
      </c>
      <c r="I465" s="69" t="s">
        <v>257</v>
      </c>
      <c r="J465" s="69">
        <v>42</v>
      </c>
    </row>
    <row r="466" spans="1:10" x14ac:dyDescent="0.2">
      <c r="A466" s="69">
        <v>10000001151</v>
      </c>
      <c r="C466" s="100">
        <v>28</v>
      </c>
      <c r="G466" s="69" t="s">
        <v>599</v>
      </c>
      <c r="H466" s="69">
        <v>0</v>
      </c>
      <c r="J466" s="69">
        <v>42</v>
      </c>
    </row>
    <row r="467" spans="1:10" x14ac:dyDescent="0.2">
      <c r="A467" s="69">
        <v>10000001152</v>
      </c>
      <c r="B467" s="69" t="s">
        <v>221</v>
      </c>
      <c r="C467" s="100" t="s">
        <v>221</v>
      </c>
      <c r="D467" s="69" t="e">
        <v>#N/A</v>
      </c>
      <c r="E467" s="69" t="e">
        <v>#N/A</v>
      </c>
      <c r="F467" s="69" t="s">
        <v>275</v>
      </c>
      <c r="G467" s="69" t="s">
        <v>805</v>
      </c>
      <c r="H467" s="69">
        <v>0</v>
      </c>
      <c r="I467" s="69" t="s">
        <v>257</v>
      </c>
      <c r="J467" s="69">
        <v>42</v>
      </c>
    </row>
    <row r="468" spans="1:10" x14ac:dyDescent="0.2">
      <c r="A468" s="69">
        <v>10000001158</v>
      </c>
      <c r="B468" s="69" t="s">
        <v>221</v>
      </c>
      <c r="C468" s="100" t="s">
        <v>221</v>
      </c>
      <c r="D468" s="69" t="e">
        <v>#N/A</v>
      </c>
      <c r="E468" s="69" t="e">
        <v>#N/A</v>
      </c>
      <c r="F468" s="69" t="s">
        <v>275</v>
      </c>
      <c r="G468" s="69" t="s">
        <v>804</v>
      </c>
      <c r="H468" s="69">
        <v>0</v>
      </c>
      <c r="I468" s="69" t="s">
        <v>257</v>
      </c>
      <c r="J468" s="69">
        <v>42</v>
      </c>
    </row>
    <row r="469" spans="1:10" x14ac:dyDescent="0.2">
      <c r="A469" s="69">
        <v>10000001159</v>
      </c>
      <c r="B469" s="69" t="s">
        <v>221</v>
      </c>
      <c r="C469" s="100" t="s">
        <v>221</v>
      </c>
      <c r="D469" s="69" t="e">
        <v>#N/A</v>
      </c>
      <c r="E469" s="69" t="e">
        <v>#N/A</v>
      </c>
      <c r="F469" s="69" t="s">
        <v>275</v>
      </c>
      <c r="G469" s="69" t="s">
        <v>803</v>
      </c>
      <c r="H469" s="69">
        <v>0</v>
      </c>
      <c r="I469" s="69" t="s">
        <v>257</v>
      </c>
      <c r="J469" s="69">
        <v>42</v>
      </c>
    </row>
    <row r="470" spans="1:10" x14ac:dyDescent="0.2">
      <c r="A470" s="69">
        <v>10000001160</v>
      </c>
      <c r="B470" s="69" t="s">
        <v>221</v>
      </c>
      <c r="C470" s="100">
        <v>5</v>
      </c>
      <c r="D470" s="69" t="e">
        <v>#N/A</v>
      </c>
      <c r="E470" s="69" t="e">
        <v>#N/A</v>
      </c>
      <c r="F470" s="69" t="s">
        <v>275</v>
      </c>
      <c r="G470" s="69" t="s">
        <v>802</v>
      </c>
      <c r="H470" s="69">
        <v>0</v>
      </c>
      <c r="I470" s="69" t="s">
        <v>257</v>
      </c>
      <c r="J470" s="69">
        <v>42</v>
      </c>
    </row>
    <row r="471" spans="1:10" x14ac:dyDescent="0.2">
      <c r="A471" s="69">
        <v>10000001161</v>
      </c>
      <c r="B471" s="69" t="s">
        <v>221</v>
      </c>
      <c r="C471" s="100" t="s">
        <v>221</v>
      </c>
      <c r="D471" s="69" t="e">
        <v>#N/A</v>
      </c>
      <c r="E471" s="69" t="e">
        <v>#N/A</v>
      </c>
      <c r="F471" s="69" t="s">
        <v>275</v>
      </c>
      <c r="G471" s="69" t="s">
        <v>801</v>
      </c>
      <c r="H471" s="69">
        <v>0</v>
      </c>
      <c r="I471" s="69" t="s">
        <v>257</v>
      </c>
      <c r="J471" s="69">
        <v>42</v>
      </c>
    </row>
    <row r="472" spans="1:10" x14ac:dyDescent="0.2">
      <c r="A472" s="69">
        <v>10000001162</v>
      </c>
      <c r="B472" s="69" t="s">
        <v>221</v>
      </c>
      <c r="C472" s="100">
        <v>5</v>
      </c>
      <c r="D472" s="69" t="e">
        <v>#N/A</v>
      </c>
      <c r="E472" s="69" t="e">
        <v>#N/A</v>
      </c>
      <c r="F472" s="69" t="s">
        <v>275</v>
      </c>
      <c r="G472" s="69" t="s">
        <v>800</v>
      </c>
      <c r="H472" s="69">
        <v>0</v>
      </c>
      <c r="I472" s="69" t="s">
        <v>257</v>
      </c>
      <c r="J472" s="69">
        <v>42</v>
      </c>
    </row>
    <row r="473" spans="1:10" x14ac:dyDescent="0.2">
      <c r="A473" s="69">
        <v>10000001163</v>
      </c>
      <c r="B473" s="69" t="s">
        <v>221</v>
      </c>
      <c r="C473" s="100">
        <v>5</v>
      </c>
      <c r="D473" s="69" t="e">
        <v>#N/A</v>
      </c>
      <c r="E473" s="69" t="e">
        <v>#N/A</v>
      </c>
      <c r="F473" s="69" t="s">
        <v>275</v>
      </c>
      <c r="G473" s="69" t="s">
        <v>799</v>
      </c>
      <c r="H473" s="69">
        <v>0</v>
      </c>
      <c r="I473" s="69" t="s">
        <v>257</v>
      </c>
      <c r="J473" s="69">
        <v>42</v>
      </c>
    </row>
    <row r="474" spans="1:10" x14ac:dyDescent="0.2">
      <c r="A474" s="69">
        <v>10000001164</v>
      </c>
      <c r="B474" s="69" t="s">
        <v>262</v>
      </c>
      <c r="C474" s="100">
        <v>10</v>
      </c>
      <c r="D474" s="69" t="e">
        <v>#N/A</v>
      </c>
      <c r="E474" s="69" t="e">
        <v>#N/A</v>
      </c>
      <c r="F474" s="69" t="s">
        <v>275</v>
      </c>
      <c r="G474" s="69" t="s">
        <v>798</v>
      </c>
      <c r="H474" s="69">
        <v>0</v>
      </c>
      <c r="I474" s="69" t="s">
        <v>261</v>
      </c>
      <c r="J474" s="69">
        <v>42</v>
      </c>
    </row>
    <row r="475" spans="1:10" x14ac:dyDescent="0.2">
      <c r="A475" s="69">
        <v>10000001165</v>
      </c>
      <c r="B475" s="69" t="s">
        <v>262</v>
      </c>
      <c r="C475" s="100">
        <v>1</v>
      </c>
      <c r="D475" s="69" t="e">
        <v>#N/A</v>
      </c>
      <c r="E475" s="69" t="e">
        <v>#N/A</v>
      </c>
      <c r="F475" s="69" t="s">
        <v>275</v>
      </c>
      <c r="G475" s="69" t="s">
        <v>797</v>
      </c>
      <c r="H475" s="69">
        <v>0</v>
      </c>
      <c r="I475" s="69" t="s">
        <v>261</v>
      </c>
      <c r="J475" s="69">
        <v>42</v>
      </c>
    </row>
    <row r="476" spans="1:10" x14ac:dyDescent="0.2">
      <c r="A476" s="69">
        <v>10000001166</v>
      </c>
      <c r="B476" s="69" t="s">
        <v>262</v>
      </c>
      <c r="C476" s="100">
        <v>10</v>
      </c>
      <c r="D476" s="69" t="e">
        <v>#N/A</v>
      </c>
      <c r="E476" s="69" t="e">
        <v>#N/A</v>
      </c>
      <c r="F476" s="69" t="s">
        <v>275</v>
      </c>
      <c r="G476" s="69" t="s">
        <v>796</v>
      </c>
      <c r="H476" s="69">
        <v>0</v>
      </c>
      <c r="I476" s="69" t="s">
        <v>261</v>
      </c>
      <c r="J476" s="69">
        <v>42</v>
      </c>
    </row>
    <row r="477" spans="1:10" x14ac:dyDescent="0.2">
      <c r="A477" s="69">
        <v>10000001167</v>
      </c>
      <c r="B477" s="69" t="s">
        <v>262</v>
      </c>
      <c r="C477" s="100">
        <v>5</v>
      </c>
      <c r="D477" s="69" t="e">
        <v>#N/A</v>
      </c>
      <c r="E477" s="69" t="e">
        <v>#N/A</v>
      </c>
      <c r="F477" s="69" t="s">
        <v>275</v>
      </c>
      <c r="G477" s="69" t="s">
        <v>795</v>
      </c>
      <c r="H477" s="69">
        <v>0</v>
      </c>
      <c r="I477" s="69" t="s">
        <v>261</v>
      </c>
      <c r="J477" s="69">
        <v>42</v>
      </c>
    </row>
    <row r="478" spans="1:10" x14ac:dyDescent="0.2">
      <c r="A478" s="69">
        <v>10000001168</v>
      </c>
      <c r="B478" s="69" t="s">
        <v>262</v>
      </c>
      <c r="C478" s="100">
        <v>5</v>
      </c>
      <c r="D478" s="69" t="e">
        <v>#N/A</v>
      </c>
      <c r="E478" s="69" t="e">
        <v>#N/A</v>
      </c>
      <c r="F478" s="69" t="s">
        <v>275</v>
      </c>
      <c r="G478" s="69" t="s">
        <v>794</v>
      </c>
      <c r="H478" s="69">
        <v>0</v>
      </c>
      <c r="I478" s="69" t="s">
        <v>261</v>
      </c>
      <c r="J478" s="69">
        <v>42</v>
      </c>
    </row>
    <row r="479" spans="1:10" x14ac:dyDescent="0.2">
      <c r="A479" s="69">
        <v>10000001172</v>
      </c>
      <c r="B479" s="84">
        <v>44105</v>
      </c>
      <c r="C479" s="100">
        <v>10</v>
      </c>
      <c r="D479" s="69" t="e">
        <v>#N/A</v>
      </c>
      <c r="E479" s="69" t="e">
        <v>#N/A</v>
      </c>
      <c r="F479" s="69" t="s">
        <v>275</v>
      </c>
      <c r="G479" t="s">
        <v>587</v>
      </c>
      <c r="H479" s="69">
        <v>19.2</v>
      </c>
      <c r="I479" s="69" t="s">
        <v>276</v>
      </c>
      <c r="J479" s="69">
        <v>42</v>
      </c>
    </row>
    <row r="480" spans="1:10" x14ac:dyDescent="0.2">
      <c r="A480" s="69">
        <v>10000001173</v>
      </c>
      <c r="B480" s="69" t="s">
        <v>221</v>
      </c>
      <c r="C480" s="100">
        <v>5</v>
      </c>
      <c r="D480" s="69" t="e">
        <v>#N/A</v>
      </c>
      <c r="E480" s="69" t="e">
        <v>#N/A</v>
      </c>
      <c r="F480" s="69" t="s">
        <v>275</v>
      </c>
      <c r="G480" s="69" t="s">
        <v>793</v>
      </c>
      <c r="H480" s="69">
        <v>0</v>
      </c>
      <c r="I480" s="69" t="s">
        <v>257</v>
      </c>
      <c r="J480" s="69">
        <v>42</v>
      </c>
    </row>
    <row r="481" spans="1:10" x14ac:dyDescent="0.2">
      <c r="A481" s="69">
        <v>10000001174</v>
      </c>
      <c r="B481" s="69" t="s">
        <v>221</v>
      </c>
      <c r="C481" s="100">
        <v>5</v>
      </c>
      <c r="D481" s="69" t="e">
        <v>#N/A</v>
      </c>
      <c r="E481" s="69" t="e">
        <v>#N/A</v>
      </c>
      <c r="F481" s="69" t="s">
        <v>275</v>
      </c>
      <c r="G481" s="69" t="s">
        <v>792</v>
      </c>
      <c r="H481" s="69">
        <v>0</v>
      </c>
      <c r="I481" s="69" t="s">
        <v>257</v>
      </c>
      <c r="J481" s="69">
        <v>42</v>
      </c>
    </row>
    <row r="482" spans="1:10" x14ac:dyDescent="0.2">
      <c r="A482" s="69">
        <v>10000001175</v>
      </c>
      <c r="B482" s="69" t="s">
        <v>220</v>
      </c>
      <c r="C482" s="100" t="s">
        <v>220</v>
      </c>
      <c r="D482" s="69" t="e">
        <v>#N/A</v>
      </c>
      <c r="E482" s="69" t="e">
        <v>#N/A</v>
      </c>
      <c r="F482" s="69" t="s">
        <v>246</v>
      </c>
      <c r="G482" s="69" t="s">
        <v>791</v>
      </c>
      <c r="H482" s="69">
        <v>0</v>
      </c>
      <c r="I482" s="69" t="s">
        <v>247</v>
      </c>
      <c r="J482" s="69">
        <v>42</v>
      </c>
    </row>
    <row r="483" spans="1:10" x14ac:dyDescent="0.2">
      <c r="A483" s="69">
        <v>10000001176</v>
      </c>
      <c r="B483" s="69" t="s">
        <v>220</v>
      </c>
      <c r="C483" s="100">
        <v>1</v>
      </c>
      <c r="D483" s="69" t="e">
        <v>#N/A</v>
      </c>
      <c r="E483" s="69" t="e">
        <v>#N/A</v>
      </c>
      <c r="F483" s="69" t="s">
        <v>246</v>
      </c>
      <c r="G483" s="69" t="s">
        <v>790</v>
      </c>
      <c r="H483" s="69">
        <v>0</v>
      </c>
      <c r="I483" s="69" t="s">
        <v>247</v>
      </c>
      <c r="J483" s="69">
        <v>42</v>
      </c>
    </row>
    <row r="484" spans="1:10" x14ac:dyDescent="0.2">
      <c r="A484" s="69">
        <v>10000001177</v>
      </c>
      <c r="B484" s="69" t="s">
        <v>220</v>
      </c>
      <c r="C484" s="100">
        <v>1</v>
      </c>
      <c r="D484" s="69" t="e">
        <v>#N/A</v>
      </c>
      <c r="E484" s="69" t="e">
        <v>#N/A</v>
      </c>
      <c r="F484" s="69" t="s">
        <v>246</v>
      </c>
      <c r="G484" s="69" t="s">
        <v>789</v>
      </c>
      <c r="H484" s="69">
        <v>0</v>
      </c>
      <c r="I484" s="69" t="s">
        <v>247</v>
      </c>
      <c r="J484" s="69">
        <v>42</v>
      </c>
    </row>
    <row r="485" spans="1:10" x14ac:dyDescent="0.2">
      <c r="A485" s="69">
        <v>10000001178</v>
      </c>
      <c r="B485" s="69" t="s">
        <v>220</v>
      </c>
      <c r="C485" s="100">
        <v>1</v>
      </c>
      <c r="D485" s="69" t="e">
        <v>#N/A</v>
      </c>
      <c r="E485" s="69" t="e">
        <v>#N/A</v>
      </c>
      <c r="F485" s="69" t="s">
        <v>246</v>
      </c>
      <c r="G485" s="69" t="s">
        <v>788</v>
      </c>
      <c r="H485" s="69">
        <v>0</v>
      </c>
      <c r="I485" s="69" t="s">
        <v>247</v>
      </c>
      <c r="J485" s="69">
        <v>42</v>
      </c>
    </row>
    <row r="486" spans="1:10" x14ac:dyDescent="0.2">
      <c r="A486" s="69">
        <v>10000001179</v>
      </c>
      <c r="B486" s="69" t="s">
        <v>221</v>
      </c>
      <c r="C486" s="100">
        <v>5</v>
      </c>
      <c r="D486" s="69" t="e">
        <v>#N/A</v>
      </c>
      <c r="E486" s="69" t="e">
        <v>#N/A</v>
      </c>
      <c r="F486" s="69" t="s">
        <v>246</v>
      </c>
      <c r="G486" s="69" t="s">
        <v>787</v>
      </c>
      <c r="H486" s="69">
        <v>0</v>
      </c>
      <c r="I486" s="69" t="s">
        <v>257</v>
      </c>
      <c r="J486" s="69">
        <v>42</v>
      </c>
    </row>
    <row r="487" spans="1:10" x14ac:dyDescent="0.2">
      <c r="A487" s="69">
        <v>10000001180</v>
      </c>
      <c r="B487" s="69" t="s">
        <v>221</v>
      </c>
      <c r="C487" s="100">
        <v>5</v>
      </c>
      <c r="D487" s="69" t="e">
        <v>#N/A</v>
      </c>
      <c r="E487" s="69" t="e">
        <v>#N/A</v>
      </c>
      <c r="F487" s="69" t="s">
        <v>246</v>
      </c>
      <c r="G487" s="69" t="s">
        <v>786</v>
      </c>
      <c r="H487" s="69">
        <v>0</v>
      </c>
      <c r="I487" s="69" t="s">
        <v>257</v>
      </c>
      <c r="J487" s="69">
        <v>42</v>
      </c>
    </row>
    <row r="488" spans="1:10" x14ac:dyDescent="0.2">
      <c r="A488" s="69">
        <v>10000001181</v>
      </c>
      <c r="B488" s="69" t="s">
        <v>221</v>
      </c>
      <c r="C488" s="100" t="s">
        <v>221</v>
      </c>
      <c r="D488" s="69" t="e">
        <v>#N/A</v>
      </c>
      <c r="E488" s="69" t="e">
        <v>#N/A</v>
      </c>
      <c r="F488" s="69" t="s">
        <v>246</v>
      </c>
      <c r="G488" s="69" t="s">
        <v>785</v>
      </c>
      <c r="H488" s="69">
        <v>0</v>
      </c>
      <c r="I488" s="69" t="s">
        <v>257</v>
      </c>
      <c r="J488" s="69">
        <v>42</v>
      </c>
    </row>
    <row r="489" spans="1:10" x14ac:dyDescent="0.2">
      <c r="A489" s="69">
        <v>10000001182</v>
      </c>
      <c r="B489" s="69" t="s">
        <v>221</v>
      </c>
      <c r="C489" s="100" t="s">
        <v>221</v>
      </c>
      <c r="D489" s="69" t="e">
        <v>#N/A</v>
      </c>
      <c r="E489" s="69" t="e">
        <v>#N/A</v>
      </c>
      <c r="F489" s="69" t="s">
        <v>246</v>
      </c>
      <c r="G489" s="69" t="s">
        <v>784</v>
      </c>
      <c r="H489" s="69">
        <v>0</v>
      </c>
      <c r="I489" s="69" t="s">
        <v>257</v>
      </c>
      <c r="J489" s="69">
        <v>42</v>
      </c>
    </row>
    <row r="490" spans="1:10" x14ac:dyDescent="0.2">
      <c r="A490" s="69">
        <v>10000001183</v>
      </c>
      <c r="B490" s="69" t="s">
        <v>221</v>
      </c>
      <c r="C490" s="100" t="s">
        <v>221</v>
      </c>
      <c r="D490" s="69" t="e">
        <v>#N/A</v>
      </c>
      <c r="E490" s="69" t="e">
        <v>#N/A</v>
      </c>
      <c r="F490" s="69" t="s">
        <v>246</v>
      </c>
      <c r="G490" s="69" t="s">
        <v>736</v>
      </c>
      <c r="H490" s="69">
        <v>0</v>
      </c>
      <c r="I490" s="69" t="s">
        <v>257</v>
      </c>
      <c r="J490" s="69">
        <v>42</v>
      </c>
    </row>
    <row r="491" spans="1:10" x14ac:dyDescent="0.2">
      <c r="A491" s="69">
        <v>10000001184</v>
      </c>
      <c r="B491" s="69" t="s">
        <v>221</v>
      </c>
      <c r="C491" s="100" t="s">
        <v>221</v>
      </c>
      <c r="D491" s="69" t="e">
        <v>#N/A</v>
      </c>
      <c r="E491" s="69" t="e">
        <v>#N/A</v>
      </c>
      <c r="F491" s="69" t="s">
        <v>246</v>
      </c>
      <c r="G491" s="69" t="s">
        <v>783</v>
      </c>
      <c r="H491" s="69">
        <v>0</v>
      </c>
      <c r="I491" s="69" t="s">
        <v>257</v>
      </c>
      <c r="J491" s="69">
        <v>42</v>
      </c>
    </row>
    <row r="492" spans="1:10" x14ac:dyDescent="0.2">
      <c r="A492" s="69">
        <v>10000001185</v>
      </c>
      <c r="B492" s="69" t="s">
        <v>221</v>
      </c>
      <c r="C492" s="100">
        <v>5</v>
      </c>
      <c r="D492" s="69" t="e">
        <v>#N/A</v>
      </c>
      <c r="E492" s="69" t="e">
        <v>#N/A</v>
      </c>
      <c r="F492" s="69" t="s">
        <v>246</v>
      </c>
      <c r="G492" s="69" t="s">
        <v>782</v>
      </c>
      <c r="H492" s="69">
        <v>0</v>
      </c>
      <c r="I492" s="69" t="s">
        <v>257</v>
      </c>
      <c r="J492" s="69">
        <v>42</v>
      </c>
    </row>
    <row r="493" spans="1:10" x14ac:dyDescent="0.2">
      <c r="A493" s="69">
        <v>10000001186</v>
      </c>
      <c r="B493" s="69" t="s">
        <v>221</v>
      </c>
      <c r="C493" s="100">
        <v>5</v>
      </c>
      <c r="D493" s="69" t="e">
        <v>#N/A</v>
      </c>
      <c r="E493" s="69" t="e">
        <v>#N/A</v>
      </c>
      <c r="F493" s="69" t="s">
        <v>246</v>
      </c>
      <c r="G493" s="69" t="s">
        <v>781</v>
      </c>
      <c r="H493" s="69">
        <v>0</v>
      </c>
      <c r="I493" s="69" t="s">
        <v>257</v>
      </c>
      <c r="J493" s="69">
        <v>42</v>
      </c>
    </row>
    <row r="494" spans="1:10" x14ac:dyDescent="0.2">
      <c r="A494" s="69">
        <v>10000001187</v>
      </c>
      <c r="B494" s="69" t="s">
        <v>221</v>
      </c>
      <c r="C494" s="100">
        <v>1</v>
      </c>
      <c r="D494" s="69" t="e">
        <v>#N/A</v>
      </c>
      <c r="E494" s="69" t="e">
        <v>#N/A</v>
      </c>
      <c r="F494" s="69" t="s">
        <v>246</v>
      </c>
      <c r="G494" s="69" t="s">
        <v>780</v>
      </c>
      <c r="H494" s="69">
        <v>0</v>
      </c>
      <c r="I494" s="69" t="s">
        <v>257</v>
      </c>
      <c r="J494" s="69">
        <v>42</v>
      </c>
    </row>
    <row r="495" spans="1:10" x14ac:dyDescent="0.2">
      <c r="A495" s="69">
        <v>10000001188</v>
      </c>
      <c r="B495" s="69" t="s">
        <v>262</v>
      </c>
      <c r="C495" s="100">
        <v>1</v>
      </c>
      <c r="D495" s="69" t="e">
        <v>#N/A</v>
      </c>
      <c r="E495" s="69" t="e">
        <v>#N/A</v>
      </c>
      <c r="F495" s="69" t="s">
        <v>246</v>
      </c>
      <c r="G495" s="69" t="s">
        <v>779</v>
      </c>
      <c r="H495" s="69">
        <v>0</v>
      </c>
      <c r="I495" s="69" t="s">
        <v>261</v>
      </c>
      <c r="J495" s="69">
        <v>42</v>
      </c>
    </row>
    <row r="496" spans="1:10" x14ac:dyDescent="0.2">
      <c r="A496" s="69">
        <v>10000001189</v>
      </c>
      <c r="B496" s="69" t="s">
        <v>262</v>
      </c>
      <c r="C496" s="100">
        <v>10</v>
      </c>
      <c r="D496" s="69" t="e">
        <v>#N/A</v>
      </c>
      <c r="E496" s="69" t="e">
        <v>#N/A</v>
      </c>
      <c r="F496" s="69" t="s">
        <v>246</v>
      </c>
      <c r="G496" s="69" t="s">
        <v>778</v>
      </c>
      <c r="H496" s="69">
        <v>0</v>
      </c>
      <c r="I496" s="69" t="s">
        <v>261</v>
      </c>
      <c r="J496" s="69">
        <v>42</v>
      </c>
    </row>
    <row r="497" spans="1:10" x14ac:dyDescent="0.2">
      <c r="A497" s="69">
        <v>10000001190</v>
      </c>
      <c r="B497" s="69" t="s">
        <v>262</v>
      </c>
      <c r="C497" s="100">
        <v>5</v>
      </c>
      <c r="D497" s="69" t="e">
        <v>#N/A</v>
      </c>
      <c r="E497" s="69" t="e">
        <v>#N/A</v>
      </c>
      <c r="F497" s="69" t="s">
        <v>246</v>
      </c>
      <c r="G497" s="69" t="s">
        <v>777</v>
      </c>
      <c r="H497" s="69">
        <v>0</v>
      </c>
      <c r="I497" s="69" t="s">
        <v>261</v>
      </c>
      <c r="J497" s="69">
        <v>42</v>
      </c>
    </row>
    <row r="498" spans="1:10" x14ac:dyDescent="0.2">
      <c r="A498" s="69">
        <v>10000001198</v>
      </c>
      <c r="C498" s="100">
        <v>23</v>
      </c>
      <c r="G498" s="69" t="s">
        <v>1714</v>
      </c>
      <c r="J498" s="69">
        <v>23</v>
      </c>
    </row>
    <row r="499" spans="1:10" x14ac:dyDescent="0.2">
      <c r="A499" s="69">
        <v>10000001199</v>
      </c>
      <c r="C499" s="100">
        <v>23</v>
      </c>
      <c r="G499" s="69" t="s">
        <v>1715</v>
      </c>
      <c r="J499" s="69">
        <v>23</v>
      </c>
    </row>
    <row r="500" spans="1:10" x14ac:dyDescent="0.2">
      <c r="A500" s="69">
        <v>10000001200</v>
      </c>
      <c r="B500" s="69" t="s">
        <v>220</v>
      </c>
      <c r="C500" s="100" t="s">
        <v>220</v>
      </c>
      <c r="D500" s="69" t="e">
        <v>#N/A</v>
      </c>
      <c r="E500" s="69" t="e">
        <v>#N/A</v>
      </c>
      <c r="F500" s="69" t="s">
        <v>246</v>
      </c>
      <c r="G500" s="69" t="s">
        <v>768</v>
      </c>
      <c r="H500" s="69">
        <v>0</v>
      </c>
      <c r="I500" s="69" t="s">
        <v>247</v>
      </c>
      <c r="J500" s="69">
        <v>42</v>
      </c>
    </row>
    <row r="501" spans="1:10" x14ac:dyDescent="0.2">
      <c r="A501" s="69">
        <v>10000001201</v>
      </c>
      <c r="B501" s="69" t="s">
        <v>220</v>
      </c>
      <c r="C501" s="100">
        <v>1</v>
      </c>
      <c r="D501" s="69" t="e">
        <v>#N/A</v>
      </c>
      <c r="E501" s="69" t="e">
        <v>#N/A</v>
      </c>
      <c r="F501" s="69" t="s">
        <v>246</v>
      </c>
      <c r="G501" s="69" t="s">
        <v>767</v>
      </c>
      <c r="H501" s="69">
        <v>0</v>
      </c>
      <c r="I501" s="69" t="s">
        <v>247</v>
      </c>
      <c r="J501" s="69">
        <v>42</v>
      </c>
    </row>
    <row r="502" spans="1:10" x14ac:dyDescent="0.2">
      <c r="A502" s="69">
        <v>10000001202</v>
      </c>
      <c r="B502" s="69" t="s">
        <v>220</v>
      </c>
      <c r="C502" s="100">
        <v>1</v>
      </c>
      <c r="D502" s="69" t="e">
        <v>#N/A</v>
      </c>
      <c r="E502" s="69" t="e">
        <v>#N/A</v>
      </c>
      <c r="F502" s="69" t="s">
        <v>246</v>
      </c>
      <c r="G502" s="69" t="s">
        <v>766</v>
      </c>
      <c r="H502" s="69">
        <v>0</v>
      </c>
      <c r="I502" s="69" t="s">
        <v>247</v>
      </c>
      <c r="J502" s="69">
        <v>42</v>
      </c>
    </row>
    <row r="503" spans="1:10" x14ac:dyDescent="0.2">
      <c r="A503" s="69">
        <v>10000001203</v>
      </c>
      <c r="B503" s="69" t="s">
        <v>220</v>
      </c>
      <c r="C503" s="100">
        <v>1</v>
      </c>
      <c r="D503" s="69" t="e">
        <v>#N/A</v>
      </c>
      <c r="E503" s="69" t="e">
        <v>#N/A</v>
      </c>
      <c r="F503" s="69" t="s">
        <v>246</v>
      </c>
      <c r="G503" s="69" t="s">
        <v>765</v>
      </c>
      <c r="H503" s="69">
        <v>0</v>
      </c>
      <c r="I503" s="69" t="s">
        <v>247</v>
      </c>
      <c r="J503" s="69">
        <v>42</v>
      </c>
    </row>
    <row r="504" spans="1:10" x14ac:dyDescent="0.2">
      <c r="A504" s="69">
        <v>10000001204</v>
      </c>
      <c r="B504" s="69" t="s">
        <v>220</v>
      </c>
      <c r="C504" s="100" t="s">
        <v>220</v>
      </c>
      <c r="D504" s="69" t="e">
        <v>#N/A</v>
      </c>
      <c r="E504" s="69" t="e">
        <v>#N/A</v>
      </c>
      <c r="F504" s="69" t="s">
        <v>246</v>
      </c>
      <c r="G504" s="69" t="s">
        <v>764</v>
      </c>
      <c r="H504" s="69">
        <v>0</v>
      </c>
      <c r="I504" s="69" t="s">
        <v>247</v>
      </c>
      <c r="J504" s="69">
        <v>42</v>
      </c>
    </row>
    <row r="505" spans="1:10" x14ac:dyDescent="0.2">
      <c r="A505" s="69">
        <v>10000001205</v>
      </c>
      <c r="B505" s="69" t="s">
        <v>220</v>
      </c>
      <c r="C505" s="100">
        <v>1</v>
      </c>
      <c r="D505" s="69" t="e">
        <v>#N/A</v>
      </c>
      <c r="E505" s="69" t="e">
        <v>#N/A</v>
      </c>
      <c r="F505" s="69" t="s">
        <v>246</v>
      </c>
      <c r="G505" s="69" t="s">
        <v>763</v>
      </c>
      <c r="H505" s="69">
        <v>0</v>
      </c>
      <c r="I505" s="69" t="s">
        <v>247</v>
      </c>
      <c r="J505" s="69">
        <v>42</v>
      </c>
    </row>
    <row r="506" spans="1:10" x14ac:dyDescent="0.2">
      <c r="A506" s="69">
        <v>10000001206</v>
      </c>
      <c r="B506" s="69" t="s">
        <v>220</v>
      </c>
      <c r="C506" s="100">
        <v>5</v>
      </c>
      <c r="D506" s="69" t="e">
        <v>#N/A</v>
      </c>
      <c r="E506" s="69" t="e">
        <v>#N/A</v>
      </c>
      <c r="F506" s="69" t="s">
        <v>246</v>
      </c>
      <c r="G506" s="69" t="s">
        <v>762</v>
      </c>
      <c r="H506" s="69">
        <v>0</v>
      </c>
      <c r="I506" s="69" t="s">
        <v>247</v>
      </c>
      <c r="J506" s="69">
        <v>42</v>
      </c>
    </row>
    <row r="507" spans="1:10" x14ac:dyDescent="0.2">
      <c r="A507" s="69">
        <v>10000001207</v>
      </c>
      <c r="B507" s="69" t="s">
        <v>220</v>
      </c>
      <c r="C507" s="100">
        <v>5</v>
      </c>
      <c r="D507" s="69" t="e">
        <v>#N/A</v>
      </c>
      <c r="E507" s="69" t="e">
        <v>#N/A</v>
      </c>
      <c r="F507" s="69" t="s">
        <v>246</v>
      </c>
      <c r="G507" s="69" t="s">
        <v>761</v>
      </c>
      <c r="H507" s="69">
        <v>0</v>
      </c>
      <c r="I507" s="69" t="s">
        <v>247</v>
      </c>
      <c r="J507" s="69">
        <v>42</v>
      </c>
    </row>
    <row r="508" spans="1:10" x14ac:dyDescent="0.2">
      <c r="A508" s="69">
        <v>10000001208</v>
      </c>
      <c r="B508" s="69" t="s">
        <v>220</v>
      </c>
      <c r="C508" s="100">
        <v>5</v>
      </c>
      <c r="D508" s="69" t="e">
        <v>#N/A</v>
      </c>
      <c r="E508" s="69" t="e">
        <v>#N/A</v>
      </c>
      <c r="F508" s="69" t="s">
        <v>246</v>
      </c>
      <c r="G508" s="69" t="s">
        <v>760</v>
      </c>
      <c r="H508" s="69">
        <v>0</v>
      </c>
      <c r="I508" s="69" t="s">
        <v>247</v>
      </c>
      <c r="J508" s="69">
        <v>42</v>
      </c>
    </row>
    <row r="509" spans="1:10" x14ac:dyDescent="0.2">
      <c r="A509" s="69">
        <v>10000001209</v>
      </c>
      <c r="B509" s="69" t="s">
        <v>220</v>
      </c>
      <c r="C509" s="100">
        <v>5</v>
      </c>
      <c r="D509" s="69" t="e">
        <v>#N/A</v>
      </c>
      <c r="E509" s="69" t="e">
        <v>#N/A</v>
      </c>
      <c r="F509" s="69" t="s">
        <v>246</v>
      </c>
      <c r="G509" s="69" t="s">
        <v>759</v>
      </c>
      <c r="H509" s="69">
        <v>0</v>
      </c>
      <c r="I509" s="69" t="s">
        <v>247</v>
      </c>
      <c r="J509" s="69">
        <v>42</v>
      </c>
    </row>
    <row r="510" spans="1:10" x14ac:dyDescent="0.2">
      <c r="A510" s="69">
        <v>10000001210</v>
      </c>
      <c r="B510" s="69" t="s">
        <v>220</v>
      </c>
      <c r="C510" s="100">
        <v>5</v>
      </c>
      <c r="D510" s="69" t="e">
        <v>#N/A</v>
      </c>
      <c r="E510" s="69" t="e">
        <v>#N/A</v>
      </c>
      <c r="F510" s="69" t="s">
        <v>246</v>
      </c>
      <c r="G510" s="69" t="s">
        <v>758</v>
      </c>
      <c r="H510" s="69">
        <v>0</v>
      </c>
      <c r="I510" s="69" t="s">
        <v>247</v>
      </c>
      <c r="J510" s="69">
        <v>42</v>
      </c>
    </row>
    <row r="511" spans="1:10" x14ac:dyDescent="0.2">
      <c r="A511" s="69">
        <v>10000001211</v>
      </c>
      <c r="B511" s="69" t="s">
        <v>220</v>
      </c>
      <c r="C511" s="100">
        <v>5</v>
      </c>
      <c r="D511" s="69" t="e">
        <v>#N/A</v>
      </c>
      <c r="E511" s="69" t="e">
        <v>#N/A</v>
      </c>
      <c r="F511" s="69" t="s">
        <v>246</v>
      </c>
      <c r="G511" s="69" t="s">
        <v>757</v>
      </c>
      <c r="H511" s="69">
        <v>0</v>
      </c>
      <c r="I511" s="69" t="s">
        <v>247</v>
      </c>
      <c r="J511" s="69">
        <v>42</v>
      </c>
    </row>
    <row r="512" spans="1:10" x14ac:dyDescent="0.2">
      <c r="A512" s="69">
        <v>10000001212</v>
      </c>
      <c r="C512" s="100">
        <v>23</v>
      </c>
      <c r="G512" s="69" t="s">
        <v>557</v>
      </c>
      <c r="H512" s="69">
        <v>0</v>
      </c>
      <c r="J512" s="69">
        <v>42</v>
      </c>
    </row>
    <row r="513" spans="1:10" x14ac:dyDescent="0.2">
      <c r="A513" s="69">
        <v>10000001213</v>
      </c>
      <c r="B513" s="69" t="s">
        <v>220</v>
      </c>
      <c r="C513" s="100">
        <v>5</v>
      </c>
      <c r="D513" s="69" t="e">
        <v>#N/A</v>
      </c>
      <c r="E513" s="69" t="e">
        <v>#N/A</v>
      </c>
      <c r="F513" s="69" t="s">
        <v>246</v>
      </c>
      <c r="G513" s="69" t="s">
        <v>756</v>
      </c>
      <c r="H513" s="69">
        <v>0</v>
      </c>
      <c r="I513" s="69" t="s">
        <v>247</v>
      </c>
      <c r="J513" s="69">
        <v>42</v>
      </c>
    </row>
    <row r="514" spans="1:10" x14ac:dyDescent="0.2">
      <c r="A514" s="69">
        <v>10000001214</v>
      </c>
      <c r="B514" s="69" t="s">
        <v>220</v>
      </c>
      <c r="C514" s="100">
        <v>5</v>
      </c>
      <c r="D514" s="69" t="e">
        <v>#N/A</v>
      </c>
      <c r="E514" s="69" t="e">
        <v>#N/A</v>
      </c>
      <c r="F514" s="69" t="s">
        <v>246</v>
      </c>
      <c r="G514" s="69" t="s">
        <v>755</v>
      </c>
      <c r="H514" s="69">
        <v>0</v>
      </c>
      <c r="I514" s="69" t="s">
        <v>247</v>
      </c>
      <c r="J514" s="69">
        <v>42</v>
      </c>
    </row>
    <row r="515" spans="1:10" x14ac:dyDescent="0.2">
      <c r="A515" s="69">
        <v>10000001215</v>
      </c>
      <c r="B515" s="69" t="s">
        <v>220</v>
      </c>
      <c r="C515" s="100">
        <v>5</v>
      </c>
      <c r="D515" s="69" t="e">
        <v>#N/A</v>
      </c>
      <c r="E515" s="69" t="e">
        <v>#N/A</v>
      </c>
      <c r="F515" s="69" t="s">
        <v>246</v>
      </c>
      <c r="G515" s="69" t="s">
        <v>754</v>
      </c>
      <c r="H515" s="69">
        <v>0</v>
      </c>
      <c r="I515" s="69" t="s">
        <v>247</v>
      </c>
      <c r="J515" s="69">
        <v>42</v>
      </c>
    </row>
    <row r="516" spans="1:10" x14ac:dyDescent="0.2">
      <c r="A516" s="69">
        <v>10000001216</v>
      </c>
      <c r="B516" s="69" t="s">
        <v>220</v>
      </c>
      <c r="C516" s="100" t="s">
        <v>220</v>
      </c>
      <c r="D516" s="69" t="e">
        <v>#N/A</v>
      </c>
      <c r="E516" s="69" t="e">
        <v>#N/A</v>
      </c>
      <c r="F516" s="69" t="s">
        <v>246</v>
      </c>
      <c r="G516" s="69" t="s">
        <v>753</v>
      </c>
      <c r="H516" s="69">
        <v>0</v>
      </c>
      <c r="I516" s="69" t="s">
        <v>247</v>
      </c>
      <c r="J516" s="69">
        <v>42</v>
      </c>
    </row>
    <row r="517" spans="1:10" x14ac:dyDescent="0.2">
      <c r="A517" s="69">
        <v>10000001217</v>
      </c>
      <c r="B517" s="69" t="s">
        <v>221</v>
      </c>
      <c r="C517" s="100">
        <v>5</v>
      </c>
      <c r="D517" s="69" t="e">
        <v>#N/A</v>
      </c>
      <c r="E517" s="69" t="e">
        <v>#N/A</v>
      </c>
      <c r="F517" s="69" t="s">
        <v>246</v>
      </c>
      <c r="G517" s="69" t="s">
        <v>752</v>
      </c>
      <c r="H517" s="69">
        <v>0</v>
      </c>
      <c r="I517" s="69" t="s">
        <v>257</v>
      </c>
      <c r="J517" s="69">
        <v>42</v>
      </c>
    </row>
    <row r="518" spans="1:10" x14ac:dyDescent="0.2">
      <c r="A518" s="69">
        <v>10000001218</v>
      </c>
      <c r="B518" s="69" t="s">
        <v>221</v>
      </c>
      <c r="C518" s="100">
        <v>5</v>
      </c>
      <c r="D518" s="69" t="e">
        <v>#N/A</v>
      </c>
      <c r="E518" s="69" t="e">
        <v>#N/A</v>
      </c>
      <c r="F518" s="69" t="s">
        <v>246</v>
      </c>
      <c r="G518" s="69" t="s">
        <v>751</v>
      </c>
      <c r="H518" s="69">
        <v>0</v>
      </c>
      <c r="I518" s="69" t="s">
        <v>257</v>
      </c>
      <c r="J518" s="69">
        <v>42</v>
      </c>
    </row>
    <row r="519" spans="1:10" x14ac:dyDescent="0.2">
      <c r="A519" s="69">
        <v>10000001219</v>
      </c>
      <c r="B519" s="69" t="s">
        <v>221</v>
      </c>
      <c r="C519" s="100">
        <v>5</v>
      </c>
      <c r="D519" s="69" t="e">
        <v>#N/A</v>
      </c>
      <c r="E519" s="69" t="e">
        <v>#N/A</v>
      </c>
      <c r="F519" s="69" t="s">
        <v>246</v>
      </c>
      <c r="G519" s="69" t="s">
        <v>750</v>
      </c>
      <c r="H519" s="69">
        <v>0</v>
      </c>
      <c r="I519" s="69" t="s">
        <v>257</v>
      </c>
      <c r="J519" s="69">
        <v>42</v>
      </c>
    </row>
    <row r="520" spans="1:10" x14ac:dyDescent="0.2">
      <c r="A520" s="69">
        <v>10000001220</v>
      </c>
      <c r="B520" s="69" t="s">
        <v>221</v>
      </c>
      <c r="C520" s="100">
        <v>5</v>
      </c>
      <c r="D520" s="69" t="e">
        <v>#N/A</v>
      </c>
      <c r="E520" s="69" t="e">
        <v>#N/A</v>
      </c>
      <c r="F520" s="69" t="s">
        <v>246</v>
      </c>
      <c r="G520" s="69" t="s">
        <v>749</v>
      </c>
      <c r="H520" s="69">
        <v>0</v>
      </c>
      <c r="I520" s="69" t="s">
        <v>257</v>
      </c>
      <c r="J520" s="69">
        <v>42</v>
      </c>
    </row>
    <row r="521" spans="1:10" x14ac:dyDescent="0.2">
      <c r="A521" s="69">
        <v>10000001221</v>
      </c>
      <c r="B521" s="69" t="s">
        <v>221</v>
      </c>
      <c r="C521" s="100" t="s">
        <v>221</v>
      </c>
      <c r="D521" s="69" t="e">
        <v>#N/A</v>
      </c>
      <c r="E521" s="69" t="e">
        <v>#N/A</v>
      </c>
      <c r="F521" s="69" t="s">
        <v>246</v>
      </c>
      <c r="G521" s="69" t="s">
        <v>748</v>
      </c>
      <c r="H521" s="69">
        <v>0</v>
      </c>
      <c r="I521" s="69" t="s">
        <v>257</v>
      </c>
      <c r="J521" s="69">
        <v>42</v>
      </c>
    </row>
    <row r="522" spans="1:10" x14ac:dyDescent="0.2">
      <c r="A522" s="69">
        <v>10000001222</v>
      </c>
      <c r="B522" s="69" t="s">
        <v>221</v>
      </c>
      <c r="C522" s="100">
        <v>5</v>
      </c>
      <c r="D522" s="69" t="e">
        <v>#N/A</v>
      </c>
      <c r="E522" s="69" t="e">
        <v>#N/A</v>
      </c>
      <c r="F522" s="69" t="s">
        <v>246</v>
      </c>
      <c r="G522" s="69" t="s">
        <v>747</v>
      </c>
      <c r="H522" s="69">
        <v>0</v>
      </c>
      <c r="I522" s="69" t="s">
        <v>257</v>
      </c>
      <c r="J522" s="69">
        <v>42</v>
      </c>
    </row>
    <row r="523" spans="1:10" x14ac:dyDescent="0.2">
      <c r="A523" s="69">
        <v>10000001223</v>
      </c>
      <c r="B523" s="69" t="s">
        <v>221</v>
      </c>
      <c r="C523" s="100">
        <v>5</v>
      </c>
      <c r="D523" s="69" t="e">
        <v>#N/A</v>
      </c>
      <c r="E523" s="69" t="e">
        <v>#N/A</v>
      </c>
      <c r="F523" s="69" t="s">
        <v>246</v>
      </c>
      <c r="G523" s="69" t="s">
        <v>746</v>
      </c>
      <c r="H523" s="69">
        <v>0</v>
      </c>
      <c r="I523" s="69" t="s">
        <v>257</v>
      </c>
      <c r="J523" s="69">
        <v>42</v>
      </c>
    </row>
    <row r="524" spans="1:10" x14ac:dyDescent="0.2">
      <c r="A524" s="69">
        <v>10000001224</v>
      </c>
      <c r="B524" s="69" t="s">
        <v>221</v>
      </c>
      <c r="C524" s="100" t="s">
        <v>221</v>
      </c>
      <c r="D524" s="69" t="e">
        <v>#N/A</v>
      </c>
      <c r="E524" s="69" t="e">
        <v>#N/A</v>
      </c>
      <c r="F524" s="69" t="s">
        <v>246</v>
      </c>
      <c r="G524" s="69" t="s">
        <v>745</v>
      </c>
      <c r="H524" s="69">
        <v>0</v>
      </c>
      <c r="I524" s="69" t="s">
        <v>257</v>
      </c>
      <c r="J524" s="69">
        <v>42</v>
      </c>
    </row>
    <row r="525" spans="1:10" x14ac:dyDescent="0.2">
      <c r="A525" s="69">
        <v>10000001225</v>
      </c>
      <c r="B525" s="69" t="s">
        <v>221</v>
      </c>
      <c r="C525" s="100">
        <v>5</v>
      </c>
      <c r="D525" s="69" t="e">
        <v>#N/A</v>
      </c>
      <c r="E525" s="69" t="e">
        <v>#N/A</v>
      </c>
      <c r="F525" s="69" t="s">
        <v>246</v>
      </c>
      <c r="G525" s="69" t="s">
        <v>744</v>
      </c>
      <c r="H525" s="69">
        <v>0</v>
      </c>
      <c r="I525" s="69" t="s">
        <v>257</v>
      </c>
      <c r="J525" s="69">
        <v>42</v>
      </c>
    </row>
    <row r="526" spans="1:10" x14ac:dyDescent="0.2">
      <c r="A526" s="69">
        <v>10000001226</v>
      </c>
      <c r="C526" s="100">
        <v>23</v>
      </c>
      <c r="G526" s="69" t="s">
        <v>544</v>
      </c>
      <c r="H526" s="69">
        <v>0</v>
      </c>
      <c r="J526" s="69">
        <v>42</v>
      </c>
    </row>
    <row r="527" spans="1:10" x14ac:dyDescent="0.2">
      <c r="A527" s="69">
        <v>10000001227</v>
      </c>
      <c r="B527" s="69" t="s">
        <v>221</v>
      </c>
      <c r="C527" s="100" t="s">
        <v>221</v>
      </c>
      <c r="D527" s="69" t="s">
        <v>1270</v>
      </c>
      <c r="E527" s="69">
        <v>0</v>
      </c>
      <c r="F527" s="69" t="s">
        <v>246</v>
      </c>
      <c r="G527" s="69" t="s">
        <v>743</v>
      </c>
      <c r="H527" s="69">
        <v>0</v>
      </c>
      <c r="I527" s="69" t="s">
        <v>257</v>
      </c>
      <c r="J527" s="69">
        <v>42</v>
      </c>
    </row>
    <row r="528" spans="1:10" x14ac:dyDescent="0.2">
      <c r="A528" s="69">
        <v>10000001228</v>
      </c>
      <c r="B528" s="69" t="s">
        <v>221</v>
      </c>
      <c r="C528" s="100" t="s">
        <v>221</v>
      </c>
      <c r="D528" s="69" t="e">
        <v>#N/A</v>
      </c>
      <c r="E528" s="69" t="e">
        <v>#N/A</v>
      </c>
      <c r="F528" s="69" t="s">
        <v>246</v>
      </c>
      <c r="G528" s="69" t="s">
        <v>742</v>
      </c>
      <c r="H528" s="69">
        <v>0</v>
      </c>
      <c r="I528" s="69" t="s">
        <v>257</v>
      </c>
      <c r="J528" s="69">
        <v>42</v>
      </c>
    </row>
    <row r="529" spans="1:10" x14ac:dyDescent="0.2">
      <c r="A529" s="69">
        <v>10000001229</v>
      </c>
      <c r="B529" s="69" t="s">
        <v>221</v>
      </c>
      <c r="C529" s="100" t="s">
        <v>221</v>
      </c>
      <c r="D529" s="69" t="e">
        <v>#N/A</v>
      </c>
      <c r="E529" s="69" t="e">
        <v>#N/A</v>
      </c>
      <c r="F529" s="69" t="s">
        <v>246</v>
      </c>
      <c r="G529" s="69" t="s">
        <v>741</v>
      </c>
      <c r="H529" s="69">
        <v>0</v>
      </c>
      <c r="I529" s="69" t="s">
        <v>257</v>
      </c>
      <c r="J529" s="69">
        <v>42</v>
      </c>
    </row>
    <row r="530" spans="1:10" x14ac:dyDescent="0.2">
      <c r="A530" s="69">
        <v>10000001230</v>
      </c>
      <c r="B530" s="69" t="s">
        <v>221</v>
      </c>
      <c r="C530" s="100" t="s">
        <v>221</v>
      </c>
      <c r="D530" s="69" t="e">
        <v>#N/A</v>
      </c>
      <c r="E530" s="69" t="e">
        <v>#N/A</v>
      </c>
      <c r="F530" s="69" t="s">
        <v>246</v>
      </c>
      <c r="G530" s="69" t="s">
        <v>740</v>
      </c>
      <c r="H530" s="69">
        <v>0</v>
      </c>
      <c r="I530" s="69" t="s">
        <v>257</v>
      </c>
      <c r="J530" s="69">
        <v>42</v>
      </c>
    </row>
    <row r="531" spans="1:10" x14ac:dyDescent="0.2">
      <c r="A531" s="69">
        <v>10000001231</v>
      </c>
      <c r="B531" s="69" t="s">
        <v>221</v>
      </c>
      <c r="C531" s="100" t="s">
        <v>221</v>
      </c>
      <c r="D531" s="69" t="e">
        <v>#N/A</v>
      </c>
      <c r="E531" s="69" t="e">
        <v>#N/A</v>
      </c>
      <c r="F531" s="69" t="s">
        <v>246</v>
      </c>
      <c r="G531" s="69" t="s">
        <v>739</v>
      </c>
      <c r="H531" s="69">
        <v>0</v>
      </c>
      <c r="I531" s="69" t="s">
        <v>257</v>
      </c>
      <c r="J531" s="69">
        <v>42</v>
      </c>
    </row>
    <row r="532" spans="1:10" x14ac:dyDescent="0.2">
      <c r="A532" s="69">
        <v>10000001232</v>
      </c>
      <c r="B532" s="69" t="s">
        <v>221</v>
      </c>
      <c r="C532" s="100">
        <v>5</v>
      </c>
      <c r="D532" s="69" t="e">
        <v>#N/A</v>
      </c>
      <c r="E532" s="69" t="e">
        <v>#N/A</v>
      </c>
      <c r="F532" s="69" t="s">
        <v>246</v>
      </c>
      <c r="G532" s="69" t="s">
        <v>738</v>
      </c>
      <c r="H532" s="69">
        <v>0</v>
      </c>
      <c r="I532" s="69" t="s">
        <v>257</v>
      </c>
      <c r="J532" s="69">
        <v>42</v>
      </c>
    </row>
    <row r="533" spans="1:10" x14ac:dyDescent="0.2">
      <c r="A533" s="69">
        <v>10000001233</v>
      </c>
      <c r="B533" s="69" t="s">
        <v>221</v>
      </c>
      <c r="C533" s="100">
        <v>5</v>
      </c>
      <c r="D533" s="69" t="e">
        <v>#N/A</v>
      </c>
      <c r="E533" s="69" t="e">
        <v>#N/A</v>
      </c>
      <c r="F533" s="69" t="s">
        <v>246</v>
      </c>
      <c r="G533" s="69" t="s">
        <v>186</v>
      </c>
      <c r="H533" s="69">
        <v>0</v>
      </c>
      <c r="I533" s="69" t="s">
        <v>257</v>
      </c>
      <c r="J533" s="69">
        <v>42</v>
      </c>
    </row>
    <row r="534" spans="1:10" x14ac:dyDescent="0.2">
      <c r="A534" s="69">
        <v>10000001234</v>
      </c>
      <c r="B534" s="69" t="s">
        <v>221</v>
      </c>
      <c r="C534" s="100">
        <v>5</v>
      </c>
      <c r="D534" s="69" t="e">
        <v>#N/A</v>
      </c>
      <c r="E534" s="69" t="e">
        <v>#N/A</v>
      </c>
      <c r="F534" s="69" t="s">
        <v>246</v>
      </c>
      <c r="G534" s="69" t="s">
        <v>737</v>
      </c>
      <c r="H534" s="69">
        <v>0</v>
      </c>
      <c r="I534" s="69" t="s">
        <v>257</v>
      </c>
      <c r="J534" s="69">
        <v>42</v>
      </c>
    </row>
    <row r="535" spans="1:10" x14ac:dyDescent="0.2">
      <c r="A535" s="69">
        <v>10000001235</v>
      </c>
      <c r="B535" s="69" t="s">
        <v>221</v>
      </c>
      <c r="C535" s="100">
        <v>5</v>
      </c>
      <c r="D535" s="69" t="e">
        <v>#N/A</v>
      </c>
      <c r="E535" s="69" t="e">
        <v>#N/A</v>
      </c>
      <c r="F535" s="69" t="s">
        <v>246</v>
      </c>
      <c r="G535" s="69" t="s">
        <v>736</v>
      </c>
      <c r="H535" s="69">
        <v>0</v>
      </c>
      <c r="I535" s="69" t="s">
        <v>257</v>
      </c>
      <c r="J535" s="69">
        <v>42</v>
      </c>
    </row>
    <row r="536" spans="1:10" x14ac:dyDescent="0.2">
      <c r="A536" s="69">
        <v>10000001236</v>
      </c>
      <c r="B536" s="69" t="s">
        <v>221</v>
      </c>
      <c r="C536" s="100" t="s">
        <v>221</v>
      </c>
      <c r="D536" s="69" t="e">
        <v>#N/A</v>
      </c>
      <c r="E536" s="69" t="e">
        <v>#N/A</v>
      </c>
      <c r="F536" s="69" t="s">
        <v>246</v>
      </c>
      <c r="G536" s="69" t="s">
        <v>735</v>
      </c>
      <c r="H536" s="69">
        <v>0</v>
      </c>
      <c r="I536" s="69" t="s">
        <v>257</v>
      </c>
      <c r="J536" s="69">
        <v>42</v>
      </c>
    </row>
    <row r="537" spans="1:10" x14ac:dyDescent="0.2">
      <c r="A537" s="69">
        <v>10000001237</v>
      </c>
      <c r="B537" s="69" t="s">
        <v>221</v>
      </c>
      <c r="C537" s="100">
        <v>5</v>
      </c>
      <c r="D537" s="69" t="e">
        <v>#N/A</v>
      </c>
      <c r="E537" s="69" t="e">
        <v>#N/A</v>
      </c>
      <c r="F537" s="69" t="s">
        <v>246</v>
      </c>
      <c r="G537" s="69" t="s">
        <v>734</v>
      </c>
      <c r="H537" s="69">
        <v>0</v>
      </c>
      <c r="I537" s="69" t="s">
        <v>257</v>
      </c>
      <c r="J537" s="69">
        <v>42</v>
      </c>
    </row>
    <row r="538" spans="1:10" x14ac:dyDescent="0.2">
      <c r="A538" s="69">
        <v>10000001238</v>
      </c>
      <c r="B538" s="69" t="s">
        <v>221</v>
      </c>
      <c r="C538" s="100" t="s">
        <v>221</v>
      </c>
      <c r="D538" s="69" t="e">
        <v>#N/A</v>
      </c>
      <c r="E538" s="69" t="e">
        <v>#N/A</v>
      </c>
      <c r="F538" s="69" t="s">
        <v>246</v>
      </c>
      <c r="G538" s="69" t="s">
        <v>185</v>
      </c>
      <c r="H538" s="69">
        <v>0</v>
      </c>
      <c r="I538" s="69" t="s">
        <v>257</v>
      </c>
      <c r="J538" s="69">
        <v>42</v>
      </c>
    </row>
    <row r="539" spans="1:10" x14ac:dyDescent="0.2">
      <c r="A539" s="69">
        <v>10000001239</v>
      </c>
      <c r="B539" s="69" t="s">
        <v>221</v>
      </c>
      <c r="C539" s="100" t="s">
        <v>221</v>
      </c>
      <c r="D539" s="69" t="e">
        <v>#N/A</v>
      </c>
      <c r="E539" s="69" t="e">
        <v>#N/A</v>
      </c>
      <c r="F539" s="69" t="s">
        <v>246</v>
      </c>
      <c r="G539" s="69" t="s">
        <v>209</v>
      </c>
      <c r="H539" s="69">
        <v>0</v>
      </c>
      <c r="I539" s="69" t="s">
        <v>257</v>
      </c>
      <c r="J539" s="69">
        <v>42</v>
      </c>
    </row>
    <row r="540" spans="1:10" x14ac:dyDescent="0.2">
      <c r="A540" s="69">
        <v>10000001240</v>
      </c>
      <c r="C540" s="100">
        <v>23</v>
      </c>
      <c r="G540" s="69" t="s">
        <v>214</v>
      </c>
      <c r="H540" s="69">
        <v>0</v>
      </c>
      <c r="J540" s="69">
        <v>42</v>
      </c>
    </row>
    <row r="541" spans="1:10" x14ac:dyDescent="0.2">
      <c r="A541" s="69">
        <v>10000001241</v>
      </c>
      <c r="B541" s="69" t="s">
        <v>221</v>
      </c>
      <c r="C541" s="100" t="s">
        <v>221</v>
      </c>
      <c r="D541" s="69" t="e">
        <v>#N/A</v>
      </c>
      <c r="E541" s="69" t="e">
        <v>#N/A</v>
      </c>
      <c r="F541" s="69" t="s">
        <v>246</v>
      </c>
      <c r="G541" s="69" t="s">
        <v>733</v>
      </c>
      <c r="H541" s="69">
        <v>0</v>
      </c>
      <c r="I541" s="69" t="s">
        <v>257</v>
      </c>
      <c r="J541" s="69">
        <v>42</v>
      </c>
    </row>
    <row r="542" spans="1:10" x14ac:dyDescent="0.2">
      <c r="A542" s="69">
        <v>10000001242</v>
      </c>
      <c r="C542" s="100">
        <v>23</v>
      </c>
      <c r="G542" s="69" t="s">
        <v>1271</v>
      </c>
      <c r="H542" s="69">
        <v>0</v>
      </c>
      <c r="J542" s="69">
        <v>42</v>
      </c>
    </row>
    <row r="543" spans="1:10" x14ac:dyDescent="0.2">
      <c r="A543" s="69">
        <v>10000001243</v>
      </c>
      <c r="B543" s="69" t="s">
        <v>221</v>
      </c>
      <c r="C543" s="100" t="s">
        <v>221</v>
      </c>
      <c r="D543" s="69" t="e">
        <v>#N/A</v>
      </c>
      <c r="E543" s="69" t="e">
        <v>#N/A</v>
      </c>
      <c r="F543" s="69" t="s">
        <v>246</v>
      </c>
      <c r="G543" s="69" t="s">
        <v>732</v>
      </c>
      <c r="H543" s="69">
        <v>0</v>
      </c>
      <c r="I543" s="69" t="s">
        <v>257</v>
      </c>
      <c r="J543" s="69">
        <v>42</v>
      </c>
    </row>
    <row r="544" spans="1:10" x14ac:dyDescent="0.2">
      <c r="A544" s="69">
        <v>10000001244</v>
      </c>
      <c r="B544" s="69" t="s">
        <v>221</v>
      </c>
      <c r="C544" s="100" t="s">
        <v>221</v>
      </c>
      <c r="D544" s="69" t="e">
        <v>#N/A</v>
      </c>
      <c r="E544" s="69" t="e">
        <v>#N/A</v>
      </c>
      <c r="F544" s="69" t="s">
        <v>246</v>
      </c>
      <c r="G544" s="69" t="s">
        <v>731</v>
      </c>
      <c r="H544" s="69">
        <v>0</v>
      </c>
      <c r="I544" s="69" t="s">
        <v>257</v>
      </c>
      <c r="J544" s="69">
        <v>42</v>
      </c>
    </row>
    <row r="545" spans="1:10" x14ac:dyDescent="0.2">
      <c r="A545" s="69">
        <v>10000001245</v>
      </c>
      <c r="B545" s="69" t="s">
        <v>221</v>
      </c>
      <c r="C545" s="100" t="s">
        <v>221</v>
      </c>
      <c r="D545" s="69" t="e">
        <v>#N/A</v>
      </c>
      <c r="E545" s="69" t="e">
        <v>#N/A</v>
      </c>
      <c r="F545" s="69" t="s">
        <v>246</v>
      </c>
      <c r="G545" s="69" t="s">
        <v>730</v>
      </c>
      <c r="H545" s="69">
        <v>0</v>
      </c>
      <c r="I545" s="69" t="s">
        <v>257</v>
      </c>
      <c r="J545" s="69">
        <v>42</v>
      </c>
    </row>
    <row r="546" spans="1:10" x14ac:dyDescent="0.2">
      <c r="A546" s="69">
        <v>10000001246</v>
      </c>
      <c r="B546" s="69" t="s">
        <v>262</v>
      </c>
      <c r="C546" s="100">
        <v>10</v>
      </c>
      <c r="D546" s="69" t="e">
        <v>#N/A</v>
      </c>
      <c r="E546" s="69" t="e">
        <v>#N/A</v>
      </c>
      <c r="F546" s="69" t="s">
        <v>246</v>
      </c>
      <c r="G546" s="69" t="s">
        <v>729</v>
      </c>
      <c r="H546" s="69">
        <v>0</v>
      </c>
      <c r="I546" s="69" t="s">
        <v>261</v>
      </c>
      <c r="J546" s="69">
        <v>42</v>
      </c>
    </row>
    <row r="547" spans="1:10" x14ac:dyDescent="0.2">
      <c r="A547" s="69">
        <v>10000001247</v>
      </c>
      <c r="B547" s="69" t="s">
        <v>262</v>
      </c>
      <c r="C547" s="100">
        <v>20</v>
      </c>
      <c r="D547" s="69" t="e">
        <v>#N/A</v>
      </c>
      <c r="E547" s="69" t="e">
        <v>#N/A</v>
      </c>
      <c r="F547" s="69" t="s">
        <v>246</v>
      </c>
      <c r="G547" s="69" t="s">
        <v>728</v>
      </c>
      <c r="H547" s="69">
        <v>0</v>
      </c>
      <c r="I547" s="69" t="s">
        <v>261</v>
      </c>
      <c r="J547" s="69">
        <v>42</v>
      </c>
    </row>
    <row r="548" spans="1:10" x14ac:dyDescent="0.2">
      <c r="A548" s="69">
        <v>10000001254</v>
      </c>
      <c r="C548" s="100" t="s">
        <v>307</v>
      </c>
      <c r="G548" s="69" t="s">
        <v>528</v>
      </c>
      <c r="J548" s="69" t="s">
        <v>307</v>
      </c>
    </row>
    <row r="549" spans="1:10" x14ac:dyDescent="0.2">
      <c r="A549" s="69">
        <v>10000001257</v>
      </c>
      <c r="C549" s="100" t="s">
        <v>307</v>
      </c>
      <c r="G549" s="69" t="s">
        <v>527</v>
      </c>
      <c r="J549" s="69" t="s">
        <v>307</v>
      </c>
    </row>
    <row r="550" spans="1:10" x14ac:dyDescent="0.2">
      <c r="A550" s="69">
        <v>10000001258</v>
      </c>
      <c r="C550" s="100" t="s">
        <v>307</v>
      </c>
      <c r="G550" s="69" t="s">
        <v>526</v>
      </c>
      <c r="J550" s="69" t="s">
        <v>307</v>
      </c>
    </row>
    <row r="551" spans="1:10" x14ac:dyDescent="0.2">
      <c r="A551" s="69">
        <v>10000001261</v>
      </c>
      <c r="C551" s="100">
        <v>19</v>
      </c>
      <c r="G551" s="69" t="s">
        <v>525</v>
      </c>
      <c r="J551" s="69">
        <v>19</v>
      </c>
    </row>
    <row r="552" spans="1:10" x14ac:dyDescent="0.2">
      <c r="A552" s="69">
        <v>10000001382</v>
      </c>
      <c r="C552" s="100">
        <v>23</v>
      </c>
      <c r="G552" s="69" t="s">
        <v>1272</v>
      </c>
      <c r="J552" s="69">
        <v>23</v>
      </c>
    </row>
    <row r="553" spans="1:10" x14ac:dyDescent="0.2">
      <c r="A553" s="69">
        <v>10000001406</v>
      </c>
      <c r="C553" s="100">
        <v>23</v>
      </c>
      <c r="G553" s="69" t="s">
        <v>521</v>
      </c>
      <c r="J553" s="69">
        <v>23</v>
      </c>
    </row>
    <row r="554" spans="1:10" x14ac:dyDescent="0.2">
      <c r="A554" s="69">
        <v>10000001424</v>
      </c>
      <c r="B554" s="69" t="s">
        <v>262</v>
      </c>
      <c r="C554" s="100">
        <v>10</v>
      </c>
      <c r="D554" s="69" t="e">
        <v>#N/A</v>
      </c>
      <c r="E554" s="69" t="e">
        <v>#N/A</v>
      </c>
      <c r="F554" s="69" t="s">
        <v>293</v>
      </c>
      <c r="G554" s="69" t="s">
        <v>724</v>
      </c>
      <c r="H554" s="69">
        <v>0</v>
      </c>
      <c r="I554" s="69" t="s">
        <v>261</v>
      </c>
      <c r="J554" s="69">
        <v>42</v>
      </c>
    </row>
    <row r="555" spans="1:10" x14ac:dyDescent="0.2">
      <c r="A555" s="69">
        <v>10000001425</v>
      </c>
      <c r="C555" s="100">
        <v>28</v>
      </c>
      <c r="G555" s="69" t="s">
        <v>520</v>
      </c>
      <c r="H555" s="69">
        <v>0</v>
      </c>
      <c r="J555" s="69">
        <v>42</v>
      </c>
    </row>
    <row r="556" spans="1:10" x14ac:dyDescent="0.2">
      <c r="A556" s="69">
        <v>10000001440</v>
      </c>
      <c r="C556" s="100">
        <v>28</v>
      </c>
      <c r="G556" s="69" t="s">
        <v>517</v>
      </c>
      <c r="J556" s="69">
        <v>28</v>
      </c>
    </row>
    <row r="557" spans="1:10" x14ac:dyDescent="0.2">
      <c r="A557" s="69">
        <v>10000001441</v>
      </c>
      <c r="C557" s="100">
        <v>28</v>
      </c>
      <c r="G557" s="69" t="s">
        <v>516</v>
      </c>
      <c r="J557" s="69">
        <v>28</v>
      </c>
    </row>
    <row r="558" spans="1:10" x14ac:dyDescent="0.2">
      <c r="A558" s="69">
        <v>10000001453</v>
      </c>
      <c r="C558" s="100">
        <v>28</v>
      </c>
      <c r="G558" s="69" t="s">
        <v>513</v>
      </c>
      <c r="J558" s="69">
        <v>28</v>
      </c>
    </row>
    <row r="559" spans="1:10" x14ac:dyDescent="0.2">
      <c r="A559" s="69">
        <v>10000001458</v>
      </c>
      <c r="B559" s="69" t="s">
        <v>290</v>
      </c>
      <c r="C559" s="100" t="e">
        <v>#N/A</v>
      </c>
      <c r="D559" s="69" t="e">
        <v>#N/A</v>
      </c>
      <c r="E559" s="69" t="e">
        <v>#N/A</v>
      </c>
      <c r="F559" s="69" t="s">
        <v>713</v>
      </c>
      <c r="G559" s="69" t="s">
        <v>720</v>
      </c>
      <c r="H559" s="69">
        <v>5</v>
      </c>
      <c r="I559" s="69" t="s">
        <v>289</v>
      </c>
      <c r="J559" s="69">
        <v>24</v>
      </c>
    </row>
    <row r="560" spans="1:10" x14ac:dyDescent="0.2">
      <c r="A560" s="69">
        <v>10000001461</v>
      </c>
      <c r="C560" s="100">
        <v>19</v>
      </c>
      <c r="G560" s="69" t="s">
        <v>511</v>
      </c>
      <c r="H560" s="69">
        <v>5</v>
      </c>
      <c r="J560" s="69">
        <v>24</v>
      </c>
    </row>
    <row r="561" spans="1:10" x14ac:dyDescent="0.2">
      <c r="A561" s="69">
        <v>10000001471</v>
      </c>
      <c r="B561" s="69" t="s">
        <v>290</v>
      </c>
      <c r="C561" s="100" t="e">
        <v>#N/A</v>
      </c>
      <c r="D561" s="69" t="e">
        <v>#N/A</v>
      </c>
      <c r="E561" s="69" t="e">
        <v>#N/A</v>
      </c>
      <c r="F561" s="69" t="s">
        <v>713</v>
      </c>
      <c r="G561" s="69" t="s">
        <v>719</v>
      </c>
      <c r="H561" s="69">
        <v>5</v>
      </c>
      <c r="I561" s="69" t="s">
        <v>289</v>
      </c>
      <c r="J561" s="69">
        <v>24</v>
      </c>
    </row>
    <row r="562" spans="1:10" x14ac:dyDescent="0.2">
      <c r="A562" s="69">
        <v>10000001474</v>
      </c>
      <c r="B562" s="69" t="s">
        <v>290</v>
      </c>
      <c r="C562" s="100" t="e">
        <v>#N/A</v>
      </c>
      <c r="D562" s="69" t="e">
        <v>#N/A</v>
      </c>
      <c r="E562" s="69" t="e">
        <v>#N/A</v>
      </c>
      <c r="F562" s="69" t="s">
        <v>713</v>
      </c>
      <c r="G562" s="69" t="s">
        <v>718</v>
      </c>
      <c r="H562" s="69">
        <v>5</v>
      </c>
      <c r="I562" s="69" t="s">
        <v>289</v>
      </c>
      <c r="J562" s="69">
        <v>24</v>
      </c>
    </row>
    <row r="563" spans="1:10" x14ac:dyDescent="0.2">
      <c r="A563" s="69">
        <v>10000001476</v>
      </c>
      <c r="B563" s="69" t="s">
        <v>290</v>
      </c>
      <c r="C563" s="100" t="e">
        <v>#N/A</v>
      </c>
      <c r="D563" s="69" t="e">
        <v>#N/A</v>
      </c>
      <c r="E563" s="69" t="e">
        <v>#N/A</v>
      </c>
      <c r="F563" s="69" t="s">
        <v>713</v>
      </c>
      <c r="G563" s="69" t="s">
        <v>717</v>
      </c>
      <c r="H563" s="69">
        <v>5</v>
      </c>
      <c r="I563" s="69" t="s">
        <v>289</v>
      </c>
      <c r="J563" s="69">
        <v>24</v>
      </c>
    </row>
    <row r="564" spans="1:10" x14ac:dyDescent="0.2">
      <c r="A564" s="69">
        <v>10000001477</v>
      </c>
      <c r="B564" s="69" t="s">
        <v>290</v>
      </c>
      <c r="C564" s="100" t="e">
        <v>#N/A</v>
      </c>
      <c r="D564" s="69" t="s">
        <v>1303</v>
      </c>
      <c r="E564" s="69" t="s">
        <v>1241</v>
      </c>
      <c r="F564" s="69" t="s">
        <v>713</v>
      </c>
      <c r="G564" s="69" t="s">
        <v>716</v>
      </c>
      <c r="H564" s="69">
        <v>5</v>
      </c>
      <c r="I564" s="69" t="s">
        <v>289</v>
      </c>
      <c r="J564" s="69">
        <v>24</v>
      </c>
    </row>
    <row r="565" spans="1:10" x14ac:dyDescent="0.2">
      <c r="A565" s="69">
        <v>10000001478</v>
      </c>
      <c r="B565" s="69" t="s">
        <v>290</v>
      </c>
      <c r="C565" s="100" t="e">
        <v>#N/A</v>
      </c>
      <c r="D565" s="69" t="s">
        <v>1302</v>
      </c>
      <c r="E565" s="69" t="s">
        <v>1241</v>
      </c>
      <c r="F565" s="69" t="s">
        <v>713</v>
      </c>
      <c r="G565" s="69" t="s">
        <v>715</v>
      </c>
      <c r="H565" s="69">
        <v>5</v>
      </c>
      <c r="I565" s="69" t="s">
        <v>289</v>
      </c>
      <c r="J565" s="69">
        <v>24</v>
      </c>
    </row>
    <row r="566" spans="1:10" x14ac:dyDescent="0.2">
      <c r="A566" s="69">
        <v>10000001479</v>
      </c>
      <c r="B566" s="69" t="s">
        <v>290</v>
      </c>
      <c r="C566" s="100" t="e">
        <v>#N/A</v>
      </c>
      <c r="D566" s="69" t="e">
        <v>#N/A</v>
      </c>
      <c r="E566" s="69" t="e">
        <v>#N/A</v>
      </c>
      <c r="F566" s="69" t="s">
        <v>713</v>
      </c>
      <c r="G566" s="69" t="s">
        <v>714</v>
      </c>
      <c r="H566" s="69">
        <v>5</v>
      </c>
      <c r="I566" s="69" t="s">
        <v>289</v>
      </c>
      <c r="J566" s="69">
        <v>24</v>
      </c>
    </row>
    <row r="567" spans="1:10" x14ac:dyDescent="0.2">
      <c r="A567" s="69">
        <v>10000001485</v>
      </c>
      <c r="B567" s="93" t="s">
        <v>1646</v>
      </c>
      <c r="C567" s="102" t="s">
        <v>1646</v>
      </c>
      <c r="E567" s="69" t="s">
        <v>1646</v>
      </c>
      <c r="G567" s="69" t="s">
        <v>506</v>
      </c>
      <c r="J567" s="69">
        <v>24</v>
      </c>
    </row>
    <row r="568" spans="1:10" x14ac:dyDescent="0.2">
      <c r="A568" s="69">
        <v>10000001486</v>
      </c>
      <c r="B568" s="93" t="s">
        <v>1646</v>
      </c>
      <c r="C568" s="102" t="s">
        <v>1646</v>
      </c>
      <c r="G568" s="69" t="s">
        <v>505</v>
      </c>
      <c r="J568" s="69">
        <v>24</v>
      </c>
    </row>
    <row r="569" spans="1:10" x14ac:dyDescent="0.2">
      <c r="A569" s="69">
        <v>10000001502</v>
      </c>
      <c r="C569" s="100">
        <v>28</v>
      </c>
      <c r="G569" s="69" t="s">
        <v>504</v>
      </c>
      <c r="J569" s="69">
        <v>28</v>
      </c>
    </row>
    <row r="570" spans="1:10" x14ac:dyDescent="0.2">
      <c r="A570" s="69">
        <v>10000001507</v>
      </c>
      <c r="C570" s="100">
        <v>23</v>
      </c>
      <c r="G570" s="69" t="s">
        <v>1716</v>
      </c>
      <c r="J570" s="69">
        <v>23</v>
      </c>
    </row>
    <row r="571" spans="1:10" x14ac:dyDescent="0.2">
      <c r="A571" s="69">
        <v>10000001533</v>
      </c>
      <c r="B571" s="69" t="s">
        <v>220</v>
      </c>
      <c r="C571" s="100" t="s">
        <v>220</v>
      </c>
      <c r="D571" s="69" t="e">
        <v>#N/A</v>
      </c>
      <c r="E571" s="69" t="e">
        <v>#N/A</v>
      </c>
      <c r="F571" s="69" t="s">
        <v>275</v>
      </c>
      <c r="G571" s="69" t="s">
        <v>712</v>
      </c>
      <c r="H571" s="69">
        <v>0</v>
      </c>
      <c r="I571" s="69" t="s">
        <v>247</v>
      </c>
      <c r="J571" s="69">
        <v>42</v>
      </c>
    </row>
    <row r="572" spans="1:10" x14ac:dyDescent="0.2">
      <c r="A572" s="69">
        <v>10000001534</v>
      </c>
      <c r="B572" s="69" t="s">
        <v>220</v>
      </c>
      <c r="C572" s="100" t="s">
        <v>220</v>
      </c>
      <c r="D572" s="69" t="e">
        <v>#N/A</v>
      </c>
      <c r="E572" s="69" t="e">
        <v>#N/A</v>
      </c>
      <c r="F572" s="69" t="s">
        <v>246</v>
      </c>
      <c r="G572" s="69" t="s">
        <v>242</v>
      </c>
      <c r="H572" s="69">
        <v>0</v>
      </c>
      <c r="I572" s="69" t="s">
        <v>247</v>
      </c>
      <c r="J572" s="69">
        <v>42</v>
      </c>
    </row>
    <row r="573" spans="1:10" x14ac:dyDescent="0.2">
      <c r="A573" s="69">
        <v>10000001536</v>
      </c>
      <c r="B573" s="69" t="s">
        <v>220</v>
      </c>
      <c r="C573" s="100" t="s">
        <v>220</v>
      </c>
      <c r="D573" s="69" t="e">
        <v>#N/A</v>
      </c>
      <c r="E573" s="69" t="e">
        <v>#N/A</v>
      </c>
      <c r="F573" s="69" t="s">
        <v>246</v>
      </c>
      <c r="G573" s="69" t="s">
        <v>711</v>
      </c>
      <c r="H573" s="69">
        <v>0</v>
      </c>
      <c r="I573" s="69" t="s">
        <v>247</v>
      </c>
      <c r="J573" s="69">
        <v>42</v>
      </c>
    </row>
    <row r="574" spans="1:10" x14ac:dyDescent="0.2">
      <c r="A574" s="69">
        <v>10000001537</v>
      </c>
      <c r="B574" s="69" t="s">
        <v>220</v>
      </c>
      <c r="C574" s="100" t="s">
        <v>220</v>
      </c>
      <c r="D574" s="69" t="e">
        <v>#N/A</v>
      </c>
      <c r="E574" s="69" t="e">
        <v>#N/A</v>
      </c>
      <c r="F574" s="69" t="s">
        <v>246</v>
      </c>
      <c r="G574" s="69" t="s">
        <v>710</v>
      </c>
      <c r="H574" s="69">
        <v>0</v>
      </c>
      <c r="I574" s="69" t="s">
        <v>247</v>
      </c>
      <c r="J574" s="69">
        <v>42</v>
      </c>
    </row>
    <row r="575" spans="1:10" x14ac:dyDescent="0.2">
      <c r="A575" s="69">
        <v>10000001538</v>
      </c>
      <c r="B575" s="69" t="s">
        <v>220</v>
      </c>
      <c r="C575" s="100" t="s">
        <v>220</v>
      </c>
      <c r="D575" s="69" t="e">
        <v>#N/A</v>
      </c>
      <c r="E575" s="69" t="e">
        <v>#N/A</v>
      </c>
      <c r="F575" s="69" t="s">
        <v>246</v>
      </c>
      <c r="G575" s="69" t="s">
        <v>709</v>
      </c>
      <c r="H575" s="69">
        <v>0</v>
      </c>
      <c r="I575" s="69" t="s">
        <v>247</v>
      </c>
      <c r="J575" s="69">
        <v>42</v>
      </c>
    </row>
    <row r="576" spans="1:10" x14ac:dyDescent="0.2">
      <c r="A576" s="69">
        <v>10000001539</v>
      </c>
      <c r="B576" s="69" t="s">
        <v>220</v>
      </c>
      <c r="C576" s="100" t="s">
        <v>220</v>
      </c>
      <c r="D576" s="69" t="e">
        <v>#N/A</v>
      </c>
      <c r="E576" s="69" t="e">
        <v>#N/A</v>
      </c>
      <c r="F576" s="69" t="s">
        <v>246</v>
      </c>
      <c r="G576" s="69" t="s">
        <v>708</v>
      </c>
      <c r="H576" s="69">
        <v>0</v>
      </c>
      <c r="I576" s="69" t="s">
        <v>247</v>
      </c>
      <c r="J576" s="69">
        <v>42</v>
      </c>
    </row>
    <row r="577" spans="1:10" x14ac:dyDescent="0.2">
      <c r="A577" s="69">
        <v>10000001540</v>
      </c>
      <c r="B577" s="69" t="s">
        <v>221</v>
      </c>
      <c r="C577" s="100" t="s">
        <v>221</v>
      </c>
      <c r="D577" s="69" t="e">
        <v>#N/A</v>
      </c>
      <c r="E577" s="69" t="e">
        <v>#N/A</v>
      </c>
      <c r="F577" s="69" t="s">
        <v>246</v>
      </c>
      <c r="G577" s="69" t="s">
        <v>707</v>
      </c>
      <c r="H577" s="69">
        <v>0</v>
      </c>
      <c r="I577" s="69" t="s">
        <v>257</v>
      </c>
      <c r="J577" s="69">
        <v>42</v>
      </c>
    </row>
    <row r="578" spans="1:10" x14ac:dyDescent="0.2">
      <c r="A578" s="69">
        <v>10000001541</v>
      </c>
      <c r="B578" s="69" t="s">
        <v>221</v>
      </c>
      <c r="C578" s="100" t="s">
        <v>221</v>
      </c>
      <c r="D578" s="69" t="e">
        <v>#N/A</v>
      </c>
      <c r="E578" s="69" t="e">
        <v>#N/A</v>
      </c>
      <c r="F578" s="69" t="s">
        <v>246</v>
      </c>
      <c r="G578" s="69" t="s">
        <v>706</v>
      </c>
      <c r="H578" s="69">
        <v>0</v>
      </c>
      <c r="I578" s="69" t="s">
        <v>257</v>
      </c>
      <c r="J578" s="69">
        <v>42</v>
      </c>
    </row>
    <row r="579" spans="1:10" x14ac:dyDescent="0.2">
      <c r="A579" s="69">
        <v>10000001542</v>
      </c>
      <c r="B579" s="69" t="s">
        <v>221</v>
      </c>
      <c r="C579" s="100" t="s">
        <v>221</v>
      </c>
      <c r="D579" s="69" t="e">
        <v>#N/A</v>
      </c>
      <c r="E579" s="69" t="e">
        <v>#N/A</v>
      </c>
      <c r="F579" s="69" t="s">
        <v>246</v>
      </c>
      <c r="G579" s="69" t="s">
        <v>705</v>
      </c>
      <c r="H579" s="69">
        <v>0</v>
      </c>
      <c r="I579" s="69" t="s">
        <v>257</v>
      </c>
      <c r="J579" s="69">
        <v>42</v>
      </c>
    </row>
    <row r="580" spans="1:10" x14ac:dyDescent="0.2">
      <c r="A580" s="69">
        <v>10000001545</v>
      </c>
      <c r="C580" s="100">
        <v>28</v>
      </c>
      <c r="G580" s="69" t="s">
        <v>501</v>
      </c>
      <c r="H580" s="69">
        <v>0</v>
      </c>
      <c r="J580" s="69">
        <v>42</v>
      </c>
    </row>
    <row r="581" spans="1:10" x14ac:dyDescent="0.2">
      <c r="A581" s="69">
        <v>10000001546</v>
      </c>
      <c r="C581" s="100">
        <v>28</v>
      </c>
      <c r="G581" s="69" t="s">
        <v>500</v>
      </c>
      <c r="H581" s="69">
        <v>0</v>
      </c>
      <c r="J581" s="69">
        <v>42</v>
      </c>
    </row>
    <row r="582" spans="1:10" x14ac:dyDescent="0.2">
      <c r="A582" s="69">
        <v>10000001557</v>
      </c>
      <c r="B582" s="69" t="s">
        <v>220</v>
      </c>
      <c r="C582" s="100">
        <v>5</v>
      </c>
      <c r="D582" s="69" t="s">
        <v>1404</v>
      </c>
      <c r="E582" s="69">
        <v>0</v>
      </c>
      <c r="F582" s="69" t="s">
        <v>246</v>
      </c>
      <c r="G582" s="69" t="s">
        <v>699</v>
      </c>
      <c r="H582" s="69">
        <v>0</v>
      </c>
      <c r="I582" s="69" t="s">
        <v>247</v>
      </c>
      <c r="J582" s="69">
        <v>42</v>
      </c>
    </row>
    <row r="583" spans="1:10" x14ac:dyDescent="0.2">
      <c r="A583" s="69">
        <v>10000001558</v>
      </c>
      <c r="B583" s="69" t="s">
        <v>220</v>
      </c>
      <c r="C583" s="100" t="s">
        <v>220</v>
      </c>
      <c r="D583" s="69" t="e">
        <v>#N/A</v>
      </c>
      <c r="E583" s="69" t="e">
        <v>#N/A</v>
      </c>
      <c r="F583" s="69" t="s">
        <v>246</v>
      </c>
      <c r="G583" s="69" t="s">
        <v>698</v>
      </c>
      <c r="H583" s="69">
        <v>0</v>
      </c>
      <c r="I583" s="69" t="s">
        <v>247</v>
      </c>
      <c r="J583" s="69">
        <v>42</v>
      </c>
    </row>
    <row r="584" spans="1:10" x14ac:dyDescent="0.2">
      <c r="A584" s="69">
        <v>10000001559</v>
      </c>
      <c r="B584" s="69" t="s">
        <v>221</v>
      </c>
      <c r="C584" s="100" t="s">
        <v>221</v>
      </c>
      <c r="D584" s="69" t="e">
        <v>#N/A</v>
      </c>
      <c r="E584" s="69" t="e">
        <v>#N/A</v>
      </c>
      <c r="F584" s="69" t="s">
        <v>246</v>
      </c>
      <c r="G584" s="69" t="s">
        <v>697</v>
      </c>
      <c r="H584" s="69">
        <v>0</v>
      </c>
      <c r="I584" s="69" t="s">
        <v>257</v>
      </c>
      <c r="J584" s="69">
        <v>42</v>
      </c>
    </row>
    <row r="585" spans="1:10" x14ac:dyDescent="0.2">
      <c r="A585" s="69">
        <v>10000001560</v>
      </c>
      <c r="B585" s="69" t="s">
        <v>221</v>
      </c>
      <c r="C585" s="100" t="s">
        <v>221</v>
      </c>
      <c r="D585" s="69" t="e">
        <v>#N/A</v>
      </c>
      <c r="E585" s="69" t="e">
        <v>#N/A</v>
      </c>
      <c r="F585" s="69" t="s">
        <v>246</v>
      </c>
      <c r="G585" s="69" t="s">
        <v>696</v>
      </c>
      <c r="H585" s="69">
        <v>0</v>
      </c>
      <c r="I585" s="69" t="s">
        <v>257</v>
      </c>
      <c r="J585" s="69">
        <v>42</v>
      </c>
    </row>
    <row r="586" spans="1:10" x14ac:dyDescent="0.2">
      <c r="A586" s="69">
        <v>10000001561</v>
      </c>
      <c r="C586" s="100">
        <v>28</v>
      </c>
      <c r="G586" s="69" t="s">
        <v>493</v>
      </c>
      <c r="H586" s="69">
        <v>0</v>
      </c>
      <c r="J586" s="69">
        <v>42</v>
      </c>
    </row>
    <row r="587" spans="1:10" x14ac:dyDescent="0.2">
      <c r="A587" s="69">
        <v>10000001562</v>
      </c>
      <c r="B587" s="69" t="s">
        <v>262</v>
      </c>
      <c r="C587" s="100">
        <v>20</v>
      </c>
      <c r="D587" s="69" t="e">
        <v>#N/A</v>
      </c>
      <c r="E587" s="69" t="e">
        <v>#N/A</v>
      </c>
      <c r="F587" s="69" t="s">
        <v>246</v>
      </c>
      <c r="G587" s="69" t="s">
        <v>695</v>
      </c>
      <c r="H587" s="69">
        <v>0</v>
      </c>
      <c r="I587" s="69" t="s">
        <v>261</v>
      </c>
      <c r="J587" s="69">
        <v>42</v>
      </c>
    </row>
    <row r="588" spans="1:10" x14ac:dyDescent="0.2">
      <c r="A588" s="69">
        <v>10000001564</v>
      </c>
      <c r="B588" s="69" t="s">
        <v>262</v>
      </c>
      <c r="C588" s="100">
        <v>20</v>
      </c>
      <c r="D588" s="69" t="e">
        <v>#N/A</v>
      </c>
      <c r="E588" s="69" t="e">
        <v>#N/A</v>
      </c>
      <c r="F588" s="69" t="s">
        <v>246</v>
      </c>
      <c r="G588" s="69" t="s">
        <v>694</v>
      </c>
      <c r="H588" s="69">
        <v>0</v>
      </c>
      <c r="I588" s="69" t="s">
        <v>261</v>
      </c>
      <c r="J588" s="69">
        <v>42</v>
      </c>
    </row>
    <row r="589" spans="1:10" x14ac:dyDescent="0.2">
      <c r="A589" s="69">
        <v>10000001581</v>
      </c>
      <c r="C589" s="100" t="s">
        <v>307</v>
      </c>
      <c r="G589" s="69" t="s">
        <v>491</v>
      </c>
      <c r="H589" s="69">
        <v>0</v>
      </c>
      <c r="J589" s="69">
        <v>42</v>
      </c>
    </row>
    <row r="590" spans="1:10" x14ac:dyDescent="0.2">
      <c r="A590" s="69">
        <v>10000001582</v>
      </c>
      <c r="C590" s="100">
        <v>19</v>
      </c>
      <c r="G590" s="69" t="s">
        <v>489</v>
      </c>
      <c r="H590" s="69">
        <v>0</v>
      </c>
      <c r="J590" s="69">
        <v>42</v>
      </c>
    </row>
    <row r="591" spans="1:10" x14ac:dyDescent="0.2">
      <c r="A591" s="69">
        <v>10000001583</v>
      </c>
      <c r="B591" s="69" t="s">
        <v>262</v>
      </c>
      <c r="C591" s="100">
        <v>10</v>
      </c>
      <c r="D591" s="69" t="e">
        <v>#N/A</v>
      </c>
      <c r="E591" s="69" t="e">
        <v>#N/A</v>
      </c>
      <c r="F591" s="69" t="s">
        <v>246</v>
      </c>
      <c r="G591" s="69" t="s">
        <v>691</v>
      </c>
      <c r="H591" s="69">
        <v>0</v>
      </c>
      <c r="I591" s="69" t="s">
        <v>261</v>
      </c>
      <c r="J591" s="69">
        <v>42</v>
      </c>
    </row>
    <row r="592" spans="1:10" x14ac:dyDescent="0.2">
      <c r="A592" s="69">
        <v>10000001584</v>
      </c>
      <c r="B592" s="69" t="s">
        <v>262</v>
      </c>
      <c r="C592" s="100">
        <v>20</v>
      </c>
      <c r="D592" s="69" t="e">
        <v>#N/A</v>
      </c>
      <c r="E592" s="69" t="e">
        <v>#N/A</v>
      </c>
      <c r="F592" s="69" t="s">
        <v>246</v>
      </c>
      <c r="G592" s="69" t="s">
        <v>690</v>
      </c>
      <c r="H592" s="69">
        <v>0</v>
      </c>
      <c r="I592" s="69" t="s">
        <v>261</v>
      </c>
      <c r="J592" s="69">
        <v>42</v>
      </c>
    </row>
    <row r="593" spans="1:10" x14ac:dyDescent="0.2">
      <c r="A593" s="69">
        <v>10000001619</v>
      </c>
      <c r="B593" s="69" t="s">
        <v>221</v>
      </c>
      <c r="C593" s="100">
        <v>5</v>
      </c>
      <c r="G593" s="69" t="s">
        <v>230</v>
      </c>
      <c r="J593" s="69">
        <v>42</v>
      </c>
    </row>
    <row r="594" spans="1:10" x14ac:dyDescent="0.2">
      <c r="A594" s="69">
        <v>10000001628</v>
      </c>
      <c r="B594" s="69" t="s">
        <v>220</v>
      </c>
      <c r="C594" s="100" t="s">
        <v>220</v>
      </c>
      <c r="D594" s="69" t="e">
        <v>#N/A</v>
      </c>
      <c r="E594" s="69" t="e">
        <v>#N/A</v>
      </c>
      <c r="F594" s="69" t="s">
        <v>275</v>
      </c>
      <c r="G594" s="69" t="s">
        <v>686</v>
      </c>
      <c r="H594" s="69">
        <v>0</v>
      </c>
      <c r="I594" s="69" t="s">
        <v>247</v>
      </c>
      <c r="J594" s="69">
        <v>42</v>
      </c>
    </row>
    <row r="595" spans="1:10" x14ac:dyDescent="0.2">
      <c r="A595" s="69">
        <v>10000001630</v>
      </c>
      <c r="B595" s="69" t="s">
        <v>221</v>
      </c>
      <c r="C595" s="100" t="s">
        <v>221</v>
      </c>
      <c r="D595" s="69" t="e">
        <v>#N/A</v>
      </c>
      <c r="E595" s="69" t="e">
        <v>#N/A</v>
      </c>
      <c r="F595" s="69" t="s">
        <v>275</v>
      </c>
      <c r="G595" s="69" t="s">
        <v>685</v>
      </c>
      <c r="H595" s="69">
        <v>0</v>
      </c>
      <c r="I595" s="69" t="s">
        <v>257</v>
      </c>
      <c r="J595" s="69">
        <v>42</v>
      </c>
    </row>
    <row r="596" spans="1:10" x14ac:dyDescent="0.2">
      <c r="A596" s="69">
        <v>10000001633</v>
      </c>
      <c r="B596" s="69" t="s">
        <v>221</v>
      </c>
      <c r="C596" s="100" t="s">
        <v>221</v>
      </c>
      <c r="D596" s="69" t="e">
        <v>#N/A</v>
      </c>
      <c r="E596" s="69" t="e">
        <v>#N/A</v>
      </c>
      <c r="F596" s="69" t="s">
        <v>275</v>
      </c>
      <c r="G596" s="69" t="s">
        <v>684</v>
      </c>
      <c r="H596" s="69">
        <v>0</v>
      </c>
      <c r="I596" s="69" t="s">
        <v>257</v>
      </c>
      <c r="J596" s="69">
        <v>42</v>
      </c>
    </row>
    <row r="597" spans="1:10" x14ac:dyDescent="0.2">
      <c r="A597" s="69">
        <v>10000001634</v>
      </c>
      <c r="C597" s="100">
        <v>23</v>
      </c>
      <c r="G597" s="69" t="s">
        <v>482</v>
      </c>
      <c r="H597" s="69">
        <v>0</v>
      </c>
      <c r="J597" s="69">
        <v>42</v>
      </c>
    </row>
    <row r="598" spans="1:10" x14ac:dyDescent="0.2">
      <c r="A598" s="69">
        <v>10000001665</v>
      </c>
      <c r="B598" s="69" t="s">
        <v>221</v>
      </c>
      <c r="C598" s="100" t="s">
        <v>221</v>
      </c>
      <c r="D598" s="69" t="e">
        <v>#N/A</v>
      </c>
      <c r="E598" s="69" t="e">
        <v>#N/A</v>
      </c>
      <c r="F598" s="69" t="s">
        <v>275</v>
      </c>
      <c r="G598" s="69" t="s">
        <v>683</v>
      </c>
      <c r="H598" s="69">
        <v>0</v>
      </c>
      <c r="I598" s="69" t="s">
        <v>257</v>
      </c>
      <c r="J598" s="69">
        <v>42</v>
      </c>
    </row>
    <row r="599" spans="1:10" x14ac:dyDescent="0.2">
      <c r="A599" s="69">
        <v>10000001671</v>
      </c>
      <c r="B599" s="69" t="s">
        <v>221</v>
      </c>
      <c r="C599" s="100" t="s">
        <v>221</v>
      </c>
      <c r="D599" s="69" t="e">
        <v>#N/A</v>
      </c>
      <c r="E599" s="69" t="e">
        <v>#N/A</v>
      </c>
      <c r="F599" s="69" t="s">
        <v>275</v>
      </c>
      <c r="G599" s="69" t="s">
        <v>682</v>
      </c>
      <c r="H599" s="69">
        <v>0</v>
      </c>
      <c r="I599" s="69" t="s">
        <v>257</v>
      </c>
      <c r="J599" s="69">
        <v>42</v>
      </c>
    </row>
    <row r="600" spans="1:10" x14ac:dyDescent="0.2">
      <c r="A600" s="69">
        <v>10000001672</v>
      </c>
      <c r="B600" s="69" t="s">
        <v>221</v>
      </c>
      <c r="C600" s="100">
        <v>5</v>
      </c>
      <c r="D600" s="69" t="e">
        <v>#N/A</v>
      </c>
      <c r="E600" s="69" t="e">
        <v>#N/A</v>
      </c>
      <c r="F600" s="69" t="s">
        <v>275</v>
      </c>
      <c r="G600" s="69" t="s">
        <v>681</v>
      </c>
      <c r="H600" s="69">
        <v>0</v>
      </c>
      <c r="I600" s="69" t="s">
        <v>257</v>
      </c>
      <c r="J600" s="69">
        <v>42</v>
      </c>
    </row>
    <row r="601" spans="1:10" x14ac:dyDescent="0.2">
      <c r="A601" s="69">
        <v>10000001673</v>
      </c>
      <c r="B601" s="69" t="s">
        <v>221</v>
      </c>
      <c r="C601" s="100" t="s">
        <v>221</v>
      </c>
      <c r="D601" s="69" t="e">
        <v>#N/A</v>
      </c>
      <c r="E601" s="69" t="e">
        <v>#N/A</v>
      </c>
      <c r="F601" s="69" t="s">
        <v>275</v>
      </c>
      <c r="G601" s="69" t="s">
        <v>680</v>
      </c>
      <c r="H601" s="69">
        <v>0</v>
      </c>
      <c r="I601" s="69" t="s">
        <v>257</v>
      </c>
      <c r="J601" s="69">
        <v>42</v>
      </c>
    </row>
    <row r="602" spans="1:10" x14ac:dyDescent="0.2">
      <c r="A602" s="69">
        <v>10000001681</v>
      </c>
      <c r="B602" s="69" t="s">
        <v>220</v>
      </c>
      <c r="C602" s="100" t="s">
        <v>220</v>
      </c>
      <c r="D602" s="69" t="e">
        <v>#N/A</v>
      </c>
      <c r="E602" s="69" t="e">
        <v>#N/A</v>
      </c>
      <c r="F602" s="69" t="s">
        <v>275</v>
      </c>
      <c r="G602" s="69" t="s">
        <v>679</v>
      </c>
      <c r="H602" s="69">
        <v>0</v>
      </c>
      <c r="I602" s="69" t="s">
        <v>247</v>
      </c>
      <c r="J602" s="69">
        <v>42</v>
      </c>
    </row>
    <row r="603" spans="1:10" x14ac:dyDescent="0.2">
      <c r="A603" s="69">
        <v>10000001683</v>
      </c>
      <c r="B603" s="69" t="s">
        <v>221</v>
      </c>
      <c r="C603" s="100" t="s">
        <v>221</v>
      </c>
      <c r="D603" s="69" t="e">
        <v>#N/A</v>
      </c>
      <c r="E603" s="69" t="e">
        <v>#N/A</v>
      </c>
      <c r="F603" s="69" t="s">
        <v>275</v>
      </c>
      <c r="G603" s="69" t="s">
        <v>678</v>
      </c>
      <c r="H603" s="69">
        <v>0</v>
      </c>
      <c r="I603" s="69" t="s">
        <v>257</v>
      </c>
      <c r="J603" s="69">
        <v>42</v>
      </c>
    </row>
    <row r="604" spans="1:10" x14ac:dyDescent="0.2">
      <c r="A604" s="69">
        <v>10000001690</v>
      </c>
      <c r="B604" s="69" t="s">
        <v>221</v>
      </c>
      <c r="C604" s="100" t="s">
        <v>221</v>
      </c>
      <c r="D604" s="69" t="s">
        <v>1273</v>
      </c>
      <c r="E604" s="69">
        <v>0</v>
      </c>
      <c r="F604" s="69" t="s">
        <v>275</v>
      </c>
      <c r="G604" s="69" t="s">
        <v>677</v>
      </c>
      <c r="H604" s="69">
        <v>0</v>
      </c>
      <c r="I604" s="69" t="s">
        <v>257</v>
      </c>
      <c r="J604" s="69">
        <v>42</v>
      </c>
    </row>
    <row r="605" spans="1:10" x14ac:dyDescent="0.2">
      <c r="A605" s="69">
        <v>10000001694</v>
      </c>
      <c r="B605" s="69" t="s">
        <v>221</v>
      </c>
      <c r="C605" s="100">
        <v>1</v>
      </c>
      <c r="D605" s="69" t="e">
        <v>#N/A</v>
      </c>
      <c r="E605" s="69" t="e">
        <v>#N/A</v>
      </c>
      <c r="F605" s="69" t="s">
        <v>275</v>
      </c>
      <c r="G605" s="69" t="s">
        <v>205</v>
      </c>
      <c r="H605" s="69">
        <v>0</v>
      </c>
      <c r="I605" s="69" t="s">
        <v>257</v>
      </c>
      <c r="J605" s="69">
        <v>42</v>
      </c>
    </row>
    <row r="606" spans="1:10" x14ac:dyDescent="0.2">
      <c r="A606" s="69">
        <v>10000001695</v>
      </c>
      <c r="B606" s="69" t="s">
        <v>221</v>
      </c>
      <c r="C606" s="100">
        <v>5</v>
      </c>
      <c r="D606" s="69" t="e">
        <v>#N/A</v>
      </c>
      <c r="E606" s="69" t="e">
        <v>#N/A</v>
      </c>
      <c r="F606" s="69" t="s">
        <v>275</v>
      </c>
      <c r="G606" s="69" t="s">
        <v>676</v>
      </c>
      <c r="H606" s="69">
        <v>0</v>
      </c>
      <c r="I606" s="69" t="s">
        <v>257</v>
      </c>
      <c r="J606" s="69">
        <v>42</v>
      </c>
    </row>
    <row r="607" spans="1:10" x14ac:dyDescent="0.2">
      <c r="A607" s="69">
        <v>10000001696</v>
      </c>
      <c r="B607" s="69" t="s">
        <v>221</v>
      </c>
      <c r="C607" s="100" t="s">
        <v>221</v>
      </c>
      <c r="D607" s="69" t="e">
        <v>#N/A</v>
      </c>
      <c r="E607" s="69" t="e">
        <v>#N/A</v>
      </c>
      <c r="F607" s="69" t="s">
        <v>275</v>
      </c>
      <c r="G607" s="69" t="s">
        <v>675</v>
      </c>
      <c r="H607" s="69">
        <v>0</v>
      </c>
      <c r="I607" s="69" t="s">
        <v>257</v>
      </c>
      <c r="J607" s="69">
        <v>42</v>
      </c>
    </row>
    <row r="608" spans="1:10" x14ac:dyDescent="0.2">
      <c r="A608" s="69">
        <v>10000001718</v>
      </c>
      <c r="C608" s="100">
        <v>28</v>
      </c>
      <c r="G608" s="69" t="s">
        <v>476</v>
      </c>
      <c r="H608" s="69">
        <v>0</v>
      </c>
      <c r="J608" s="69">
        <v>42</v>
      </c>
    </row>
    <row r="609" spans="1:10" x14ac:dyDescent="0.2">
      <c r="A609" s="69">
        <v>10000001719</v>
      </c>
      <c r="B609" s="69" t="s">
        <v>221</v>
      </c>
      <c r="C609" s="100" t="s">
        <v>221</v>
      </c>
      <c r="D609" s="69" t="e">
        <v>#N/A</v>
      </c>
      <c r="E609" s="69" t="e">
        <v>#N/A</v>
      </c>
      <c r="F609" s="69" t="s">
        <v>275</v>
      </c>
      <c r="G609" s="69" t="s">
        <v>674</v>
      </c>
      <c r="H609" s="69">
        <v>0</v>
      </c>
      <c r="I609" s="69" t="s">
        <v>257</v>
      </c>
      <c r="J609" s="69">
        <v>42</v>
      </c>
    </row>
    <row r="610" spans="1:10" x14ac:dyDescent="0.2">
      <c r="A610" s="69">
        <v>10000001728</v>
      </c>
      <c r="C610" s="100">
        <v>28</v>
      </c>
      <c r="G610" s="69" t="s">
        <v>475</v>
      </c>
      <c r="H610" s="69">
        <v>0</v>
      </c>
      <c r="J610" s="69">
        <v>42</v>
      </c>
    </row>
    <row r="611" spans="1:10" x14ac:dyDescent="0.2">
      <c r="A611" s="69">
        <v>10000001738</v>
      </c>
      <c r="C611" s="100">
        <v>23</v>
      </c>
      <c r="G611" s="69" t="s">
        <v>1687</v>
      </c>
      <c r="H611" s="69">
        <v>0</v>
      </c>
      <c r="J611" s="69">
        <v>42</v>
      </c>
    </row>
    <row r="612" spans="1:10" x14ac:dyDescent="0.2">
      <c r="A612" s="69">
        <v>10000001739</v>
      </c>
      <c r="C612" s="100">
        <v>23</v>
      </c>
      <c r="G612" s="69" t="s">
        <v>1688</v>
      </c>
      <c r="H612" s="69">
        <v>0</v>
      </c>
      <c r="J612" s="69">
        <v>42</v>
      </c>
    </row>
    <row r="613" spans="1:10" x14ac:dyDescent="0.2">
      <c r="A613" s="69">
        <v>10000001740</v>
      </c>
      <c r="B613" s="69" t="s">
        <v>262</v>
      </c>
      <c r="C613" s="100">
        <v>10</v>
      </c>
      <c r="D613" s="69" t="e">
        <v>#N/A</v>
      </c>
      <c r="E613" s="69" t="e">
        <v>#N/A</v>
      </c>
      <c r="F613" s="69" t="s">
        <v>275</v>
      </c>
      <c r="G613" s="69" t="s">
        <v>672</v>
      </c>
      <c r="H613" s="69">
        <v>0</v>
      </c>
      <c r="I613" s="69" t="s">
        <v>261</v>
      </c>
      <c r="J613" s="69">
        <v>42</v>
      </c>
    </row>
    <row r="614" spans="1:10" x14ac:dyDescent="0.2">
      <c r="A614" s="69">
        <v>10000001741</v>
      </c>
      <c r="B614" s="69" t="s">
        <v>220</v>
      </c>
      <c r="C614" s="100" t="s">
        <v>220</v>
      </c>
      <c r="D614" s="69" t="e">
        <v>#N/A</v>
      </c>
      <c r="E614" s="69" t="e">
        <v>#N/A</v>
      </c>
      <c r="F614" s="69" t="s">
        <v>303</v>
      </c>
      <c r="G614" s="69" t="s">
        <v>671</v>
      </c>
      <c r="H614" s="69">
        <v>0</v>
      </c>
      <c r="I614" s="69" t="s">
        <v>247</v>
      </c>
      <c r="J614" s="69">
        <v>42</v>
      </c>
    </row>
    <row r="615" spans="1:10" x14ac:dyDescent="0.2">
      <c r="A615" s="69">
        <v>10000001742</v>
      </c>
      <c r="B615" s="69" t="s">
        <v>221</v>
      </c>
      <c r="C615" s="100" t="s">
        <v>221</v>
      </c>
      <c r="D615" s="69" t="e">
        <v>#N/A</v>
      </c>
      <c r="E615" s="69" t="e">
        <v>#N/A</v>
      </c>
      <c r="F615" s="69" t="s">
        <v>303</v>
      </c>
      <c r="G615" s="69" t="s">
        <v>151</v>
      </c>
      <c r="H615" s="69">
        <v>0</v>
      </c>
      <c r="I615" s="69" t="s">
        <v>257</v>
      </c>
      <c r="J615" s="69">
        <v>42</v>
      </c>
    </row>
    <row r="616" spans="1:10" x14ac:dyDescent="0.2">
      <c r="A616" s="69">
        <v>10000001750</v>
      </c>
      <c r="C616" s="100" t="s">
        <v>307</v>
      </c>
      <c r="G616" s="69" t="s">
        <v>474</v>
      </c>
      <c r="H616" s="69">
        <v>0</v>
      </c>
      <c r="J616" s="69">
        <v>42</v>
      </c>
    </row>
    <row r="617" spans="1:10" x14ac:dyDescent="0.2">
      <c r="A617" s="69">
        <v>10000001751</v>
      </c>
      <c r="C617" s="100">
        <v>19</v>
      </c>
      <c r="G617" s="69" t="s">
        <v>473</v>
      </c>
      <c r="H617" s="69">
        <v>0</v>
      </c>
      <c r="J617" s="69">
        <v>42</v>
      </c>
    </row>
    <row r="618" spans="1:10" x14ac:dyDescent="0.2">
      <c r="A618" s="69">
        <v>10000001766</v>
      </c>
      <c r="B618" s="69" t="s">
        <v>220</v>
      </c>
      <c r="C618" s="100">
        <v>5</v>
      </c>
      <c r="D618" s="69" t="e">
        <v>#N/A</v>
      </c>
      <c r="E618" s="69" t="e">
        <v>#N/A</v>
      </c>
      <c r="F618" s="69" t="s">
        <v>246</v>
      </c>
      <c r="G618" s="69" t="s">
        <v>670</v>
      </c>
      <c r="H618" s="69">
        <v>0</v>
      </c>
      <c r="I618" s="69" t="s">
        <v>247</v>
      </c>
      <c r="J618" s="69">
        <v>42</v>
      </c>
    </row>
    <row r="619" spans="1:10" x14ac:dyDescent="0.2">
      <c r="A619" s="69">
        <v>10000001775</v>
      </c>
      <c r="B619" s="69" t="s">
        <v>220</v>
      </c>
      <c r="C619" s="100" t="s">
        <v>220</v>
      </c>
      <c r="D619" s="69" t="e">
        <v>#N/A</v>
      </c>
      <c r="E619" s="69" t="e">
        <v>#N/A</v>
      </c>
      <c r="F619" s="69" t="s">
        <v>246</v>
      </c>
      <c r="G619" s="69" t="s">
        <v>669</v>
      </c>
      <c r="H619" s="69">
        <v>0</v>
      </c>
      <c r="I619" s="69" t="s">
        <v>247</v>
      </c>
      <c r="J619" s="69">
        <v>42</v>
      </c>
    </row>
    <row r="620" spans="1:10" x14ac:dyDescent="0.2">
      <c r="A620" s="69">
        <v>10000001776</v>
      </c>
      <c r="B620" s="69" t="s">
        <v>220</v>
      </c>
      <c r="C620" s="100" t="s">
        <v>220</v>
      </c>
      <c r="D620" s="69" t="e">
        <v>#N/A</v>
      </c>
      <c r="E620" s="69" t="e">
        <v>#N/A</v>
      </c>
      <c r="F620" s="69" t="s">
        <v>246</v>
      </c>
      <c r="G620" s="69" t="s">
        <v>668</v>
      </c>
      <c r="H620" s="69">
        <v>0</v>
      </c>
      <c r="I620" s="69" t="s">
        <v>247</v>
      </c>
      <c r="J620" s="69">
        <v>42</v>
      </c>
    </row>
    <row r="621" spans="1:10" x14ac:dyDescent="0.2">
      <c r="A621" s="69">
        <v>10000001777</v>
      </c>
      <c r="B621" s="69" t="s">
        <v>220</v>
      </c>
      <c r="C621" s="100" t="s">
        <v>220</v>
      </c>
      <c r="D621" s="69" t="e">
        <v>#N/A</v>
      </c>
      <c r="E621" s="69" t="e">
        <v>#N/A</v>
      </c>
      <c r="F621" s="69" t="s">
        <v>246</v>
      </c>
      <c r="G621" s="69" t="s">
        <v>667</v>
      </c>
      <c r="H621" s="69">
        <v>0</v>
      </c>
      <c r="I621" s="69" t="s">
        <v>247</v>
      </c>
      <c r="J621" s="69">
        <v>42</v>
      </c>
    </row>
    <row r="622" spans="1:10" x14ac:dyDescent="0.2">
      <c r="A622" s="69">
        <v>10000001779</v>
      </c>
      <c r="B622" s="69" t="s">
        <v>221</v>
      </c>
      <c r="C622" s="100" t="s">
        <v>221</v>
      </c>
      <c r="D622" s="69" t="e">
        <v>#N/A</v>
      </c>
      <c r="E622" s="69" t="e">
        <v>#N/A</v>
      </c>
      <c r="F622" s="69" t="s">
        <v>246</v>
      </c>
      <c r="G622" s="69" t="s">
        <v>666</v>
      </c>
      <c r="H622" s="69">
        <v>0</v>
      </c>
      <c r="I622" s="69" t="s">
        <v>257</v>
      </c>
      <c r="J622" s="69">
        <v>42</v>
      </c>
    </row>
    <row r="623" spans="1:10" x14ac:dyDescent="0.2">
      <c r="A623" s="69">
        <v>10000001780</v>
      </c>
      <c r="B623" s="69" t="s">
        <v>221</v>
      </c>
      <c r="C623" s="100" t="s">
        <v>221</v>
      </c>
      <c r="D623" s="69" t="e">
        <v>#N/A</v>
      </c>
      <c r="E623" s="69" t="e">
        <v>#N/A</v>
      </c>
      <c r="F623" s="69" t="s">
        <v>246</v>
      </c>
      <c r="G623" s="69" t="s">
        <v>210</v>
      </c>
      <c r="H623" s="69">
        <v>0</v>
      </c>
      <c r="I623" s="69" t="s">
        <v>257</v>
      </c>
      <c r="J623" s="69">
        <v>42</v>
      </c>
    </row>
    <row r="624" spans="1:10" x14ac:dyDescent="0.2">
      <c r="A624" s="69">
        <v>10000001781</v>
      </c>
      <c r="B624" s="69" t="s">
        <v>221</v>
      </c>
      <c r="C624" s="100">
        <v>1</v>
      </c>
      <c r="D624" s="69" t="e">
        <v>#N/A</v>
      </c>
      <c r="E624" s="69" t="e">
        <v>#N/A</v>
      </c>
      <c r="F624" s="69" t="s">
        <v>246</v>
      </c>
      <c r="G624" s="69" t="s">
        <v>665</v>
      </c>
      <c r="H624" s="69">
        <v>0</v>
      </c>
      <c r="I624" s="69" t="s">
        <v>257</v>
      </c>
      <c r="J624" s="69">
        <v>42</v>
      </c>
    </row>
    <row r="625" spans="1:10" x14ac:dyDescent="0.2">
      <c r="A625" s="69">
        <v>10000001782</v>
      </c>
      <c r="B625" s="69" t="s">
        <v>262</v>
      </c>
      <c r="C625" s="100">
        <v>10</v>
      </c>
      <c r="D625" s="69" t="e">
        <v>#N/A</v>
      </c>
      <c r="E625" s="69" t="e">
        <v>#N/A</v>
      </c>
      <c r="F625" s="69" t="s">
        <v>246</v>
      </c>
      <c r="G625" s="69" t="s">
        <v>664</v>
      </c>
      <c r="H625" s="69">
        <v>0</v>
      </c>
      <c r="I625" s="69" t="s">
        <v>261</v>
      </c>
      <c r="J625" s="69">
        <v>42</v>
      </c>
    </row>
    <row r="626" spans="1:10" x14ac:dyDescent="0.2">
      <c r="A626" s="69">
        <v>10000001797</v>
      </c>
      <c r="B626" s="69" t="s">
        <v>262</v>
      </c>
      <c r="C626" s="100">
        <v>10</v>
      </c>
      <c r="D626" s="69" t="e">
        <v>#N/A</v>
      </c>
      <c r="E626" s="69" t="e">
        <v>#N/A</v>
      </c>
      <c r="F626" s="69" t="s">
        <v>246</v>
      </c>
      <c r="G626" s="69" t="s">
        <v>663</v>
      </c>
      <c r="H626" s="69">
        <v>0</v>
      </c>
      <c r="I626" s="69" t="s">
        <v>261</v>
      </c>
      <c r="J626" s="69">
        <v>42</v>
      </c>
    </row>
    <row r="627" spans="1:10" x14ac:dyDescent="0.2">
      <c r="A627" s="69">
        <v>10000001869</v>
      </c>
      <c r="C627" s="100">
        <v>23</v>
      </c>
      <c r="G627" s="69" t="s">
        <v>1689</v>
      </c>
      <c r="J627" s="69">
        <v>23</v>
      </c>
    </row>
    <row r="628" spans="1:10" x14ac:dyDescent="0.2">
      <c r="A628" s="69">
        <v>10000001897</v>
      </c>
      <c r="B628" s="69" t="s">
        <v>221</v>
      </c>
      <c r="C628" s="100">
        <v>5</v>
      </c>
      <c r="G628" s="69" t="s">
        <v>467</v>
      </c>
      <c r="J628" s="69">
        <v>42</v>
      </c>
    </row>
    <row r="629" spans="1:10" x14ac:dyDescent="0.2">
      <c r="A629" s="69">
        <v>10000001917</v>
      </c>
      <c r="C629" s="100" t="s">
        <v>307</v>
      </c>
      <c r="G629" s="69" t="s">
        <v>465</v>
      </c>
      <c r="J629" s="69" t="s">
        <v>307</v>
      </c>
    </row>
    <row r="630" spans="1:10" x14ac:dyDescent="0.2">
      <c r="A630" s="69">
        <v>10000001923</v>
      </c>
      <c r="C630" s="100">
        <v>28</v>
      </c>
      <c r="G630" s="69" t="s">
        <v>462</v>
      </c>
      <c r="J630" s="69">
        <v>28</v>
      </c>
    </row>
    <row r="631" spans="1:10" x14ac:dyDescent="0.2">
      <c r="A631" s="69">
        <v>10000001929</v>
      </c>
      <c r="C631" s="100">
        <v>28</v>
      </c>
      <c r="G631" s="69" t="s">
        <v>237</v>
      </c>
      <c r="J631" s="69">
        <v>42</v>
      </c>
    </row>
    <row r="632" spans="1:10" x14ac:dyDescent="0.2">
      <c r="A632" s="69">
        <v>10000001950</v>
      </c>
      <c r="C632" s="100">
        <v>28</v>
      </c>
      <c r="G632" s="69" t="s">
        <v>459</v>
      </c>
      <c r="J632" s="69">
        <v>28</v>
      </c>
    </row>
    <row r="633" spans="1:10" x14ac:dyDescent="0.2">
      <c r="A633" s="69">
        <v>10000001962</v>
      </c>
      <c r="C633" s="100" t="s">
        <v>307</v>
      </c>
      <c r="G633" s="69" t="s">
        <v>457</v>
      </c>
      <c r="J633" s="69" t="s">
        <v>307</v>
      </c>
    </row>
    <row r="634" spans="1:10" x14ac:dyDescent="0.2">
      <c r="A634" s="69">
        <v>10000001965</v>
      </c>
      <c r="C634" s="100">
        <v>10</v>
      </c>
      <c r="D634" s="69" t="e">
        <v>#N/A</v>
      </c>
      <c r="E634" s="69" t="e">
        <v>#N/A</v>
      </c>
      <c r="F634" s="69" t="s">
        <v>246</v>
      </c>
      <c r="G634" t="s">
        <v>456</v>
      </c>
      <c r="H634" s="69">
        <v>8</v>
      </c>
      <c r="I634" s="69" t="s">
        <v>269</v>
      </c>
      <c r="J634" s="69">
        <v>42</v>
      </c>
    </row>
    <row r="635" spans="1:10" x14ac:dyDescent="0.2">
      <c r="A635" s="69">
        <v>10000001970</v>
      </c>
      <c r="B635" s="69" t="s">
        <v>220</v>
      </c>
      <c r="C635" s="100" t="s">
        <v>220</v>
      </c>
      <c r="D635" s="69" t="e">
        <v>#N/A</v>
      </c>
      <c r="E635" s="69" t="e">
        <v>#N/A</v>
      </c>
      <c r="F635" s="69" t="s">
        <v>74</v>
      </c>
      <c r="G635" s="69" t="s">
        <v>661</v>
      </c>
      <c r="H635" s="69">
        <v>0</v>
      </c>
      <c r="I635" s="69" t="s">
        <v>247</v>
      </c>
      <c r="J635" s="69">
        <v>42</v>
      </c>
    </row>
    <row r="636" spans="1:10" x14ac:dyDescent="0.2">
      <c r="A636" s="69">
        <v>10000001971</v>
      </c>
      <c r="B636" s="69" t="s">
        <v>220</v>
      </c>
      <c r="C636" s="100" t="s">
        <v>220</v>
      </c>
      <c r="D636" s="69" t="e">
        <v>#N/A</v>
      </c>
      <c r="E636" s="69" t="e">
        <v>#N/A</v>
      </c>
      <c r="F636" s="69" t="s">
        <v>74</v>
      </c>
      <c r="G636" s="69" t="s">
        <v>660</v>
      </c>
      <c r="H636" s="69">
        <v>0</v>
      </c>
      <c r="I636" s="69" t="s">
        <v>247</v>
      </c>
      <c r="J636" s="69">
        <v>42</v>
      </c>
    </row>
    <row r="637" spans="1:10" x14ac:dyDescent="0.2">
      <c r="A637" s="69">
        <v>10000001973</v>
      </c>
      <c r="B637" s="69" t="s">
        <v>220</v>
      </c>
      <c r="C637" s="100">
        <v>5</v>
      </c>
      <c r="D637" s="69" t="e">
        <v>#N/A</v>
      </c>
      <c r="E637" s="69" t="e">
        <v>#N/A</v>
      </c>
      <c r="F637" s="69" t="s">
        <v>74</v>
      </c>
      <c r="G637" s="69" t="s">
        <v>659</v>
      </c>
      <c r="H637" s="69">
        <v>0</v>
      </c>
      <c r="I637" s="69" t="s">
        <v>247</v>
      </c>
      <c r="J637" s="69">
        <v>42</v>
      </c>
    </row>
    <row r="638" spans="1:10" x14ac:dyDescent="0.2">
      <c r="A638" s="69">
        <v>10000001974</v>
      </c>
      <c r="B638" s="69" t="s">
        <v>221</v>
      </c>
      <c r="C638" s="100">
        <v>5</v>
      </c>
      <c r="D638" s="69" t="e">
        <v>#N/A</v>
      </c>
      <c r="E638" s="69" t="e">
        <v>#N/A</v>
      </c>
      <c r="F638" s="69" t="s">
        <v>74</v>
      </c>
      <c r="G638" s="69" t="s">
        <v>658</v>
      </c>
      <c r="H638" s="69">
        <v>0</v>
      </c>
      <c r="I638" s="69" t="s">
        <v>257</v>
      </c>
      <c r="J638" s="69">
        <v>42</v>
      </c>
    </row>
    <row r="639" spans="1:10" x14ac:dyDescent="0.2">
      <c r="A639" s="69">
        <v>10000001975</v>
      </c>
      <c r="B639" s="69" t="s">
        <v>221</v>
      </c>
      <c r="C639" s="100" t="s">
        <v>221</v>
      </c>
      <c r="D639" s="69" t="s">
        <v>1266</v>
      </c>
      <c r="E639" s="69" t="s">
        <v>1242</v>
      </c>
      <c r="F639" s="69" t="s">
        <v>74</v>
      </c>
      <c r="G639" s="69" t="s">
        <v>124</v>
      </c>
      <c r="H639" s="69">
        <v>0</v>
      </c>
      <c r="I639" s="69" t="s">
        <v>257</v>
      </c>
      <c r="J639" s="69">
        <v>42</v>
      </c>
    </row>
    <row r="640" spans="1:10" x14ac:dyDescent="0.2">
      <c r="A640" s="69">
        <v>10000001977</v>
      </c>
      <c r="B640" s="69" t="s">
        <v>221</v>
      </c>
      <c r="C640" s="100" t="s">
        <v>221</v>
      </c>
      <c r="D640" s="69" t="s">
        <v>1240</v>
      </c>
      <c r="E640" s="69" t="s">
        <v>1241</v>
      </c>
      <c r="F640" s="69" t="s">
        <v>74</v>
      </c>
      <c r="G640" s="69" t="s">
        <v>657</v>
      </c>
      <c r="H640" s="69">
        <v>0</v>
      </c>
      <c r="I640" s="69" t="s">
        <v>257</v>
      </c>
      <c r="J640" s="69">
        <v>42</v>
      </c>
    </row>
    <row r="641" spans="1:10" x14ac:dyDescent="0.2">
      <c r="A641" s="69">
        <v>10000001988</v>
      </c>
      <c r="C641" s="100">
        <v>23</v>
      </c>
      <c r="G641" s="69" t="s">
        <v>452</v>
      </c>
      <c r="H641" s="69">
        <v>0</v>
      </c>
      <c r="J641" s="69">
        <v>42</v>
      </c>
    </row>
    <row r="642" spans="1:10" x14ac:dyDescent="0.2">
      <c r="A642" s="69">
        <v>10000001990</v>
      </c>
      <c r="B642" s="69" t="s">
        <v>262</v>
      </c>
      <c r="C642" s="100">
        <v>10</v>
      </c>
      <c r="D642" s="69" t="s">
        <v>80</v>
      </c>
      <c r="E642" s="69" t="s">
        <v>1242</v>
      </c>
      <c r="F642" s="69" t="s">
        <v>74</v>
      </c>
      <c r="G642" s="69" t="s">
        <v>656</v>
      </c>
      <c r="H642" s="69">
        <v>0</v>
      </c>
      <c r="I642" s="69" t="s">
        <v>261</v>
      </c>
      <c r="J642" s="69">
        <v>42</v>
      </c>
    </row>
    <row r="643" spans="1:10" x14ac:dyDescent="0.2">
      <c r="A643" s="69">
        <v>10000002012</v>
      </c>
      <c r="B643" s="69" t="s">
        <v>220</v>
      </c>
      <c r="C643" s="100">
        <v>1</v>
      </c>
      <c r="D643" s="69" t="e">
        <v>#N/A</v>
      </c>
      <c r="E643" s="69" t="e">
        <v>#N/A</v>
      </c>
      <c r="F643" s="69" t="s">
        <v>275</v>
      </c>
      <c r="G643" s="69" t="s">
        <v>655</v>
      </c>
      <c r="H643" s="69">
        <v>0</v>
      </c>
      <c r="I643" s="69" t="s">
        <v>247</v>
      </c>
      <c r="J643" s="69">
        <v>42</v>
      </c>
    </row>
    <row r="644" spans="1:10" x14ac:dyDescent="0.2">
      <c r="A644" s="69">
        <v>10000002015</v>
      </c>
      <c r="B644" s="69" t="s">
        <v>220</v>
      </c>
      <c r="C644" s="100" t="s">
        <v>220</v>
      </c>
      <c r="D644" s="69" t="e">
        <v>#N/A</v>
      </c>
      <c r="E644" s="69" t="e">
        <v>#N/A</v>
      </c>
      <c r="F644" s="69" t="s">
        <v>275</v>
      </c>
      <c r="G644" s="69" t="s">
        <v>654</v>
      </c>
      <c r="H644" s="69">
        <v>0</v>
      </c>
      <c r="I644" s="69" t="s">
        <v>247</v>
      </c>
      <c r="J644" s="69">
        <v>42</v>
      </c>
    </row>
    <row r="645" spans="1:10" x14ac:dyDescent="0.2">
      <c r="A645" s="69">
        <v>10000002016</v>
      </c>
      <c r="B645" s="69" t="s">
        <v>220</v>
      </c>
      <c r="C645" s="100" t="s">
        <v>220</v>
      </c>
      <c r="D645" s="69" t="e">
        <v>#N/A</v>
      </c>
      <c r="E645" s="69" t="e">
        <v>#N/A</v>
      </c>
      <c r="F645" s="69" t="s">
        <v>275</v>
      </c>
      <c r="G645" s="69" t="s">
        <v>653</v>
      </c>
      <c r="H645" s="69">
        <v>0</v>
      </c>
      <c r="I645" s="69" t="s">
        <v>247</v>
      </c>
      <c r="J645" s="69">
        <v>42</v>
      </c>
    </row>
    <row r="646" spans="1:10" x14ac:dyDescent="0.2">
      <c r="A646" s="69">
        <v>10000002018</v>
      </c>
      <c r="C646" s="100">
        <v>28</v>
      </c>
      <c r="G646" s="69" t="s">
        <v>446</v>
      </c>
      <c r="J646" s="69">
        <v>28</v>
      </c>
    </row>
    <row r="647" spans="1:10" x14ac:dyDescent="0.2">
      <c r="A647" s="69">
        <v>10000002020</v>
      </c>
      <c r="B647" s="69" t="s">
        <v>221</v>
      </c>
      <c r="C647" s="100">
        <v>5</v>
      </c>
      <c r="D647" s="69" t="e">
        <v>#N/A</v>
      </c>
      <c r="E647" s="69" t="e">
        <v>#N/A</v>
      </c>
      <c r="F647" s="69" t="s">
        <v>275</v>
      </c>
      <c r="G647" s="69" t="s">
        <v>652</v>
      </c>
      <c r="H647" s="69">
        <v>0</v>
      </c>
      <c r="I647" s="69" t="s">
        <v>257</v>
      </c>
      <c r="J647" s="69">
        <v>42</v>
      </c>
    </row>
    <row r="648" spans="1:10" x14ac:dyDescent="0.2">
      <c r="A648" s="69">
        <v>10000002022</v>
      </c>
      <c r="C648" s="100">
        <v>28</v>
      </c>
      <c r="G648" s="69" t="s">
        <v>444</v>
      </c>
      <c r="J648" s="69">
        <v>28</v>
      </c>
    </row>
    <row r="649" spans="1:10" x14ac:dyDescent="0.2">
      <c r="A649" s="69">
        <v>10000002025</v>
      </c>
      <c r="B649" s="69" t="s">
        <v>221</v>
      </c>
      <c r="C649" s="100">
        <v>5</v>
      </c>
      <c r="D649" s="69" t="e">
        <v>#N/A</v>
      </c>
      <c r="E649" s="69" t="e">
        <v>#N/A</v>
      </c>
      <c r="F649" s="69" t="s">
        <v>275</v>
      </c>
      <c r="G649" s="69" t="s">
        <v>150</v>
      </c>
      <c r="H649" s="69">
        <v>0</v>
      </c>
      <c r="I649" s="69" t="s">
        <v>257</v>
      </c>
      <c r="J649" s="69">
        <v>42</v>
      </c>
    </row>
    <row r="650" spans="1:10" x14ac:dyDescent="0.2">
      <c r="A650" s="69">
        <v>10000002030</v>
      </c>
      <c r="B650" s="69" t="s">
        <v>221</v>
      </c>
      <c r="C650" s="100" t="s">
        <v>221</v>
      </c>
      <c r="D650" s="69" t="e">
        <v>#N/A</v>
      </c>
      <c r="E650" s="69" t="e">
        <v>#N/A</v>
      </c>
      <c r="F650" s="69" t="s">
        <v>275</v>
      </c>
      <c r="G650" s="69" t="s">
        <v>651</v>
      </c>
      <c r="H650" s="69">
        <v>0</v>
      </c>
      <c r="I650" s="69" t="s">
        <v>257</v>
      </c>
      <c r="J650" s="69">
        <v>42</v>
      </c>
    </row>
    <row r="651" spans="1:10" x14ac:dyDescent="0.2">
      <c r="A651" s="69">
        <v>10000002032</v>
      </c>
      <c r="B651" s="69" t="s">
        <v>221</v>
      </c>
      <c r="C651" s="100" t="s">
        <v>221</v>
      </c>
      <c r="D651" s="69" t="e">
        <v>#N/A</v>
      </c>
      <c r="E651" s="69" t="e">
        <v>#N/A</v>
      </c>
      <c r="F651" s="69" t="s">
        <v>275</v>
      </c>
      <c r="G651" s="69" t="s">
        <v>650</v>
      </c>
      <c r="H651" s="69">
        <v>0</v>
      </c>
      <c r="I651" s="69" t="s">
        <v>257</v>
      </c>
      <c r="J651" s="69">
        <v>42</v>
      </c>
    </row>
    <row r="652" spans="1:10" x14ac:dyDescent="0.2">
      <c r="A652" s="69">
        <v>10000002033</v>
      </c>
      <c r="B652" s="69" t="s">
        <v>221</v>
      </c>
      <c r="C652" s="100" t="s">
        <v>221</v>
      </c>
      <c r="D652" s="69" t="e">
        <v>#N/A</v>
      </c>
      <c r="E652" s="69" t="e">
        <v>#N/A</v>
      </c>
      <c r="F652" s="69" t="s">
        <v>275</v>
      </c>
      <c r="G652" s="69" t="s">
        <v>649</v>
      </c>
      <c r="H652" s="69">
        <v>0</v>
      </c>
      <c r="I652" s="69" t="s">
        <v>257</v>
      </c>
      <c r="J652" s="69">
        <v>42</v>
      </c>
    </row>
    <row r="653" spans="1:10" x14ac:dyDescent="0.2">
      <c r="A653" s="69">
        <v>10000002034</v>
      </c>
      <c r="B653" s="69" t="s">
        <v>262</v>
      </c>
      <c r="C653" s="100">
        <v>10</v>
      </c>
      <c r="D653" s="69" t="e">
        <v>#N/A</v>
      </c>
      <c r="E653" s="69" t="e">
        <v>#N/A</v>
      </c>
      <c r="F653" s="69" t="s">
        <v>275</v>
      </c>
      <c r="G653" s="69" t="s">
        <v>648</v>
      </c>
      <c r="H653" s="69">
        <v>0</v>
      </c>
      <c r="I653" s="69" t="s">
        <v>261</v>
      </c>
      <c r="J653" s="69">
        <v>42</v>
      </c>
    </row>
    <row r="654" spans="1:10" x14ac:dyDescent="0.2">
      <c r="A654" s="69">
        <v>10000002035</v>
      </c>
      <c r="B654" s="69" t="s">
        <v>262</v>
      </c>
      <c r="C654" s="100">
        <v>10</v>
      </c>
      <c r="D654" s="69" t="e">
        <v>#N/A</v>
      </c>
      <c r="E654" s="69" t="e">
        <v>#N/A</v>
      </c>
      <c r="F654" s="69" t="s">
        <v>275</v>
      </c>
      <c r="G654" s="69" t="s">
        <v>647</v>
      </c>
      <c r="H654" s="69">
        <v>0</v>
      </c>
      <c r="I654" s="69" t="s">
        <v>261</v>
      </c>
      <c r="J654" s="69">
        <v>42</v>
      </c>
    </row>
    <row r="655" spans="1:10" x14ac:dyDescent="0.2">
      <c r="A655" s="69">
        <v>10000002036</v>
      </c>
      <c r="B655" s="69" t="s">
        <v>262</v>
      </c>
      <c r="C655" s="100">
        <v>10</v>
      </c>
      <c r="D655" s="69" t="s">
        <v>73</v>
      </c>
      <c r="E655" s="69" t="s">
        <v>1241</v>
      </c>
      <c r="F655" s="69" t="s">
        <v>275</v>
      </c>
      <c r="G655" s="69" t="s">
        <v>646</v>
      </c>
      <c r="H655" s="69">
        <v>0</v>
      </c>
      <c r="I655" s="69" t="s">
        <v>261</v>
      </c>
      <c r="J655" s="69">
        <v>42</v>
      </c>
    </row>
    <row r="656" spans="1:10" x14ac:dyDescent="0.2">
      <c r="A656" s="69">
        <v>10000002038</v>
      </c>
      <c r="B656" s="69" t="s">
        <v>262</v>
      </c>
      <c r="C656" s="100">
        <v>1</v>
      </c>
      <c r="D656" s="69" t="e">
        <v>#N/A</v>
      </c>
      <c r="E656" s="69" t="e">
        <v>#N/A</v>
      </c>
      <c r="F656" s="69" t="s">
        <v>275</v>
      </c>
      <c r="G656" s="69" t="s">
        <v>645</v>
      </c>
      <c r="H656" s="69">
        <v>0</v>
      </c>
      <c r="I656" s="69" t="s">
        <v>261</v>
      </c>
      <c r="J656" s="69">
        <v>42</v>
      </c>
    </row>
    <row r="657" spans="1:10" x14ac:dyDescent="0.2">
      <c r="A657" s="69">
        <v>10000002050</v>
      </c>
      <c r="B657" s="69" t="s">
        <v>262</v>
      </c>
      <c r="C657" s="100">
        <v>10</v>
      </c>
      <c r="D657" s="69" t="e">
        <v>#N/A</v>
      </c>
      <c r="E657" s="69" t="e">
        <v>#N/A</v>
      </c>
      <c r="F657" s="69" t="s">
        <v>275</v>
      </c>
      <c r="G657" s="69" t="s">
        <v>644</v>
      </c>
      <c r="H657" s="69">
        <v>0</v>
      </c>
      <c r="I657" s="69" t="s">
        <v>261</v>
      </c>
      <c r="J657" s="69">
        <v>42</v>
      </c>
    </row>
    <row r="658" spans="1:10" x14ac:dyDescent="0.2">
      <c r="A658" s="69">
        <v>10000002051</v>
      </c>
      <c r="C658" s="100" t="s">
        <v>307</v>
      </c>
      <c r="G658" s="69" t="s">
        <v>437</v>
      </c>
      <c r="H658" s="69">
        <v>0</v>
      </c>
      <c r="J658" s="69">
        <v>42</v>
      </c>
    </row>
    <row r="659" spans="1:10" x14ac:dyDescent="0.2">
      <c r="A659" s="69">
        <v>10000002056</v>
      </c>
      <c r="C659" s="100">
        <v>19</v>
      </c>
      <c r="G659" s="69" t="s">
        <v>436</v>
      </c>
      <c r="H659" s="69">
        <v>0</v>
      </c>
      <c r="J659" s="69">
        <v>42</v>
      </c>
    </row>
    <row r="660" spans="1:10" x14ac:dyDescent="0.2">
      <c r="A660" s="69">
        <v>10000002062</v>
      </c>
      <c r="B660" s="69" t="s">
        <v>262</v>
      </c>
      <c r="C660" s="100">
        <v>10</v>
      </c>
      <c r="D660" s="69" t="e">
        <v>#N/A</v>
      </c>
      <c r="E660" s="69" t="e">
        <v>#N/A</v>
      </c>
      <c r="F660" s="69" t="s">
        <v>275</v>
      </c>
      <c r="G660" s="69" t="s">
        <v>643</v>
      </c>
      <c r="H660" s="69">
        <v>0</v>
      </c>
      <c r="I660" s="69" t="s">
        <v>261</v>
      </c>
      <c r="J660" s="69">
        <v>42</v>
      </c>
    </row>
    <row r="661" spans="1:10" x14ac:dyDescent="0.2">
      <c r="A661" s="69">
        <v>10000002072</v>
      </c>
      <c r="B661" s="69" t="s">
        <v>262</v>
      </c>
      <c r="C661" s="100">
        <v>5</v>
      </c>
      <c r="D661" s="69" t="e">
        <v>#N/A</v>
      </c>
      <c r="E661" s="69" t="e">
        <v>#N/A</v>
      </c>
      <c r="F661" s="69" t="s">
        <v>275</v>
      </c>
      <c r="G661" s="69" t="s">
        <v>642</v>
      </c>
      <c r="H661" s="69">
        <v>0</v>
      </c>
      <c r="I661" s="69" t="s">
        <v>261</v>
      </c>
      <c r="J661" s="69">
        <v>42</v>
      </c>
    </row>
    <row r="662" spans="1:10" x14ac:dyDescent="0.2">
      <c r="A662" s="69">
        <v>10000002078</v>
      </c>
      <c r="B662" s="69" t="s">
        <v>262</v>
      </c>
      <c r="C662" s="100">
        <v>20</v>
      </c>
      <c r="D662" s="69" t="e">
        <v>#N/A</v>
      </c>
      <c r="E662" s="69" t="e">
        <v>#N/A</v>
      </c>
      <c r="F662" s="69" t="s">
        <v>275</v>
      </c>
      <c r="G662" s="69" t="s">
        <v>641</v>
      </c>
      <c r="H662" s="69">
        <v>0</v>
      </c>
      <c r="I662" s="69" t="s">
        <v>261</v>
      </c>
      <c r="J662" s="69">
        <v>42</v>
      </c>
    </row>
    <row r="663" spans="1:10" x14ac:dyDescent="0.2">
      <c r="A663" s="69">
        <v>10000002080</v>
      </c>
      <c r="C663" s="100">
        <v>19</v>
      </c>
      <c r="G663" s="69" t="s">
        <v>433</v>
      </c>
      <c r="J663" s="69">
        <v>19</v>
      </c>
    </row>
    <row r="664" spans="1:10" x14ac:dyDescent="0.2">
      <c r="A664" s="69">
        <v>10000002372</v>
      </c>
      <c r="C664" s="100">
        <v>23</v>
      </c>
      <c r="G664" s="69" t="s">
        <v>1622</v>
      </c>
      <c r="J664" s="69">
        <v>23</v>
      </c>
    </row>
    <row r="665" spans="1:10" x14ac:dyDescent="0.2">
      <c r="A665" s="69">
        <v>10000002373</v>
      </c>
      <c r="B665" s="69" t="s">
        <v>220</v>
      </c>
      <c r="C665" s="100" t="s">
        <v>220</v>
      </c>
      <c r="D665" s="69" t="e">
        <v>#N/A</v>
      </c>
      <c r="E665" s="69" t="e">
        <v>#N/A</v>
      </c>
      <c r="F665" s="69" t="s">
        <v>246</v>
      </c>
      <c r="G665" s="69" t="s">
        <v>640</v>
      </c>
      <c r="H665" s="69">
        <v>0</v>
      </c>
      <c r="I665" s="69" t="s">
        <v>247</v>
      </c>
      <c r="J665" s="69">
        <v>42</v>
      </c>
    </row>
    <row r="666" spans="1:10" x14ac:dyDescent="0.2">
      <c r="A666" s="69">
        <v>10000002376</v>
      </c>
      <c r="C666" s="100">
        <v>28</v>
      </c>
      <c r="G666" s="69" t="s">
        <v>425</v>
      </c>
      <c r="H666" s="69">
        <v>0</v>
      </c>
      <c r="J666" s="69">
        <v>42</v>
      </c>
    </row>
    <row r="667" spans="1:10" x14ac:dyDescent="0.2">
      <c r="A667" s="69">
        <v>10000002377</v>
      </c>
      <c r="B667" s="69" t="s">
        <v>262</v>
      </c>
      <c r="C667" s="100">
        <v>1</v>
      </c>
      <c r="D667" s="69" t="e">
        <v>#N/A</v>
      </c>
      <c r="E667" s="69" t="e">
        <v>#N/A</v>
      </c>
      <c r="F667" s="69" t="s">
        <v>246</v>
      </c>
      <c r="G667" s="69" t="s">
        <v>639</v>
      </c>
      <c r="H667" s="69">
        <v>0</v>
      </c>
      <c r="I667" s="69" t="s">
        <v>261</v>
      </c>
      <c r="J667" s="69">
        <v>42</v>
      </c>
    </row>
    <row r="668" spans="1:10" x14ac:dyDescent="0.2">
      <c r="A668" s="69">
        <v>10000002380</v>
      </c>
      <c r="B668" s="69">
        <v>5</v>
      </c>
      <c r="C668" s="100">
        <v>5</v>
      </c>
      <c r="G668" s="70" t="s">
        <v>234</v>
      </c>
      <c r="J668" s="69">
        <v>42</v>
      </c>
    </row>
    <row r="669" spans="1:10" x14ac:dyDescent="0.2">
      <c r="A669" s="69">
        <v>10000002476</v>
      </c>
      <c r="C669" s="100">
        <v>23</v>
      </c>
      <c r="G669" s="69" t="s">
        <v>217</v>
      </c>
      <c r="J669" s="69">
        <v>23</v>
      </c>
    </row>
    <row r="670" spans="1:10" x14ac:dyDescent="0.2">
      <c r="A670" s="69">
        <v>10000002482</v>
      </c>
      <c r="B670" s="93" t="s">
        <v>296</v>
      </c>
      <c r="C670" s="102" t="s">
        <v>296</v>
      </c>
      <c r="G670" s="69" t="s">
        <v>421</v>
      </c>
      <c r="J670" s="69">
        <v>24</v>
      </c>
    </row>
    <row r="671" spans="1:10" x14ac:dyDescent="0.2">
      <c r="A671" s="69">
        <v>10000002483</v>
      </c>
      <c r="B671" s="69">
        <v>10</v>
      </c>
      <c r="C671" s="100">
        <v>10</v>
      </c>
      <c r="G671" s="69" t="s">
        <v>1575</v>
      </c>
      <c r="J671" s="69">
        <v>42</v>
      </c>
    </row>
    <row r="672" spans="1:10" x14ac:dyDescent="0.2">
      <c r="A672" s="69">
        <v>10000002484</v>
      </c>
      <c r="B672" s="69" t="s">
        <v>262</v>
      </c>
      <c r="C672" s="100">
        <v>10</v>
      </c>
      <c r="D672" s="69" t="e">
        <v>#N/A</v>
      </c>
      <c r="E672" s="69" t="e">
        <v>#N/A</v>
      </c>
      <c r="F672" s="69" t="s">
        <v>275</v>
      </c>
      <c r="G672" s="69" t="s">
        <v>638</v>
      </c>
      <c r="H672" s="69">
        <v>0</v>
      </c>
      <c r="I672" s="69" t="s">
        <v>261</v>
      </c>
      <c r="J672" s="69">
        <v>42</v>
      </c>
    </row>
    <row r="673" spans="1:10" x14ac:dyDescent="0.2">
      <c r="A673" s="69">
        <v>10000002485</v>
      </c>
      <c r="B673" s="71" t="s">
        <v>637</v>
      </c>
      <c r="C673" s="101" t="s">
        <v>637</v>
      </c>
      <c r="D673" s="69" t="s">
        <v>1302</v>
      </c>
      <c r="E673" s="69" t="s">
        <v>1241</v>
      </c>
      <c r="F673" s="69" t="s">
        <v>275</v>
      </c>
      <c r="G673" s="69" t="s">
        <v>144</v>
      </c>
      <c r="H673" s="69">
        <v>0</v>
      </c>
      <c r="I673" s="69" t="s">
        <v>261</v>
      </c>
      <c r="J673" s="69">
        <v>42</v>
      </c>
    </row>
    <row r="674" spans="1:10" x14ac:dyDescent="0.2">
      <c r="A674" s="69">
        <v>10000002486</v>
      </c>
      <c r="B674" s="69" t="s">
        <v>262</v>
      </c>
      <c r="C674" s="100">
        <v>5</v>
      </c>
      <c r="D674" s="69" t="s">
        <v>1276</v>
      </c>
      <c r="E674" s="69" t="s">
        <v>1242</v>
      </c>
      <c r="F674" s="69" t="s">
        <v>275</v>
      </c>
      <c r="G674" s="69" t="s">
        <v>636</v>
      </c>
      <c r="H674" s="69">
        <v>0</v>
      </c>
      <c r="I674" s="69" t="s">
        <v>261</v>
      </c>
      <c r="J674" s="69">
        <v>42</v>
      </c>
    </row>
    <row r="675" spans="1:10" x14ac:dyDescent="0.2">
      <c r="A675" s="69">
        <v>10000002487</v>
      </c>
      <c r="B675" s="69" t="s">
        <v>220</v>
      </c>
      <c r="C675" s="100">
        <v>5</v>
      </c>
      <c r="D675" s="69" t="s">
        <v>1246</v>
      </c>
      <c r="E675" s="69" t="s">
        <v>1239</v>
      </c>
      <c r="F675" s="69" t="s">
        <v>275</v>
      </c>
      <c r="G675" s="69" t="s">
        <v>635</v>
      </c>
      <c r="H675" s="69">
        <v>0</v>
      </c>
      <c r="I675" s="69" t="s">
        <v>247</v>
      </c>
      <c r="J675" s="69">
        <v>42</v>
      </c>
    </row>
    <row r="676" spans="1:10" x14ac:dyDescent="0.2">
      <c r="A676" s="69">
        <v>10000002488</v>
      </c>
      <c r="B676" s="69" t="s">
        <v>221</v>
      </c>
      <c r="C676" s="100">
        <v>5</v>
      </c>
      <c r="D676" s="69" t="e">
        <v>#N/A</v>
      </c>
      <c r="E676" s="69" t="e">
        <v>#N/A</v>
      </c>
      <c r="F676" s="69" t="s">
        <v>275</v>
      </c>
      <c r="G676" s="69" t="s">
        <v>152</v>
      </c>
      <c r="H676" s="69">
        <v>0</v>
      </c>
      <c r="I676" s="69" t="s">
        <v>257</v>
      </c>
      <c r="J676" s="69">
        <v>42</v>
      </c>
    </row>
    <row r="677" spans="1:10" x14ac:dyDescent="0.2">
      <c r="A677" s="69">
        <v>10000002489</v>
      </c>
      <c r="C677" s="100">
        <v>23</v>
      </c>
      <c r="G677" s="69" t="s">
        <v>416</v>
      </c>
      <c r="H677" s="69">
        <v>0</v>
      </c>
      <c r="J677" s="69">
        <v>42</v>
      </c>
    </row>
    <row r="678" spans="1:10" x14ac:dyDescent="0.2">
      <c r="A678" s="69">
        <v>10000002490</v>
      </c>
      <c r="B678" s="69" t="s">
        <v>221</v>
      </c>
      <c r="C678" s="100">
        <v>5</v>
      </c>
      <c r="D678" s="69" t="e">
        <v>#N/A</v>
      </c>
      <c r="E678" s="69" t="e">
        <v>#N/A</v>
      </c>
      <c r="F678" s="69" t="s">
        <v>275</v>
      </c>
      <c r="G678" s="69" t="s">
        <v>634</v>
      </c>
      <c r="H678" s="69">
        <v>0</v>
      </c>
      <c r="I678" s="69" t="s">
        <v>257</v>
      </c>
      <c r="J678" s="69">
        <v>42</v>
      </c>
    </row>
    <row r="679" spans="1:10" x14ac:dyDescent="0.2">
      <c r="A679" s="69">
        <v>10000002491</v>
      </c>
      <c r="B679" s="69" t="s">
        <v>221</v>
      </c>
      <c r="C679" s="100">
        <v>5</v>
      </c>
      <c r="D679" s="69" t="e">
        <v>#N/A</v>
      </c>
      <c r="E679" s="69" t="e">
        <v>#N/A</v>
      </c>
      <c r="F679" s="69" t="s">
        <v>275</v>
      </c>
      <c r="G679" s="69" t="s">
        <v>633</v>
      </c>
      <c r="H679" s="69">
        <v>0</v>
      </c>
      <c r="I679" s="69" t="s">
        <v>257</v>
      </c>
      <c r="J679" s="69">
        <v>42</v>
      </c>
    </row>
    <row r="680" spans="1:10" x14ac:dyDescent="0.2">
      <c r="A680" s="69">
        <v>10000002492</v>
      </c>
      <c r="B680" s="69" t="s">
        <v>221</v>
      </c>
      <c r="C680" s="100" t="s">
        <v>221</v>
      </c>
      <c r="D680" s="69" t="e">
        <v>#N/A</v>
      </c>
      <c r="E680" s="69" t="e">
        <v>#N/A</v>
      </c>
      <c r="F680" s="69" t="s">
        <v>275</v>
      </c>
      <c r="G680" s="69" t="s">
        <v>632</v>
      </c>
      <c r="H680" s="69">
        <v>0</v>
      </c>
      <c r="I680" s="69" t="s">
        <v>257</v>
      </c>
      <c r="J680" s="69">
        <v>42</v>
      </c>
    </row>
    <row r="681" spans="1:10" x14ac:dyDescent="0.2">
      <c r="A681" s="69">
        <v>10000002495</v>
      </c>
      <c r="B681" s="69" t="s">
        <v>221</v>
      </c>
      <c r="C681" s="100">
        <v>5</v>
      </c>
      <c r="G681" s="69" t="s">
        <v>1573</v>
      </c>
      <c r="J681" s="69">
        <v>42</v>
      </c>
    </row>
    <row r="682" spans="1:10" x14ac:dyDescent="0.2">
      <c r="A682" s="69">
        <v>10000002573</v>
      </c>
      <c r="B682" s="69" t="s">
        <v>221</v>
      </c>
      <c r="C682" s="100">
        <v>5</v>
      </c>
      <c r="D682" s="69" t="e">
        <v>#N/A</v>
      </c>
      <c r="E682" s="69" t="e">
        <v>#N/A</v>
      </c>
      <c r="F682" s="69" t="s">
        <v>246</v>
      </c>
      <c r="G682" s="69" t="s">
        <v>631</v>
      </c>
      <c r="H682" s="69">
        <v>0</v>
      </c>
      <c r="I682" s="69" t="s">
        <v>257</v>
      </c>
      <c r="J682" s="69">
        <v>42</v>
      </c>
    </row>
    <row r="683" spans="1:10" x14ac:dyDescent="0.2">
      <c r="A683" s="69">
        <v>10000002574</v>
      </c>
      <c r="B683" s="69" t="s">
        <v>221</v>
      </c>
      <c r="C683" s="100">
        <v>5</v>
      </c>
      <c r="D683" s="69" t="e">
        <v>#N/A</v>
      </c>
      <c r="E683" s="69" t="e">
        <v>#N/A</v>
      </c>
      <c r="F683" s="69" t="s">
        <v>246</v>
      </c>
      <c r="G683" s="69" t="s">
        <v>630</v>
      </c>
      <c r="H683" s="69">
        <v>0</v>
      </c>
      <c r="I683" s="69" t="s">
        <v>257</v>
      </c>
      <c r="J683" s="69">
        <v>42</v>
      </c>
    </row>
    <row r="684" spans="1:10" x14ac:dyDescent="0.2">
      <c r="A684" s="69">
        <v>10000002575</v>
      </c>
      <c r="C684" s="100">
        <v>28</v>
      </c>
      <c r="G684" s="69" t="s">
        <v>1717</v>
      </c>
      <c r="J684" s="69">
        <v>28</v>
      </c>
    </row>
    <row r="685" spans="1:10" x14ac:dyDescent="0.2">
      <c r="A685" s="69">
        <v>10000002579</v>
      </c>
      <c r="B685" s="69" t="s">
        <v>262</v>
      </c>
      <c r="C685" s="100">
        <v>10</v>
      </c>
      <c r="D685" s="69" t="e">
        <v>#N/A</v>
      </c>
      <c r="E685" s="69" t="e">
        <v>#N/A</v>
      </c>
      <c r="F685" s="69" t="s">
        <v>246</v>
      </c>
      <c r="G685" s="69" t="s">
        <v>629</v>
      </c>
      <c r="H685" s="69">
        <v>0</v>
      </c>
      <c r="I685" s="69" t="s">
        <v>261</v>
      </c>
      <c r="J685" s="69">
        <v>42</v>
      </c>
    </row>
    <row r="686" spans="1:10" x14ac:dyDescent="0.2">
      <c r="A686" s="69">
        <v>10000002670</v>
      </c>
      <c r="C686" s="100" t="s">
        <v>307</v>
      </c>
      <c r="G686" s="69" t="s">
        <v>411</v>
      </c>
      <c r="H686" s="69">
        <v>0</v>
      </c>
      <c r="J686" s="69">
        <v>42</v>
      </c>
    </row>
    <row r="687" spans="1:10" x14ac:dyDescent="0.2">
      <c r="A687" s="69">
        <v>10000002675</v>
      </c>
      <c r="C687" s="100">
        <v>28</v>
      </c>
      <c r="G687" s="69" t="s">
        <v>410</v>
      </c>
      <c r="H687" s="69">
        <v>0</v>
      </c>
      <c r="J687" s="69">
        <v>42</v>
      </c>
    </row>
    <row r="688" spans="1:10" x14ac:dyDescent="0.2">
      <c r="A688" s="69">
        <v>10000002676</v>
      </c>
      <c r="B688" s="69" t="s">
        <v>220</v>
      </c>
      <c r="C688" s="100" t="s">
        <v>220</v>
      </c>
      <c r="D688" s="69" t="e">
        <v>#N/A</v>
      </c>
      <c r="E688" s="69" t="e">
        <v>#N/A</v>
      </c>
      <c r="F688" s="69" t="s">
        <v>246</v>
      </c>
      <c r="G688" s="69" t="s">
        <v>628</v>
      </c>
      <c r="H688" s="69">
        <v>0</v>
      </c>
      <c r="I688" s="69" t="s">
        <v>247</v>
      </c>
      <c r="J688" s="69">
        <v>42</v>
      </c>
    </row>
    <row r="689" spans="1:10" x14ac:dyDescent="0.2">
      <c r="A689" s="69">
        <v>10000002677</v>
      </c>
      <c r="C689" s="100">
        <v>23</v>
      </c>
      <c r="G689" s="69" t="s">
        <v>407</v>
      </c>
      <c r="H689" s="69">
        <v>0</v>
      </c>
      <c r="J689" s="69">
        <v>42</v>
      </c>
    </row>
    <row r="690" spans="1:10" x14ac:dyDescent="0.2">
      <c r="A690" s="69">
        <v>10000002684</v>
      </c>
      <c r="C690" s="100">
        <v>23</v>
      </c>
      <c r="G690" s="69" t="s">
        <v>406</v>
      </c>
      <c r="H690" s="69">
        <v>0</v>
      </c>
      <c r="J690" s="69">
        <v>42</v>
      </c>
    </row>
    <row r="691" spans="1:10" x14ac:dyDescent="0.2">
      <c r="A691" s="69">
        <v>10000002771</v>
      </c>
      <c r="B691" s="69" t="s">
        <v>220</v>
      </c>
      <c r="C691" s="100" t="s">
        <v>220</v>
      </c>
      <c r="D691" s="69" t="e">
        <v>#N/A</v>
      </c>
      <c r="E691" s="69" t="e">
        <v>#N/A</v>
      </c>
      <c r="F691" s="69" t="s">
        <v>246</v>
      </c>
      <c r="G691" s="69" t="s">
        <v>627</v>
      </c>
      <c r="H691" s="69">
        <v>0</v>
      </c>
      <c r="I691" s="69" t="s">
        <v>247</v>
      </c>
      <c r="J691" s="69">
        <v>42</v>
      </c>
    </row>
    <row r="692" spans="1:10" x14ac:dyDescent="0.2">
      <c r="A692" s="69">
        <v>10000002773</v>
      </c>
      <c r="B692" s="93" t="s">
        <v>296</v>
      </c>
      <c r="C692" s="102" t="s">
        <v>296</v>
      </c>
      <c r="G692" s="69" t="s">
        <v>194</v>
      </c>
      <c r="J692" s="69">
        <v>24</v>
      </c>
    </row>
    <row r="693" spans="1:10" x14ac:dyDescent="0.2">
      <c r="A693" s="69">
        <v>10000002774</v>
      </c>
      <c r="B693" s="69" t="s">
        <v>220</v>
      </c>
      <c r="C693" s="100" t="s">
        <v>220</v>
      </c>
      <c r="D693" s="69" t="e">
        <v>#N/A</v>
      </c>
      <c r="E693" s="69" t="e">
        <v>#N/A</v>
      </c>
      <c r="F693" s="69" t="s">
        <v>246</v>
      </c>
      <c r="G693" s="69" t="s">
        <v>626</v>
      </c>
      <c r="H693" s="69">
        <v>0</v>
      </c>
      <c r="I693" s="69" t="s">
        <v>247</v>
      </c>
      <c r="J693" s="69">
        <v>42</v>
      </c>
    </row>
    <row r="694" spans="1:10" x14ac:dyDescent="0.2">
      <c r="A694" s="69">
        <v>10000002777</v>
      </c>
      <c r="C694" s="100">
        <v>28</v>
      </c>
      <c r="G694" s="69" t="s">
        <v>405</v>
      </c>
      <c r="H694" s="69">
        <v>0</v>
      </c>
      <c r="J694" s="69">
        <v>42</v>
      </c>
    </row>
    <row r="695" spans="1:10" x14ac:dyDescent="0.2">
      <c r="A695" s="69">
        <v>10000002783</v>
      </c>
      <c r="C695" s="100">
        <v>23</v>
      </c>
      <c r="G695" s="69" t="s">
        <v>404</v>
      </c>
      <c r="H695" s="69">
        <v>0</v>
      </c>
      <c r="J695" s="69">
        <v>42</v>
      </c>
    </row>
    <row r="696" spans="1:10" x14ac:dyDescent="0.2">
      <c r="A696" s="69">
        <v>10000002785</v>
      </c>
      <c r="B696" s="69" t="s">
        <v>220</v>
      </c>
      <c r="C696" s="100">
        <v>1</v>
      </c>
      <c r="J696" s="69">
        <v>42</v>
      </c>
    </row>
    <row r="697" spans="1:10" x14ac:dyDescent="0.2">
      <c r="A697" s="69">
        <v>10000002787</v>
      </c>
      <c r="B697" s="69" t="s">
        <v>220</v>
      </c>
      <c r="C697" s="100" t="s">
        <v>220</v>
      </c>
      <c r="D697" s="69" t="e">
        <v>#N/A</v>
      </c>
      <c r="E697" s="69" t="e">
        <v>#N/A</v>
      </c>
      <c r="F697" s="69" t="s">
        <v>246</v>
      </c>
      <c r="G697" s="69" t="s">
        <v>625</v>
      </c>
      <c r="H697" s="69">
        <v>0</v>
      </c>
      <c r="I697" s="69" t="s">
        <v>247</v>
      </c>
      <c r="J697" s="69">
        <v>42</v>
      </c>
    </row>
    <row r="698" spans="1:10" x14ac:dyDescent="0.2">
      <c r="A698" s="69">
        <v>10000002790</v>
      </c>
      <c r="B698" s="69" t="s">
        <v>220</v>
      </c>
      <c r="C698" s="100">
        <v>1</v>
      </c>
      <c r="D698" s="69" t="e">
        <v>#N/A</v>
      </c>
      <c r="E698" s="69" t="e">
        <v>#N/A</v>
      </c>
      <c r="F698" s="69" t="s">
        <v>246</v>
      </c>
      <c r="G698" s="69" t="s">
        <v>624</v>
      </c>
      <c r="H698" s="69">
        <v>0</v>
      </c>
      <c r="I698" s="69" t="s">
        <v>247</v>
      </c>
      <c r="J698" s="69">
        <v>42</v>
      </c>
    </row>
    <row r="699" spans="1:10" x14ac:dyDescent="0.2">
      <c r="A699" s="69">
        <v>10000002792</v>
      </c>
      <c r="B699" s="69" t="s">
        <v>220</v>
      </c>
      <c r="C699" s="100" t="s">
        <v>220</v>
      </c>
      <c r="D699" s="69" t="e">
        <v>#N/A</v>
      </c>
      <c r="E699" s="69" t="e">
        <v>#N/A</v>
      </c>
      <c r="F699" s="69" t="s">
        <v>246</v>
      </c>
      <c r="G699" s="69" t="s">
        <v>623</v>
      </c>
      <c r="H699" s="69">
        <v>0</v>
      </c>
      <c r="I699" s="69" t="s">
        <v>247</v>
      </c>
      <c r="J699" s="69">
        <v>42</v>
      </c>
    </row>
    <row r="700" spans="1:10" x14ac:dyDescent="0.2">
      <c r="A700" s="69">
        <v>10000002795</v>
      </c>
      <c r="C700" s="100">
        <v>23</v>
      </c>
      <c r="G700" s="69" t="s">
        <v>401</v>
      </c>
      <c r="H700" s="69">
        <v>0</v>
      </c>
      <c r="J700" s="69">
        <v>42</v>
      </c>
    </row>
    <row r="701" spans="1:10" x14ac:dyDescent="0.2">
      <c r="A701" s="69">
        <v>10000002869</v>
      </c>
      <c r="C701" s="100">
        <v>23</v>
      </c>
      <c r="G701" s="69" t="s">
        <v>400</v>
      </c>
      <c r="H701" s="69">
        <v>0</v>
      </c>
      <c r="J701" s="69">
        <v>42</v>
      </c>
    </row>
    <row r="702" spans="1:10" x14ac:dyDescent="0.2">
      <c r="A702" s="69">
        <v>10000002870</v>
      </c>
      <c r="B702" s="69" t="s">
        <v>221</v>
      </c>
      <c r="C702" s="100" t="s">
        <v>221</v>
      </c>
      <c r="D702" s="69" t="e">
        <v>#N/A</v>
      </c>
      <c r="E702" s="69" t="e">
        <v>#N/A</v>
      </c>
      <c r="F702" s="69" t="s">
        <v>246</v>
      </c>
      <c r="G702" s="69" t="s">
        <v>622</v>
      </c>
      <c r="H702" s="69">
        <v>0</v>
      </c>
      <c r="I702" s="69" t="s">
        <v>257</v>
      </c>
      <c r="J702" s="69">
        <v>42</v>
      </c>
    </row>
    <row r="703" spans="1:10" x14ac:dyDescent="0.2">
      <c r="A703" s="69">
        <v>10000003071</v>
      </c>
      <c r="B703" s="69" t="s">
        <v>221</v>
      </c>
      <c r="C703" s="100" t="s">
        <v>221</v>
      </c>
      <c r="D703" s="69" t="s">
        <v>1238</v>
      </c>
      <c r="E703" s="69" t="s">
        <v>1242</v>
      </c>
      <c r="F703" s="69" t="s">
        <v>246</v>
      </c>
      <c r="G703" s="69" t="s">
        <v>621</v>
      </c>
      <c r="H703" s="69">
        <v>0</v>
      </c>
      <c r="I703" s="69" t="s">
        <v>257</v>
      </c>
      <c r="J703" s="69">
        <v>42</v>
      </c>
    </row>
    <row r="704" spans="1:10" x14ac:dyDescent="0.2">
      <c r="A704" s="69">
        <v>10000003172</v>
      </c>
      <c r="B704" s="69" t="s">
        <v>221</v>
      </c>
      <c r="C704" s="100" t="s">
        <v>221</v>
      </c>
      <c r="D704" s="69" t="e">
        <v>#N/A</v>
      </c>
      <c r="E704" s="69" t="e">
        <v>#N/A</v>
      </c>
      <c r="F704" s="69" t="s">
        <v>246</v>
      </c>
      <c r="G704" s="69" t="s">
        <v>620</v>
      </c>
      <c r="H704" s="69">
        <v>0</v>
      </c>
      <c r="I704" s="69" t="s">
        <v>257</v>
      </c>
      <c r="J704" s="69">
        <v>42</v>
      </c>
    </row>
    <row r="705" spans="1:10" x14ac:dyDescent="0.2">
      <c r="A705" s="69">
        <v>10000003269</v>
      </c>
      <c r="B705" s="69" t="s">
        <v>221</v>
      </c>
      <c r="C705" s="100" t="s">
        <v>221</v>
      </c>
      <c r="D705" s="69" t="s">
        <v>1245</v>
      </c>
      <c r="E705" s="69" t="s">
        <v>1241</v>
      </c>
      <c r="F705" s="69" t="s">
        <v>246</v>
      </c>
      <c r="G705" s="69" t="s">
        <v>619</v>
      </c>
      <c r="H705" s="69">
        <v>0</v>
      </c>
      <c r="I705" s="69" t="s">
        <v>257</v>
      </c>
      <c r="J705" s="69">
        <v>42</v>
      </c>
    </row>
    <row r="706" spans="1:10" x14ac:dyDescent="0.2">
      <c r="A706" s="69">
        <v>10000003273</v>
      </c>
      <c r="C706" s="100">
        <v>28</v>
      </c>
      <c r="G706" s="69" t="s">
        <v>399</v>
      </c>
      <c r="H706" s="69">
        <v>0</v>
      </c>
      <c r="J706" s="69">
        <v>42</v>
      </c>
    </row>
    <row r="707" spans="1:10" x14ac:dyDescent="0.2">
      <c r="A707" s="69">
        <v>10000003276</v>
      </c>
      <c r="B707" s="69" t="s">
        <v>221</v>
      </c>
      <c r="C707" s="100" t="s">
        <v>221</v>
      </c>
      <c r="D707" s="69" t="e">
        <v>#N/A</v>
      </c>
      <c r="E707" s="69" t="e">
        <v>#N/A</v>
      </c>
      <c r="F707" s="69" t="s">
        <v>246</v>
      </c>
      <c r="G707" s="69" t="s">
        <v>218</v>
      </c>
      <c r="H707" s="69">
        <v>0</v>
      </c>
      <c r="I707" s="69" t="s">
        <v>257</v>
      </c>
      <c r="J707" s="69">
        <v>42</v>
      </c>
    </row>
    <row r="708" spans="1:10" x14ac:dyDescent="0.2">
      <c r="A708" s="69">
        <v>10000003278</v>
      </c>
      <c r="B708" s="69" t="s">
        <v>221</v>
      </c>
      <c r="C708" s="100" t="s">
        <v>221</v>
      </c>
      <c r="D708" s="69" t="e">
        <v>#N/A</v>
      </c>
      <c r="E708" s="69" t="e">
        <v>#N/A</v>
      </c>
      <c r="F708" s="69" t="s">
        <v>246</v>
      </c>
      <c r="G708" s="69" t="s">
        <v>618</v>
      </c>
      <c r="H708" s="69">
        <v>0</v>
      </c>
      <c r="I708" s="69" t="s">
        <v>257</v>
      </c>
      <c r="J708" s="69">
        <v>42</v>
      </c>
    </row>
    <row r="709" spans="1:10" x14ac:dyDescent="0.2">
      <c r="A709" s="69">
        <v>10000003373</v>
      </c>
      <c r="B709" s="69" t="s">
        <v>221</v>
      </c>
      <c r="C709" s="100">
        <v>5</v>
      </c>
      <c r="D709" s="69" t="e">
        <v>#N/A</v>
      </c>
      <c r="E709" s="69" t="e">
        <v>#N/A</v>
      </c>
      <c r="F709" s="69" t="s">
        <v>246</v>
      </c>
      <c r="G709" s="69" t="s">
        <v>617</v>
      </c>
      <c r="H709" s="69">
        <v>0</v>
      </c>
      <c r="I709" s="69" t="s">
        <v>257</v>
      </c>
      <c r="J709" s="69">
        <v>42</v>
      </c>
    </row>
    <row r="710" spans="1:10" x14ac:dyDescent="0.2">
      <c r="A710" s="69">
        <v>10000003377</v>
      </c>
      <c r="C710" s="100">
        <v>23</v>
      </c>
      <c r="G710" s="69" t="s">
        <v>396</v>
      </c>
      <c r="H710" s="69">
        <v>0</v>
      </c>
      <c r="J710" s="69">
        <v>42</v>
      </c>
    </row>
    <row r="711" spans="1:10" x14ac:dyDescent="0.2">
      <c r="A711" s="69">
        <v>10000003379</v>
      </c>
      <c r="B711" s="69" t="s">
        <v>221</v>
      </c>
      <c r="C711" s="100" t="s">
        <v>221</v>
      </c>
      <c r="D711" s="69" t="e">
        <v>#N/A</v>
      </c>
      <c r="E711" s="69" t="e">
        <v>#N/A</v>
      </c>
      <c r="F711" s="69" t="s">
        <v>246</v>
      </c>
      <c r="G711" s="69" t="s">
        <v>616</v>
      </c>
      <c r="H711" s="69">
        <v>0</v>
      </c>
      <c r="I711" s="69" t="s">
        <v>257</v>
      </c>
      <c r="J711" s="69">
        <v>42</v>
      </c>
    </row>
    <row r="712" spans="1:10" x14ac:dyDescent="0.2">
      <c r="A712" s="69">
        <v>10000003380</v>
      </c>
      <c r="B712" s="69" t="s">
        <v>221</v>
      </c>
      <c r="C712" s="100">
        <v>5</v>
      </c>
      <c r="D712" s="69" t="e">
        <v>#N/A</v>
      </c>
      <c r="E712" s="69" t="e">
        <v>#N/A</v>
      </c>
      <c r="F712" s="69" t="s">
        <v>246</v>
      </c>
      <c r="G712" s="69" t="s">
        <v>615</v>
      </c>
      <c r="H712" s="69">
        <v>0</v>
      </c>
      <c r="I712" s="69" t="s">
        <v>257</v>
      </c>
      <c r="J712" s="69">
        <v>42</v>
      </c>
    </row>
    <row r="713" spans="1:10" x14ac:dyDescent="0.2">
      <c r="A713" s="69">
        <v>10000003381</v>
      </c>
      <c r="B713" s="69" t="s">
        <v>221</v>
      </c>
      <c r="C713" s="100">
        <v>5</v>
      </c>
      <c r="D713" s="69" t="s">
        <v>1426</v>
      </c>
      <c r="E713" s="69" t="s">
        <v>1242</v>
      </c>
      <c r="F713" s="69" t="s">
        <v>246</v>
      </c>
      <c r="G713" s="69" t="s">
        <v>614</v>
      </c>
      <c r="H713" s="69">
        <v>0</v>
      </c>
      <c r="I713" s="69" t="s">
        <v>257</v>
      </c>
      <c r="J713" s="69">
        <v>42</v>
      </c>
    </row>
    <row r="714" spans="1:10" x14ac:dyDescent="0.2">
      <c r="A714" s="69">
        <v>10000003383</v>
      </c>
      <c r="B714" s="69" t="s">
        <v>221</v>
      </c>
      <c r="C714" s="100" t="s">
        <v>221</v>
      </c>
      <c r="D714" s="69" t="e">
        <v>#N/A</v>
      </c>
      <c r="E714" s="69" t="e">
        <v>#N/A</v>
      </c>
      <c r="F714" s="69" t="s">
        <v>246</v>
      </c>
      <c r="G714" s="69" t="s">
        <v>613</v>
      </c>
      <c r="H714" s="69">
        <v>0</v>
      </c>
      <c r="I714" s="69" t="s">
        <v>257</v>
      </c>
      <c r="J714" s="69">
        <v>42</v>
      </c>
    </row>
    <row r="715" spans="1:10" x14ac:dyDescent="0.2">
      <c r="A715" s="69">
        <v>10000003569</v>
      </c>
      <c r="B715" s="69" t="s">
        <v>221</v>
      </c>
      <c r="C715" s="100">
        <v>1</v>
      </c>
      <c r="D715" s="69" t="e">
        <v>#N/A</v>
      </c>
      <c r="E715" s="69" t="e">
        <v>#N/A</v>
      </c>
      <c r="F715" s="69" t="s">
        <v>246</v>
      </c>
      <c r="G715" s="69" t="s">
        <v>612</v>
      </c>
      <c r="H715" s="69">
        <v>0</v>
      </c>
      <c r="I715" s="69" t="s">
        <v>257</v>
      </c>
      <c r="J715" s="69">
        <v>42</v>
      </c>
    </row>
    <row r="716" spans="1:10" x14ac:dyDescent="0.2">
      <c r="A716" s="69">
        <v>10000003672</v>
      </c>
      <c r="B716" s="69" t="s">
        <v>221</v>
      </c>
      <c r="C716" s="100" t="s">
        <v>221</v>
      </c>
      <c r="D716" s="69" t="e">
        <v>#N/A</v>
      </c>
      <c r="E716" s="69" t="e">
        <v>#N/A</v>
      </c>
      <c r="F716" s="69" t="s">
        <v>246</v>
      </c>
      <c r="G716" s="69" t="s">
        <v>611</v>
      </c>
      <c r="H716" s="69">
        <v>0</v>
      </c>
      <c r="I716" s="69" t="s">
        <v>257</v>
      </c>
      <c r="J716" s="69">
        <v>42</v>
      </c>
    </row>
    <row r="717" spans="1:10" x14ac:dyDescent="0.2">
      <c r="A717" s="69">
        <v>10000003680</v>
      </c>
      <c r="B717" s="69" t="s">
        <v>262</v>
      </c>
      <c r="C717" s="100">
        <v>20</v>
      </c>
      <c r="D717" s="69" t="e">
        <v>#N/A</v>
      </c>
      <c r="E717" s="69" t="e">
        <v>#N/A</v>
      </c>
      <c r="F717" s="69" t="s">
        <v>246</v>
      </c>
      <c r="G717" s="69" t="s">
        <v>610</v>
      </c>
      <c r="H717" s="69">
        <v>0</v>
      </c>
      <c r="I717" s="69" t="s">
        <v>261</v>
      </c>
      <c r="J717" s="69">
        <v>42</v>
      </c>
    </row>
    <row r="718" spans="1:10" x14ac:dyDescent="0.2">
      <c r="A718" s="69">
        <v>10000003776</v>
      </c>
      <c r="C718" s="100">
        <v>28</v>
      </c>
      <c r="G718" s="69" t="s">
        <v>388</v>
      </c>
      <c r="H718" s="69">
        <v>0</v>
      </c>
      <c r="J718" s="69">
        <v>42</v>
      </c>
    </row>
    <row r="719" spans="1:10" x14ac:dyDescent="0.2">
      <c r="A719" s="69">
        <v>10000003781</v>
      </c>
      <c r="B719" s="69" t="s">
        <v>221</v>
      </c>
      <c r="C719" s="100" t="s">
        <v>221</v>
      </c>
      <c r="D719" s="69" t="s">
        <v>1304</v>
      </c>
      <c r="E719" s="69">
        <v>0</v>
      </c>
      <c r="G719" s="69" t="s">
        <v>232</v>
      </c>
      <c r="H719" s="69">
        <v>0</v>
      </c>
      <c r="I719" s="69" t="s">
        <v>257</v>
      </c>
      <c r="J719" s="69">
        <v>42</v>
      </c>
    </row>
    <row r="720" spans="1:10" x14ac:dyDescent="0.2">
      <c r="A720" s="69">
        <v>10000003784</v>
      </c>
      <c r="B720" s="69" t="s">
        <v>220</v>
      </c>
      <c r="C720" s="100">
        <v>1</v>
      </c>
      <c r="D720" s="69" t="e">
        <v>#N/A</v>
      </c>
      <c r="E720" s="69" t="e">
        <v>#N/A</v>
      </c>
      <c r="F720" s="69" t="s">
        <v>275</v>
      </c>
      <c r="G720" s="69" t="s">
        <v>608</v>
      </c>
      <c r="H720" s="69">
        <v>0</v>
      </c>
      <c r="I720" s="69" t="s">
        <v>247</v>
      </c>
      <c r="J720" s="69">
        <v>42</v>
      </c>
    </row>
    <row r="721" spans="1:10" x14ac:dyDescent="0.2">
      <c r="A721" s="69">
        <v>10000003785</v>
      </c>
      <c r="B721" s="69" t="s">
        <v>220</v>
      </c>
      <c r="C721" s="100">
        <v>5</v>
      </c>
      <c r="D721" s="69" t="e">
        <v>#N/A</v>
      </c>
      <c r="E721" s="69" t="e">
        <v>#N/A</v>
      </c>
      <c r="F721" s="69" t="s">
        <v>275</v>
      </c>
      <c r="G721" s="69" t="s">
        <v>607</v>
      </c>
      <c r="H721" s="69">
        <v>0</v>
      </c>
      <c r="I721" s="69" t="s">
        <v>247</v>
      </c>
      <c r="J721" s="69">
        <v>42</v>
      </c>
    </row>
    <row r="722" spans="1:10" x14ac:dyDescent="0.2">
      <c r="A722" s="69">
        <v>10000003786</v>
      </c>
      <c r="B722" s="69" t="s">
        <v>221</v>
      </c>
      <c r="C722" s="100">
        <v>5</v>
      </c>
      <c r="D722" s="69" t="e">
        <v>#N/A</v>
      </c>
      <c r="E722" s="69" t="e">
        <v>#N/A</v>
      </c>
      <c r="F722" s="69" t="s">
        <v>275</v>
      </c>
      <c r="G722" s="69" t="s">
        <v>606</v>
      </c>
      <c r="H722" s="69">
        <v>0</v>
      </c>
      <c r="I722" s="69" t="s">
        <v>257</v>
      </c>
      <c r="J722" s="69">
        <v>42</v>
      </c>
    </row>
    <row r="723" spans="1:10" x14ac:dyDescent="0.2">
      <c r="A723" s="69">
        <v>10000003789</v>
      </c>
      <c r="B723" s="69" t="s">
        <v>221</v>
      </c>
      <c r="C723" s="100">
        <v>5</v>
      </c>
      <c r="D723" s="69" t="e">
        <v>#N/A</v>
      </c>
      <c r="E723" s="69" t="e">
        <v>#N/A</v>
      </c>
      <c r="F723" s="69" t="s">
        <v>275</v>
      </c>
      <c r="G723" s="69" t="s">
        <v>605</v>
      </c>
      <c r="H723" s="69">
        <v>0</v>
      </c>
      <c r="I723" s="69" t="s">
        <v>257</v>
      </c>
      <c r="J723" s="69">
        <v>42</v>
      </c>
    </row>
    <row r="724" spans="1:10" x14ac:dyDescent="0.2">
      <c r="A724" s="69">
        <v>10000003790</v>
      </c>
      <c r="B724" s="69" t="s">
        <v>221</v>
      </c>
      <c r="C724" s="100" t="s">
        <v>221</v>
      </c>
      <c r="D724" s="69" t="e">
        <v>#N/A</v>
      </c>
      <c r="E724" s="69" t="e">
        <v>#N/A</v>
      </c>
      <c r="F724" s="69" t="s">
        <v>275</v>
      </c>
      <c r="G724" s="69" t="s">
        <v>604</v>
      </c>
      <c r="H724" s="69">
        <v>0</v>
      </c>
      <c r="I724" s="69" t="s">
        <v>257</v>
      </c>
      <c r="J724" s="69">
        <v>42</v>
      </c>
    </row>
    <row r="725" spans="1:10" x14ac:dyDescent="0.2">
      <c r="A725" s="69">
        <v>10000003800</v>
      </c>
      <c r="C725" s="100">
        <v>19</v>
      </c>
      <c r="G725" s="69" t="s">
        <v>380</v>
      </c>
      <c r="H725" s="69">
        <v>0</v>
      </c>
      <c r="J725" s="69">
        <v>42</v>
      </c>
    </row>
    <row r="726" spans="1:10" x14ac:dyDescent="0.2">
      <c r="A726" s="69">
        <v>10000003806</v>
      </c>
      <c r="B726" s="69" t="s">
        <v>221</v>
      </c>
      <c r="C726" s="100" t="s">
        <v>221</v>
      </c>
      <c r="D726" s="69" t="e">
        <v>#N/A</v>
      </c>
      <c r="E726" s="69" t="e">
        <v>#N/A</v>
      </c>
      <c r="F726" s="69" t="s">
        <v>275</v>
      </c>
      <c r="G726" s="69" t="s">
        <v>603</v>
      </c>
      <c r="H726" s="69">
        <v>0</v>
      </c>
      <c r="I726" s="69" t="s">
        <v>257</v>
      </c>
      <c r="J726" s="69">
        <v>42</v>
      </c>
    </row>
    <row r="727" spans="1:10" x14ac:dyDescent="0.2">
      <c r="A727" s="69">
        <v>10000003807</v>
      </c>
      <c r="B727" s="69" t="s">
        <v>221</v>
      </c>
      <c r="C727" s="100">
        <v>5</v>
      </c>
      <c r="D727" s="69" t="s">
        <v>1274</v>
      </c>
      <c r="E727" s="69" t="s">
        <v>1241</v>
      </c>
      <c r="F727" s="69" t="s">
        <v>275</v>
      </c>
      <c r="G727" s="69" t="s">
        <v>602</v>
      </c>
      <c r="H727" s="69">
        <v>0</v>
      </c>
      <c r="I727" s="69" t="s">
        <v>257</v>
      </c>
      <c r="J727" s="69">
        <v>42</v>
      </c>
    </row>
    <row r="728" spans="1:10" x14ac:dyDescent="0.2">
      <c r="A728" s="69">
        <v>10000003808</v>
      </c>
      <c r="B728" s="69" t="s">
        <v>221</v>
      </c>
      <c r="C728" s="100">
        <v>5</v>
      </c>
      <c r="D728" s="69" t="s">
        <v>1274</v>
      </c>
      <c r="E728" s="69" t="s">
        <v>1241</v>
      </c>
      <c r="F728" s="69" t="s">
        <v>275</v>
      </c>
      <c r="G728" s="69" t="s">
        <v>601</v>
      </c>
      <c r="H728" s="69">
        <v>0</v>
      </c>
      <c r="I728" s="69" t="s">
        <v>257</v>
      </c>
      <c r="J728" s="69">
        <v>42</v>
      </c>
    </row>
    <row r="729" spans="1:10" x14ac:dyDescent="0.2">
      <c r="A729" s="69">
        <v>10000003814</v>
      </c>
      <c r="B729" s="69" t="s">
        <v>221</v>
      </c>
      <c r="C729" s="100">
        <v>5</v>
      </c>
      <c r="D729" s="69" t="e">
        <v>#N/A</v>
      </c>
      <c r="E729" s="69" t="e">
        <v>#N/A</v>
      </c>
      <c r="F729" s="69" t="s">
        <v>275</v>
      </c>
      <c r="G729" s="69" t="s">
        <v>600</v>
      </c>
      <c r="H729" s="69">
        <v>0</v>
      </c>
      <c r="I729" s="69" t="s">
        <v>257</v>
      </c>
      <c r="J729" s="69">
        <v>42</v>
      </c>
    </row>
    <row r="730" spans="1:10" x14ac:dyDescent="0.2">
      <c r="A730" s="69">
        <v>10000003816</v>
      </c>
      <c r="B730" s="69">
        <v>10</v>
      </c>
      <c r="C730" s="100">
        <v>10</v>
      </c>
      <c r="G730" s="69" t="s">
        <v>1561</v>
      </c>
      <c r="J730" s="69">
        <v>42</v>
      </c>
    </row>
    <row r="731" spans="1:10" x14ac:dyDescent="0.2">
      <c r="A731" s="69">
        <v>10000004083</v>
      </c>
      <c r="C731" s="100" t="s">
        <v>307</v>
      </c>
      <c r="G731" s="69" t="s">
        <v>372</v>
      </c>
      <c r="J731" s="69" t="s">
        <v>307</v>
      </c>
    </row>
    <row r="732" spans="1:10" x14ac:dyDescent="0.2">
      <c r="A732" s="69">
        <v>10000004086</v>
      </c>
      <c r="C732" s="100" t="s">
        <v>307</v>
      </c>
      <c r="G732" s="69" t="s">
        <v>371</v>
      </c>
      <c r="J732" s="69" t="s">
        <v>307</v>
      </c>
    </row>
    <row r="733" spans="1:10" x14ac:dyDescent="0.2">
      <c r="A733" s="69">
        <v>10000004087</v>
      </c>
      <c r="B733" s="69" t="s">
        <v>221</v>
      </c>
      <c r="C733" s="100">
        <v>5</v>
      </c>
      <c r="G733" s="69" t="s">
        <v>1564</v>
      </c>
      <c r="J733" s="69">
        <v>42</v>
      </c>
    </row>
    <row r="734" spans="1:10" x14ac:dyDescent="0.2">
      <c r="A734" s="69">
        <v>10000004088</v>
      </c>
      <c r="B734" s="69">
        <v>10</v>
      </c>
      <c r="C734" s="100">
        <v>10</v>
      </c>
      <c r="G734" s="69" t="s">
        <v>1562</v>
      </c>
      <c r="J734" s="69">
        <v>42</v>
      </c>
    </row>
    <row r="735" spans="1:10" x14ac:dyDescent="0.2">
      <c r="A735" s="69">
        <v>10000004349</v>
      </c>
      <c r="B735" s="69" t="s">
        <v>221</v>
      </c>
      <c r="C735" s="100">
        <v>5</v>
      </c>
      <c r="G735" s="70" t="s">
        <v>213</v>
      </c>
      <c r="J735" s="69">
        <v>42</v>
      </c>
    </row>
    <row r="736" spans="1:10" x14ac:dyDescent="0.2">
      <c r="A736" s="69">
        <v>10000007406</v>
      </c>
      <c r="B736" s="93" t="s">
        <v>296</v>
      </c>
      <c r="C736" s="102" t="s">
        <v>296</v>
      </c>
      <c r="G736" s="69" t="s">
        <v>369</v>
      </c>
      <c r="J736" s="69">
        <v>24</v>
      </c>
    </row>
    <row r="737" spans="1:10" x14ac:dyDescent="0.2">
      <c r="A737" s="69">
        <v>10000007412</v>
      </c>
      <c r="B737" s="93" t="s">
        <v>296</v>
      </c>
      <c r="C737" s="102" t="s">
        <v>296</v>
      </c>
      <c r="G737" s="69" t="s">
        <v>1641</v>
      </c>
      <c r="J737" s="69">
        <v>24</v>
      </c>
    </row>
    <row r="738" spans="1:10" x14ac:dyDescent="0.2">
      <c r="A738" s="69">
        <v>10000007415</v>
      </c>
      <c r="B738" s="93" t="s">
        <v>296</v>
      </c>
      <c r="C738" s="102" t="s">
        <v>296</v>
      </c>
      <c r="G738" s="69" t="s">
        <v>1644</v>
      </c>
      <c r="J738" s="69">
        <v>24</v>
      </c>
    </row>
    <row r="739" spans="1:10" x14ac:dyDescent="0.2">
      <c r="A739" s="69">
        <v>10000007417</v>
      </c>
      <c r="B739" s="93" t="s">
        <v>296</v>
      </c>
      <c r="C739" s="102" t="s">
        <v>296</v>
      </c>
      <c r="G739" s="69" t="s">
        <v>368</v>
      </c>
      <c r="J739" s="69">
        <v>24</v>
      </c>
    </row>
    <row r="740" spans="1:10" x14ac:dyDescent="0.2">
      <c r="A740" s="69">
        <v>10000007510</v>
      </c>
      <c r="B740" s="69" t="s">
        <v>220</v>
      </c>
      <c r="C740" s="100" t="s">
        <v>220</v>
      </c>
      <c r="D740" s="69" t="e">
        <v>#N/A</v>
      </c>
      <c r="E740" s="69" t="e">
        <v>#N/A</v>
      </c>
      <c r="F740" s="69" t="s">
        <v>275</v>
      </c>
      <c r="G740" s="69" t="s">
        <v>598</v>
      </c>
      <c r="H740" s="69">
        <v>0</v>
      </c>
      <c r="I740" s="69" t="s">
        <v>247</v>
      </c>
      <c r="J740" s="69">
        <v>42</v>
      </c>
    </row>
    <row r="741" spans="1:10" x14ac:dyDescent="0.2">
      <c r="A741" s="69">
        <v>10000007523</v>
      </c>
      <c r="B741" s="69" t="s">
        <v>221</v>
      </c>
      <c r="C741" s="100">
        <v>200</v>
      </c>
      <c r="D741" s="69" t="e">
        <v>#N/A</v>
      </c>
      <c r="E741" s="69" t="e">
        <v>#N/A</v>
      </c>
      <c r="F741" s="69" t="s">
        <v>275</v>
      </c>
      <c r="G741" s="69" t="s">
        <v>597</v>
      </c>
      <c r="H741" s="69">
        <v>0</v>
      </c>
      <c r="I741" s="69" t="s">
        <v>257</v>
      </c>
      <c r="J741" s="69">
        <v>42</v>
      </c>
    </row>
    <row r="742" spans="1:10" x14ac:dyDescent="0.2">
      <c r="A742" s="69">
        <v>10000007532</v>
      </c>
      <c r="B742" s="69" t="s">
        <v>262</v>
      </c>
      <c r="C742" s="100">
        <v>5</v>
      </c>
      <c r="D742" s="69" t="e">
        <v>#N/A</v>
      </c>
      <c r="E742" s="69" t="e">
        <v>#N/A</v>
      </c>
      <c r="F742" s="69" t="s">
        <v>275</v>
      </c>
      <c r="G742" s="69" t="s">
        <v>596</v>
      </c>
      <c r="H742" s="69">
        <v>0</v>
      </c>
      <c r="I742" s="69" t="s">
        <v>261</v>
      </c>
      <c r="J742" s="69">
        <v>42</v>
      </c>
    </row>
    <row r="743" spans="1:10" x14ac:dyDescent="0.2">
      <c r="A743" s="69">
        <v>10000007533</v>
      </c>
      <c r="B743" s="69" t="s">
        <v>221</v>
      </c>
      <c r="C743" s="100" t="s">
        <v>221</v>
      </c>
      <c r="D743" s="69" t="e">
        <v>#N/A</v>
      </c>
      <c r="E743" s="69" t="e">
        <v>#N/A</v>
      </c>
      <c r="F743" s="69" t="s">
        <v>275</v>
      </c>
      <c r="G743" s="69" t="s">
        <v>595</v>
      </c>
      <c r="H743" s="69">
        <v>0</v>
      </c>
      <c r="I743" s="69" t="s">
        <v>257</v>
      </c>
      <c r="J743" s="69">
        <v>42</v>
      </c>
    </row>
    <row r="744" spans="1:10" x14ac:dyDescent="0.2">
      <c r="A744" s="69">
        <v>10000007534</v>
      </c>
      <c r="B744" s="69" t="s">
        <v>262</v>
      </c>
      <c r="C744" s="100">
        <v>20</v>
      </c>
      <c r="D744" s="69" t="e">
        <v>#N/A</v>
      </c>
      <c r="E744" s="69" t="e">
        <v>#N/A</v>
      </c>
      <c r="F744" s="69" t="s">
        <v>275</v>
      </c>
      <c r="G744" s="69" t="s">
        <v>594</v>
      </c>
      <c r="H744" s="69">
        <v>0</v>
      </c>
      <c r="I744" s="69" t="s">
        <v>261</v>
      </c>
      <c r="J744" s="69">
        <v>42</v>
      </c>
    </row>
    <row r="745" spans="1:10" x14ac:dyDescent="0.2">
      <c r="A745" s="69">
        <v>10000007606</v>
      </c>
      <c r="B745" s="69" t="s">
        <v>262</v>
      </c>
      <c r="C745" s="100">
        <v>20</v>
      </c>
      <c r="D745" s="69" t="e">
        <v>#N/A</v>
      </c>
      <c r="E745" s="69" t="e">
        <v>#N/A</v>
      </c>
      <c r="F745" s="69" t="s">
        <v>275</v>
      </c>
      <c r="G745" s="69" t="s">
        <v>593</v>
      </c>
      <c r="H745" s="69">
        <v>0</v>
      </c>
      <c r="I745" s="69" t="s">
        <v>261</v>
      </c>
      <c r="J745" s="69">
        <v>42</v>
      </c>
    </row>
    <row r="746" spans="1:10" x14ac:dyDescent="0.2">
      <c r="A746" s="69">
        <v>10000007607</v>
      </c>
      <c r="B746" s="69" t="s">
        <v>220</v>
      </c>
      <c r="C746" s="100">
        <v>5</v>
      </c>
      <c r="D746" s="69" t="e">
        <v>#N/A</v>
      </c>
      <c r="E746" s="69" t="e">
        <v>#N/A</v>
      </c>
      <c r="F746" s="69" t="s">
        <v>275</v>
      </c>
      <c r="G746" s="69" t="s">
        <v>592</v>
      </c>
      <c r="H746" s="69">
        <v>0</v>
      </c>
      <c r="I746" s="69" t="s">
        <v>247</v>
      </c>
      <c r="J746" s="69">
        <v>42</v>
      </c>
    </row>
    <row r="747" spans="1:10" x14ac:dyDescent="0.2">
      <c r="A747" s="69">
        <v>10000007611</v>
      </c>
      <c r="B747" s="69">
        <v>5</v>
      </c>
      <c r="C747" s="100">
        <v>5</v>
      </c>
      <c r="G747" s="70" t="s">
        <v>236</v>
      </c>
      <c r="J747" s="69">
        <v>42</v>
      </c>
    </row>
    <row r="748" spans="1:10" x14ac:dyDescent="0.2">
      <c r="A748" s="69">
        <v>10000007618</v>
      </c>
      <c r="C748" s="100">
        <v>19</v>
      </c>
      <c r="G748" s="69" t="s">
        <v>361</v>
      </c>
      <c r="H748" s="69">
        <v>0</v>
      </c>
      <c r="J748" s="69">
        <v>42</v>
      </c>
    </row>
    <row r="749" spans="1:10" x14ac:dyDescent="0.2">
      <c r="A749" s="69">
        <v>10000007631</v>
      </c>
      <c r="B749" s="69" t="s">
        <v>220</v>
      </c>
      <c r="C749" s="100">
        <v>1</v>
      </c>
      <c r="G749" s="69" t="s">
        <v>1571</v>
      </c>
      <c r="J749" s="69">
        <v>42</v>
      </c>
    </row>
    <row r="750" spans="1:10" x14ac:dyDescent="0.2">
      <c r="A750" s="69">
        <v>10000007635</v>
      </c>
      <c r="B750" s="69" t="s">
        <v>221</v>
      </c>
      <c r="C750" s="100">
        <v>5</v>
      </c>
      <c r="D750" s="69" t="e">
        <v>#N/A</v>
      </c>
      <c r="E750" s="69" t="e">
        <v>#N/A</v>
      </c>
      <c r="F750" s="69" t="s">
        <v>275</v>
      </c>
      <c r="G750" s="69" t="s">
        <v>591</v>
      </c>
      <c r="H750" s="69">
        <v>0</v>
      </c>
      <c r="I750" s="69" t="s">
        <v>257</v>
      </c>
      <c r="J750" s="69">
        <v>42</v>
      </c>
    </row>
    <row r="751" spans="1:10" x14ac:dyDescent="0.2">
      <c r="A751" s="69">
        <v>10000007826</v>
      </c>
      <c r="B751" s="69" t="s">
        <v>221</v>
      </c>
      <c r="C751" s="100">
        <v>1</v>
      </c>
      <c r="D751" s="69" t="e">
        <v>#N/A</v>
      </c>
      <c r="E751" s="69" t="e">
        <v>#N/A</v>
      </c>
      <c r="F751" s="69" t="s">
        <v>275</v>
      </c>
      <c r="G751" s="69" t="s">
        <v>590</v>
      </c>
      <c r="H751" s="69">
        <v>0</v>
      </c>
      <c r="I751" s="69" t="s">
        <v>257</v>
      </c>
      <c r="J751" s="69">
        <v>42</v>
      </c>
    </row>
    <row r="752" spans="1:10" x14ac:dyDescent="0.2">
      <c r="A752" s="69">
        <v>10000007827</v>
      </c>
      <c r="B752" s="69" t="s">
        <v>221</v>
      </c>
      <c r="C752" s="100">
        <v>5</v>
      </c>
      <c r="D752" s="69" t="e">
        <v>#N/A</v>
      </c>
      <c r="E752" s="69" t="e">
        <v>#N/A</v>
      </c>
      <c r="F752" s="69" t="s">
        <v>275</v>
      </c>
      <c r="G752" s="69" t="s">
        <v>589</v>
      </c>
      <c r="H752" s="69">
        <v>0</v>
      </c>
      <c r="I752" s="69" t="s">
        <v>257</v>
      </c>
      <c r="J752" s="69">
        <v>42</v>
      </c>
    </row>
    <row r="753" spans="1:10" x14ac:dyDescent="0.2">
      <c r="A753" s="69">
        <v>10000007828</v>
      </c>
      <c r="B753" s="69" t="s">
        <v>221</v>
      </c>
      <c r="C753" s="100">
        <v>1</v>
      </c>
      <c r="D753" s="69" t="e">
        <v>#N/A</v>
      </c>
      <c r="E753" s="69" t="e">
        <v>#N/A</v>
      </c>
      <c r="F753" s="69" t="s">
        <v>275</v>
      </c>
      <c r="G753" s="69" t="s">
        <v>588</v>
      </c>
      <c r="H753" s="69">
        <v>0</v>
      </c>
      <c r="I753" s="69" t="s">
        <v>257</v>
      </c>
      <c r="J753" s="69">
        <v>42</v>
      </c>
    </row>
    <row r="754" spans="1:10" x14ac:dyDescent="0.2">
      <c r="A754" s="69">
        <v>10000007830</v>
      </c>
      <c r="C754" s="100" t="s">
        <v>307</v>
      </c>
      <c r="G754" s="69" t="s">
        <v>357</v>
      </c>
      <c r="H754" s="69">
        <v>0</v>
      </c>
      <c r="J754" s="69">
        <v>42</v>
      </c>
    </row>
    <row r="755" spans="1:10" x14ac:dyDescent="0.2">
      <c r="A755" s="69">
        <v>10000007907</v>
      </c>
      <c r="B755" s="69" t="s">
        <v>221</v>
      </c>
      <c r="C755" s="100">
        <v>5</v>
      </c>
      <c r="G755" s="70" t="s">
        <v>226</v>
      </c>
      <c r="J755" s="69">
        <v>42</v>
      </c>
    </row>
    <row r="756" spans="1:10" x14ac:dyDescent="0.2">
      <c r="A756" s="69">
        <v>10000008007</v>
      </c>
      <c r="B756" s="69" t="s">
        <v>262</v>
      </c>
      <c r="C756" s="100">
        <v>10</v>
      </c>
      <c r="D756" s="69" t="e">
        <v>#N/A</v>
      </c>
      <c r="E756" s="69" t="e">
        <v>#N/A</v>
      </c>
      <c r="F756" s="69" t="s">
        <v>275</v>
      </c>
      <c r="G756" s="69" t="s">
        <v>586</v>
      </c>
      <c r="H756" s="69">
        <v>0</v>
      </c>
      <c r="I756" s="69" t="s">
        <v>261</v>
      </c>
      <c r="J756" s="69">
        <v>42</v>
      </c>
    </row>
    <row r="757" spans="1:10" x14ac:dyDescent="0.2">
      <c r="A757" s="69">
        <v>10000008008</v>
      </c>
      <c r="B757" s="69" t="s">
        <v>262</v>
      </c>
      <c r="C757" s="100">
        <v>10</v>
      </c>
      <c r="D757" s="69" t="e">
        <v>#N/A</v>
      </c>
      <c r="E757" s="69" t="e">
        <v>#N/A</v>
      </c>
      <c r="F757" s="69" t="s">
        <v>275</v>
      </c>
      <c r="G757" s="69" t="s">
        <v>585</v>
      </c>
      <c r="H757" s="69">
        <v>0</v>
      </c>
      <c r="I757" s="69" t="s">
        <v>261</v>
      </c>
      <c r="J757" s="69">
        <v>42</v>
      </c>
    </row>
    <row r="758" spans="1:10" x14ac:dyDescent="0.2">
      <c r="A758" s="69">
        <v>10000008011</v>
      </c>
      <c r="B758" s="69" t="s">
        <v>262</v>
      </c>
      <c r="C758" s="100">
        <v>10</v>
      </c>
      <c r="D758" s="69" t="e">
        <v>#N/A</v>
      </c>
      <c r="E758" s="69" t="e">
        <v>#N/A</v>
      </c>
      <c r="F758" s="69" t="s">
        <v>275</v>
      </c>
      <c r="G758" s="69" t="s">
        <v>584</v>
      </c>
      <c r="H758" s="69">
        <v>0</v>
      </c>
      <c r="I758" s="69" t="s">
        <v>261</v>
      </c>
      <c r="J758" s="69">
        <v>42</v>
      </c>
    </row>
    <row r="759" spans="1:10" x14ac:dyDescent="0.2">
      <c r="A759" s="69">
        <v>10000008012</v>
      </c>
      <c r="B759" s="69" t="s">
        <v>262</v>
      </c>
      <c r="C759" s="100">
        <v>20</v>
      </c>
      <c r="D759" s="69" t="e">
        <v>#N/A</v>
      </c>
      <c r="E759" s="69" t="e">
        <v>#N/A</v>
      </c>
      <c r="F759" s="69" t="s">
        <v>275</v>
      </c>
      <c r="G759" s="69" t="s">
        <v>583</v>
      </c>
      <c r="H759" s="69">
        <v>0</v>
      </c>
      <c r="I759" s="69" t="s">
        <v>261</v>
      </c>
      <c r="J759" s="69">
        <v>42</v>
      </c>
    </row>
    <row r="760" spans="1:10" x14ac:dyDescent="0.2">
      <c r="A760" s="69">
        <v>10000008015</v>
      </c>
      <c r="B760" s="69" t="s">
        <v>262</v>
      </c>
      <c r="C760" s="100">
        <v>5</v>
      </c>
      <c r="D760" s="69" t="e">
        <v>#N/A</v>
      </c>
      <c r="E760" s="69" t="e">
        <v>#N/A</v>
      </c>
      <c r="F760" s="69" t="s">
        <v>275</v>
      </c>
      <c r="G760" s="69" t="s">
        <v>582</v>
      </c>
      <c r="H760" s="69">
        <v>0</v>
      </c>
      <c r="I760" s="69" t="s">
        <v>261</v>
      </c>
      <c r="J760" s="69">
        <v>42</v>
      </c>
    </row>
    <row r="761" spans="1:10" x14ac:dyDescent="0.2">
      <c r="A761" s="69">
        <v>10000008016</v>
      </c>
      <c r="B761" s="69" t="s">
        <v>220</v>
      </c>
      <c r="C761" s="100">
        <v>1</v>
      </c>
      <c r="D761" s="69" t="e">
        <v>#N/A</v>
      </c>
      <c r="E761" s="69" t="e">
        <v>#N/A</v>
      </c>
      <c r="F761" s="69" t="s">
        <v>275</v>
      </c>
      <c r="G761" s="69" t="s">
        <v>581</v>
      </c>
      <c r="H761" s="69">
        <v>0</v>
      </c>
      <c r="I761" s="69" t="s">
        <v>247</v>
      </c>
      <c r="J761" s="69">
        <v>42</v>
      </c>
    </row>
    <row r="762" spans="1:10" x14ac:dyDescent="0.2">
      <c r="A762" s="69">
        <v>10000008020</v>
      </c>
      <c r="B762" s="69" t="s">
        <v>221</v>
      </c>
      <c r="C762" s="100">
        <v>5</v>
      </c>
      <c r="D762" s="69" t="e">
        <v>#N/A</v>
      </c>
      <c r="E762" s="69" t="e">
        <v>#N/A</v>
      </c>
      <c r="F762" s="69" t="s">
        <v>275</v>
      </c>
      <c r="G762" s="69" t="s">
        <v>580</v>
      </c>
      <c r="H762" s="69">
        <v>0</v>
      </c>
      <c r="I762" s="69" t="s">
        <v>257</v>
      </c>
      <c r="J762" s="69">
        <v>42</v>
      </c>
    </row>
    <row r="763" spans="1:10" x14ac:dyDescent="0.2">
      <c r="A763" s="69">
        <v>10000008107</v>
      </c>
      <c r="B763" s="93" t="s">
        <v>296</v>
      </c>
      <c r="C763" s="102" t="s">
        <v>296</v>
      </c>
      <c r="G763" s="69" t="s">
        <v>1637</v>
      </c>
      <c r="J763" s="69">
        <v>24</v>
      </c>
    </row>
    <row r="764" spans="1:10" x14ac:dyDescent="0.2">
      <c r="A764" s="69">
        <v>10000008108</v>
      </c>
      <c r="B764" s="93" t="s">
        <v>296</v>
      </c>
      <c r="C764" s="102" t="s">
        <v>296</v>
      </c>
      <c r="G764" s="69" t="s">
        <v>1638</v>
      </c>
      <c r="J764" s="69">
        <v>24</v>
      </c>
    </row>
    <row r="765" spans="1:10" x14ac:dyDescent="0.2">
      <c r="A765" s="69">
        <v>10000008212</v>
      </c>
      <c r="B765" s="69" t="s">
        <v>262</v>
      </c>
      <c r="C765" s="100">
        <v>10</v>
      </c>
      <c r="D765" s="69" t="e">
        <v>#N/A</v>
      </c>
      <c r="E765" s="69" t="e">
        <v>#N/A</v>
      </c>
      <c r="F765" s="69" t="s">
        <v>275</v>
      </c>
      <c r="G765" s="69" t="s">
        <v>579</v>
      </c>
      <c r="H765" s="69">
        <v>0</v>
      </c>
      <c r="I765" s="69" t="s">
        <v>261</v>
      </c>
      <c r="J765" s="69">
        <v>42</v>
      </c>
    </row>
    <row r="766" spans="1:10" x14ac:dyDescent="0.2">
      <c r="A766" s="69">
        <v>10000008219</v>
      </c>
      <c r="B766" s="69" t="s">
        <v>262</v>
      </c>
      <c r="C766" s="100">
        <v>10</v>
      </c>
      <c r="D766" s="69" t="e">
        <v>#N/A</v>
      </c>
      <c r="E766" s="69" t="e">
        <v>#N/A</v>
      </c>
      <c r="F766" s="69" t="s">
        <v>275</v>
      </c>
      <c r="G766" s="69" t="s">
        <v>578</v>
      </c>
      <c r="H766" s="69">
        <v>0</v>
      </c>
      <c r="I766" s="69" t="s">
        <v>261</v>
      </c>
      <c r="J766" s="69">
        <v>42</v>
      </c>
    </row>
    <row r="767" spans="1:10" x14ac:dyDescent="0.2">
      <c r="A767" s="69">
        <v>10000008223</v>
      </c>
      <c r="B767" s="69" t="s">
        <v>262</v>
      </c>
      <c r="C767" s="100">
        <v>5</v>
      </c>
      <c r="D767" s="69" t="e">
        <v>#N/A</v>
      </c>
      <c r="E767" s="69" t="e">
        <v>#N/A</v>
      </c>
      <c r="F767" s="69" t="s">
        <v>275</v>
      </c>
      <c r="G767" s="69" t="s">
        <v>577</v>
      </c>
      <c r="H767" s="69">
        <v>0</v>
      </c>
      <c r="I767" s="69" t="s">
        <v>261</v>
      </c>
      <c r="J767" s="69">
        <v>42</v>
      </c>
    </row>
    <row r="768" spans="1:10" x14ac:dyDescent="0.2">
      <c r="A768" s="69">
        <v>10000008305</v>
      </c>
      <c r="B768" s="69" t="s">
        <v>262</v>
      </c>
      <c r="C768" s="100">
        <v>10</v>
      </c>
      <c r="D768" s="69" t="e">
        <v>#N/A</v>
      </c>
      <c r="E768" s="69" t="e">
        <v>#N/A</v>
      </c>
      <c r="F768" s="69" t="s">
        <v>275</v>
      </c>
      <c r="G768" s="69" t="s">
        <v>576</v>
      </c>
      <c r="H768" s="69">
        <v>0</v>
      </c>
      <c r="I768" s="69" t="s">
        <v>261</v>
      </c>
      <c r="J768" s="69">
        <v>42</v>
      </c>
    </row>
    <row r="769" spans="1:10" x14ac:dyDescent="0.2">
      <c r="A769" s="69">
        <v>10000008307</v>
      </c>
      <c r="C769" s="100">
        <v>23</v>
      </c>
      <c r="G769" s="69" t="s">
        <v>348</v>
      </c>
      <c r="H769" s="69">
        <v>0</v>
      </c>
      <c r="J769" s="69">
        <v>42</v>
      </c>
    </row>
    <row r="770" spans="1:10" x14ac:dyDescent="0.2">
      <c r="A770" s="69">
        <v>10000008413</v>
      </c>
      <c r="C770" s="100">
        <v>23</v>
      </c>
      <c r="G770" s="69" t="s">
        <v>347</v>
      </c>
      <c r="J770" s="69">
        <v>23</v>
      </c>
    </row>
    <row r="771" spans="1:10" x14ac:dyDescent="0.2">
      <c r="A771" s="69">
        <v>10000008748</v>
      </c>
      <c r="C771" s="100">
        <v>19</v>
      </c>
      <c r="G771" s="69" t="s">
        <v>1718</v>
      </c>
      <c r="J771" s="69">
        <v>19</v>
      </c>
    </row>
    <row r="772" spans="1:10" x14ac:dyDescent="0.2">
      <c r="A772" s="69">
        <v>10000008749</v>
      </c>
      <c r="C772" s="100">
        <v>19</v>
      </c>
      <c r="G772" s="69" t="s">
        <v>345</v>
      </c>
      <c r="H772" s="69">
        <v>0</v>
      </c>
      <c r="J772" s="69">
        <v>42</v>
      </c>
    </row>
    <row r="773" spans="1:10" x14ac:dyDescent="0.2">
      <c r="A773" s="69">
        <v>10000008905</v>
      </c>
      <c r="C773" s="100" t="s">
        <v>307</v>
      </c>
      <c r="G773" s="69" t="s">
        <v>344</v>
      </c>
      <c r="H773" s="69">
        <v>0</v>
      </c>
      <c r="J773" s="69">
        <v>42</v>
      </c>
    </row>
    <row r="774" spans="1:10" x14ac:dyDescent="0.2">
      <c r="A774" s="69">
        <v>10000008906</v>
      </c>
      <c r="B774" s="69" t="s">
        <v>220</v>
      </c>
      <c r="C774" s="100" t="s">
        <v>220</v>
      </c>
      <c r="D774" s="69" t="e">
        <v>#N/A</v>
      </c>
      <c r="E774" s="69" t="e">
        <v>#N/A</v>
      </c>
      <c r="F774" s="69" t="s">
        <v>246</v>
      </c>
      <c r="G774" s="69" t="s">
        <v>575</v>
      </c>
      <c r="H774" s="69">
        <v>0</v>
      </c>
      <c r="I774" s="69" t="s">
        <v>247</v>
      </c>
      <c r="J774" s="69">
        <v>42</v>
      </c>
    </row>
    <row r="775" spans="1:10" x14ac:dyDescent="0.2">
      <c r="A775" s="69">
        <v>10000009010</v>
      </c>
      <c r="B775" s="69" t="s">
        <v>220</v>
      </c>
      <c r="C775" s="100">
        <v>1</v>
      </c>
      <c r="D775" s="69" t="e">
        <v>#N/A</v>
      </c>
      <c r="E775" s="69" t="e">
        <v>#N/A</v>
      </c>
      <c r="F775" s="69" t="s">
        <v>246</v>
      </c>
      <c r="G775" s="69" t="s">
        <v>574</v>
      </c>
      <c r="H775" s="69">
        <v>0</v>
      </c>
      <c r="I775" s="69" t="s">
        <v>247</v>
      </c>
      <c r="J775" s="69">
        <v>42</v>
      </c>
    </row>
    <row r="776" spans="1:10" x14ac:dyDescent="0.2">
      <c r="A776" s="69">
        <v>10000009207</v>
      </c>
      <c r="C776" s="100">
        <v>19</v>
      </c>
      <c r="G776" s="69" t="s">
        <v>341</v>
      </c>
      <c r="H776" s="69">
        <v>0</v>
      </c>
      <c r="J776" s="69">
        <v>42</v>
      </c>
    </row>
    <row r="777" spans="1:10" x14ac:dyDescent="0.2">
      <c r="A777" s="69">
        <v>10000009407</v>
      </c>
      <c r="B777" s="69" t="s">
        <v>221</v>
      </c>
      <c r="C777" s="100">
        <v>1</v>
      </c>
      <c r="D777" s="69" t="e">
        <v>#N/A</v>
      </c>
      <c r="E777" s="69" t="e">
        <v>#N/A</v>
      </c>
      <c r="F777" s="69" t="s">
        <v>246</v>
      </c>
      <c r="G777" s="69" t="s">
        <v>546</v>
      </c>
      <c r="H777" s="69">
        <v>0</v>
      </c>
      <c r="I777" s="69" t="s">
        <v>257</v>
      </c>
      <c r="J777" s="69">
        <v>42</v>
      </c>
    </row>
    <row r="778" spans="1:10" x14ac:dyDescent="0.2">
      <c r="A778" s="69">
        <v>10000009409</v>
      </c>
      <c r="B778" s="69" t="s">
        <v>221</v>
      </c>
      <c r="C778" s="100">
        <v>5</v>
      </c>
      <c r="D778" s="69" t="e">
        <v>#N/A</v>
      </c>
      <c r="E778" s="69" t="e">
        <v>#N/A</v>
      </c>
      <c r="F778" s="69" t="s">
        <v>246</v>
      </c>
      <c r="G778" s="69" t="s">
        <v>573</v>
      </c>
      <c r="H778" s="69">
        <v>0</v>
      </c>
      <c r="I778" s="69" t="s">
        <v>257</v>
      </c>
      <c r="J778" s="69">
        <v>42</v>
      </c>
    </row>
    <row r="779" spans="1:10" x14ac:dyDescent="0.2">
      <c r="A779" s="69">
        <v>10000009410</v>
      </c>
      <c r="B779" s="69" t="s">
        <v>221</v>
      </c>
      <c r="C779" s="100">
        <v>5</v>
      </c>
      <c r="G779" s="69" t="s">
        <v>1565</v>
      </c>
      <c r="J779" s="69">
        <v>42</v>
      </c>
    </row>
    <row r="780" spans="1:10" x14ac:dyDescent="0.2">
      <c r="A780" s="69">
        <v>10000009509</v>
      </c>
      <c r="B780" s="69" t="s">
        <v>220</v>
      </c>
      <c r="C780" s="100">
        <v>1</v>
      </c>
      <c r="G780" s="69" t="s">
        <v>1563</v>
      </c>
      <c r="J780" s="69">
        <v>42</v>
      </c>
    </row>
    <row r="781" spans="1:10" x14ac:dyDescent="0.2">
      <c r="A781" s="69">
        <v>10000009639</v>
      </c>
      <c r="B781" s="69" t="s">
        <v>220</v>
      </c>
      <c r="C781" s="100">
        <v>1</v>
      </c>
      <c r="G781" s="70" t="s">
        <v>241</v>
      </c>
      <c r="J781" s="69">
        <v>42</v>
      </c>
    </row>
    <row r="782" spans="1:10" x14ac:dyDescent="0.2">
      <c r="A782" s="69">
        <v>10000009706</v>
      </c>
      <c r="B782" s="69">
        <v>5</v>
      </c>
      <c r="C782" s="100">
        <v>5</v>
      </c>
      <c r="G782" s="70" t="s">
        <v>240</v>
      </c>
      <c r="J782" s="69">
        <v>42</v>
      </c>
    </row>
    <row r="783" spans="1:10" x14ac:dyDescent="0.2">
      <c r="A783" s="69">
        <v>10000009734</v>
      </c>
      <c r="B783" s="69">
        <v>5</v>
      </c>
      <c r="C783" s="100">
        <v>5</v>
      </c>
      <c r="J783" s="69">
        <v>42</v>
      </c>
    </row>
    <row r="784" spans="1:10" x14ac:dyDescent="0.2">
      <c r="A784" s="69">
        <v>10000009736</v>
      </c>
      <c r="B784" s="69" t="s">
        <v>221</v>
      </c>
      <c r="C784" s="100">
        <v>5</v>
      </c>
      <c r="D784" s="69" t="e">
        <v>#N/A</v>
      </c>
      <c r="E784" s="69" t="e">
        <v>#N/A</v>
      </c>
      <c r="F784" s="69" t="s">
        <v>246</v>
      </c>
      <c r="G784" s="69" t="s">
        <v>572</v>
      </c>
      <c r="H784" s="69">
        <v>0</v>
      </c>
      <c r="I784" s="69" t="s">
        <v>257</v>
      </c>
      <c r="J784" s="69">
        <v>42</v>
      </c>
    </row>
    <row r="785" spans="1:10" x14ac:dyDescent="0.2">
      <c r="A785" s="69">
        <v>10000009738</v>
      </c>
      <c r="C785" s="100">
        <v>23</v>
      </c>
      <c r="G785" s="69" t="s">
        <v>1690</v>
      </c>
      <c r="J785" s="69">
        <v>23</v>
      </c>
    </row>
    <row r="786" spans="1:10" x14ac:dyDescent="0.2">
      <c r="A786" s="69">
        <v>10000009746</v>
      </c>
      <c r="C786" s="100">
        <v>23</v>
      </c>
      <c r="G786" s="69" t="s">
        <v>1719</v>
      </c>
      <c r="J786" s="69">
        <v>23</v>
      </c>
    </row>
    <row r="787" spans="1:10" x14ac:dyDescent="0.2">
      <c r="A787" s="69">
        <v>10000009747</v>
      </c>
      <c r="C787" s="100">
        <v>23</v>
      </c>
      <c r="G787" s="69" t="s">
        <v>1600</v>
      </c>
      <c r="J787" s="69">
        <v>23</v>
      </c>
    </row>
    <row r="788" spans="1:10" x14ac:dyDescent="0.2">
      <c r="A788" s="69">
        <v>10000009762</v>
      </c>
      <c r="B788" s="69" t="s">
        <v>221</v>
      </c>
      <c r="C788" s="100">
        <v>5</v>
      </c>
      <c r="G788" s="69" t="s">
        <v>231</v>
      </c>
      <c r="J788" s="69">
        <v>42</v>
      </c>
    </row>
    <row r="789" spans="1:10" x14ac:dyDescent="0.2">
      <c r="A789" s="70">
        <v>10000009812</v>
      </c>
      <c r="B789" s="69" t="s">
        <v>221</v>
      </c>
      <c r="C789" s="100">
        <v>5</v>
      </c>
      <c r="G789" s="70" t="s">
        <v>156</v>
      </c>
      <c r="J789" s="69">
        <v>42</v>
      </c>
    </row>
    <row r="790" spans="1:10" x14ac:dyDescent="0.2">
      <c r="A790" s="69">
        <v>10000009833</v>
      </c>
      <c r="B790" s="69" t="s">
        <v>221</v>
      </c>
      <c r="C790" s="100">
        <v>5</v>
      </c>
      <c r="G790" t="s">
        <v>1585</v>
      </c>
      <c r="J790" s="69">
        <v>42</v>
      </c>
    </row>
    <row r="791" spans="1:10" x14ac:dyDescent="0.2">
      <c r="A791" s="69">
        <v>10000009834</v>
      </c>
      <c r="B791" s="69" t="s">
        <v>220</v>
      </c>
      <c r="C791" s="100">
        <v>1</v>
      </c>
      <c r="G791" s="69" t="s">
        <v>1621</v>
      </c>
      <c r="J791" s="69">
        <v>42</v>
      </c>
    </row>
    <row r="792" spans="1:10" x14ac:dyDescent="0.2">
      <c r="A792" s="69">
        <v>10000009841</v>
      </c>
      <c r="B792" s="69" t="s">
        <v>221</v>
      </c>
      <c r="C792" s="100">
        <v>5</v>
      </c>
      <c r="G792" s="69" t="s">
        <v>1560</v>
      </c>
      <c r="J792" s="69">
        <v>42</v>
      </c>
    </row>
    <row r="793" spans="1:10" x14ac:dyDescent="0.2">
      <c r="A793" s="69">
        <v>10000009864</v>
      </c>
      <c r="B793" s="69" t="s">
        <v>220</v>
      </c>
      <c r="C793" s="100">
        <v>1</v>
      </c>
      <c r="G793" s="69" t="s">
        <v>1549</v>
      </c>
      <c r="J793" s="69">
        <v>42</v>
      </c>
    </row>
    <row r="794" spans="1:10" x14ac:dyDescent="0.2">
      <c r="A794" s="70">
        <v>10000009865</v>
      </c>
      <c r="B794" s="69" t="s">
        <v>220</v>
      </c>
      <c r="C794" s="100">
        <v>1</v>
      </c>
      <c r="G794" t="s">
        <v>1530</v>
      </c>
      <c r="J794" s="69">
        <v>42</v>
      </c>
    </row>
    <row r="795" spans="1:10" x14ac:dyDescent="0.2">
      <c r="A795" s="70">
        <v>10000009866</v>
      </c>
      <c r="B795" s="69" t="s">
        <v>220</v>
      </c>
      <c r="C795" s="100">
        <v>1</v>
      </c>
      <c r="G795" s="70" t="s">
        <v>219</v>
      </c>
      <c r="J795" s="69">
        <v>42</v>
      </c>
    </row>
    <row r="796" spans="1:10" x14ac:dyDescent="0.2">
      <c r="A796" s="69">
        <v>10000009870</v>
      </c>
      <c r="B796" s="69" t="s">
        <v>220</v>
      </c>
      <c r="C796" s="100">
        <v>1</v>
      </c>
      <c r="G796" s="70" t="s">
        <v>216</v>
      </c>
      <c r="J796" s="69">
        <v>42</v>
      </c>
    </row>
    <row r="797" spans="1:10" x14ac:dyDescent="0.2">
      <c r="A797" s="69">
        <v>10000009871</v>
      </c>
      <c r="B797" s="69" t="s">
        <v>220</v>
      </c>
      <c r="C797" s="100">
        <v>1</v>
      </c>
      <c r="G797" s="69" t="s">
        <v>1557</v>
      </c>
      <c r="J797" s="69">
        <v>42</v>
      </c>
    </row>
    <row r="798" spans="1:10" x14ac:dyDescent="0.2">
      <c r="A798" s="69">
        <v>10000009872</v>
      </c>
      <c r="B798" s="69" t="s">
        <v>220</v>
      </c>
      <c r="C798" s="100">
        <v>1</v>
      </c>
      <c r="G798" s="69" t="s">
        <v>224</v>
      </c>
      <c r="J798" s="69">
        <v>42</v>
      </c>
    </row>
    <row r="799" spans="1:10" x14ac:dyDescent="0.2">
      <c r="A799" s="69">
        <v>10000009873</v>
      </c>
      <c r="B799" s="69" t="s">
        <v>220</v>
      </c>
      <c r="C799" s="100">
        <v>1</v>
      </c>
      <c r="G799" s="69" t="s">
        <v>1531</v>
      </c>
      <c r="J799" s="69">
        <v>42</v>
      </c>
    </row>
    <row r="800" spans="1:10" x14ac:dyDescent="0.2">
      <c r="A800" s="69">
        <v>10000009877</v>
      </c>
      <c r="B800" s="69" t="s">
        <v>220</v>
      </c>
      <c r="C800" s="100">
        <v>1</v>
      </c>
      <c r="G800" s="69" t="s">
        <v>1543</v>
      </c>
      <c r="J800" s="69">
        <v>42</v>
      </c>
    </row>
    <row r="801" spans="1:10" x14ac:dyDescent="0.2">
      <c r="A801" s="69">
        <v>10000009879</v>
      </c>
      <c r="C801" s="100">
        <v>28</v>
      </c>
      <c r="G801" s="69" t="s">
        <v>1407</v>
      </c>
      <c r="J801" s="69">
        <v>28</v>
      </c>
    </row>
    <row r="802" spans="1:10" x14ac:dyDescent="0.2">
      <c r="A802" s="69">
        <v>10000009882</v>
      </c>
      <c r="B802" s="69" t="s">
        <v>220</v>
      </c>
      <c r="C802" s="100">
        <v>1</v>
      </c>
      <c r="G802" s="69" t="s">
        <v>1541</v>
      </c>
      <c r="J802" s="69">
        <v>42</v>
      </c>
    </row>
    <row r="803" spans="1:10" x14ac:dyDescent="0.2">
      <c r="A803" s="69">
        <v>10000009885</v>
      </c>
      <c r="B803" s="69" t="s">
        <v>220</v>
      </c>
      <c r="C803" s="100">
        <v>1</v>
      </c>
      <c r="G803" s="69" t="s">
        <v>1548</v>
      </c>
      <c r="J803" s="69">
        <v>42</v>
      </c>
    </row>
    <row r="804" spans="1:10" x14ac:dyDescent="0.2">
      <c r="A804" s="70">
        <v>10000009886</v>
      </c>
      <c r="B804" s="69" t="s">
        <v>220</v>
      </c>
      <c r="C804" s="100">
        <v>1</v>
      </c>
      <c r="G804" s="70" t="s">
        <v>187</v>
      </c>
      <c r="J804" s="69">
        <v>42</v>
      </c>
    </row>
    <row r="805" spans="1:10" x14ac:dyDescent="0.2">
      <c r="A805" s="69">
        <v>10000009891</v>
      </c>
      <c r="B805" s="69" t="s">
        <v>220</v>
      </c>
      <c r="C805" s="100">
        <v>1</v>
      </c>
      <c r="G805" s="69" t="s">
        <v>1556</v>
      </c>
      <c r="J805" s="69">
        <v>42</v>
      </c>
    </row>
    <row r="806" spans="1:10" x14ac:dyDescent="0.2">
      <c r="A806" s="70">
        <v>10000009892</v>
      </c>
      <c r="B806" s="69" t="s">
        <v>220</v>
      </c>
      <c r="C806" s="100">
        <v>1</v>
      </c>
      <c r="G806" s="70" t="s">
        <v>145</v>
      </c>
      <c r="J806" s="69">
        <v>42</v>
      </c>
    </row>
    <row r="807" spans="1:10" x14ac:dyDescent="0.2">
      <c r="A807" s="69">
        <v>10000009910</v>
      </c>
      <c r="B807" s="93" t="s">
        <v>296</v>
      </c>
      <c r="C807" s="102" t="s">
        <v>296</v>
      </c>
      <c r="G807" s="69" t="s">
        <v>1642</v>
      </c>
      <c r="J807" s="69">
        <v>24</v>
      </c>
    </row>
    <row r="808" spans="1:10" x14ac:dyDescent="0.2">
      <c r="A808" s="69">
        <v>10000009918</v>
      </c>
      <c r="C808" s="100" t="s">
        <v>307</v>
      </c>
      <c r="G808" s="69" t="s">
        <v>1731</v>
      </c>
      <c r="J808" s="69" t="s">
        <v>307</v>
      </c>
    </row>
    <row r="809" spans="1:10" x14ac:dyDescent="0.2">
      <c r="A809" s="69">
        <v>10000009928</v>
      </c>
      <c r="G809" s="70" t="s">
        <v>238</v>
      </c>
      <c r="J809" s="69">
        <v>42</v>
      </c>
    </row>
    <row r="810" spans="1:10" x14ac:dyDescent="0.2">
      <c r="A810" s="70">
        <v>10000009941</v>
      </c>
      <c r="B810" s="69" t="s">
        <v>220</v>
      </c>
      <c r="C810" s="100">
        <v>1</v>
      </c>
      <c r="G810" s="70" t="s">
        <v>199</v>
      </c>
      <c r="J810" s="69">
        <v>42</v>
      </c>
    </row>
    <row r="811" spans="1:10" x14ac:dyDescent="0.2">
      <c r="A811" s="69">
        <v>10000009942</v>
      </c>
      <c r="B811" s="69" t="s">
        <v>221</v>
      </c>
      <c r="C811" s="100">
        <v>5</v>
      </c>
      <c r="G811" s="70" t="s">
        <v>227</v>
      </c>
      <c r="J811" s="69">
        <v>42</v>
      </c>
    </row>
    <row r="812" spans="1:10" x14ac:dyDescent="0.2">
      <c r="A812" s="69">
        <v>10000009954</v>
      </c>
      <c r="B812" s="69" t="s">
        <v>221</v>
      </c>
      <c r="C812" s="100">
        <v>5</v>
      </c>
      <c r="G812" s="69" t="s">
        <v>1607</v>
      </c>
      <c r="J812" s="69">
        <v>42</v>
      </c>
    </row>
    <row r="813" spans="1:10" x14ac:dyDescent="0.2">
      <c r="A813" s="69">
        <v>10000009968</v>
      </c>
      <c r="B813" s="69" t="s">
        <v>220</v>
      </c>
      <c r="C813" s="100">
        <v>1</v>
      </c>
      <c r="G813" s="69" t="s">
        <v>1605</v>
      </c>
      <c r="J813" s="69">
        <v>42</v>
      </c>
    </row>
    <row r="814" spans="1:10" x14ac:dyDescent="0.2">
      <c r="A814" s="70">
        <v>10000009969</v>
      </c>
      <c r="B814" s="69" t="s">
        <v>220</v>
      </c>
      <c r="C814" s="100">
        <v>1</v>
      </c>
      <c r="G814" s="70" t="s">
        <v>202</v>
      </c>
      <c r="J814" s="69">
        <v>42</v>
      </c>
    </row>
    <row r="815" spans="1:10" x14ac:dyDescent="0.2">
      <c r="A815" s="69">
        <v>10000009972</v>
      </c>
      <c r="B815" s="69" t="s">
        <v>220</v>
      </c>
      <c r="C815" s="100">
        <v>1</v>
      </c>
      <c r="G815" s="69" t="s">
        <v>1538</v>
      </c>
      <c r="J815" s="69">
        <v>42</v>
      </c>
    </row>
    <row r="816" spans="1:10" x14ac:dyDescent="0.2">
      <c r="A816" s="69">
        <v>10000009977</v>
      </c>
      <c r="B816" s="69" t="s">
        <v>220</v>
      </c>
      <c r="C816" s="100">
        <v>1</v>
      </c>
      <c r="G816" t="s">
        <v>1590</v>
      </c>
      <c r="J816" s="69">
        <v>42</v>
      </c>
    </row>
    <row r="817" spans="1:10" x14ac:dyDescent="0.2">
      <c r="A817" s="69">
        <v>10000009987</v>
      </c>
      <c r="B817" s="69" t="s">
        <v>221</v>
      </c>
      <c r="C817" s="100">
        <v>5</v>
      </c>
      <c r="G817" s="69" t="s">
        <v>1570</v>
      </c>
      <c r="J817" s="69">
        <v>42</v>
      </c>
    </row>
    <row r="818" spans="1:10" x14ac:dyDescent="0.2">
      <c r="A818" s="69">
        <v>10000009989</v>
      </c>
      <c r="B818" s="69">
        <v>10</v>
      </c>
      <c r="C818" s="100">
        <v>10</v>
      </c>
      <c r="G818" s="70" t="s">
        <v>243</v>
      </c>
      <c r="J818" s="69">
        <v>42</v>
      </c>
    </row>
    <row r="819" spans="1:10" x14ac:dyDescent="0.2">
      <c r="A819" s="69">
        <v>10000009992</v>
      </c>
      <c r="B819" s="69" t="s">
        <v>220</v>
      </c>
      <c r="C819" s="100">
        <v>1</v>
      </c>
      <c r="G819" s="69" t="s">
        <v>1536</v>
      </c>
      <c r="J819" s="69">
        <v>42</v>
      </c>
    </row>
    <row r="820" spans="1:10" x14ac:dyDescent="0.2">
      <c r="A820" s="69">
        <v>10000009994</v>
      </c>
      <c r="B820" s="69" t="s">
        <v>220</v>
      </c>
      <c r="C820" s="100">
        <v>1</v>
      </c>
      <c r="G820" s="69" t="s">
        <v>1532</v>
      </c>
      <c r="J820" s="69">
        <v>42</v>
      </c>
    </row>
    <row r="821" spans="1:10" x14ac:dyDescent="0.2">
      <c r="A821" s="69">
        <v>10000009999</v>
      </c>
      <c r="B821" s="69" t="s">
        <v>220</v>
      </c>
      <c r="C821" s="100">
        <v>1</v>
      </c>
      <c r="G821" s="69" t="s">
        <v>225</v>
      </c>
      <c r="J821" s="69">
        <v>42</v>
      </c>
    </row>
    <row r="822" spans="1:10" x14ac:dyDescent="0.2">
      <c r="A822" s="70">
        <v>10000010003</v>
      </c>
      <c r="B822" s="69" t="s">
        <v>220</v>
      </c>
      <c r="C822" s="100">
        <v>1</v>
      </c>
      <c r="G822" s="70" t="s">
        <v>197</v>
      </c>
      <c r="J822" s="69">
        <v>42</v>
      </c>
    </row>
    <row r="823" spans="1:10" x14ac:dyDescent="0.2">
      <c r="A823" s="69">
        <v>10000010004</v>
      </c>
      <c r="B823" s="69" t="s">
        <v>220</v>
      </c>
      <c r="C823" s="100">
        <v>1</v>
      </c>
      <c r="G823" s="69" t="s">
        <v>222</v>
      </c>
      <c r="J823" s="69">
        <v>42</v>
      </c>
    </row>
    <row r="824" spans="1:10" x14ac:dyDescent="0.2">
      <c r="A824" s="70">
        <v>10000010016</v>
      </c>
      <c r="B824" s="69" t="s">
        <v>220</v>
      </c>
      <c r="C824" s="100">
        <v>1</v>
      </c>
      <c r="G824" s="70" t="s">
        <v>201</v>
      </c>
      <c r="J824" s="69">
        <v>42</v>
      </c>
    </row>
    <row r="825" spans="1:10" x14ac:dyDescent="0.2">
      <c r="A825" s="69">
        <v>10000010017</v>
      </c>
      <c r="B825" s="69" t="s">
        <v>220</v>
      </c>
      <c r="C825" s="100">
        <v>1</v>
      </c>
      <c r="G825" s="70" t="s">
        <v>133</v>
      </c>
      <c r="J825" s="69">
        <v>42</v>
      </c>
    </row>
    <row r="826" spans="1:10" x14ac:dyDescent="0.2">
      <c r="A826" s="70">
        <v>10000010018</v>
      </c>
      <c r="B826" s="69" t="s">
        <v>220</v>
      </c>
      <c r="C826" s="100">
        <v>1</v>
      </c>
      <c r="G826" s="70" t="s">
        <v>190</v>
      </c>
      <c r="J826" s="69">
        <v>42</v>
      </c>
    </row>
    <row r="827" spans="1:10" x14ac:dyDescent="0.2">
      <c r="A827" s="69">
        <v>10000010019</v>
      </c>
      <c r="B827" s="69" t="s">
        <v>220</v>
      </c>
      <c r="C827" s="100">
        <v>1</v>
      </c>
      <c r="G827" s="69" t="s">
        <v>1533</v>
      </c>
      <c r="J827" s="69">
        <v>42</v>
      </c>
    </row>
    <row r="828" spans="1:10" x14ac:dyDescent="0.2">
      <c r="A828" s="69">
        <v>10000010020</v>
      </c>
      <c r="B828" s="69" t="s">
        <v>220</v>
      </c>
      <c r="C828" s="100">
        <v>1</v>
      </c>
      <c r="G828" s="69" t="s">
        <v>1574</v>
      </c>
      <c r="J828" s="69">
        <v>42</v>
      </c>
    </row>
    <row r="829" spans="1:10" x14ac:dyDescent="0.2">
      <c r="A829" s="69">
        <v>10000010036</v>
      </c>
      <c r="B829" s="69" t="s">
        <v>220</v>
      </c>
      <c r="C829" s="100">
        <v>1</v>
      </c>
      <c r="G829" t="s">
        <v>1591</v>
      </c>
      <c r="J829" s="69">
        <v>42</v>
      </c>
    </row>
    <row r="830" spans="1:10" x14ac:dyDescent="0.2">
      <c r="A830" s="69">
        <v>10000010207</v>
      </c>
      <c r="B830" s="69" t="s">
        <v>220</v>
      </c>
      <c r="C830" s="100">
        <v>1</v>
      </c>
      <c r="G830" s="69" t="s">
        <v>1540</v>
      </c>
      <c r="J830" s="69">
        <v>42</v>
      </c>
    </row>
    <row r="831" spans="1:10" x14ac:dyDescent="0.2">
      <c r="A831" s="69">
        <v>10000010233</v>
      </c>
      <c r="B831" s="69" t="s">
        <v>220</v>
      </c>
      <c r="C831" s="100">
        <v>1</v>
      </c>
      <c r="G831" t="s">
        <v>1589</v>
      </c>
      <c r="J831" s="69">
        <v>42</v>
      </c>
    </row>
    <row r="832" spans="1:10" x14ac:dyDescent="0.2">
      <c r="A832" s="69">
        <v>10000010240</v>
      </c>
      <c r="C832" s="100" t="s">
        <v>307</v>
      </c>
      <c r="G832" s="69" t="s">
        <v>1729</v>
      </c>
      <c r="J832" s="69" t="s">
        <v>307</v>
      </c>
    </row>
    <row r="833" spans="1:10" x14ac:dyDescent="0.2">
      <c r="A833" s="69">
        <v>10000010267</v>
      </c>
      <c r="B833" s="69" t="s">
        <v>220</v>
      </c>
      <c r="C833" s="100">
        <v>1</v>
      </c>
      <c r="G833" s="69" t="s">
        <v>1537</v>
      </c>
      <c r="J833" s="69">
        <v>42</v>
      </c>
    </row>
    <row r="834" spans="1:10" x14ac:dyDescent="0.2">
      <c r="A834" s="69">
        <v>10000010275</v>
      </c>
      <c r="B834" s="69" t="s">
        <v>221</v>
      </c>
      <c r="C834" s="100">
        <v>5</v>
      </c>
      <c r="G834" s="69" t="s">
        <v>1539</v>
      </c>
      <c r="J834" s="69">
        <v>42</v>
      </c>
    </row>
    <row r="835" spans="1:10" x14ac:dyDescent="0.2">
      <c r="A835" s="69">
        <v>10000010286</v>
      </c>
      <c r="B835" s="93" t="s">
        <v>296</v>
      </c>
      <c r="C835" s="102" t="s">
        <v>296</v>
      </c>
      <c r="G835" s="69" t="s">
        <v>1632</v>
      </c>
      <c r="J835" s="69">
        <v>24</v>
      </c>
    </row>
    <row r="836" spans="1:10" x14ac:dyDescent="0.2">
      <c r="A836" s="69">
        <v>10000010289</v>
      </c>
      <c r="C836" s="100">
        <v>19</v>
      </c>
      <c r="G836" s="69" t="s">
        <v>1723</v>
      </c>
      <c r="J836" s="69">
        <v>19</v>
      </c>
    </row>
    <row r="837" spans="1:10" x14ac:dyDescent="0.2">
      <c r="A837" s="69">
        <v>10000010339</v>
      </c>
      <c r="B837" s="93" t="s">
        <v>296</v>
      </c>
      <c r="C837" s="102" t="s">
        <v>296</v>
      </c>
      <c r="G837" s="69" t="s">
        <v>1645</v>
      </c>
      <c r="J837" s="69">
        <v>24</v>
      </c>
    </row>
    <row r="838" spans="1:10" x14ac:dyDescent="0.2">
      <c r="A838" s="69">
        <v>10000010360</v>
      </c>
      <c r="C838" s="100">
        <v>23</v>
      </c>
      <c r="G838" s="69" t="s">
        <v>1691</v>
      </c>
      <c r="J838" s="69">
        <v>23</v>
      </c>
    </row>
    <row r="839" spans="1:10" x14ac:dyDescent="0.2">
      <c r="A839" s="69">
        <v>10000010364</v>
      </c>
      <c r="B839" s="69" t="s">
        <v>221</v>
      </c>
      <c r="C839" s="100">
        <v>5</v>
      </c>
      <c r="G839" s="69" t="s">
        <v>1572</v>
      </c>
      <c r="J839" s="69">
        <v>42</v>
      </c>
    </row>
    <row r="840" spans="1:10" x14ac:dyDescent="0.2">
      <c r="A840" s="69">
        <v>10000010369</v>
      </c>
      <c r="B840" s="69" t="s">
        <v>220</v>
      </c>
      <c r="C840" s="100">
        <v>1</v>
      </c>
      <c r="G840" s="69" t="s">
        <v>1608</v>
      </c>
      <c r="J840" s="69">
        <v>42</v>
      </c>
    </row>
    <row r="841" spans="1:10" x14ac:dyDescent="0.2">
      <c r="A841" s="69">
        <v>10000010370</v>
      </c>
      <c r="B841" s="69" t="s">
        <v>220</v>
      </c>
      <c r="C841" s="100">
        <v>1</v>
      </c>
      <c r="G841" s="69" t="s">
        <v>223</v>
      </c>
      <c r="J841" s="69">
        <v>42</v>
      </c>
    </row>
    <row r="842" spans="1:10" x14ac:dyDescent="0.2">
      <c r="A842" s="69">
        <v>10000010395</v>
      </c>
      <c r="C842" s="100">
        <v>28</v>
      </c>
      <c r="G842" s="69" t="s">
        <v>1724</v>
      </c>
      <c r="J842" s="69">
        <v>28</v>
      </c>
    </row>
    <row r="843" spans="1:10" x14ac:dyDescent="0.2">
      <c r="A843" s="69">
        <v>10000010403</v>
      </c>
      <c r="B843" s="69" t="s">
        <v>221</v>
      </c>
      <c r="C843" s="100">
        <v>5</v>
      </c>
      <c r="G843" s="69" t="s">
        <v>233</v>
      </c>
      <c r="J843" s="69">
        <v>42</v>
      </c>
    </row>
    <row r="844" spans="1:10" x14ac:dyDescent="0.2">
      <c r="A844" s="69">
        <v>10000010439</v>
      </c>
      <c r="B844" s="69" t="s">
        <v>221</v>
      </c>
      <c r="C844" s="100">
        <v>5</v>
      </c>
      <c r="G844" s="69" t="s">
        <v>228</v>
      </c>
      <c r="J844" s="69">
        <v>42</v>
      </c>
    </row>
    <row r="845" spans="1:10" x14ac:dyDescent="0.2">
      <c r="A845" s="69">
        <v>10000010607</v>
      </c>
      <c r="B845" s="93" t="s">
        <v>296</v>
      </c>
      <c r="C845" s="102" t="s">
        <v>296</v>
      </c>
      <c r="G845" s="69" t="s">
        <v>1630</v>
      </c>
      <c r="J845" s="69">
        <v>24</v>
      </c>
    </row>
    <row r="846" spans="1:10" x14ac:dyDescent="0.2">
      <c r="A846" s="69">
        <v>10000010609</v>
      </c>
      <c r="B846" s="69" t="s">
        <v>220</v>
      </c>
      <c r="C846" s="100">
        <v>1</v>
      </c>
      <c r="G846" s="69" t="s">
        <v>170</v>
      </c>
      <c r="J846" s="69">
        <v>42</v>
      </c>
    </row>
    <row r="847" spans="1:10" x14ac:dyDescent="0.2">
      <c r="A847" s="69">
        <v>10000010620</v>
      </c>
      <c r="B847" s="69" t="s">
        <v>220</v>
      </c>
      <c r="C847" s="100">
        <v>1</v>
      </c>
      <c r="G847" s="69" t="s">
        <v>1544</v>
      </c>
      <c r="J847" s="69">
        <v>42</v>
      </c>
    </row>
    <row r="848" spans="1:10" x14ac:dyDescent="0.2">
      <c r="A848" s="69">
        <v>10000010627</v>
      </c>
      <c r="B848" s="69" t="s">
        <v>221</v>
      </c>
      <c r="C848" s="100">
        <v>5</v>
      </c>
      <c r="G848" s="69" t="s">
        <v>1547</v>
      </c>
      <c r="J848" s="69">
        <v>42</v>
      </c>
    </row>
    <row r="849" spans="1:10" x14ac:dyDescent="0.2">
      <c r="A849" s="69">
        <v>10000010629</v>
      </c>
      <c r="B849" s="69" t="s">
        <v>220</v>
      </c>
      <c r="C849" s="100">
        <v>1</v>
      </c>
      <c r="G849" s="69" t="s">
        <v>1545</v>
      </c>
      <c r="J849" s="69">
        <v>42</v>
      </c>
    </row>
    <row r="850" spans="1:10" x14ac:dyDescent="0.2">
      <c r="A850" s="69">
        <v>10000010639</v>
      </c>
      <c r="C850" s="100">
        <v>23</v>
      </c>
      <c r="G850" s="69" t="s">
        <v>1720</v>
      </c>
      <c r="J850" s="69">
        <v>23</v>
      </c>
    </row>
    <row r="851" spans="1:10" x14ac:dyDescent="0.2">
      <c r="A851" s="69">
        <v>10000010708</v>
      </c>
      <c r="C851" s="100" t="s">
        <v>307</v>
      </c>
      <c r="G851" s="69" t="s">
        <v>1728</v>
      </c>
      <c r="J851" s="69" t="s">
        <v>307</v>
      </c>
    </row>
    <row r="852" spans="1:10" x14ac:dyDescent="0.2">
      <c r="A852" s="69">
        <v>10000010713</v>
      </c>
      <c r="B852" s="69" t="s">
        <v>221</v>
      </c>
      <c r="C852" s="100">
        <v>5</v>
      </c>
      <c r="G852" s="69" t="s">
        <v>1542</v>
      </c>
      <c r="J852" s="69">
        <v>42</v>
      </c>
    </row>
    <row r="853" spans="1:10" x14ac:dyDescent="0.2">
      <c r="A853" s="69">
        <v>10000010720</v>
      </c>
      <c r="B853" s="93" t="s">
        <v>296</v>
      </c>
      <c r="C853" s="102" t="s">
        <v>296</v>
      </c>
      <c r="G853" s="69" t="s">
        <v>1633</v>
      </c>
      <c r="J853" s="69">
        <v>24</v>
      </c>
    </row>
    <row r="854" spans="1:10" x14ac:dyDescent="0.2">
      <c r="A854" s="69">
        <v>10000011006</v>
      </c>
      <c r="B854" s="93" t="s">
        <v>1646</v>
      </c>
      <c r="C854" s="102" t="s">
        <v>1646</v>
      </c>
      <c r="G854" s="69" t="s">
        <v>1598</v>
      </c>
      <c r="J854" s="69">
        <v>24</v>
      </c>
    </row>
    <row r="855" spans="1:10" x14ac:dyDescent="0.2">
      <c r="A855" s="69">
        <v>10000011115</v>
      </c>
      <c r="B855" s="69" t="s">
        <v>220</v>
      </c>
      <c r="C855" s="100">
        <v>1</v>
      </c>
      <c r="G855" s="69" t="s">
        <v>1588</v>
      </c>
      <c r="J855" s="69">
        <v>42</v>
      </c>
    </row>
    <row r="856" spans="1:10" x14ac:dyDescent="0.2">
      <c r="A856" s="69">
        <v>10000011344</v>
      </c>
      <c r="B856" s="69" t="s">
        <v>220</v>
      </c>
      <c r="C856" s="100">
        <v>1</v>
      </c>
      <c r="G856" s="69" t="s">
        <v>1558</v>
      </c>
      <c r="J856" s="69">
        <v>42</v>
      </c>
    </row>
    <row r="857" spans="1:10" x14ac:dyDescent="0.2">
      <c r="A857" s="69">
        <v>10000011354</v>
      </c>
      <c r="B857" s="69" t="s">
        <v>221</v>
      </c>
      <c r="C857" s="100">
        <v>5</v>
      </c>
      <c r="G857" s="69" t="s">
        <v>1559</v>
      </c>
      <c r="J857" s="69">
        <v>42</v>
      </c>
    </row>
    <row r="858" spans="1:10" x14ac:dyDescent="0.2">
      <c r="A858" s="69">
        <v>10000011358</v>
      </c>
      <c r="B858" s="69">
        <v>10</v>
      </c>
      <c r="C858" s="100">
        <v>10</v>
      </c>
      <c r="G858" s="69" t="s">
        <v>335</v>
      </c>
      <c r="J858" s="69">
        <v>42</v>
      </c>
    </row>
    <row r="859" spans="1:10" x14ac:dyDescent="0.2">
      <c r="A859" s="69">
        <v>10000011416</v>
      </c>
      <c r="C859" s="100">
        <v>23</v>
      </c>
      <c r="G859" s="69" t="s">
        <v>1721</v>
      </c>
      <c r="J859" s="69">
        <v>23</v>
      </c>
    </row>
    <row r="860" spans="1:10" x14ac:dyDescent="0.2">
      <c r="A860" s="69">
        <v>10000011417</v>
      </c>
      <c r="B860" s="69" t="s">
        <v>220</v>
      </c>
      <c r="C860" s="100">
        <v>1</v>
      </c>
      <c r="G860" s="69" t="s">
        <v>1535</v>
      </c>
      <c r="J860" s="69">
        <v>42</v>
      </c>
    </row>
    <row r="861" spans="1:10" x14ac:dyDescent="0.2">
      <c r="A861" s="69">
        <v>10000011419</v>
      </c>
      <c r="B861" s="69" t="s">
        <v>221</v>
      </c>
      <c r="C861" s="100">
        <v>5</v>
      </c>
      <c r="G861" s="69" t="s">
        <v>1534</v>
      </c>
      <c r="J861" s="69">
        <v>42</v>
      </c>
    </row>
    <row r="862" spans="1:10" x14ac:dyDescent="0.2">
      <c r="A862" s="69">
        <v>10000011529</v>
      </c>
      <c r="B862" s="69" t="s">
        <v>221</v>
      </c>
      <c r="C862" s="100">
        <v>5</v>
      </c>
      <c r="G862" s="69" t="s">
        <v>1182</v>
      </c>
      <c r="J862" s="69">
        <v>42</v>
      </c>
    </row>
    <row r="863" spans="1:10" x14ac:dyDescent="0.2">
      <c r="A863" s="69">
        <v>10000011550</v>
      </c>
      <c r="B863" s="93" t="s">
        <v>1646</v>
      </c>
      <c r="C863" s="102" t="s">
        <v>1646</v>
      </c>
      <c r="G863" s="69" t="s">
        <v>1619</v>
      </c>
      <c r="J863" s="69">
        <v>24</v>
      </c>
    </row>
    <row r="864" spans="1:10" x14ac:dyDescent="0.2">
      <c r="A864" s="69">
        <v>10000011554</v>
      </c>
      <c r="B864" s="93" t="s">
        <v>296</v>
      </c>
      <c r="C864" s="102" t="s">
        <v>296</v>
      </c>
      <c r="G864" s="69" t="s">
        <v>1631</v>
      </c>
      <c r="J864" s="69">
        <v>24</v>
      </c>
    </row>
    <row r="865" spans="1:10" x14ac:dyDescent="0.2">
      <c r="A865" s="69">
        <v>10000011568</v>
      </c>
      <c r="B865" s="93" t="s">
        <v>1646</v>
      </c>
      <c r="C865" s="102" t="s">
        <v>1646</v>
      </c>
      <c r="E865" s="69" t="s">
        <v>1646</v>
      </c>
      <c r="G865" s="69" t="s">
        <v>1647</v>
      </c>
      <c r="J865" s="69">
        <v>24</v>
      </c>
    </row>
    <row r="866" spans="1:10" x14ac:dyDescent="0.2">
      <c r="A866" s="69">
        <v>10000011614</v>
      </c>
      <c r="B866" s="69" t="s">
        <v>221</v>
      </c>
      <c r="C866" s="100">
        <v>5</v>
      </c>
      <c r="G866" s="69" t="s">
        <v>1566</v>
      </c>
      <c r="J866" s="69">
        <v>42</v>
      </c>
    </row>
    <row r="867" spans="1:10" x14ac:dyDescent="0.2">
      <c r="A867" s="69">
        <v>10000011625</v>
      </c>
      <c r="C867" s="100" t="s">
        <v>307</v>
      </c>
      <c r="G867" s="69" t="s">
        <v>1730</v>
      </c>
      <c r="J867" s="69" t="s">
        <v>307</v>
      </c>
    </row>
    <row r="868" spans="1:10" x14ac:dyDescent="0.2">
      <c r="A868" s="69">
        <v>10000011627</v>
      </c>
      <c r="B868" s="69" t="s">
        <v>221</v>
      </c>
      <c r="C868" s="100">
        <v>5</v>
      </c>
      <c r="G868" s="69" t="s">
        <v>1578</v>
      </c>
      <c r="J868" s="69">
        <v>42</v>
      </c>
    </row>
    <row r="869" spans="1:10" x14ac:dyDescent="0.2">
      <c r="A869" s="69">
        <v>10000011709</v>
      </c>
      <c r="C869" s="100">
        <v>23</v>
      </c>
      <c r="G869" s="69" t="s">
        <v>1722</v>
      </c>
      <c r="J869" s="69">
        <v>23</v>
      </c>
    </row>
    <row r="870" spans="1:10" x14ac:dyDescent="0.2">
      <c r="A870" s="69">
        <v>10000011712</v>
      </c>
      <c r="C870" s="100">
        <v>28</v>
      </c>
      <c r="G870" s="69" t="s">
        <v>1604</v>
      </c>
      <c r="J870" s="69">
        <v>28</v>
      </c>
    </row>
    <row r="871" spans="1:10" x14ac:dyDescent="0.2">
      <c r="A871" s="69">
        <v>10000011723</v>
      </c>
      <c r="B871" s="69">
        <v>20</v>
      </c>
      <c r="C871" s="100">
        <v>20</v>
      </c>
      <c r="G871" s="69" t="s">
        <v>1587</v>
      </c>
      <c r="J871" s="69">
        <v>42</v>
      </c>
    </row>
    <row r="872" spans="1:10" x14ac:dyDescent="0.2">
      <c r="A872" s="69">
        <v>10000011725</v>
      </c>
      <c r="B872" s="69" t="s">
        <v>220</v>
      </c>
      <c r="C872" s="100">
        <v>1</v>
      </c>
      <c r="G872" s="69" t="s">
        <v>1609</v>
      </c>
      <c r="J872" s="69">
        <v>42</v>
      </c>
    </row>
    <row r="873" spans="1:10" x14ac:dyDescent="0.2">
      <c r="A873" s="69">
        <v>10000011772</v>
      </c>
      <c r="B873" s="69" t="s">
        <v>221</v>
      </c>
      <c r="C873" s="100">
        <v>5</v>
      </c>
      <c r="G873" s="69" t="s">
        <v>1615</v>
      </c>
      <c r="J873" s="69">
        <v>42</v>
      </c>
    </row>
    <row r="874" spans="1:10" x14ac:dyDescent="0.2">
      <c r="A874" s="69">
        <v>10000011774</v>
      </c>
      <c r="B874" s="93" t="s">
        <v>296</v>
      </c>
      <c r="C874" s="102" t="s">
        <v>296</v>
      </c>
      <c r="G874" s="69" t="s">
        <v>1643</v>
      </c>
      <c r="J874" s="69">
        <v>24</v>
      </c>
    </row>
    <row r="875" spans="1:10" x14ac:dyDescent="0.2">
      <c r="A875" s="69">
        <v>10000011799</v>
      </c>
      <c r="B875" s="69">
        <v>10</v>
      </c>
      <c r="C875" s="100">
        <v>10</v>
      </c>
      <c r="G875" s="69" t="s">
        <v>1616</v>
      </c>
      <c r="J875" s="69">
        <v>42</v>
      </c>
    </row>
    <row r="876" spans="1:10" x14ac:dyDescent="0.2">
      <c r="A876" s="69">
        <v>10000011907</v>
      </c>
      <c r="B876" s="69" t="s">
        <v>221</v>
      </c>
      <c r="C876" s="100">
        <v>5</v>
      </c>
      <c r="G876" s="69" t="s">
        <v>1613</v>
      </c>
      <c r="J876" s="69">
        <v>42</v>
      </c>
    </row>
    <row r="877" spans="1:10" x14ac:dyDescent="0.2">
      <c r="A877">
        <v>10000011931</v>
      </c>
      <c r="B877" s="69" t="s">
        <v>220</v>
      </c>
      <c r="C877" s="100">
        <v>1</v>
      </c>
      <c r="G877" t="s">
        <v>1626</v>
      </c>
      <c r="J877" s="69">
        <v>42</v>
      </c>
    </row>
    <row r="878" spans="1:10" x14ac:dyDescent="0.2">
      <c r="A878" s="69">
        <v>10000011934</v>
      </c>
      <c r="B878" s="69" t="s">
        <v>220</v>
      </c>
      <c r="C878" s="100">
        <v>1</v>
      </c>
      <c r="G878" s="69" t="s">
        <v>1628</v>
      </c>
      <c r="J878" s="69">
        <v>42</v>
      </c>
    </row>
    <row r="879" spans="1:10" x14ac:dyDescent="0.2">
      <c r="A879" s="69">
        <v>10000011942</v>
      </c>
      <c r="B879" s="69" t="s">
        <v>1652</v>
      </c>
      <c r="C879" s="100" t="s">
        <v>1652</v>
      </c>
      <c r="G879" s="69" t="s">
        <v>1597</v>
      </c>
      <c r="J879" s="93" t="s">
        <v>1653</v>
      </c>
    </row>
    <row r="880" spans="1:10" x14ac:dyDescent="0.2">
      <c r="A880" s="69">
        <v>10000012122</v>
      </c>
      <c r="B880" s="69" t="s">
        <v>220</v>
      </c>
      <c r="C880" s="100">
        <v>1</v>
      </c>
      <c r="G880" s="69" t="s">
        <v>1601</v>
      </c>
      <c r="J880" s="69">
        <v>42</v>
      </c>
    </row>
    <row r="881" spans="1:10" x14ac:dyDescent="0.2">
      <c r="A881" s="69">
        <v>10000012124</v>
      </c>
      <c r="B881" s="93" t="s">
        <v>296</v>
      </c>
      <c r="C881" s="102" t="s">
        <v>296</v>
      </c>
      <c r="G881" s="69" t="s">
        <v>1634</v>
      </c>
      <c r="J881" s="69">
        <v>24</v>
      </c>
    </row>
    <row r="882" spans="1:10" x14ac:dyDescent="0.2">
      <c r="A882" s="69">
        <v>10000012413</v>
      </c>
      <c r="B882" s="93" t="s">
        <v>296</v>
      </c>
      <c r="C882" s="102" t="s">
        <v>296</v>
      </c>
      <c r="G882" s="69" t="s">
        <v>1635</v>
      </c>
      <c r="J882" s="69">
        <v>24</v>
      </c>
    </row>
    <row r="883" spans="1:10" x14ac:dyDescent="0.2">
      <c r="A883" s="69">
        <v>10000012414</v>
      </c>
      <c r="B883" s="93" t="s">
        <v>296</v>
      </c>
      <c r="C883" s="102" t="s">
        <v>296</v>
      </c>
      <c r="G883" s="69" t="s">
        <v>1639</v>
      </c>
      <c r="J883" s="69">
        <v>24</v>
      </c>
    </row>
    <row r="884" spans="1:10" x14ac:dyDescent="0.2">
      <c r="A884" s="69">
        <v>10000012415</v>
      </c>
      <c r="B884" s="93" t="s">
        <v>296</v>
      </c>
      <c r="C884" s="102" t="s">
        <v>296</v>
      </c>
      <c r="G884" s="69" t="s">
        <v>1640</v>
      </c>
      <c r="J884" s="69">
        <v>24</v>
      </c>
    </row>
    <row r="885" spans="1:10" x14ac:dyDescent="0.2">
      <c r="A885" s="69">
        <v>20000000020</v>
      </c>
      <c r="B885" s="69" t="s">
        <v>221</v>
      </c>
      <c r="C885" s="100" t="e">
        <v>#N/A</v>
      </c>
      <c r="D885" s="69" t="s">
        <v>1262</v>
      </c>
      <c r="E885" s="69" t="s">
        <v>1242</v>
      </c>
      <c r="F885" s="69" t="s">
        <v>246</v>
      </c>
      <c r="G885" s="69" t="s">
        <v>571</v>
      </c>
      <c r="H885" s="69">
        <v>0</v>
      </c>
      <c r="I885" s="69" t="s">
        <v>257</v>
      </c>
      <c r="J885" s="69">
        <v>42</v>
      </c>
    </row>
    <row r="886" spans="1:10" x14ac:dyDescent="0.2">
      <c r="A886" s="69">
        <v>20000000021</v>
      </c>
      <c r="B886" s="69" t="s">
        <v>221</v>
      </c>
      <c r="C886" s="100" t="e">
        <v>#N/A</v>
      </c>
      <c r="D886" s="69" t="e">
        <v>#N/A</v>
      </c>
      <c r="E886" s="69" t="e">
        <v>#N/A</v>
      </c>
      <c r="F886" s="69" t="s">
        <v>246</v>
      </c>
      <c r="G886" s="69" t="s">
        <v>570</v>
      </c>
      <c r="H886" s="69">
        <v>0</v>
      </c>
      <c r="I886" s="69" t="s">
        <v>257</v>
      </c>
      <c r="J886" s="69">
        <v>42</v>
      </c>
    </row>
    <row r="887" spans="1:10" x14ac:dyDescent="0.2">
      <c r="A887" s="69">
        <v>20000000022</v>
      </c>
      <c r="B887" s="69" t="s">
        <v>262</v>
      </c>
      <c r="C887" s="100" t="e">
        <v>#N/A</v>
      </c>
      <c r="D887" s="69" t="s">
        <v>1262</v>
      </c>
      <c r="E887" s="69" t="s">
        <v>1242</v>
      </c>
      <c r="F887" s="69" t="s">
        <v>246</v>
      </c>
      <c r="G887" s="69" t="s">
        <v>569</v>
      </c>
      <c r="H887" s="69">
        <v>0</v>
      </c>
      <c r="I887" s="69" t="s">
        <v>261</v>
      </c>
      <c r="J887" s="69">
        <v>42</v>
      </c>
    </row>
    <row r="888" spans="1:10" x14ac:dyDescent="0.2">
      <c r="A888" s="69">
        <v>20000000026</v>
      </c>
      <c r="C888" s="100">
        <v>23</v>
      </c>
      <c r="G888" s="69" t="s">
        <v>332</v>
      </c>
      <c r="J888" s="69">
        <v>23</v>
      </c>
    </row>
    <row r="889" spans="1:10" x14ac:dyDescent="0.2">
      <c r="A889" s="69">
        <v>20000000031</v>
      </c>
      <c r="C889" s="100">
        <v>23</v>
      </c>
      <c r="G889" s="69" t="s">
        <v>329</v>
      </c>
      <c r="J889" s="69">
        <v>23</v>
      </c>
    </row>
    <row r="890" spans="1:10" x14ac:dyDescent="0.2">
      <c r="A890" s="69">
        <v>20000000034</v>
      </c>
      <c r="C890" s="100">
        <v>28</v>
      </c>
      <c r="G890" s="69" t="s">
        <v>110</v>
      </c>
      <c r="J890" s="69">
        <v>28</v>
      </c>
    </row>
    <row r="891" spans="1:10" x14ac:dyDescent="0.2">
      <c r="A891" s="69">
        <v>20000000036</v>
      </c>
      <c r="C891" s="100">
        <v>23</v>
      </c>
      <c r="G891" s="69" t="s">
        <v>327</v>
      </c>
      <c r="J891" s="69">
        <v>23</v>
      </c>
    </row>
    <row r="892" spans="1:10" x14ac:dyDescent="0.2">
      <c r="A892" s="69">
        <v>20000000044</v>
      </c>
      <c r="B892" s="69" t="s">
        <v>220</v>
      </c>
      <c r="C892" s="100" t="e">
        <v>#N/A</v>
      </c>
      <c r="D892" s="69" t="e">
        <v>#N/A</v>
      </c>
      <c r="E892" s="69" t="e">
        <v>#N/A</v>
      </c>
      <c r="F892" s="69" t="s">
        <v>246</v>
      </c>
      <c r="G892" s="69" t="s">
        <v>568</v>
      </c>
      <c r="H892" s="69">
        <v>0</v>
      </c>
      <c r="I892" s="69" t="s">
        <v>247</v>
      </c>
      <c r="J892" s="69">
        <v>42</v>
      </c>
    </row>
    <row r="893" spans="1:10" x14ac:dyDescent="0.2">
      <c r="A893" s="69">
        <v>20000000045</v>
      </c>
      <c r="B893" s="69" t="s">
        <v>220</v>
      </c>
      <c r="C893" s="100" t="e">
        <v>#N/A</v>
      </c>
      <c r="D893" s="69" t="s">
        <v>1275</v>
      </c>
      <c r="E893" s="69" t="s">
        <v>1242</v>
      </c>
      <c r="F893" s="69" t="s">
        <v>246</v>
      </c>
      <c r="G893" s="69" t="s">
        <v>567</v>
      </c>
      <c r="H893" s="69">
        <v>0</v>
      </c>
      <c r="I893" s="69" t="s">
        <v>247</v>
      </c>
      <c r="J893" s="69">
        <v>42</v>
      </c>
    </row>
    <row r="894" spans="1:10" x14ac:dyDescent="0.2">
      <c r="A894" s="69">
        <v>20000000046</v>
      </c>
      <c r="B894" s="69" t="s">
        <v>220</v>
      </c>
      <c r="C894" s="100" t="e">
        <v>#N/A</v>
      </c>
      <c r="D894" s="69" t="e">
        <v>#N/A</v>
      </c>
      <c r="E894" s="69" t="e">
        <v>#N/A</v>
      </c>
      <c r="F894" s="69" t="s">
        <v>246</v>
      </c>
      <c r="G894" s="69" t="s">
        <v>566</v>
      </c>
      <c r="H894" s="69">
        <v>0</v>
      </c>
      <c r="I894" s="69" t="s">
        <v>247</v>
      </c>
      <c r="J894" s="69">
        <v>42</v>
      </c>
    </row>
    <row r="895" spans="1:10" x14ac:dyDescent="0.2">
      <c r="A895" s="69">
        <v>20000000047</v>
      </c>
      <c r="B895" s="69" t="s">
        <v>220</v>
      </c>
      <c r="C895" s="100" t="e">
        <v>#N/A</v>
      </c>
      <c r="D895" s="69" t="e">
        <v>#N/A</v>
      </c>
      <c r="E895" s="69" t="e">
        <v>#N/A</v>
      </c>
      <c r="F895" s="69" t="s">
        <v>246</v>
      </c>
      <c r="G895" s="69" t="s">
        <v>565</v>
      </c>
      <c r="H895" s="69">
        <v>0</v>
      </c>
      <c r="I895" s="69" t="s">
        <v>247</v>
      </c>
      <c r="J895" s="69">
        <v>42</v>
      </c>
    </row>
    <row r="896" spans="1:10" x14ac:dyDescent="0.2">
      <c r="A896" s="69">
        <v>20000000048</v>
      </c>
      <c r="B896" s="69" t="s">
        <v>220</v>
      </c>
      <c r="C896" s="100" t="e">
        <v>#N/A</v>
      </c>
      <c r="D896" s="69" t="e">
        <v>#N/A</v>
      </c>
      <c r="E896" s="69" t="e">
        <v>#N/A</v>
      </c>
      <c r="F896" s="69" t="s">
        <v>246</v>
      </c>
      <c r="G896" s="69" t="s">
        <v>564</v>
      </c>
      <c r="H896" s="69">
        <v>0</v>
      </c>
      <c r="I896" s="69" t="s">
        <v>247</v>
      </c>
      <c r="J896" s="69">
        <v>42</v>
      </c>
    </row>
    <row r="897" spans="1:10" x14ac:dyDescent="0.2">
      <c r="A897" s="69">
        <v>20000000049</v>
      </c>
      <c r="B897" s="69" t="s">
        <v>221</v>
      </c>
      <c r="C897" s="100" t="e">
        <v>#N/A</v>
      </c>
      <c r="D897" s="69" t="e">
        <v>#N/A</v>
      </c>
      <c r="E897" s="69" t="e">
        <v>#N/A</v>
      </c>
      <c r="F897" s="69" t="s">
        <v>246</v>
      </c>
      <c r="G897" s="69" t="s">
        <v>563</v>
      </c>
      <c r="H897" s="69">
        <v>0</v>
      </c>
      <c r="I897" s="69" t="s">
        <v>257</v>
      </c>
      <c r="J897" s="69">
        <v>42</v>
      </c>
    </row>
    <row r="898" spans="1:10" x14ac:dyDescent="0.2">
      <c r="A898" s="69">
        <v>20000000050</v>
      </c>
      <c r="B898" s="69" t="s">
        <v>221</v>
      </c>
      <c r="C898" s="100" t="e">
        <v>#N/A</v>
      </c>
      <c r="D898" s="69" t="e">
        <v>#N/A</v>
      </c>
      <c r="E898" s="69" t="e">
        <v>#N/A</v>
      </c>
      <c r="F898" s="69" t="s">
        <v>246</v>
      </c>
      <c r="G898" s="69" t="s">
        <v>562</v>
      </c>
      <c r="H898" s="69">
        <v>0</v>
      </c>
      <c r="I898" s="69" t="s">
        <v>257</v>
      </c>
      <c r="J898" s="69">
        <v>42</v>
      </c>
    </row>
    <row r="899" spans="1:10" x14ac:dyDescent="0.2">
      <c r="A899" s="69">
        <v>20000000051</v>
      </c>
      <c r="B899" s="69" t="s">
        <v>221</v>
      </c>
      <c r="C899" s="100" t="e">
        <v>#N/A</v>
      </c>
      <c r="D899" s="69" t="e">
        <v>#N/A</v>
      </c>
      <c r="E899" s="69" t="e">
        <v>#N/A</v>
      </c>
      <c r="F899" s="69" t="s">
        <v>246</v>
      </c>
      <c r="G899" s="69" t="s">
        <v>561</v>
      </c>
      <c r="H899" s="69">
        <v>0</v>
      </c>
      <c r="I899" s="69" t="s">
        <v>257</v>
      </c>
      <c r="J899" s="69">
        <v>42</v>
      </c>
    </row>
    <row r="900" spans="1:10" x14ac:dyDescent="0.2">
      <c r="A900" s="69">
        <v>20000000053</v>
      </c>
      <c r="B900" s="69" t="s">
        <v>221</v>
      </c>
      <c r="C900" s="100" t="e">
        <v>#N/A</v>
      </c>
      <c r="D900" s="69" t="s">
        <v>1238</v>
      </c>
      <c r="E900" s="69" t="s">
        <v>1238</v>
      </c>
      <c r="F900" s="69" t="s">
        <v>246</v>
      </c>
      <c r="G900" s="69" t="s">
        <v>560</v>
      </c>
      <c r="H900" s="69">
        <v>0</v>
      </c>
      <c r="I900" s="69" t="s">
        <v>257</v>
      </c>
      <c r="J900" s="69">
        <v>42</v>
      </c>
    </row>
    <row r="901" spans="1:10" x14ac:dyDescent="0.2">
      <c r="A901" s="69">
        <v>20000000054</v>
      </c>
      <c r="B901" s="69" t="s">
        <v>221</v>
      </c>
      <c r="C901" s="100" t="e">
        <v>#N/A</v>
      </c>
      <c r="D901" s="69" t="s">
        <v>1238</v>
      </c>
      <c r="E901" s="69" t="s">
        <v>1239</v>
      </c>
      <c r="F901" s="69" t="s">
        <v>246</v>
      </c>
      <c r="G901" s="69" t="s">
        <v>559</v>
      </c>
      <c r="H901" s="69">
        <v>0</v>
      </c>
      <c r="I901" s="69" t="s">
        <v>257</v>
      </c>
      <c r="J901" s="69">
        <v>42</v>
      </c>
    </row>
    <row r="902" spans="1:10" ht="11.25" customHeight="1" x14ac:dyDescent="0.2">
      <c r="A902" s="69">
        <v>20000000055</v>
      </c>
      <c r="B902" s="69" t="s">
        <v>221</v>
      </c>
      <c r="C902" s="100" t="e">
        <v>#N/A</v>
      </c>
      <c r="D902" s="69" t="s">
        <v>1238</v>
      </c>
      <c r="E902" s="69" t="s">
        <v>1239</v>
      </c>
      <c r="F902" s="69" t="s">
        <v>246</v>
      </c>
      <c r="G902" s="69" t="s">
        <v>558</v>
      </c>
      <c r="H902" s="69">
        <v>0</v>
      </c>
      <c r="I902" s="69" t="s">
        <v>257</v>
      </c>
      <c r="J902" s="69">
        <v>42</v>
      </c>
    </row>
    <row r="903" spans="1:10" x14ac:dyDescent="0.2">
      <c r="A903" s="69">
        <v>20000000057</v>
      </c>
      <c r="C903" s="100">
        <v>19</v>
      </c>
      <c r="G903" s="69" t="s">
        <v>320</v>
      </c>
      <c r="J903" s="69">
        <v>19</v>
      </c>
    </row>
    <row r="904" spans="1:10" x14ac:dyDescent="0.2">
      <c r="A904" s="69">
        <v>20000000062</v>
      </c>
      <c r="C904" s="100">
        <v>19</v>
      </c>
      <c r="G904" s="69" t="s">
        <v>319</v>
      </c>
      <c r="J904" s="69">
        <v>19</v>
      </c>
    </row>
    <row r="905" spans="1:10" x14ac:dyDescent="0.2">
      <c r="A905" s="69">
        <v>20000000063</v>
      </c>
      <c r="B905" s="69" t="s">
        <v>221</v>
      </c>
      <c r="C905" s="100" t="e">
        <v>#N/A</v>
      </c>
      <c r="D905" s="69" t="e">
        <v>#N/A</v>
      </c>
      <c r="E905" s="69" t="e">
        <v>#N/A</v>
      </c>
      <c r="F905" s="69" t="s">
        <v>246</v>
      </c>
      <c r="G905" s="69" t="s">
        <v>556</v>
      </c>
      <c r="H905" s="69">
        <v>0</v>
      </c>
      <c r="I905" s="69" t="s">
        <v>257</v>
      </c>
      <c r="J905" s="69">
        <v>42</v>
      </c>
    </row>
    <row r="906" spans="1:10" x14ac:dyDescent="0.2">
      <c r="A906" s="69">
        <v>20000000064</v>
      </c>
      <c r="B906" s="69" t="s">
        <v>221</v>
      </c>
      <c r="C906" s="100" t="e">
        <v>#N/A</v>
      </c>
      <c r="D906" s="69" t="e">
        <v>#N/A</v>
      </c>
      <c r="E906" s="69" t="e">
        <v>#N/A</v>
      </c>
      <c r="F906" s="69" t="s">
        <v>246</v>
      </c>
      <c r="G906" s="69" t="s">
        <v>555</v>
      </c>
      <c r="H906" s="69">
        <v>0</v>
      </c>
      <c r="I906" s="69" t="s">
        <v>257</v>
      </c>
      <c r="J906" s="69">
        <v>42</v>
      </c>
    </row>
    <row r="907" spans="1:10" x14ac:dyDescent="0.2">
      <c r="A907" s="69">
        <v>20000000066</v>
      </c>
      <c r="B907" s="69" t="s">
        <v>221</v>
      </c>
      <c r="C907" s="100" t="e">
        <v>#N/A</v>
      </c>
      <c r="D907" s="69" t="e">
        <v>#N/A</v>
      </c>
      <c r="E907" s="69" t="e">
        <v>#N/A</v>
      </c>
      <c r="F907" s="69" t="s">
        <v>246</v>
      </c>
      <c r="G907" s="69" t="s">
        <v>554</v>
      </c>
      <c r="H907" s="69">
        <v>0</v>
      </c>
      <c r="I907" s="69" t="s">
        <v>257</v>
      </c>
      <c r="J907" s="69">
        <v>42</v>
      </c>
    </row>
    <row r="908" spans="1:10" x14ac:dyDescent="0.2">
      <c r="A908" s="69">
        <v>20000000067</v>
      </c>
      <c r="B908" s="69" t="s">
        <v>221</v>
      </c>
      <c r="C908" s="100" t="e">
        <v>#N/A</v>
      </c>
      <c r="D908" s="69" t="s">
        <v>1238</v>
      </c>
      <c r="E908" s="69" t="s">
        <v>1238</v>
      </c>
      <c r="F908" s="69" t="s">
        <v>246</v>
      </c>
      <c r="G908" s="69" t="s">
        <v>553</v>
      </c>
      <c r="H908" s="69">
        <v>0</v>
      </c>
      <c r="I908" s="69" t="s">
        <v>257</v>
      </c>
      <c r="J908" s="69">
        <v>42</v>
      </c>
    </row>
    <row r="909" spans="1:10" x14ac:dyDescent="0.2">
      <c r="A909" s="69">
        <v>20000000068</v>
      </c>
      <c r="B909" s="69" t="s">
        <v>221</v>
      </c>
      <c r="C909" s="100" t="e">
        <v>#N/A</v>
      </c>
      <c r="D909" s="69" t="s">
        <v>1238</v>
      </c>
      <c r="E909" s="69" t="s">
        <v>1238</v>
      </c>
      <c r="F909" s="69" t="s">
        <v>246</v>
      </c>
      <c r="G909" s="69" t="s">
        <v>552</v>
      </c>
      <c r="H909" s="69">
        <v>0</v>
      </c>
      <c r="I909" s="69" t="s">
        <v>257</v>
      </c>
      <c r="J909" s="69">
        <v>42</v>
      </c>
    </row>
    <row r="910" spans="1:10" x14ac:dyDescent="0.2">
      <c r="A910" s="69">
        <v>20000000069</v>
      </c>
      <c r="B910" s="69" t="s">
        <v>221</v>
      </c>
      <c r="C910" s="100" t="e">
        <v>#N/A</v>
      </c>
      <c r="D910" s="69" t="e">
        <v>#N/A</v>
      </c>
      <c r="E910" s="69" t="e">
        <v>#N/A</v>
      </c>
      <c r="F910" s="69" t="s">
        <v>246</v>
      </c>
      <c r="G910" s="69" t="s">
        <v>551</v>
      </c>
      <c r="H910" s="69">
        <v>0</v>
      </c>
      <c r="I910" s="69" t="s">
        <v>257</v>
      </c>
      <c r="J910" s="69">
        <v>42</v>
      </c>
    </row>
    <row r="911" spans="1:10" x14ac:dyDescent="0.2">
      <c r="A911" s="69">
        <v>20000000070</v>
      </c>
      <c r="B911" s="69" t="s">
        <v>221</v>
      </c>
      <c r="C911" s="100" t="e">
        <v>#N/A</v>
      </c>
      <c r="D911" s="69" t="e">
        <v>#N/A</v>
      </c>
      <c r="E911" s="69" t="e">
        <v>#N/A</v>
      </c>
      <c r="F911" s="69" t="s">
        <v>246</v>
      </c>
      <c r="G911" s="69" t="s">
        <v>550</v>
      </c>
      <c r="H911" s="69">
        <v>0</v>
      </c>
      <c r="I911" s="69" t="s">
        <v>257</v>
      </c>
      <c r="J911" s="69">
        <v>42</v>
      </c>
    </row>
    <row r="912" spans="1:10" x14ac:dyDescent="0.2">
      <c r="A912" s="69">
        <v>20000000071</v>
      </c>
      <c r="B912" s="69" t="s">
        <v>221</v>
      </c>
      <c r="C912" s="100" t="e">
        <v>#N/A</v>
      </c>
      <c r="D912" s="69" t="e">
        <v>#N/A</v>
      </c>
      <c r="E912" s="69" t="e">
        <v>#N/A</v>
      </c>
      <c r="F912" s="69" t="s">
        <v>246</v>
      </c>
      <c r="G912" s="69" t="s">
        <v>549</v>
      </c>
      <c r="H912" s="69">
        <v>0</v>
      </c>
      <c r="I912" s="69" t="s">
        <v>257</v>
      </c>
      <c r="J912" s="69">
        <v>42</v>
      </c>
    </row>
    <row r="913" spans="1:10" x14ac:dyDescent="0.2">
      <c r="A913" s="69">
        <v>20000000073</v>
      </c>
      <c r="B913" s="69" t="s">
        <v>221</v>
      </c>
      <c r="C913" s="100" t="e">
        <v>#N/A</v>
      </c>
      <c r="D913" s="69" t="e">
        <v>#N/A</v>
      </c>
      <c r="E913" s="69" t="e">
        <v>#N/A</v>
      </c>
      <c r="F913" s="69" t="s">
        <v>246</v>
      </c>
      <c r="G913" s="69" t="s">
        <v>548</v>
      </c>
      <c r="H913" s="69">
        <v>0</v>
      </c>
      <c r="I913" s="69" t="s">
        <v>257</v>
      </c>
      <c r="J913" s="69">
        <v>42</v>
      </c>
    </row>
    <row r="914" spans="1:10" x14ac:dyDescent="0.2">
      <c r="A914" s="69">
        <v>20000000074</v>
      </c>
      <c r="B914" s="69" t="s">
        <v>221</v>
      </c>
      <c r="C914" s="100" t="e">
        <v>#N/A</v>
      </c>
      <c r="D914" s="69" t="e">
        <v>#N/A</v>
      </c>
      <c r="E914" s="69" t="e">
        <v>#N/A</v>
      </c>
      <c r="F914" s="69" t="s">
        <v>246</v>
      </c>
      <c r="G914" s="69" t="s">
        <v>547</v>
      </c>
      <c r="H914" s="69">
        <v>0</v>
      </c>
      <c r="I914" s="69" t="s">
        <v>257</v>
      </c>
      <c r="J914" s="69">
        <v>42</v>
      </c>
    </row>
    <row r="915" spans="1:10" x14ac:dyDescent="0.2">
      <c r="A915" s="69">
        <v>20000000075</v>
      </c>
      <c r="B915" s="69" t="s">
        <v>221</v>
      </c>
      <c r="C915" s="100" t="e">
        <v>#N/A</v>
      </c>
      <c r="D915" s="69" t="s">
        <v>1240</v>
      </c>
      <c r="E915" s="69" t="s">
        <v>1241</v>
      </c>
      <c r="F915" s="69" t="s">
        <v>246</v>
      </c>
      <c r="G915" s="69" t="s">
        <v>546</v>
      </c>
      <c r="H915" s="69">
        <v>0</v>
      </c>
      <c r="I915" s="69" t="s">
        <v>257</v>
      </c>
      <c r="J915" s="69">
        <v>42</v>
      </c>
    </row>
    <row r="916" spans="1:10" x14ac:dyDescent="0.2">
      <c r="A916" s="69">
        <v>20000000076</v>
      </c>
      <c r="B916" s="69" t="s">
        <v>221</v>
      </c>
      <c r="C916" s="100" t="e">
        <v>#N/A</v>
      </c>
      <c r="D916" s="69" t="e">
        <v>#N/A</v>
      </c>
      <c r="E916" s="69" t="e">
        <v>#N/A</v>
      </c>
      <c r="F916" s="69" t="s">
        <v>246</v>
      </c>
      <c r="G916" s="69" t="s">
        <v>545</v>
      </c>
      <c r="H916" s="69">
        <v>0</v>
      </c>
      <c r="I916" s="69" t="s">
        <v>257</v>
      </c>
      <c r="J916" s="69">
        <v>42</v>
      </c>
    </row>
    <row r="917" spans="1:10" x14ac:dyDescent="0.2">
      <c r="A917" s="69">
        <v>20000000091</v>
      </c>
      <c r="B917" s="69" t="s">
        <v>220</v>
      </c>
      <c r="C917" s="100" t="e">
        <v>#N/A</v>
      </c>
      <c r="D917" s="69" t="s">
        <v>1240</v>
      </c>
      <c r="E917" s="69" t="s">
        <v>1242</v>
      </c>
      <c r="F917" s="69" t="s">
        <v>246</v>
      </c>
      <c r="G917" s="69" t="s">
        <v>543</v>
      </c>
      <c r="H917" s="69">
        <v>0</v>
      </c>
      <c r="I917" s="69" t="s">
        <v>247</v>
      </c>
      <c r="J917" s="69">
        <v>42</v>
      </c>
    </row>
    <row r="918" spans="1:10" x14ac:dyDescent="0.2">
      <c r="A918" s="69">
        <v>20000000092</v>
      </c>
      <c r="B918" s="69" t="s">
        <v>220</v>
      </c>
      <c r="C918" s="100" t="e">
        <v>#N/A</v>
      </c>
      <c r="D918" s="69" t="e">
        <v>#N/A</v>
      </c>
      <c r="E918" s="69" t="e">
        <v>#N/A</v>
      </c>
      <c r="F918" s="69" t="s">
        <v>246</v>
      </c>
      <c r="G918" s="69" t="s">
        <v>542</v>
      </c>
      <c r="H918" s="69">
        <v>0</v>
      </c>
      <c r="I918" s="69" t="s">
        <v>247</v>
      </c>
      <c r="J918" s="69">
        <v>42</v>
      </c>
    </row>
    <row r="919" spans="1:10" x14ac:dyDescent="0.2">
      <c r="A919" s="69">
        <v>20000000093</v>
      </c>
      <c r="B919" s="69" t="s">
        <v>221</v>
      </c>
      <c r="C919" s="100" t="e">
        <v>#N/A</v>
      </c>
      <c r="D919" s="69" t="s">
        <v>1240</v>
      </c>
      <c r="E919" s="69" t="s">
        <v>1242</v>
      </c>
      <c r="F919" s="69" t="s">
        <v>246</v>
      </c>
      <c r="G919" s="69" t="s">
        <v>541</v>
      </c>
      <c r="H919" s="69">
        <v>0</v>
      </c>
      <c r="I919" s="69" t="s">
        <v>257</v>
      </c>
      <c r="J919" s="69">
        <v>42</v>
      </c>
    </row>
    <row r="920" spans="1:10" x14ac:dyDescent="0.2">
      <c r="A920" s="69">
        <v>20000000094</v>
      </c>
      <c r="B920" s="69" t="s">
        <v>221</v>
      </c>
      <c r="C920" s="100" t="e">
        <v>#N/A</v>
      </c>
      <c r="D920" s="69" t="e">
        <v>#N/A</v>
      </c>
      <c r="E920" s="69" t="e">
        <v>#N/A</v>
      </c>
      <c r="F920" s="69" t="s">
        <v>246</v>
      </c>
      <c r="G920" s="69" t="s">
        <v>540</v>
      </c>
      <c r="H920" s="69">
        <v>0</v>
      </c>
      <c r="I920" s="69" t="s">
        <v>257</v>
      </c>
      <c r="J920" s="69">
        <v>42</v>
      </c>
    </row>
    <row r="921" spans="1:10" x14ac:dyDescent="0.2">
      <c r="A921" s="69">
        <v>20000000095</v>
      </c>
      <c r="B921" s="69" t="s">
        <v>221</v>
      </c>
      <c r="C921" s="100" t="e">
        <v>#N/A</v>
      </c>
      <c r="D921" s="69" t="e">
        <v>#N/A</v>
      </c>
      <c r="E921" s="69" t="e">
        <v>#N/A</v>
      </c>
      <c r="F921" s="69" t="s">
        <v>246</v>
      </c>
      <c r="G921" s="69" t="s">
        <v>539</v>
      </c>
      <c r="H921" s="69">
        <v>0</v>
      </c>
      <c r="I921" s="69" t="s">
        <v>257</v>
      </c>
      <c r="J921" s="69">
        <v>42</v>
      </c>
    </row>
    <row r="922" spans="1:10" x14ac:dyDescent="0.2">
      <c r="A922" s="69">
        <v>20000000096</v>
      </c>
      <c r="B922" s="69" t="s">
        <v>221</v>
      </c>
      <c r="C922" s="100" t="e">
        <v>#N/A</v>
      </c>
      <c r="D922" s="69" t="s">
        <v>1240</v>
      </c>
      <c r="E922" s="69" t="s">
        <v>1242</v>
      </c>
      <c r="F922" s="69" t="s">
        <v>246</v>
      </c>
      <c r="G922" s="69" t="s">
        <v>538</v>
      </c>
      <c r="H922" s="69">
        <v>0</v>
      </c>
      <c r="I922" s="69" t="s">
        <v>257</v>
      </c>
      <c r="J922" s="69">
        <v>42</v>
      </c>
    </row>
    <row r="923" spans="1:10" x14ac:dyDescent="0.2">
      <c r="A923" s="69">
        <v>20000000097</v>
      </c>
      <c r="B923" s="69" t="s">
        <v>221</v>
      </c>
      <c r="C923" s="100" t="e">
        <v>#N/A</v>
      </c>
      <c r="D923" s="69" t="e">
        <v>#N/A</v>
      </c>
      <c r="E923" s="69" t="e">
        <v>#N/A</v>
      </c>
      <c r="F923" s="69" t="s">
        <v>246</v>
      </c>
      <c r="G923" s="69" t="s">
        <v>537</v>
      </c>
      <c r="H923" s="69">
        <v>0</v>
      </c>
      <c r="I923" s="69" t="s">
        <v>257</v>
      </c>
      <c r="J923" s="69">
        <v>42</v>
      </c>
    </row>
    <row r="924" spans="1:10" x14ac:dyDescent="0.2">
      <c r="A924" s="69">
        <v>20000000098</v>
      </c>
      <c r="B924" s="69" t="s">
        <v>262</v>
      </c>
      <c r="C924" s="100" t="e">
        <v>#N/A</v>
      </c>
      <c r="D924" s="69" t="e">
        <v>#N/A</v>
      </c>
      <c r="E924" s="69" t="e">
        <v>#N/A</v>
      </c>
      <c r="F924" s="69" t="s">
        <v>246</v>
      </c>
      <c r="G924" s="69" t="s">
        <v>536</v>
      </c>
      <c r="H924" s="69">
        <v>0</v>
      </c>
      <c r="I924" s="69" t="s">
        <v>261</v>
      </c>
      <c r="J924" s="69">
        <v>42</v>
      </c>
    </row>
    <row r="925" spans="1:10" x14ac:dyDescent="0.2">
      <c r="A925" s="69">
        <v>20000000110</v>
      </c>
      <c r="B925" s="69" t="s">
        <v>221</v>
      </c>
      <c r="C925" s="100" t="e">
        <v>#N/A</v>
      </c>
      <c r="D925" s="69" t="e">
        <v>#N/A</v>
      </c>
      <c r="E925" s="69" t="e">
        <v>#N/A</v>
      </c>
      <c r="F925" s="69" t="s">
        <v>246</v>
      </c>
      <c r="G925" s="69" t="s">
        <v>535</v>
      </c>
      <c r="H925" s="69">
        <v>0</v>
      </c>
      <c r="I925" s="69" t="s">
        <v>257</v>
      </c>
      <c r="J925" s="69">
        <v>42</v>
      </c>
    </row>
    <row r="926" spans="1:10" x14ac:dyDescent="0.2">
      <c r="A926" s="69">
        <v>20000000111</v>
      </c>
      <c r="B926" s="69" t="s">
        <v>221</v>
      </c>
      <c r="C926" s="100" t="e">
        <v>#N/A</v>
      </c>
      <c r="D926" s="69" t="e">
        <v>#N/A</v>
      </c>
      <c r="E926" s="69" t="e">
        <v>#N/A</v>
      </c>
      <c r="F926" s="69" t="s">
        <v>246</v>
      </c>
      <c r="G926" s="69" t="s">
        <v>534</v>
      </c>
      <c r="H926" s="69">
        <v>0</v>
      </c>
      <c r="I926" s="69" t="s">
        <v>257</v>
      </c>
      <c r="J926" s="69">
        <v>42</v>
      </c>
    </row>
    <row r="927" spans="1:10" x14ac:dyDescent="0.2">
      <c r="A927" s="69">
        <v>20000000112</v>
      </c>
      <c r="C927" s="100">
        <v>28</v>
      </c>
      <c r="G927" s="69" t="s">
        <v>168</v>
      </c>
      <c r="H927" s="69">
        <v>0</v>
      </c>
      <c r="J927" s="69">
        <v>42</v>
      </c>
    </row>
    <row r="928" spans="1:10" x14ac:dyDescent="0.2">
      <c r="A928" s="69">
        <v>20000000135</v>
      </c>
      <c r="C928" s="100">
        <v>23</v>
      </c>
      <c r="G928" s="69" t="s">
        <v>1620</v>
      </c>
      <c r="J928" s="69">
        <v>23</v>
      </c>
    </row>
    <row r="929" spans="1:10" x14ac:dyDescent="0.2">
      <c r="A929" s="69">
        <v>20000000138</v>
      </c>
      <c r="C929" s="100">
        <v>23</v>
      </c>
      <c r="G929" s="69" t="s">
        <v>283</v>
      </c>
      <c r="H929" s="69">
        <v>0</v>
      </c>
      <c r="J929" s="69">
        <v>42</v>
      </c>
    </row>
    <row r="930" spans="1:10" x14ac:dyDescent="0.2">
      <c r="A930" s="69">
        <v>20000000139</v>
      </c>
      <c r="B930" s="69" t="s">
        <v>221</v>
      </c>
      <c r="C930" s="100" t="e">
        <v>#N/A</v>
      </c>
      <c r="D930" s="69" t="e">
        <v>#N/A</v>
      </c>
      <c r="E930" s="69" t="e">
        <v>#N/A</v>
      </c>
      <c r="F930" s="69" t="s">
        <v>246</v>
      </c>
      <c r="G930" s="69" t="s">
        <v>533</v>
      </c>
      <c r="H930" s="69">
        <v>0</v>
      </c>
      <c r="I930" s="69" t="s">
        <v>257</v>
      </c>
      <c r="J930" s="69">
        <v>42</v>
      </c>
    </row>
    <row r="931" spans="1:10" x14ac:dyDescent="0.2">
      <c r="A931" s="69">
        <v>20000000140</v>
      </c>
      <c r="B931" s="69" t="s">
        <v>221</v>
      </c>
      <c r="C931" s="100" t="e">
        <v>#N/A</v>
      </c>
      <c r="D931" s="69" t="e">
        <v>#N/A</v>
      </c>
      <c r="E931" s="69" t="e">
        <v>#N/A</v>
      </c>
      <c r="F931" s="69" t="s">
        <v>246</v>
      </c>
      <c r="G931" s="69" t="s">
        <v>532</v>
      </c>
      <c r="H931" s="69">
        <v>0</v>
      </c>
      <c r="I931" s="69" t="s">
        <v>257</v>
      </c>
      <c r="J931" s="69">
        <v>42</v>
      </c>
    </row>
    <row r="932" spans="1:10" x14ac:dyDescent="0.2">
      <c r="A932" s="69">
        <v>20000000141</v>
      </c>
      <c r="B932" s="69" t="s">
        <v>221</v>
      </c>
      <c r="C932" s="100" t="e">
        <v>#N/A</v>
      </c>
      <c r="D932" s="69" t="e">
        <v>#N/A</v>
      </c>
      <c r="E932" s="69" t="e">
        <v>#N/A</v>
      </c>
      <c r="F932" s="69" t="s">
        <v>246</v>
      </c>
      <c r="G932" s="69" t="s">
        <v>531</v>
      </c>
      <c r="H932" s="69">
        <v>0</v>
      </c>
      <c r="I932" s="69" t="s">
        <v>257</v>
      </c>
      <c r="J932" s="69">
        <v>42</v>
      </c>
    </row>
    <row r="933" spans="1:10" x14ac:dyDescent="0.2">
      <c r="A933" s="69">
        <v>20000000165</v>
      </c>
      <c r="B933" s="69" t="s">
        <v>221</v>
      </c>
      <c r="C933" s="100" t="e">
        <v>#N/A</v>
      </c>
      <c r="D933" s="69" t="e">
        <v>#N/A</v>
      </c>
      <c r="E933" s="69" t="e">
        <v>#N/A</v>
      </c>
      <c r="F933" s="69" t="s">
        <v>263</v>
      </c>
      <c r="G933" s="69" t="s">
        <v>524</v>
      </c>
      <c r="H933" s="69">
        <v>0</v>
      </c>
      <c r="I933" s="69" t="s">
        <v>257</v>
      </c>
      <c r="J933" s="69">
        <v>42</v>
      </c>
    </row>
    <row r="934" spans="1:10" x14ac:dyDescent="0.2">
      <c r="A934" s="69">
        <v>20000000167</v>
      </c>
      <c r="B934" s="69" t="s">
        <v>220</v>
      </c>
      <c r="C934" s="100" t="e">
        <v>#N/A</v>
      </c>
      <c r="D934" s="69" t="e">
        <v>#N/A</v>
      </c>
      <c r="E934" s="69" t="e">
        <v>#N/A</v>
      </c>
      <c r="F934" s="69" t="s">
        <v>275</v>
      </c>
      <c r="G934" s="69" t="s">
        <v>523</v>
      </c>
      <c r="H934" s="69">
        <v>0</v>
      </c>
      <c r="I934" s="69" t="s">
        <v>247</v>
      </c>
      <c r="J934" s="69">
        <v>42</v>
      </c>
    </row>
    <row r="935" spans="1:10" x14ac:dyDescent="0.2">
      <c r="A935" s="69">
        <v>20000000182</v>
      </c>
      <c r="B935" s="69" t="s">
        <v>262</v>
      </c>
      <c r="C935" s="100" t="e">
        <v>#N/A</v>
      </c>
      <c r="D935" s="69" t="e">
        <v>#N/A</v>
      </c>
      <c r="E935" s="69" t="e">
        <v>#N/A</v>
      </c>
      <c r="F935" s="69" t="s">
        <v>272</v>
      </c>
      <c r="G935" s="69" t="s">
        <v>522</v>
      </c>
      <c r="H935" s="69">
        <v>0</v>
      </c>
      <c r="I935" s="69" t="s">
        <v>261</v>
      </c>
      <c r="J935" s="69">
        <v>42</v>
      </c>
    </row>
    <row r="936" spans="1:10" x14ac:dyDescent="0.2">
      <c r="A936" s="69">
        <v>20000000183</v>
      </c>
      <c r="C936" s="100">
        <v>23</v>
      </c>
      <c r="G936" s="69" t="s">
        <v>271</v>
      </c>
      <c r="J936" s="69">
        <v>23</v>
      </c>
    </row>
    <row r="937" spans="1:10" x14ac:dyDescent="0.2">
      <c r="A937" s="69">
        <v>20000000187</v>
      </c>
      <c r="C937" s="100">
        <v>23</v>
      </c>
      <c r="G937" s="69" t="s">
        <v>270</v>
      </c>
      <c r="J937" s="69">
        <v>23</v>
      </c>
    </row>
    <row r="938" spans="1:10" x14ac:dyDescent="0.2">
      <c r="A938" s="69">
        <v>20000000198</v>
      </c>
      <c r="C938" s="100">
        <v>23</v>
      </c>
      <c r="G938" s="69" t="s">
        <v>268</v>
      </c>
      <c r="J938" s="69">
        <v>23</v>
      </c>
    </row>
    <row r="939" spans="1:10" x14ac:dyDescent="0.2">
      <c r="A939" s="69">
        <v>20000000203</v>
      </c>
      <c r="C939" s="100">
        <v>23</v>
      </c>
      <c r="G939" s="69" t="s">
        <v>266</v>
      </c>
      <c r="J939" s="69">
        <v>23</v>
      </c>
    </row>
    <row r="940" spans="1:10" x14ac:dyDescent="0.2">
      <c r="A940" s="69">
        <v>20000000205</v>
      </c>
      <c r="C940" s="100">
        <v>23</v>
      </c>
      <c r="G940" s="69" t="s">
        <v>264</v>
      </c>
      <c r="J940" s="69">
        <v>23</v>
      </c>
    </row>
    <row r="941" spans="1:10" x14ac:dyDescent="0.2">
      <c r="A941" s="69">
        <v>20000000207</v>
      </c>
      <c r="B941" s="69" t="s">
        <v>220</v>
      </c>
      <c r="C941" s="100" t="e">
        <v>#N/A</v>
      </c>
      <c r="D941" s="69" t="e">
        <v>#N/A</v>
      </c>
      <c r="E941" s="69" t="e">
        <v>#N/A</v>
      </c>
      <c r="F941" s="69" t="s">
        <v>275</v>
      </c>
      <c r="G941" s="69" t="s">
        <v>516</v>
      </c>
      <c r="H941" s="69">
        <v>0</v>
      </c>
      <c r="I941" s="69" t="s">
        <v>247</v>
      </c>
      <c r="J941" s="69">
        <v>42</v>
      </c>
    </row>
    <row r="942" spans="1:10" x14ac:dyDescent="0.2">
      <c r="A942" s="69">
        <v>20000000208</v>
      </c>
      <c r="B942" s="69" t="s">
        <v>254</v>
      </c>
      <c r="C942" s="100" t="e">
        <v>#N/A</v>
      </c>
      <c r="D942" s="69" t="s">
        <v>1263</v>
      </c>
      <c r="E942" s="69" t="s">
        <v>1242</v>
      </c>
      <c r="F942" s="69" t="s">
        <v>303</v>
      </c>
      <c r="G942" s="69" t="s">
        <v>515</v>
      </c>
      <c r="H942" s="69">
        <v>45</v>
      </c>
      <c r="I942" s="69" t="s">
        <v>253</v>
      </c>
      <c r="J942" s="69">
        <v>42</v>
      </c>
    </row>
    <row r="943" spans="1:10" x14ac:dyDescent="0.2">
      <c r="A943" s="69">
        <v>20000000213</v>
      </c>
      <c r="C943" s="100">
        <v>23</v>
      </c>
      <c r="G943" s="69" t="s">
        <v>259</v>
      </c>
      <c r="J943" s="69">
        <v>23</v>
      </c>
    </row>
    <row r="944" spans="1:10" x14ac:dyDescent="0.2">
      <c r="A944" s="69">
        <v>20000000215</v>
      </c>
      <c r="C944" s="100">
        <v>23</v>
      </c>
      <c r="G944" s="69" t="s">
        <v>258</v>
      </c>
      <c r="J944" s="69">
        <v>23</v>
      </c>
    </row>
    <row r="945" spans="1:10" x14ac:dyDescent="0.2">
      <c r="A945" s="69">
        <v>20000000218</v>
      </c>
      <c r="C945" s="100">
        <v>23</v>
      </c>
      <c r="G945" s="69" t="s">
        <v>255</v>
      </c>
      <c r="J945" s="69">
        <v>23</v>
      </c>
    </row>
    <row r="946" spans="1:10" x14ac:dyDescent="0.2">
      <c r="A946" s="69">
        <v>20000000226</v>
      </c>
      <c r="B946" s="69" t="s">
        <v>387</v>
      </c>
      <c r="C946" s="100" t="e">
        <v>#N/A</v>
      </c>
      <c r="D946" s="69" t="e">
        <v>#N/A</v>
      </c>
      <c r="E946" s="69" t="e">
        <v>#N/A</v>
      </c>
      <c r="F946" s="69" t="s">
        <v>275</v>
      </c>
      <c r="G946" s="69" t="s">
        <v>510</v>
      </c>
      <c r="H946" s="69">
        <v>0</v>
      </c>
      <c r="I946" s="69" t="s">
        <v>385</v>
      </c>
      <c r="J946" s="69">
        <v>24</v>
      </c>
    </row>
    <row r="947" spans="1:10" x14ac:dyDescent="0.2">
      <c r="A947" s="69">
        <v>20000000227</v>
      </c>
      <c r="B947" s="69" t="s">
        <v>387</v>
      </c>
      <c r="C947" s="100" t="e">
        <v>#N/A</v>
      </c>
      <c r="D947" s="69" t="e">
        <v>#N/A</v>
      </c>
      <c r="E947" s="69" t="e">
        <v>#N/A</v>
      </c>
      <c r="F947" s="69" t="s">
        <v>303</v>
      </c>
      <c r="G947" s="69" t="s">
        <v>509</v>
      </c>
      <c r="H947" s="69">
        <v>0</v>
      </c>
      <c r="I947" s="69" t="s">
        <v>385</v>
      </c>
      <c r="J947" s="69">
        <v>24</v>
      </c>
    </row>
    <row r="948" spans="1:10" x14ac:dyDescent="0.2">
      <c r="A948" s="69">
        <v>20000000228</v>
      </c>
      <c r="C948" s="100">
        <v>28</v>
      </c>
      <c r="G948" s="69" t="s">
        <v>1408</v>
      </c>
      <c r="H948" s="69">
        <v>0</v>
      </c>
      <c r="J948" s="69">
        <v>24</v>
      </c>
    </row>
    <row r="949" spans="1:10" x14ac:dyDescent="0.2">
      <c r="A949" s="69">
        <v>20000000229</v>
      </c>
      <c r="B949" s="69" t="s">
        <v>387</v>
      </c>
      <c r="C949" s="100" t="e">
        <v>#N/A</v>
      </c>
      <c r="D949" s="69" t="e">
        <v>#N/A</v>
      </c>
      <c r="E949" s="69" t="e">
        <v>#N/A</v>
      </c>
      <c r="F949" s="69" t="s">
        <v>303</v>
      </c>
      <c r="G949" s="69" t="s">
        <v>508</v>
      </c>
      <c r="H949" s="69">
        <v>0</v>
      </c>
      <c r="I949" s="69" t="s">
        <v>385</v>
      </c>
      <c r="J949" s="69">
        <v>24</v>
      </c>
    </row>
    <row r="950" spans="1:10" x14ac:dyDescent="0.2">
      <c r="A950" s="69">
        <v>20000000230</v>
      </c>
      <c r="B950" s="69" t="s">
        <v>387</v>
      </c>
      <c r="C950" s="100" t="e">
        <v>#N/A</v>
      </c>
      <c r="D950" s="69" t="e">
        <v>#N/A</v>
      </c>
      <c r="E950" s="69" t="e">
        <v>#N/A</v>
      </c>
      <c r="F950" s="69" t="s">
        <v>303</v>
      </c>
      <c r="G950" s="69" t="s">
        <v>507</v>
      </c>
      <c r="H950" s="69">
        <v>0</v>
      </c>
      <c r="I950" s="69" t="s">
        <v>385</v>
      </c>
      <c r="J950" s="69">
        <v>24</v>
      </c>
    </row>
    <row r="951" spans="1:10" x14ac:dyDescent="0.2">
      <c r="A951" s="69">
        <v>20000000232</v>
      </c>
      <c r="B951" s="69" t="s">
        <v>387</v>
      </c>
      <c r="C951" s="100" t="e">
        <v>#N/A</v>
      </c>
      <c r="D951" s="69" t="e">
        <v>#N/A</v>
      </c>
      <c r="E951" s="69" t="e">
        <v>#N/A</v>
      </c>
      <c r="F951" s="69" t="s">
        <v>275</v>
      </c>
      <c r="G951" s="69" t="s">
        <v>505</v>
      </c>
      <c r="H951" s="69">
        <v>0</v>
      </c>
      <c r="I951" s="69" t="s">
        <v>385</v>
      </c>
      <c r="J951" s="69">
        <v>24</v>
      </c>
    </row>
    <row r="952" spans="1:10" x14ac:dyDescent="0.2">
      <c r="A952" s="69">
        <v>20000000237</v>
      </c>
      <c r="B952" s="69" t="s">
        <v>221</v>
      </c>
      <c r="C952" s="100" t="e">
        <v>#N/A</v>
      </c>
      <c r="D952" s="69" t="e">
        <v>#N/A</v>
      </c>
      <c r="E952" s="69" t="e">
        <v>#N/A</v>
      </c>
      <c r="F952" s="69" t="s">
        <v>263</v>
      </c>
      <c r="G952" s="69" t="s">
        <v>503</v>
      </c>
      <c r="H952" s="69">
        <v>0</v>
      </c>
      <c r="I952" s="69" t="s">
        <v>257</v>
      </c>
      <c r="J952" s="69">
        <v>42</v>
      </c>
    </row>
    <row r="953" spans="1:10" x14ac:dyDescent="0.2">
      <c r="A953" s="69">
        <v>20000000246</v>
      </c>
      <c r="C953" s="100">
        <v>23</v>
      </c>
      <c r="G953" s="69" t="s">
        <v>1277</v>
      </c>
      <c r="J953" s="69">
        <v>23</v>
      </c>
    </row>
    <row r="954" spans="1:10" x14ac:dyDescent="0.2">
      <c r="A954" s="69">
        <v>20000000251</v>
      </c>
      <c r="C954" s="100">
        <v>28</v>
      </c>
      <c r="G954" s="69" t="s">
        <v>1409</v>
      </c>
      <c r="J954" s="69">
        <v>28</v>
      </c>
    </row>
    <row r="955" spans="1:10" x14ac:dyDescent="0.2">
      <c r="A955" s="69">
        <v>20000000255</v>
      </c>
      <c r="B955" s="69" t="s">
        <v>221</v>
      </c>
      <c r="C955" s="100" t="e">
        <v>#N/A</v>
      </c>
      <c r="D955" s="69" t="e">
        <v>#N/A</v>
      </c>
      <c r="E955" s="69" t="e">
        <v>#N/A</v>
      </c>
      <c r="F955" s="69" t="s">
        <v>275</v>
      </c>
      <c r="G955" s="69" t="s">
        <v>499</v>
      </c>
      <c r="H955" s="69">
        <v>0</v>
      </c>
      <c r="I955" s="69" t="s">
        <v>257</v>
      </c>
      <c r="J955" s="69">
        <v>42</v>
      </c>
    </row>
    <row r="956" spans="1:10" x14ac:dyDescent="0.2">
      <c r="A956" s="69">
        <v>20000000256</v>
      </c>
      <c r="B956" s="69" t="s">
        <v>221</v>
      </c>
      <c r="C956" s="100" t="e">
        <v>#N/A</v>
      </c>
      <c r="D956" s="69" t="e">
        <v>#N/A</v>
      </c>
      <c r="E956" s="69" t="e">
        <v>#N/A</v>
      </c>
      <c r="F956" s="69" t="s">
        <v>275</v>
      </c>
      <c r="G956" s="69" t="s">
        <v>498</v>
      </c>
      <c r="H956" s="69">
        <v>0</v>
      </c>
      <c r="I956" s="69" t="s">
        <v>257</v>
      </c>
      <c r="J956" s="69">
        <v>42</v>
      </c>
    </row>
    <row r="957" spans="1:10" x14ac:dyDescent="0.2">
      <c r="A957" s="69">
        <v>20000000257</v>
      </c>
      <c r="B957" s="69" t="s">
        <v>221</v>
      </c>
      <c r="C957" s="100" t="e">
        <v>#N/A</v>
      </c>
      <c r="D957" s="69" t="e">
        <v>#N/A</v>
      </c>
      <c r="E957" s="69" t="e">
        <v>#N/A</v>
      </c>
      <c r="F957" s="69" t="s">
        <v>275</v>
      </c>
      <c r="G957" s="69" t="s">
        <v>497</v>
      </c>
      <c r="H957" s="69">
        <v>0</v>
      </c>
      <c r="I957" s="69" t="s">
        <v>257</v>
      </c>
      <c r="J957" s="69">
        <v>42</v>
      </c>
    </row>
    <row r="958" spans="1:10" x14ac:dyDescent="0.2">
      <c r="A958" s="69">
        <v>20000000258</v>
      </c>
      <c r="C958" s="100">
        <v>28</v>
      </c>
      <c r="G958" s="69" t="s">
        <v>1410</v>
      </c>
      <c r="H958" s="69">
        <v>0</v>
      </c>
      <c r="J958" s="69">
        <v>42</v>
      </c>
    </row>
    <row r="959" spans="1:10" x14ac:dyDescent="0.2">
      <c r="A959" s="69">
        <v>20000000259</v>
      </c>
      <c r="B959" s="69" t="s">
        <v>221</v>
      </c>
      <c r="C959" s="100" t="e">
        <v>#N/A</v>
      </c>
      <c r="D959" s="69" t="e">
        <v>#N/A</v>
      </c>
      <c r="E959" s="69" t="e">
        <v>#N/A</v>
      </c>
      <c r="F959" s="69" t="s">
        <v>275</v>
      </c>
      <c r="G959" s="69" t="s">
        <v>496</v>
      </c>
      <c r="H959" s="69">
        <v>0</v>
      </c>
      <c r="I959" s="69" t="s">
        <v>257</v>
      </c>
      <c r="J959" s="69">
        <v>42</v>
      </c>
    </row>
    <row r="960" spans="1:10" x14ac:dyDescent="0.2">
      <c r="A960" s="69">
        <v>20000000260</v>
      </c>
      <c r="B960" s="69" t="s">
        <v>220</v>
      </c>
      <c r="C960" s="100" t="e">
        <v>#N/A</v>
      </c>
      <c r="D960" s="69" t="e">
        <v>#N/A</v>
      </c>
      <c r="E960" s="69" t="e">
        <v>#N/A</v>
      </c>
      <c r="F960" s="69" t="s">
        <v>275</v>
      </c>
      <c r="G960" s="69" t="s">
        <v>495</v>
      </c>
      <c r="H960" s="69">
        <v>0</v>
      </c>
      <c r="I960" s="69" t="s">
        <v>247</v>
      </c>
      <c r="J960" s="69">
        <v>42</v>
      </c>
    </row>
    <row r="961" spans="1:10" x14ac:dyDescent="0.2">
      <c r="A961" s="69">
        <v>20000000262</v>
      </c>
      <c r="B961" s="69" t="s">
        <v>221</v>
      </c>
      <c r="C961" s="100" t="e">
        <v>#N/A</v>
      </c>
      <c r="D961" s="69" t="e">
        <v>#N/A</v>
      </c>
      <c r="E961" s="69" t="e">
        <v>#N/A</v>
      </c>
      <c r="F961" s="69" t="s">
        <v>275</v>
      </c>
      <c r="G961" s="69" t="s">
        <v>494</v>
      </c>
      <c r="H961" s="69">
        <v>0</v>
      </c>
      <c r="I961" s="69" t="s">
        <v>257</v>
      </c>
      <c r="J961" s="69">
        <v>42</v>
      </c>
    </row>
    <row r="962" spans="1:10" x14ac:dyDescent="0.2">
      <c r="A962" s="69">
        <v>20000000263</v>
      </c>
      <c r="C962" s="100">
        <v>28</v>
      </c>
      <c r="G962" s="69" t="s">
        <v>1411</v>
      </c>
      <c r="J962" s="69">
        <v>28</v>
      </c>
    </row>
    <row r="963" spans="1:10" x14ac:dyDescent="0.2">
      <c r="A963" s="69">
        <v>20000000268</v>
      </c>
      <c r="C963" s="100">
        <v>28</v>
      </c>
      <c r="G963" s="69" t="s">
        <v>1412</v>
      </c>
      <c r="J963" s="69">
        <v>28</v>
      </c>
    </row>
    <row r="964" spans="1:10" x14ac:dyDescent="0.2">
      <c r="A964" s="69">
        <v>20000000273</v>
      </c>
      <c r="B964" s="69" t="s">
        <v>221</v>
      </c>
      <c r="C964" s="100" t="e">
        <v>#N/A</v>
      </c>
      <c r="D964" s="69" t="e">
        <v>#N/A</v>
      </c>
      <c r="E964" s="69" t="e">
        <v>#N/A</v>
      </c>
      <c r="F964" s="69" t="s">
        <v>275</v>
      </c>
      <c r="G964" s="69" t="s">
        <v>488</v>
      </c>
      <c r="H964" s="69">
        <v>0</v>
      </c>
      <c r="I964" s="69" t="s">
        <v>257</v>
      </c>
      <c r="J964" s="69">
        <v>42</v>
      </c>
    </row>
    <row r="965" spans="1:10" x14ac:dyDescent="0.2">
      <c r="A965" s="69">
        <v>20000000274</v>
      </c>
      <c r="B965" s="69" t="s">
        <v>221</v>
      </c>
      <c r="C965" s="100" t="e">
        <v>#N/A</v>
      </c>
      <c r="D965" s="69" t="s">
        <v>1448</v>
      </c>
      <c r="E965" s="69" t="s">
        <v>1242</v>
      </c>
      <c r="F965" s="69" t="s">
        <v>275</v>
      </c>
      <c r="G965" s="69" t="s">
        <v>487</v>
      </c>
      <c r="H965" s="69">
        <v>0</v>
      </c>
      <c r="I965" s="69" t="s">
        <v>257</v>
      </c>
      <c r="J965" s="69">
        <v>42</v>
      </c>
    </row>
    <row r="966" spans="1:10" x14ac:dyDescent="0.2">
      <c r="A966" s="69">
        <v>20000000275</v>
      </c>
      <c r="B966" s="69" t="s">
        <v>221</v>
      </c>
      <c r="C966" s="100" t="e">
        <v>#N/A</v>
      </c>
      <c r="D966" s="69" t="e">
        <v>#N/A</v>
      </c>
      <c r="E966" s="69" t="e">
        <v>#N/A</v>
      </c>
      <c r="F966" s="69" t="s">
        <v>275</v>
      </c>
      <c r="G966" s="69" t="s">
        <v>486</v>
      </c>
      <c r="H966" s="69">
        <v>0</v>
      </c>
      <c r="I966" s="69" t="s">
        <v>257</v>
      </c>
      <c r="J966" s="69">
        <v>42</v>
      </c>
    </row>
    <row r="967" spans="1:10" x14ac:dyDescent="0.2">
      <c r="A967" s="69">
        <v>20000000276</v>
      </c>
      <c r="B967" s="69" t="s">
        <v>221</v>
      </c>
      <c r="C967" s="100" t="e">
        <v>#N/A</v>
      </c>
      <c r="D967" s="69" t="e">
        <v>#N/A</v>
      </c>
      <c r="E967" s="69" t="e">
        <v>#N/A</v>
      </c>
      <c r="F967" s="69" t="s">
        <v>275</v>
      </c>
      <c r="G967" s="69" t="s">
        <v>485</v>
      </c>
      <c r="H967" s="69">
        <v>0</v>
      </c>
      <c r="I967" s="69" t="s">
        <v>257</v>
      </c>
      <c r="J967" s="69">
        <v>42</v>
      </c>
    </row>
    <row r="968" spans="1:10" x14ac:dyDescent="0.2">
      <c r="A968" s="69">
        <v>20000000277</v>
      </c>
      <c r="B968" s="69" t="s">
        <v>221</v>
      </c>
      <c r="C968" s="100" t="e">
        <v>#N/A</v>
      </c>
      <c r="D968" s="69" t="e">
        <v>#N/A</v>
      </c>
      <c r="E968" s="69" t="e">
        <v>#N/A</v>
      </c>
      <c r="F968" s="69" t="s">
        <v>275</v>
      </c>
      <c r="G968" s="69" t="s">
        <v>484</v>
      </c>
      <c r="H968" s="69">
        <v>0</v>
      </c>
      <c r="I968" s="69" t="s">
        <v>257</v>
      </c>
      <c r="J968" s="69">
        <v>42</v>
      </c>
    </row>
    <row r="969" spans="1:10" x14ac:dyDescent="0.2">
      <c r="A969" s="69">
        <v>20000000283</v>
      </c>
      <c r="C969" s="100">
        <v>23</v>
      </c>
      <c r="G969" s="69" t="s">
        <v>1692</v>
      </c>
      <c r="H969" s="69">
        <v>0</v>
      </c>
      <c r="J969" s="69">
        <v>42</v>
      </c>
    </row>
    <row r="970" spans="1:10" x14ac:dyDescent="0.2">
      <c r="A970" s="69">
        <v>20000000289</v>
      </c>
      <c r="C970" s="100">
        <v>19</v>
      </c>
      <c r="G970" s="69" t="s">
        <v>1247</v>
      </c>
      <c r="J970" s="69">
        <v>19</v>
      </c>
    </row>
    <row r="971" spans="1:10" x14ac:dyDescent="0.2">
      <c r="A971" s="69">
        <v>20000000294</v>
      </c>
      <c r="B971" s="69" t="s">
        <v>220</v>
      </c>
      <c r="C971" s="100" t="e">
        <v>#N/A</v>
      </c>
      <c r="D971" s="69" t="s">
        <v>81</v>
      </c>
      <c r="E971" s="69" t="s">
        <v>1242</v>
      </c>
      <c r="F971" s="69" t="s">
        <v>275</v>
      </c>
      <c r="G971" s="69" t="s">
        <v>481</v>
      </c>
      <c r="H971" s="69">
        <v>0</v>
      </c>
      <c r="I971" s="69" t="s">
        <v>247</v>
      </c>
      <c r="J971" s="69">
        <v>42</v>
      </c>
    </row>
    <row r="972" spans="1:10" x14ac:dyDescent="0.2">
      <c r="A972" s="69">
        <v>20000000295</v>
      </c>
      <c r="B972" s="69" t="s">
        <v>221</v>
      </c>
      <c r="C972" s="100" t="e">
        <v>#N/A</v>
      </c>
      <c r="D972" s="69" t="e">
        <v>#N/A</v>
      </c>
      <c r="E972" s="69" t="e">
        <v>#N/A</v>
      </c>
      <c r="F972" s="69" t="s">
        <v>275</v>
      </c>
      <c r="G972" s="69" t="s">
        <v>480</v>
      </c>
      <c r="H972" s="69">
        <v>0</v>
      </c>
      <c r="I972" s="69" t="s">
        <v>257</v>
      </c>
      <c r="J972" s="69">
        <v>42</v>
      </c>
    </row>
    <row r="973" spans="1:10" x14ac:dyDescent="0.2">
      <c r="A973" s="69">
        <v>20000000296</v>
      </c>
      <c r="B973" s="69" t="s">
        <v>262</v>
      </c>
      <c r="C973" s="100" t="e">
        <v>#N/A</v>
      </c>
      <c r="D973" s="69" t="e">
        <v>#N/A</v>
      </c>
      <c r="E973" s="69" t="e">
        <v>#N/A</v>
      </c>
      <c r="F973" s="69" t="s">
        <v>275</v>
      </c>
      <c r="G973" s="69" t="s">
        <v>479</v>
      </c>
      <c r="H973" s="69">
        <v>0</v>
      </c>
      <c r="I973" s="69" t="s">
        <v>261</v>
      </c>
      <c r="J973" s="69">
        <v>42</v>
      </c>
    </row>
    <row r="974" spans="1:10" x14ac:dyDescent="0.2">
      <c r="A974" s="69">
        <v>20000000301</v>
      </c>
      <c r="C974" s="100">
        <v>28</v>
      </c>
      <c r="G974" s="69" t="s">
        <v>1413</v>
      </c>
      <c r="J974" s="69">
        <v>28</v>
      </c>
    </row>
    <row r="975" spans="1:10" x14ac:dyDescent="0.2">
      <c r="A975" s="69">
        <v>20000000304</v>
      </c>
      <c r="B975" s="69" t="s">
        <v>254</v>
      </c>
      <c r="C975" s="100" t="e">
        <v>#N/A</v>
      </c>
      <c r="D975" s="69" t="s">
        <v>81</v>
      </c>
      <c r="E975" s="69" t="s">
        <v>1242</v>
      </c>
      <c r="F975" s="69" t="s">
        <v>246</v>
      </c>
      <c r="G975" s="69" t="s">
        <v>478</v>
      </c>
      <c r="H975" s="69">
        <v>45</v>
      </c>
      <c r="I975" s="69" t="s">
        <v>253</v>
      </c>
      <c r="J975" s="69">
        <v>42</v>
      </c>
    </row>
    <row r="976" spans="1:10" x14ac:dyDescent="0.2">
      <c r="A976" s="69">
        <v>20000000305</v>
      </c>
      <c r="B976" s="69" t="s">
        <v>252</v>
      </c>
      <c r="C976" s="100" t="e">
        <v>#N/A</v>
      </c>
      <c r="D976" s="69" t="s">
        <v>81</v>
      </c>
      <c r="E976" s="69" t="s">
        <v>1242</v>
      </c>
      <c r="F976" s="69" t="s">
        <v>246</v>
      </c>
      <c r="G976" s="69" t="s">
        <v>478</v>
      </c>
      <c r="H976" s="69">
        <v>45</v>
      </c>
      <c r="I976" s="69" t="s">
        <v>251</v>
      </c>
      <c r="J976" s="69">
        <v>42</v>
      </c>
    </row>
    <row r="977" spans="1:10" x14ac:dyDescent="0.2">
      <c r="A977" s="69">
        <v>20000000306</v>
      </c>
      <c r="B977" s="69" t="s">
        <v>250</v>
      </c>
      <c r="C977" s="100" t="e">
        <v>#N/A</v>
      </c>
      <c r="D977" s="69" t="s">
        <v>81</v>
      </c>
      <c r="E977" s="69" t="s">
        <v>1242</v>
      </c>
      <c r="F977" s="69" t="s">
        <v>246</v>
      </c>
      <c r="G977" s="69" t="s">
        <v>478</v>
      </c>
      <c r="H977" s="69">
        <v>45</v>
      </c>
      <c r="I977" s="69" t="s">
        <v>249</v>
      </c>
      <c r="J977" s="69">
        <v>42</v>
      </c>
    </row>
    <row r="978" spans="1:10" x14ac:dyDescent="0.2">
      <c r="A978" s="69">
        <v>20000000307</v>
      </c>
      <c r="B978" s="69" t="s">
        <v>220</v>
      </c>
      <c r="C978" s="100" t="e">
        <v>#N/A</v>
      </c>
      <c r="D978" s="69" t="e">
        <v>#N/A</v>
      </c>
      <c r="E978" s="69" t="e">
        <v>#N/A</v>
      </c>
      <c r="F978" s="69" t="s">
        <v>246</v>
      </c>
      <c r="G978" s="69" t="s">
        <v>477</v>
      </c>
      <c r="H978" s="69">
        <v>0</v>
      </c>
      <c r="I978" s="69" t="s">
        <v>247</v>
      </c>
      <c r="J978" s="69">
        <v>42</v>
      </c>
    </row>
    <row r="979" spans="1:10" x14ac:dyDescent="0.2">
      <c r="A979" s="69">
        <v>20000000312</v>
      </c>
      <c r="C979" s="100">
        <v>19</v>
      </c>
      <c r="G979" s="69" t="s">
        <v>159</v>
      </c>
      <c r="J979" s="69">
        <v>19</v>
      </c>
    </row>
    <row r="980" spans="1:10" x14ac:dyDescent="0.2">
      <c r="A980" s="69">
        <v>20000000315</v>
      </c>
      <c r="C980" s="100">
        <v>19</v>
      </c>
      <c r="G980" s="69" t="s">
        <v>1249</v>
      </c>
      <c r="J980" s="69">
        <v>19</v>
      </c>
    </row>
    <row r="981" spans="1:10" x14ac:dyDescent="0.2">
      <c r="A981" s="69">
        <v>20000000320</v>
      </c>
      <c r="C981" s="100">
        <v>19</v>
      </c>
      <c r="G981" s="69" t="s">
        <v>191</v>
      </c>
      <c r="J981" s="69">
        <v>19</v>
      </c>
    </row>
    <row r="982" spans="1:10" x14ac:dyDescent="0.2">
      <c r="A982" s="69">
        <v>20000000324</v>
      </c>
      <c r="C982" s="100">
        <v>19</v>
      </c>
      <c r="G982" s="69" t="s">
        <v>215</v>
      </c>
      <c r="J982" s="69">
        <v>19</v>
      </c>
    </row>
    <row r="983" spans="1:10" x14ac:dyDescent="0.2">
      <c r="A983" s="69">
        <v>20000000327</v>
      </c>
      <c r="C983" s="100">
        <v>19</v>
      </c>
      <c r="G983" s="69" t="s">
        <v>171</v>
      </c>
      <c r="J983" s="69">
        <v>19</v>
      </c>
    </row>
    <row r="984" spans="1:10" x14ac:dyDescent="0.2">
      <c r="A984" s="69">
        <v>20000000329</v>
      </c>
      <c r="B984" s="69" t="s">
        <v>221</v>
      </c>
      <c r="C984" s="100" t="e">
        <v>#N/A</v>
      </c>
      <c r="D984" s="69" t="s">
        <v>81</v>
      </c>
      <c r="E984" s="69" t="s">
        <v>1241</v>
      </c>
      <c r="F984" s="69" t="s">
        <v>275</v>
      </c>
      <c r="G984" s="69" t="s">
        <v>472</v>
      </c>
      <c r="H984" s="69">
        <v>0</v>
      </c>
      <c r="I984" s="69" t="s">
        <v>257</v>
      </c>
      <c r="J984" s="69">
        <v>42</v>
      </c>
    </row>
    <row r="985" spans="1:10" x14ac:dyDescent="0.2">
      <c r="A985" s="69">
        <v>20000000332</v>
      </c>
      <c r="B985" s="69" t="s">
        <v>262</v>
      </c>
      <c r="C985" s="100" t="e">
        <v>#N/A</v>
      </c>
      <c r="D985" s="69" t="e">
        <v>#N/A</v>
      </c>
      <c r="E985" s="69" t="e">
        <v>#N/A</v>
      </c>
      <c r="F985" s="69" t="s">
        <v>246</v>
      </c>
      <c r="G985" s="69" t="s">
        <v>471</v>
      </c>
      <c r="H985" s="69">
        <v>0</v>
      </c>
      <c r="I985" s="69" t="s">
        <v>261</v>
      </c>
      <c r="J985" s="69">
        <v>42</v>
      </c>
    </row>
    <row r="986" spans="1:10" x14ac:dyDescent="0.2">
      <c r="A986" s="69">
        <v>20000000334</v>
      </c>
      <c r="B986" s="69" t="s">
        <v>220</v>
      </c>
      <c r="C986" s="100" t="e">
        <v>#N/A</v>
      </c>
      <c r="D986" s="69" t="e">
        <v>#N/A</v>
      </c>
      <c r="E986" s="69" t="e">
        <v>#N/A</v>
      </c>
      <c r="F986" s="69" t="s">
        <v>246</v>
      </c>
      <c r="G986" s="69" t="s">
        <v>470</v>
      </c>
      <c r="H986" s="69">
        <v>0</v>
      </c>
      <c r="I986" s="69" t="s">
        <v>247</v>
      </c>
      <c r="J986" s="69">
        <v>42</v>
      </c>
    </row>
    <row r="987" spans="1:10" x14ac:dyDescent="0.2">
      <c r="A987" s="69">
        <v>20000000335</v>
      </c>
      <c r="C987" s="100">
        <v>19</v>
      </c>
      <c r="G987" s="69" t="s">
        <v>105</v>
      </c>
      <c r="H987" s="69">
        <v>0</v>
      </c>
      <c r="J987" s="69">
        <v>42</v>
      </c>
    </row>
    <row r="988" spans="1:10" x14ac:dyDescent="0.2">
      <c r="A988" s="69">
        <v>20000000337</v>
      </c>
      <c r="B988" s="69" t="s">
        <v>290</v>
      </c>
      <c r="C988" s="100" t="e">
        <v>#N/A</v>
      </c>
      <c r="D988" s="69" t="s">
        <v>1248</v>
      </c>
      <c r="E988" s="69" t="s">
        <v>1241</v>
      </c>
      <c r="F988" s="69" t="s">
        <v>303</v>
      </c>
      <c r="G988" s="69" t="s">
        <v>469</v>
      </c>
      <c r="H988" s="69">
        <v>0</v>
      </c>
      <c r="I988" s="69" t="s">
        <v>289</v>
      </c>
      <c r="J988" s="69">
        <v>24</v>
      </c>
    </row>
    <row r="989" spans="1:10" x14ac:dyDescent="0.2">
      <c r="A989" s="69">
        <v>20000000338</v>
      </c>
      <c r="B989" s="69" t="s">
        <v>290</v>
      </c>
      <c r="C989" s="100" t="e">
        <v>#N/A</v>
      </c>
      <c r="D989" s="69" t="s">
        <v>1243</v>
      </c>
      <c r="E989" s="69" t="s">
        <v>1241</v>
      </c>
      <c r="F989" s="69" t="s">
        <v>303</v>
      </c>
      <c r="G989" s="69" t="s">
        <v>468</v>
      </c>
      <c r="H989" s="69">
        <v>0</v>
      </c>
      <c r="I989" s="69" t="s">
        <v>289</v>
      </c>
      <c r="J989" s="69">
        <v>24</v>
      </c>
    </row>
    <row r="990" spans="1:10" x14ac:dyDescent="0.2">
      <c r="A990" s="69">
        <v>20000000339</v>
      </c>
      <c r="C990" s="100">
        <v>19</v>
      </c>
      <c r="G990" s="69" t="s">
        <v>158</v>
      </c>
      <c r="J990" s="69">
        <v>19</v>
      </c>
    </row>
    <row r="991" spans="1:10" x14ac:dyDescent="0.2">
      <c r="A991" s="69">
        <v>20000000341</v>
      </c>
      <c r="B991" s="69" t="s">
        <v>221</v>
      </c>
      <c r="C991" s="100" t="e">
        <v>#N/A</v>
      </c>
      <c r="D991" s="69" t="e">
        <v>#N/A</v>
      </c>
      <c r="E991" s="69" t="e">
        <v>#N/A</v>
      </c>
      <c r="F991" s="69" t="s">
        <v>246</v>
      </c>
      <c r="G991" s="69" t="s">
        <v>467</v>
      </c>
      <c r="H991" s="69">
        <v>0</v>
      </c>
      <c r="I991" s="69" t="s">
        <v>257</v>
      </c>
      <c r="J991" s="69">
        <v>42</v>
      </c>
    </row>
    <row r="992" spans="1:10" x14ac:dyDescent="0.2">
      <c r="A992" s="69">
        <v>20000000342</v>
      </c>
      <c r="C992" s="100">
        <v>28</v>
      </c>
      <c r="G992" s="69" t="s">
        <v>1414</v>
      </c>
      <c r="H992" s="69">
        <v>0</v>
      </c>
      <c r="J992" s="69">
        <v>42</v>
      </c>
    </row>
    <row r="993" spans="1:10" x14ac:dyDescent="0.2">
      <c r="A993" s="69">
        <v>20000000343</v>
      </c>
      <c r="B993" s="69" t="s">
        <v>221</v>
      </c>
      <c r="C993" s="100" t="e">
        <v>#N/A</v>
      </c>
      <c r="D993" s="69" t="e">
        <v>#N/A</v>
      </c>
      <c r="E993" s="69" t="e">
        <v>#N/A</v>
      </c>
      <c r="F993" s="69" t="s">
        <v>275</v>
      </c>
      <c r="G993" s="69" t="s">
        <v>466</v>
      </c>
      <c r="H993" s="69">
        <v>0</v>
      </c>
      <c r="I993" s="69" t="s">
        <v>257</v>
      </c>
      <c r="J993" s="69">
        <v>42</v>
      </c>
    </row>
    <row r="994" spans="1:10" x14ac:dyDescent="0.2">
      <c r="A994" s="69">
        <v>20000000345</v>
      </c>
      <c r="B994" s="69" t="s">
        <v>221</v>
      </c>
      <c r="C994" s="100" t="e">
        <v>#N/A</v>
      </c>
      <c r="D994" s="69" t="e">
        <v>#N/A</v>
      </c>
      <c r="E994" s="69" t="e">
        <v>#N/A</v>
      </c>
      <c r="F994" s="69" t="s">
        <v>275</v>
      </c>
      <c r="G994" s="69" t="s">
        <v>464</v>
      </c>
      <c r="H994" s="69">
        <v>0</v>
      </c>
      <c r="I994" s="69" t="s">
        <v>257</v>
      </c>
      <c r="J994" s="69">
        <v>42</v>
      </c>
    </row>
    <row r="995" spans="1:10" x14ac:dyDescent="0.2">
      <c r="A995" s="69">
        <v>20000000346</v>
      </c>
      <c r="B995" s="69" t="s">
        <v>221</v>
      </c>
      <c r="C995" s="100" t="e">
        <v>#N/A</v>
      </c>
      <c r="D995" s="69" t="s">
        <v>1244</v>
      </c>
      <c r="E995" s="69" t="s">
        <v>1242</v>
      </c>
      <c r="F995" s="69" t="s">
        <v>275</v>
      </c>
      <c r="G995" s="69" t="s">
        <v>463</v>
      </c>
      <c r="H995" s="69">
        <v>0</v>
      </c>
      <c r="I995" s="69" t="s">
        <v>257</v>
      </c>
      <c r="J995" s="69">
        <v>42</v>
      </c>
    </row>
    <row r="996" spans="1:10" x14ac:dyDescent="0.2">
      <c r="A996" s="69">
        <v>20000000348</v>
      </c>
      <c r="C996" s="100">
        <v>19</v>
      </c>
      <c r="G996" s="69" t="s">
        <v>1250</v>
      </c>
      <c r="J996" s="69">
        <v>19</v>
      </c>
    </row>
    <row r="997" spans="1:10" x14ac:dyDescent="0.2">
      <c r="A997" s="69">
        <v>20000000349</v>
      </c>
      <c r="B997" s="69" t="s">
        <v>220</v>
      </c>
      <c r="C997" s="100" t="e">
        <v>#N/A</v>
      </c>
      <c r="D997" s="69" t="s">
        <v>81</v>
      </c>
      <c r="E997" s="69" t="s">
        <v>1241</v>
      </c>
      <c r="G997" s="69" t="s">
        <v>461</v>
      </c>
      <c r="H997" s="69">
        <v>0</v>
      </c>
      <c r="I997" s="69" t="s">
        <v>247</v>
      </c>
      <c r="J997" s="69">
        <v>42</v>
      </c>
    </row>
    <row r="998" spans="1:10" x14ac:dyDescent="0.2">
      <c r="A998" s="69">
        <v>20000000350</v>
      </c>
      <c r="B998" s="69" t="s">
        <v>221</v>
      </c>
      <c r="C998" s="100" t="e">
        <v>#N/A</v>
      </c>
      <c r="D998" s="69" t="s">
        <v>81</v>
      </c>
      <c r="E998" s="69" t="s">
        <v>1241</v>
      </c>
      <c r="F998" s="69" t="s">
        <v>246</v>
      </c>
      <c r="G998" s="69" t="s">
        <v>460</v>
      </c>
      <c r="H998" s="69">
        <v>0</v>
      </c>
      <c r="I998" s="69" t="s">
        <v>257</v>
      </c>
      <c r="J998" s="69">
        <v>42</v>
      </c>
    </row>
    <row r="999" spans="1:10" x14ac:dyDescent="0.2">
      <c r="A999" s="69">
        <v>20000000352</v>
      </c>
      <c r="C999" s="100">
        <v>19</v>
      </c>
      <c r="G999" s="69" t="s">
        <v>1251</v>
      </c>
      <c r="H999" s="69">
        <v>0</v>
      </c>
      <c r="J999" s="69">
        <v>42</v>
      </c>
    </row>
    <row r="1000" spans="1:10" x14ac:dyDescent="0.2">
      <c r="A1000" s="69">
        <v>20000000358</v>
      </c>
      <c r="B1000" s="69" t="s">
        <v>221</v>
      </c>
      <c r="C1000" s="100" t="e">
        <v>#N/A</v>
      </c>
      <c r="D1000" s="69" t="e">
        <v>#N/A</v>
      </c>
      <c r="E1000" s="69" t="e">
        <v>#N/A</v>
      </c>
      <c r="F1000" s="69" t="s">
        <v>303</v>
      </c>
      <c r="G1000" s="69" t="s">
        <v>458</v>
      </c>
      <c r="H1000" s="69">
        <v>0</v>
      </c>
      <c r="I1000" s="69" t="s">
        <v>257</v>
      </c>
      <c r="J1000" s="69">
        <v>42</v>
      </c>
    </row>
    <row r="1001" spans="1:10" x14ac:dyDescent="0.2">
      <c r="A1001" s="69">
        <v>20000000359</v>
      </c>
      <c r="B1001" s="69" t="s">
        <v>262</v>
      </c>
      <c r="C1001" s="100" t="e">
        <v>#N/A</v>
      </c>
      <c r="D1001" s="69" t="e">
        <v>#N/A</v>
      </c>
      <c r="E1001" s="69" t="e">
        <v>#N/A</v>
      </c>
      <c r="F1001" s="69" t="s">
        <v>303</v>
      </c>
      <c r="G1001" s="69" t="s">
        <v>458</v>
      </c>
      <c r="H1001" s="69">
        <v>0</v>
      </c>
      <c r="I1001" s="69" t="s">
        <v>261</v>
      </c>
      <c r="J1001" s="69">
        <v>42</v>
      </c>
    </row>
    <row r="1002" spans="1:10" x14ac:dyDescent="0.2">
      <c r="A1002" s="69">
        <v>20000000360</v>
      </c>
      <c r="C1002" s="100">
        <v>28</v>
      </c>
      <c r="G1002" s="69" t="s">
        <v>1415</v>
      </c>
      <c r="J1002" s="69">
        <v>28</v>
      </c>
    </row>
    <row r="1003" spans="1:10" x14ac:dyDescent="0.2">
      <c r="A1003" s="69">
        <v>20000000361</v>
      </c>
      <c r="B1003" s="69" t="s">
        <v>262</v>
      </c>
      <c r="C1003" s="100" t="e">
        <v>#N/A</v>
      </c>
      <c r="D1003" s="69" t="e">
        <v>#N/A</v>
      </c>
      <c r="E1003" s="69" t="e">
        <v>#N/A</v>
      </c>
      <c r="F1003" s="69" t="s">
        <v>275</v>
      </c>
      <c r="G1003" s="69" t="s">
        <v>456</v>
      </c>
      <c r="H1003" s="69">
        <v>0</v>
      </c>
      <c r="I1003" s="69" t="s">
        <v>261</v>
      </c>
      <c r="J1003" s="69">
        <v>42</v>
      </c>
    </row>
    <row r="1004" spans="1:10" x14ac:dyDescent="0.2">
      <c r="A1004" s="69">
        <v>20000000366</v>
      </c>
      <c r="B1004" s="69" t="s">
        <v>262</v>
      </c>
      <c r="C1004" s="100" t="e">
        <v>#N/A</v>
      </c>
      <c r="D1004" s="69" t="e">
        <v>#N/A</v>
      </c>
      <c r="E1004" s="69" t="e">
        <v>#N/A</v>
      </c>
      <c r="F1004" s="69" t="s">
        <v>246</v>
      </c>
      <c r="G1004" s="69" t="s">
        <v>455</v>
      </c>
      <c r="H1004" s="69">
        <v>0</v>
      </c>
      <c r="I1004" s="69" t="s">
        <v>261</v>
      </c>
      <c r="J1004" s="69">
        <v>42</v>
      </c>
    </row>
    <row r="1005" spans="1:10" x14ac:dyDescent="0.2">
      <c r="A1005" s="69">
        <v>20000000367</v>
      </c>
      <c r="C1005" s="100">
        <v>23</v>
      </c>
      <c r="G1005" s="69" t="s">
        <v>1279</v>
      </c>
      <c r="J1005" s="69">
        <v>23</v>
      </c>
    </row>
    <row r="1006" spans="1:10" x14ac:dyDescent="0.2">
      <c r="A1006" s="69">
        <v>20000000371</v>
      </c>
      <c r="C1006" s="100">
        <v>23</v>
      </c>
      <c r="G1006" s="69" t="s">
        <v>1280</v>
      </c>
      <c r="J1006" s="69">
        <v>23</v>
      </c>
    </row>
    <row r="1007" spans="1:10" x14ac:dyDescent="0.2">
      <c r="A1007" s="69">
        <v>20000000372</v>
      </c>
      <c r="B1007" s="69" t="s">
        <v>221</v>
      </c>
      <c r="C1007" s="100" t="e">
        <v>#N/A</v>
      </c>
      <c r="D1007" s="69" t="e">
        <v>#N/A</v>
      </c>
      <c r="E1007" s="69" t="e">
        <v>#N/A</v>
      </c>
      <c r="F1007" s="69" t="s">
        <v>246</v>
      </c>
      <c r="G1007" s="69" t="s">
        <v>454</v>
      </c>
      <c r="H1007" s="69">
        <v>0</v>
      </c>
      <c r="I1007" s="69" t="s">
        <v>257</v>
      </c>
      <c r="J1007" s="69">
        <v>42</v>
      </c>
    </row>
    <row r="1008" spans="1:10" x14ac:dyDescent="0.2">
      <c r="A1008" s="69">
        <v>20000000373</v>
      </c>
      <c r="B1008" s="69" t="s">
        <v>221</v>
      </c>
      <c r="C1008" s="100" t="e">
        <v>#N/A</v>
      </c>
      <c r="D1008" s="69" t="e">
        <v>#N/A</v>
      </c>
      <c r="E1008" s="69" t="e">
        <v>#N/A</v>
      </c>
      <c r="F1008" s="69" t="s">
        <v>275</v>
      </c>
      <c r="G1008" s="69" t="s">
        <v>453</v>
      </c>
      <c r="H1008" s="69">
        <v>0</v>
      </c>
      <c r="I1008" s="69" t="s">
        <v>257</v>
      </c>
      <c r="J1008" s="69">
        <v>42</v>
      </c>
    </row>
    <row r="1009" spans="1:10" x14ac:dyDescent="0.2">
      <c r="A1009" s="69">
        <v>20000000381</v>
      </c>
      <c r="C1009" s="100">
        <v>23</v>
      </c>
      <c r="G1009" s="69" t="s">
        <v>101</v>
      </c>
      <c r="J1009" s="69">
        <v>23</v>
      </c>
    </row>
    <row r="1010" spans="1:10" x14ac:dyDescent="0.2">
      <c r="A1010" s="69">
        <v>20000000385</v>
      </c>
      <c r="B1010" s="93" t="s">
        <v>1646</v>
      </c>
      <c r="C1010" s="102" t="s">
        <v>1646</v>
      </c>
      <c r="E1010" s="69" t="s">
        <v>1646</v>
      </c>
      <c r="G1010" s="69" t="s">
        <v>1305</v>
      </c>
      <c r="J1010" s="69">
        <v>24</v>
      </c>
    </row>
    <row r="1011" spans="1:10" x14ac:dyDescent="0.2">
      <c r="A1011" s="69">
        <v>20000000387</v>
      </c>
      <c r="B1011" s="93" t="s">
        <v>1646</v>
      </c>
      <c r="C1011" s="102" t="s">
        <v>1646</v>
      </c>
      <c r="E1011" s="69" t="s">
        <v>1646</v>
      </c>
      <c r="G1011" s="69" t="s">
        <v>1306</v>
      </c>
      <c r="J1011" s="69">
        <v>24</v>
      </c>
    </row>
    <row r="1012" spans="1:10" x14ac:dyDescent="0.2">
      <c r="A1012" s="69">
        <v>20000000388</v>
      </c>
      <c r="B1012" s="69" t="s">
        <v>220</v>
      </c>
      <c r="C1012" s="100" t="e">
        <v>#N/A</v>
      </c>
      <c r="D1012" s="69" t="e">
        <v>#N/A</v>
      </c>
      <c r="E1012" s="69" t="e">
        <v>#N/A</v>
      </c>
      <c r="F1012" s="69" t="s">
        <v>450</v>
      </c>
      <c r="G1012" s="69" t="s">
        <v>449</v>
      </c>
      <c r="H1012" s="69">
        <v>0</v>
      </c>
      <c r="I1012" s="69" t="s">
        <v>247</v>
      </c>
      <c r="J1012" s="69">
        <v>42</v>
      </c>
    </row>
    <row r="1013" spans="1:10" x14ac:dyDescent="0.2">
      <c r="A1013" s="69">
        <v>20000000390</v>
      </c>
      <c r="B1013" s="69" t="s">
        <v>221</v>
      </c>
      <c r="C1013" s="100" t="e">
        <v>#N/A</v>
      </c>
      <c r="D1013" s="69" t="e">
        <v>#N/A</v>
      </c>
      <c r="E1013" s="69" t="e">
        <v>#N/A</v>
      </c>
      <c r="F1013" s="69" t="s">
        <v>275</v>
      </c>
      <c r="G1013" s="69" t="s">
        <v>448</v>
      </c>
      <c r="H1013" s="69">
        <v>0</v>
      </c>
      <c r="I1013" s="69" t="s">
        <v>257</v>
      </c>
      <c r="J1013" s="69">
        <v>42</v>
      </c>
    </row>
    <row r="1014" spans="1:10" x14ac:dyDescent="0.2">
      <c r="A1014" s="69">
        <v>20000000391</v>
      </c>
      <c r="B1014" s="93" t="s">
        <v>1646</v>
      </c>
      <c r="C1014" s="102" t="s">
        <v>1646</v>
      </c>
      <c r="G1014" s="69" t="s">
        <v>1307</v>
      </c>
      <c r="J1014" s="69">
        <v>24</v>
      </c>
    </row>
    <row r="1015" spans="1:10" x14ac:dyDescent="0.2">
      <c r="A1015" s="69">
        <v>20000000394</v>
      </c>
      <c r="B1015" s="93" t="s">
        <v>1646</v>
      </c>
      <c r="C1015" s="102" t="s">
        <v>1646</v>
      </c>
      <c r="E1015" s="69" t="s">
        <v>1646</v>
      </c>
      <c r="G1015" s="69" t="s">
        <v>196</v>
      </c>
      <c r="J1015" s="69">
        <v>24</v>
      </c>
    </row>
    <row r="1016" spans="1:10" x14ac:dyDescent="0.2">
      <c r="A1016" s="69">
        <v>20000000398</v>
      </c>
      <c r="B1016" s="69" t="s">
        <v>262</v>
      </c>
      <c r="C1016" s="100" t="e">
        <v>#N/A</v>
      </c>
      <c r="D1016" s="69" t="e">
        <v>#N/A</v>
      </c>
      <c r="E1016" s="69" t="e">
        <v>#N/A</v>
      </c>
      <c r="F1016" s="69" t="s">
        <v>275</v>
      </c>
      <c r="G1016" s="69" t="s">
        <v>445</v>
      </c>
      <c r="H1016" s="69">
        <v>0</v>
      </c>
      <c r="I1016" s="69" t="s">
        <v>261</v>
      </c>
      <c r="J1016" s="69">
        <v>42</v>
      </c>
    </row>
    <row r="1017" spans="1:10" x14ac:dyDescent="0.2">
      <c r="A1017" s="69">
        <v>20000000400</v>
      </c>
      <c r="B1017" s="93" t="s">
        <v>1646</v>
      </c>
      <c r="C1017" s="102" t="s">
        <v>1646</v>
      </c>
      <c r="G1017" s="69" t="s">
        <v>1308</v>
      </c>
      <c r="J1017" s="69">
        <v>24</v>
      </c>
    </row>
    <row r="1018" spans="1:10" x14ac:dyDescent="0.2">
      <c r="A1018" s="69">
        <v>20000000403</v>
      </c>
      <c r="B1018" s="69" t="s">
        <v>221</v>
      </c>
      <c r="C1018" s="100" t="e">
        <v>#N/A</v>
      </c>
      <c r="D1018" s="69" t="e">
        <v>#N/A</v>
      </c>
      <c r="E1018" s="69" t="e">
        <v>#N/A</v>
      </c>
      <c r="F1018" s="69" t="s">
        <v>275</v>
      </c>
      <c r="G1018" s="69" t="s">
        <v>443</v>
      </c>
      <c r="H1018" s="69">
        <v>0</v>
      </c>
      <c r="I1018" s="69" t="s">
        <v>257</v>
      </c>
      <c r="J1018" s="69">
        <v>42</v>
      </c>
    </row>
    <row r="1019" spans="1:10" x14ac:dyDescent="0.2">
      <c r="A1019" s="69">
        <v>20000000405</v>
      </c>
      <c r="B1019" s="69" t="s">
        <v>221</v>
      </c>
      <c r="C1019" s="100" t="e">
        <v>#N/A</v>
      </c>
      <c r="D1019" s="69" t="e">
        <v>#N/A</v>
      </c>
      <c r="E1019" s="69" t="e">
        <v>#N/A</v>
      </c>
      <c r="F1019" s="69" t="s">
        <v>275</v>
      </c>
      <c r="G1019" s="69" t="s">
        <v>442</v>
      </c>
      <c r="H1019" s="69">
        <v>0</v>
      </c>
      <c r="I1019" s="69" t="s">
        <v>257</v>
      </c>
      <c r="J1019" s="69">
        <v>42</v>
      </c>
    </row>
    <row r="1020" spans="1:10" x14ac:dyDescent="0.2">
      <c r="A1020" s="69">
        <v>20000000406</v>
      </c>
      <c r="B1020" s="69" t="s">
        <v>221</v>
      </c>
      <c r="C1020" s="100" t="e">
        <v>#N/A</v>
      </c>
      <c r="D1020" s="69" t="e">
        <v>#N/A</v>
      </c>
      <c r="E1020" s="69" t="e">
        <v>#N/A</v>
      </c>
      <c r="F1020" s="69" t="s">
        <v>275</v>
      </c>
      <c r="G1020" s="69" t="s">
        <v>441</v>
      </c>
      <c r="H1020" s="69">
        <v>0</v>
      </c>
      <c r="I1020" s="69" t="s">
        <v>257</v>
      </c>
      <c r="J1020" s="69">
        <v>42</v>
      </c>
    </row>
    <row r="1021" spans="1:10" x14ac:dyDescent="0.2">
      <c r="A1021" s="69">
        <v>20000000407</v>
      </c>
      <c r="C1021" s="100">
        <v>28</v>
      </c>
      <c r="G1021" s="69" t="s">
        <v>1416</v>
      </c>
      <c r="H1021" s="69">
        <v>0</v>
      </c>
      <c r="J1021" s="69">
        <v>42</v>
      </c>
    </row>
    <row r="1022" spans="1:10" x14ac:dyDescent="0.2">
      <c r="A1022" s="69">
        <v>20000000408</v>
      </c>
      <c r="B1022" s="69" t="s">
        <v>262</v>
      </c>
      <c r="C1022" s="100" t="e">
        <v>#N/A</v>
      </c>
      <c r="D1022" s="69" t="e">
        <v>#N/A</v>
      </c>
      <c r="E1022" s="69" t="e">
        <v>#N/A</v>
      </c>
      <c r="F1022" s="69" t="s">
        <v>275</v>
      </c>
      <c r="G1022" s="69" t="s">
        <v>440</v>
      </c>
      <c r="H1022" s="69">
        <v>0</v>
      </c>
      <c r="I1022" s="69" t="s">
        <v>261</v>
      </c>
      <c r="J1022" s="69">
        <v>42</v>
      </c>
    </row>
    <row r="1023" spans="1:10" x14ac:dyDescent="0.2">
      <c r="A1023" s="69">
        <v>20000000411</v>
      </c>
      <c r="C1023" s="100">
        <v>23</v>
      </c>
      <c r="G1023" s="69" t="s">
        <v>1282</v>
      </c>
      <c r="J1023" s="69">
        <v>23</v>
      </c>
    </row>
    <row r="1024" spans="1:10" x14ac:dyDescent="0.2">
      <c r="A1024" s="69">
        <v>20000000414</v>
      </c>
      <c r="B1024" s="69" t="s">
        <v>220</v>
      </c>
      <c r="C1024" s="100" t="e">
        <v>#N/A</v>
      </c>
      <c r="D1024" s="69" t="s">
        <v>1281</v>
      </c>
      <c r="E1024" s="69" t="s">
        <v>1241</v>
      </c>
      <c r="F1024" s="69" t="s">
        <v>246</v>
      </c>
      <c r="G1024" s="69" t="s">
        <v>439</v>
      </c>
      <c r="H1024" s="69">
        <v>0</v>
      </c>
      <c r="I1024" s="69" t="s">
        <v>247</v>
      </c>
      <c r="J1024" s="69">
        <v>42</v>
      </c>
    </row>
    <row r="1025" spans="1:10" x14ac:dyDescent="0.2">
      <c r="A1025" s="69">
        <v>20000000415</v>
      </c>
      <c r="B1025" s="69" t="s">
        <v>262</v>
      </c>
      <c r="C1025" s="100" t="e">
        <v>#N/A</v>
      </c>
      <c r="D1025" s="69" t="e">
        <v>#N/A</v>
      </c>
      <c r="E1025" s="69" t="e">
        <v>#N/A</v>
      </c>
      <c r="F1025" s="69" t="s">
        <v>246</v>
      </c>
      <c r="G1025" s="69" t="s">
        <v>438</v>
      </c>
      <c r="H1025" s="69">
        <v>0</v>
      </c>
      <c r="I1025" s="69" t="s">
        <v>261</v>
      </c>
      <c r="J1025" s="69">
        <v>42</v>
      </c>
    </row>
    <row r="1026" spans="1:10" x14ac:dyDescent="0.2">
      <c r="A1026" s="69">
        <v>20000000418</v>
      </c>
      <c r="C1026" s="100">
        <v>23</v>
      </c>
      <c r="G1026" s="69" t="s">
        <v>1283</v>
      </c>
      <c r="J1026" s="69">
        <v>23</v>
      </c>
    </row>
    <row r="1027" spans="1:10" x14ac:dyDescent="0.2">
      <c r="A1027" s="69">
        <v>20000000419</v>
      </c>
      <c r="B1027" s="69" t="s">
        <v>262</v>
      </c>
      <c r="C1027" s="100" t="e">
        <v>#N/A</v>
      </c>
      <c r="D1027" s="69" t="e">
        <v>#N/A</v>
      </c>
      <c r="E1027" s="69" t="e">
        <v>#N/A</v>
      </c>
      <c r="F1027" s="69" t="s">
        <v>275</v>
      </c>
      <c r="G1027" s="69" t="s">
        <v>435</v>
      </c>
      <c r="H1027" s="69">
        <v>0</v>
      </c>
      <c r="I1027" s="69" t="s">
        <v>261</v>
      </c>
      <c r="J1027" s="69">
        <v>42</v>
      </c>
    </row>
    <row r="1028" spans="1:10" x14ac:dyDescent="0.2">
      <c r="A1028" s="69">
        <v>20000000421</v>
      </c>
      <c r="B1028" s="69" t="s">
        <v>221</v>
      </c>
      <c r="C1028" s="100" t="e">
        <v>#N/A</v>
      </c>
      <c r="D1028" s="69" t="e">
        <v>#N/A</v>
      </c>
      <c r="E1028" s="69" t="e">
        <v>#N/A</v>
      </c>
      <c r="F1028" s="69" t="s">
        <v>275</v>
      </c>
      <c r="G1028" s="69" t="s">
        <v>173</v>
      </c>
      <c r="H1028" s="69">
        <v>0</v>
      </c>
      <c r="I1028" s="69" t="s">
        <v>257</v>
      </c>
      <c r="J1028" s="69">
        <v>42</v>
      </c>
    </row>
    <row r="1029" spans="1:10" x14ac:dyDescent="0.2">
      <c r="A1029" s="69">
        <v>20000000422</v>
      </c>
      <c r="B1029" s="69" t="s">
        <v>221</v>
      </c>
      <c r="C1029" s="100" t="e">
        <v>#N/A</v>
      </c>
      <c r="D1029" s="69" t="e">
        <v>#N/A</v>
      </c>
      <c r="E1029" s="69" t="e">
        <v>#N/A</v>
      </c>
      <c r="F1029" s="69" t="s">
        <v>275</v>
      </c>
      <c r="G1029" s="69" t="s">
        <v>434</v>
      </c>
      <c r="H1029" s="69">
        <v>0</v>
      </c>
      <c r="I1029" s="69" t="s">
        <v>257</v>
      </c>
      <c r="J1029" s="69">
        <v>42</v>
      </c>
    </row>
    <row r="1030" spans="1:10" x14ac:dyDescent="0.2">
      <c r="A1030" s="69">
        <v>20000000425</v>
      </c>
      <c r="C1030" s="100">
        <v>28</v>
      </c>
      <c r="G1030" s="69" t="s">
        <v>1417</v>
      </c>
      <c r="H1030" s="69">
        <v>0</v>
      </c>
      <c r="J1030" s="69">
        <v>42</v>
      </c>
    </row>
    <row r="1031" spans="1:10" x14ac:dyDescent="0.2">
      <c r="A1031" s="69">
        <v>20000000426</v>
      </c>
      <c r="B1031" s="69" t="s">
        <v>262</v>
      </c>
      <c r="C1031" s="100" t="e">
        <v>#N/A</v>
      </c>
      <c r="D1031" s="69" t="e">
        <v>#N/A</v>
      </c>
      <c r="E1031" s="69" t="e">
        <v>#N/A</v>
      </c>
      <c r="F1031" s="69" t="s">
        <v>275</v>
      </c>
      <c r="G1031" s="69" t="s">
        <v>432</v>
      </c>
      <c r="H1031" s="69">
        <v>0</v>
      </c>
      <c r="I1031" s="69" t="s">
        <v>261</v>
      </c>
      <c r="J1031" s="69">
        <v>42</v>
      </c>
    </row>
    <row r="1032" spans="1:10" x14ac:dyDescent="0.2">
      <c r="A1032" s="69">
        <v>20000000427</v>
      </c>
      <c r="B1032" s="69" t="s">
        <v>290</v>
      </c>
      <c r="C1032" s="100" t="e">
        <v>#N/A</v>
      </c>
      <c r="D1032" s="69" t="e">
        <v>#N/A</v>
      </c>
      <c r="E1032" s="69" t="e">
        <v>#N/A</v>
      </c>
      <c r="F1032" s="69" t="s">
        <v>303</v>
      </c>
      <c r="G1032" s="69" t="s">
        <v>431</v>
      </c>
      <c r="H1032" s="69">
        <v>0</v>
      </c>
      <c r="I1032" s="69" t="s">
        <v>289</v>
      </c>
      <c r="J1032" s="69">
        <v>24</v>
      </c>
    </row>
    <row r="1033" spans="1:10" x14ac:dyDescent="0.2">
      <c r="A1033" s="69">
        <v>20000000428</v>
      </c>
      <c r="B1033" s="69" t="s">
        <v>387</v>
      </c>
      <c r="C1033" s="100" t="e">
        <v>#N/A</v>
      </c>
      <c r="D1033" s="69" t="e">
        <v>#N/A</v>
      </c>
      <c r="E1033" s="69" t="e">
        <v>#N/A</v>
      </c>
      <c r="F1033" s="69" t="s">
        <v>303</v>
      </c>
      <c r="G1033" s="69" t="s">
        <v>431</v>
      </c>
      <c r="H1033" s="69">
        <v>0</v>
      </c>
      <c r="I1033" s="69" t="s">
        <v>385</v>
      </c>
      <c r="J1033" s="69">
        <v>24</v>
      </c>
    </row>
    <row r="1034" spans="1:10" x14ac:dyDescent="0.2">
      <c r="A1034" s="69">
        <v>20000000429</v>
      </c>
      <c r="B1034" s="69" t="s">
        <v>220</v>
      </c>
      <c r="C1034" s="100" t="e">
        <v>#N/A</v>
      </c>
      <c r="D1034" s="69" t="e">
        <v>#N/A</v>
      </c>
      <c r="E1034" s="69" t="e">
        <v>#N/A</v>
      </c>
      <c r="F1034" s="69" t="s">
        <v>246</v>
      </c>
      <c r="G1034" s="69" t="s">
        <v>430</v>
      </c>
      <c r="H1034" s="69">
        <v>0</v>
      </c>
      <c r="I1034" s="69" t="s">
        <v>247</v>
      </c>
      <c r="J1034" s="69">
        <v>42</v>
      </c>
    </row>
    <row r="1035" spans="1:10" x14ac:dyDescent="0.2">
      <c r="A1035" s="69">
        <v>20000000430</v>
      </c>
      <c r="B1035" s="69" t="s">
        <v>220</v>
      </c>
      <c r="C1035" s="100" t="e">
        <v>#N/A</v>
      </c>
      <c r="D1035" s="69" t="e">
        <v>#N/A</v>
      </c>
      <c r="E1035" s="69" t="e">
        <v>#N/A</v>
      </c>
      <c r="F1035" s="69" t="s">
        <v>246</v>
      </c>
      <c r="G1035" s="69" t="s">
        <v>429</v>
      </c>
      <c r="H1035" s="69">
        <v>0</v>
      </c>
      <c r="I1035" s="69" t="s">
        <v>247</v>
      </c>
      <c r="J1035" s="69">
        <v>42</v>
      </c>
    </row>
    <row r="1036" spans="1:10" x14ac:dyDescent="0.2">
      <c r="A1036" s="69">
        <v>20000000432</v>
      </c>
      <c r="C1036" s="100">
        <v>28</v>
      </c>
      <c r="G1036" s="69" t="s">
        <v>1418</v>
      </c>
      <c r="H1036" s="69">
        <v>0</v>
      </c>
      <c r="J1036" s="69">
        <v>42</v>
      </c>
    </row>
    <row r="1037" spans="1:10" x14ac:dyDescent="0.2">
      <c r="A1037" s="69">
        <v>20000000433</v>
      </c>
      <c r="B1037" s="69" t="s">
        <v>220</v>
      </c>
      <c r="C1037" s="100" t="e">
        <v>#N/A</v>
      </c>
      <c r="D1037" s="69" t="e">
        <v>#N/A</v>
      </c>
      <c r="E1037" s="69" t="e">
        <v>#N/A</v>
      </c>
      <c r="F1037" s="69" t="s">
        <v>275</v>
      </c>
      <c r="G1037" s="69" t="s">
        <v>427</v>
      </c>
      <c r="H1037" s="69">
        <v>0</v>
      </c>
      <c r="I1037" s="69" t="s">
        <v>247</v>
      </c>
      <c r="J1037" s="69">
        <v>42</v>
      </c>
    </row>
    <row r="1038" spans="1:10" x14ac:dyDescent="0.2">
      <c r="A1038" s="69">
        <v>20000000436</v>
      </c>
      <c r="C1038" s="100">
        <v>23</v>
      </c>
      <c r="G1038" s="69" t="s">
        <v>1284</v>
      </c>
      <c r="H1038" s="69">
        <v>0</v>
      </c>
      <c r="J1038" s="69">
        <v>42</v>
      </c>
    </row>
    <row r="1039" spans="1:10" x14ac:dyDescent="0.2">
      <c r="A1039" s="69">
        <v>20000000441</v>
      </c>
      <c r="C1039" s="100">
        <v>23</v>
      </c>
      <c r="G1039" s="69" t="s">
        <v>1285</v>
      </c>
      <c r="J1039" s="69">
        <v>23</v>
      </c>
    </row>
    <row r="1040" spans="1:10" x14ac:dyDescent="0.2">
      <c r="A1040" s="69">
        <v>20000000453</v>
      </c>
      <c r="C1040" s="100">
        <v>23</v>
      </c>
      <c r="G1040" s="69" t="s">
        <v>1286</v>
      </c>
      <c r="J1040" s="69">
        <v>23</v>
      </c>
    </row>
    <row r="1041" spans="1:10" x14ac:dyDescent="0.2">
      <c r="A1041" s="69">
        <v>20000000456</v>
      </c>
      <c r="B1041" s="69" t="s">
        <v>220</v>
      </c>
      <c r="C1041" s="100" t="e">
        <v>#N/A</v>
      </c>
      <c r="D1041" s="69" t="e">
        <v>#N/A</v>
      </c>
      <c r="E1041" s="69" t="e">
        <v>#N/A</v>
      </c>
      <c r="F1041" s="69" t="s">
        <v>275</v>
      </c>
      <c r="G1041" s="69" t="s">
        <v>424</v>
      </c>
      <c r="H1041" s="69">
        <v>0</v>
      </c>
      <c r="I1041" s="69" t="s">
        <v>247</v>
      </c>
      <c r="J1041" s="69">
        <v>42</v>
      </c>
    </row>
    <row r="1042" spans="1:10" x14ac:dyDescent="0.2">
      <c r="A1042" s="69">
        <v>20000000459</v>
      </c>
      <c r="B1042" s="69" t="s">
        <v>220</v>
      </c>
      <c r="C1042" s="100" t="e">
        <v>#N/A</v>
      </c>
      <c r="D1042" s="69" t="e">
        <v>#N/A</v>
      </c>
      <c r="E1042" s="69" t="e">
        <v>#N/A</v>
      </c>
      <c r="F1042" s="69" t="s">
        <v>275</v>
      </c>
      <c r="G1042" s="69" t="s">
        <v>423</v>
      </c>
      <c r="H1042" s="69">
        <v>0</v>
      </c>
      <c r="I1042" s="69" t="s">
        <v>247</v>
      </c>
      <c r="J1042" s="69">
        <v>42</v>
      </c>
    </row>
    <row r="1043" spans="1:10" x14ac:dyDescent="0.2">
      <c r="A1043" s="69">
        <v>20000000460</v>
      </c>
      <c r="B1043" s="69" t="s">
        <v>221</v>
      </c>
      <c r="C1043" s="100" t="e">
        <v>#N/A</v>
      </c>
      <c r="D1043" s="69" t="e">
        <v>#N/A</v>
      </c>
      <c r="E1043" s="69" t="e">
        <v>#N/A</v>
      </c>
      <c r="F1043" s="69" t="s">
        <v>275</v>
      </c>
      <c r="G1043" s="69" t="s">
        <v>423</v>
      </c>
      <c r="H1043" s="69">
        <v>0</v>
      </c>
      <c r="I1043" s="69" t="s">
        <v>257</v>
      </c>
      <c r="J1043" s="69">
        <v>42</v>
      </c>
    </row>
    <row r="1044" spans="1:10" x14ac:dyDescent="0.2">
      <c r="A1044" s="69">
        <v>20000000461</v>
      </c>
      <c r="B1044" s="69" t="s">
        <v>221</v>
      </c>
      <c r="C1044" s="100" t="e">
        <v>#N/A</v>
      </c>
      <c r="D1044" s="69" t="e">
        <v>#N/A</v>
      </c>
      <c r="E1044" s="69" t="e">
        <v>#N/A</v>
      </c>
      <c r="F1044" s="69" t="s">
        <v>275</v>
      </c>
      <c r="G1044" s="69" t="s">
        <v>422</v>
      </c>
      <c r="H1044" s="69">
        <v>0</v>
      </c>
      <c r="I1044" s="69" t="s">
        <v>257</v>
      </c>
      <c r="J1044" s="69">
        <v>42</v>
      </c>
    </row>
    <row r="1045" spans="1:10" x14ac:dyDescent="0.2">
      <c r="A1045" s="69">
        <v>20000000462</v>
      </c>
      <c r="C1045" s="100">
        <v>28</v>
      </c>
      <c r="G1045" s="69" t="s">
        <v>1419</v>
      </c>
      <c r="J1045" s="69">
        <v>28</v>
      </c>
    </row>
    <row r="1046" spans="1:10" x14ac:dyDescent="0.2">
      <c r="A1046" s="69">
        <v>20000000467</v>
      </c>
      <c r="B1046" s="69" t="s">
        <v>262</v>
      </c>
      <c r="C1046" s="100" t="e">
        <v>#N/A</v>
      </c>
      <c r="D1046" s="69" t="e">
        <v>#N/A</v>
      </c>
      <c r="E1046" s="69" t="e">
        <v>#N/A</v>
      </c>
      <c r="F1046" s="69" t="s">
        <v>275</v>
      </c>
      <c r="G1046" s="69" t="s">
        <v>420</v>
      </c>
      <c r="H1046" s="69">
        <v>0</v>
      </c>
      <c r="I1046" s="69" t="s">
        <v>261</v>
      </c>
      <c r="J1046" s="69">
        <v>42</v>
      </c>
    </row>
    <row r="1047" spans="1:10" x14ac:dyDescent="0.2">
      <c r="A1047" s="69">
        <v>20000000469</v>
      </c>
      <c r="B1047" s="69" t="s">
        <v>221</v>
      </c>
      <c r="C1047" s="100" t="e">
        <v>#N/A</v>
      </c>
      <c r="D1047" s="69" t="e">
        <v>#N/A</v>
      </c>
      <c r="E1047" s="69" t="e">
        <v>#N/A</v>
      </c>
      <c r="F1047" s="69" t="s">
        <v>293</v>
      </c>
      <c r="G1047" s="69" t="s">
        <v>419</v>
      </c>
      <c r="H1047" s="69">
        <v>0</v>
      </c>
      <c r="I1047" s="69" t="s">
        <v>257</v>
      </c>
      <c r="J1047" s="69">
        <v>42</v>
      </c>
    </row>
    <row r="1048" spans="1:10" x14ac:dyDescent="0.2">
      <c r="A1048" s="69">
        <v>20000000470</v>
      </c>
      <c r="B1048" s="69" t="s">
        <v>221</v>
      </c>
      <c r="C1048" s="100" t="e">
        <v>#N/A</v>
      </c>
      <c r="D1048" s="69" t="e">
        <v>#N/A</v>
      </c>
      <c r="E1048" s="69" t="e">
        <v>#N/A</v>
      </c>
      <c r="F1048" s="69" t="s">
        <v>275</v>
      </c>
      <c r="G1048" s="69" t="s">
        <v>418</v>
      </c>
      <c r="H1048" s="69">
        <v>0</v>
      </c>
      <c r="I1048" s="69" t="s">
        <v>257</v>
      </c>
      <c r="J1048" s="69">
        <v>42</v>
      </c>
    </row>
    <row r="1049" spans="1:10" x14ac:dyDescent="0.2">
      <c r="A1049" s="69">
        <v>20000000471</v>
      </c>
      <c r="B1049" s="69" t="s">
        <v>221</v>
      </c>
      <c r="C1049" s="100" t="e">
        <v>#N/A</v>
      </c>
      <c r="D1049" s="69" t="e">
        <v>#N/A</v>
      </c>
      <c r="E1049" s="69" t="e">
        <v>#N/A</v>
      </c>
      <c r="F1049" s="69" t="s">
        <v>275</v>
      </c>
      <c r="G1049" s="69" t="s">
        <v>417</v>
      </c>
      <c r="H1049" s="69">
        <v>0</v>
      </c>
      <c r="I1049" s="69" t="s">
        <v>257</v>
      </c>
      <c r="J1049" s="69">
        <v>42</v>
      </c>
    </row>
    <row r="1050" spans="1:10" x14ac:dyDescent="0.2">
      <c r="A1050" s="69">
        <v>20000000472</v>
      </c>
      <c r="C1050" s="100">
        <v>28</v>
      </c>
      <c r="G1050" s="69" t="s">
        <v>1420</v>
      </c>
      <c r="J1050" s="69">
        <v>28</v>
      </c>
    </row>
    <row r="1051" spans="1:10" x14ac:dyDescent="0.2">
      <c r="A1051" s="69">
        <v>20000000480</v>
      </c>
      <c r="B1051" s="69" t="s">
        <v>221</v>
      </c>
      <c r="C1051" s="100" t="e">
        <v>#N/A</v>
      </c>
      <c r="D1051" s="69" t="e">
        <v>#N/A</v>
      </c>
      <c r="E1051" s="69" t="e">
        <v>#N/A</v>
      </c>
      <c r="F1051" s="69" t="s">
        <v>246</v>
      </c>
      <c r="G1051" s="69" t="s">
        <v>415</v>
      </c>
      <c r="H1051" s="69">
        <v>0</v>
      </c>
      <c r="I1051" s="69" t="s">
        <v>257</v>
      </c>
      <c r="J1051" s="69">
        <v>42</v>
      </c>
    </row>
    <row r="1052" spans="1:10" x14ac:dyDescent="0.2">
      <c r="A1052" s="69">
        <v>20000000481</v>
      </c>
      <c r="C1052" s="100">
        <v>28</v>
      </c>
      <c r="G1052" s="69" t="s">
        <v>1421</v>
      </c>
      <c r="H1052" s="69">
        <v>0</v>
      </c>
      <c r="J1052" s="69">
        <v>42</v>
      </c>
    </row>
    <row r="1053" spans="1:10" x14ac:dyDescent="0.2">
      <c r="A1053" s="69">
        <v>20000000482</v>
      </c>
      <c r="B1053" s="69" t="s">
        <v>221</v>
      </c>
      <c r="C1053" s="100" t="e">
        <v>#N/A</v>
      </c>
      <c r="D1053" s="69" t="e">
        <v>#N/A</v>
      </c>
      <c r="E1053" s="69" t="e">
        <v>#N/A</v>
      </c>
      <c r="F1053" s="69" t="s">
        <v>275</v>
      </c>
      <c r="G1053" s="69" t="s">
        <v>414</v>
      </c>
      <c r="H1053" s="69">
        <v>0</v>
      </c>
      <c r="I1053" s="69" t="s">
        <v>257</v>
      </c>
      <c r="J1053" s="69">
        <v>42</v>
      </c>
    </row>
    <row r="1054" spans="1:10" x14ac:dyDescent="0.2">
      <c r="A1054" s="69">
        <v>20000000485</v>
      </c>
      <c r="C1054" s="100">
        <v>23</v>
      </c>
      <c r="G1054" s="69" t="s">
        <v>174</v>
      </c>
      <c r="H1054" s="69">
        <v>0</v>
      </c>
      <c r="J1054" s="69">
        <v>42</v>
      </c>
    </row>
    <row r="1055" spans="1:10" x14ac:dyDescent="0.2">
      <c r="A1055" s="69">
        <v>20000000486</v>
      </c>
      <c r="B1055" s="69" t="s">
        <v>221</v>
      </c>
      <c r="C1055" s="100" t="e">
        <v>#N/A</v>
      </c>
      <c r="D1055" s="69" t="e">
        <v>#N/A</v>
      </c>
      <c r="E1055" s="69" t="e">
        <v>#N/A</v>
      </c>
      <c r="F1055" s="69" t="s">
        <v>246</v>
      </c>
      <c r="G1055" s="69" t="s">
        <v>413</v>
      </c>
      <c r="H1055" s="69">
        <v>0</v>
      </c>
      <c r="I1055" s="69" t="s">
        <v>257</v>
      </c>
      <c r="J1055" s="69">
        <v>42</v>
      </c>
    </row>
    <row r="1056" spans="1:10" x14ac:dyDescent="0.2">
      <c r="A1056" s="69">
        <v>20000000487</v>
      </c>
      <c r="B1056" s="69" t="s">
        <v>221</v>
      </c>
      <c r="C1056" s="100" t="e">
        <v>#N/A</v>
      </c>
      <c r="D1056" s="69" t="e">
        <v>#N/A</v>
      </c>
      <c r="E1056" s="69" t="e">
        <v>#N/A</v>
      </c>
      <c r="F1056" s="69" t="s">
        <v>275</v>
      </c>
      <c r="G1056" s="69" t="s">
        <v>412</v>
      </c>
      <c r="H1056" s="69">
        <v>0</v>
      </c>
      <c r="I1056" s="69" t="s">
        <v>257</v>
      </c>
      <c r="J1056" s="69">
        <v>42</v>
      </c>
    </row>
    <row r="1057" spans="1:10" x14ac:dyDescent="0.2">
      <c r="A1057" s="69">
        <v>20000000488</v>
      </c>
      <c r="C1057" s="100">
        <v>28</v>
      </c>
      <c r="G1057" s="69" t="s">
        <v>1422</v>
      </c>
      <c r="J1057" s="69">
        <v>28</v>
      </c>
    </row>
    <row r="1058" spans="1:10" x14ac:dyDescent="0.2">
      <c r="A1058" s="69">
        <v>20000000494</v>
      </c>
      <c r="B1058" s="69" t="s">
        <v>221</v>
      </c>
      <c r="C1058" s="100" t="e">
        <v>#N/A</v>
      </c>
      <c r="D1058" s="69" t="e">
        <v>#N/A</v>
      </c>
      <c r="E1058" s="69" t="e">
        <v>#N/A</v>
      </c>
      <c r="F1058" s="69" t="s">
        <v>275</v>
      </c>
      <c r="G1058" s="69" t="s">
        <v>409</v>
      </c>
      <c r="H1058" s="69">
        <v>0</v>
      </c>
      <c r="I1058" s="69" t="s">
        <v>257</v>
      </c>
      <c r="J1058" s="69">
        <v>42</v>
      </c>
    </row>
    <row r="1059" spans="1:10" x14ac:dyDescent="0.2">
      <c r="A1059" s="69">
        <v>20000000497</v>
      </c>
      <c r="C1059" s="100">
        <v>28</v>
      </c>
      <c r="G1059" s="69" t="s">
        <v>1423</v>
      </c>
      <c r="J1059" s="69">
        <v>28</v>
      </c>
    </row>
    <row r="1060" spans="1:10" x14ac:dyDescent="0.2">
      <c r="A1060" s="69">
        <v>20000000505</v>
      </c>
      <c r="C1060" s="100">
        <v>28</v>
      </c>
      <c r="G1060" s="69" t="s">
        <v>1424</v>
      </c>
      <c r="J1060" s="69">
        <v>28</v>
      </c>
    </row>
    <row r="1061" spans="1:10" x14ac:dyDescent="0.2">
      <c r="A1061" s="69">
        <v>20000000511</v>
      </c>
      <c r="C1061" s="100">
        <v>28</v>
      </c>
      <c r="G1061" s="69" t="s">
        <v>1425</v>
      </c>
      <c r="J1061" s="69">
        <v>28</v>
      </c>
    </row>
    <row r="1062" spans="1:10" x14ac:dyDescent="0.2">
      <c r="A1062" s="69">
        <v>20000000517</v>
      </c>
      <c r="C1062" s="100">
        <v>28</v>
      </c>
      <c r="G1062" s="69" t="s">
        <v>1427</v>
      </c>
      <c r="H1062" s="69">
        <v>0</v>
      </c>
      <c r="J1062" s="69">
        <v>42</v>
      </c>
    </row>
    <row r="1063" spans="1:10" x14ac:dyDescent="0.2">
      <c r="A1063" s="69">
        <v>20000000518</v>
      </c>
      <c r="B1063" s="69" t="s">
        <v>220</v>
      </c>
      <c r="C1063" s="100" t="e">
        <v>#N/A</v>
      </c>
      <c r="D1063" s="69" t="e">
        <v>#N/A</v>
      </c>
      <c r="E1063" s="69" t="e">
        <v>#N/A</v>
      </c>
      <c r="F1063" s="69" t="s">
        <v>246</v>
      </c>
      <c r="G1063" s="69" t="s">
        <v>403</v>
      </c>
      <c r="H1063" s="69">
        <v>0</v>
      </c>
      <c r="I1063" s="69" t="s">
        <v>247</v>
      </c>
      <c r="J1063" s="69">
        <v>42</v>
      </c>
    </row>
    <row r="1064" spans="1:10" x14ac:dyDescent="0.2">
      <c r="A1064" s="69">
        <v>20000000519</v>
      </c>
      <c r="B1064" s="69" t="s">
        <v>221</v>
      </c>
      <c r="C1064" s="100" t="e">
        <v>#N/A</v>
      </c>
      <c r="D1064" s="69" t="e">
        <v>#N/A</v>
      </c>
      <c r="E1064" s="69" t="e">
        <v>#N/A</v>
      </c>
      <c r="F1064" s="69" t="s">
        <v>275</v>
      </c>
      <c r="G1064" s="69" t="s">
        <v>402</v>
      </c>
      <c r="H1064" s="69">
        <v>0</v>
      </c>
      <c r="I1064" s="69" t="s">
        <v>257</v>
      </c>
      <c r="J1064" s="69">
        <v>42</v>
      </c>
    </row>
    <row r="1065" spans="1:10" x14ac:dyDescent="0.2">
      <c r="A1065" s="69">
        <v>20000000520</v>
      </c>
      <c r="C1065" s="100">
        <v>28</v>
      </c>
      <c r="G1065" s="69" t="s">
        <v>1428</v>
      </c>
      <c r="J1065" s="69">
        <v>28</v>
      </c>
    </row>
    <row r="1066" spans="1:10" x14ac:dyDescent="0.2">
      <c r="A1066" s="69">
        <v>20000000525</v>
      </c>
      <c r="C1066" s="100">
        <v>23</v>
      </c>
      <c r="G1066" s="69" t="s">
        <v>1287</v>
      </c>
      <c r="J1066" s="69">
        <v>23</v>
      </c>
    </row>
    <row r="1067" spans="1:10" x14ac:dyDescent="0.2">
      <c r="A1067" s="69">
        <v>20000000530</v>
      </c>
      <c r="B1067" s="69" t="s">
        <v>220</v>
      </c>
      <c r="C1067" s="100" t="e">
        <v>#N/A</v>
      </c>
      <c r="D1067" s="69" t="e">
        <v>#N/A</v>
      </c>
      <c r="E1067" s="69" t="e">
        <v>#N/A</v>
      </c>
      <c r="F1067" s="69" t="s">
        <v>246</v>
      </c>
      <c r="G1067" s="69" t="s">
        <v>398</v>
      </c>
      <c r="H1067" s="69">
        <v>0</v>
      </c>
      <c r="I1067" s="69" t="s">
        <v>247</v>
      </c>
      <c r="J1067" s="69">
        <v>42</v>
      </c>
    </row>
    <row r="1068" spans="1:10" x14ac:dyDescent="0.2">
      <c r="A1068" s="69">
        <v>20000000535</v>
      </c>
      <c r="B1068" s="69" t="s">
        <v>221</v>
      </c>
      <c r="C1068" s="100" t="e">
        <v>#N/A</v>
      </c>
      <c r="D1068" s="69" t="e">
        <v>#N/A</v>
      </c>
      <c r="E1068" s="69" t="e">
        <v>#N/A</v>
      </c>
      <c r="F1068" s="69" t="s">
        <v>275</v>
      </c>
      <c r="G1068" s="69" t="s">
        <v>397</v>
      </c>
      <c r="H1068" s="69">
        <v>0</v>
      </c>
      <c r="I1068" s="69" t="s">
        <v>257</v>
      </c>
      <c r="J1068" s="69">
        <v>42</v>
      </c>
    </row>
    <row r="1069" spans="1:10" x14ac:dyDescent="0.2">
      <c r="A1069" s="69">
        <v>20000000537</v>
      </c>
      <c r="B1069" s="69" t="s">
        <v>262</v>
      </c>
      <c r="C1069" s="100" t="e">
        <v>#N/A</v>
      </c>
      <c r="D1069" s="69" t="e">
        <v>#N/A</v>
      </c>
      <c r="E1069" s="69" t="e">
        <v>#N/A</v>
      </c>
      <c r="F1069" s="69" t="s">
        <v>275</v>
      </c>
      <c r="G1069" s="69" t="s">
        <v>395</v>
      </c>
      <c r="H1069" s="69">
        <v>0</v>
      </c>
      <c r="I1069" s="69" t="s">
        <v>261</v>
      </c>
      <c r="J1069" s="69">
        <v>42</v>
      </c>
    </row>
    <row r="1070" spans="1:10" x14ac:dyDescent="0.2">
      <c r="A1070" s="69">
        <v>20000000538</v>
      </c>
      <c r="B1070" s="69" t="s">
        <v>262</v>
      </c>
      <c r="C1070" s="100" t="e">
        <v>#N/A</v>
      </c>
      <c r="D1070" s="69" t="e">
        <v>#N/A</v>
      </c>
      <c r="E1070" s="69" t="e">
        <v>#N/A</v>
      </c>
      <c r="F1070" s="69" t="s">
        <v>275</v>
      </c>
      <c r="G1070" s="69" t="s">
        <v>394</v>
      </c>
      <c r="H1070" s="69">
        <v>0</v>
      </c>
      <c r="I1070" s="69" t="s">
        <v>261</v>
      </c>
      <c r="J1070" s="69">
        <v>42</v>
      </c>
    </row>
    <row r="1071" spans="1:10" x14ac:dyDescent="0.2">
      <c r="A1071" s="69">
        <v>20000000539</v>
      </c>
      <c r="C1071" s="100">
        <v>28</v>
      </c>
      <c r="G1071" s="69" t="s">
        <v>1429</v>
      </c>
      <c r="H1071" s="69">
        <v>0</v>
      </c>
      <c r="J1071" s="69">
        <v>42</v>
      </c>
    </row>
    <row r="1072" spans="1:10" x14ac:dyDescent="0.2">
      <c r="A1072" s="69">
        <v>20000000541</v>
      </c>
      <c r="B1072" s="69" t="s">
        <v>221</v>
      </c>
      <c r="C1072" s="100" t="e">
        <v>#N/A</v>
      </c>
      <c r="D1072" s="69" t="e">
        <v>#N/A</v>
      </c>
      <c r="E1072" s="69" t="e">
        <v>#N/A</v>
      </c>
      <c r="F1072" s="69" t="s">
        <v>246</v>
      </c>
      <c r="G1072" s="69" t="s">
        <v>393</v>
      </c>
      <c r="H1072" s="69">
        <v>0</v>
      </c>
      <c r="I1072" s="69" t="s">
        <v>257</v>
      </c>
      <c r="J1072" s="69">
        <v>42</v>
      </c>
    </row>
    <row r="1073" spans="1:10" x14ac:dyDescent="0.2">
      <c r="A1073" s="69">
        <v>20000000542</v>
      </c>
      <c r="B1073" s="69" t="s">
        <v>221</v>
      </c>
      <c r="C1073" s="100" t="e">
        <v>#N/A</v>
      </c>
      <c r="D1073" s="69" t="e">
        <v>#N/A</v>
      </c>
      <c r="E1073" s="69" t="e">
        <v>#N/A</v>
      </c>
      <c r="F1073" s="69" t="s">
        <v>275</v>
      </c>
      <c r="G1073" s="69" t="s">
        <v>392</v>
      </c>
      <c r="H1073" s="69">
        <v>0</v>
      </c>
      <c r="I1073" s="69" t="s">
        <v>257</v>
      </c>
      <c r="J1073" s="69">
        <v>42</v>
      </c>
    </row>
    <row r="1074" spans="1:10" x14ac:dyDescent="0.2">
      <c r="A1074" s="69">
        <v>20000000543</v>
      </c>
      <c r="B1074" s="69" t="s">
        <v>262</v>
      </c>
      <c r="C1074" s="100" t="e">
        <v>#N/A</v>
      </c>
      <c r="D1074" s="69" t="e">
        <v>#N/A</v>
      </c>
      <c r="E1074" s="69" t="e">
        <v>#N/A</v>
      </c>
      <c r="F1074" s="69" t="s">
        <v>265</v>
      </c>
      <c r="G1074" s="69" t="s">
        <v>391</v>
      </c>
      <c r="H1074" s="69">
        <v>0</v>
      </c>
      <c r="I1074" s="69" t="s">
        <v>261</v>
      </c>
      <c r="J1074" s="69">
        <v>42</v>
      </c>
    </row>
    <row r="1075" spans="1:10" x14ac:dyDescent="0.2">
      <c r="A1075" s="69">
        <v>20000000545</v>
      </c>
      <c r="C1075" s="100">
        <v>28</v>
      </c>
      <c r="G1075" s="69" t="s">
        <v>1430</v>
      </c>
      <c r="H1075" s="69">
        <v>0</v>
      </c>
      <c r="J1075" s="69">
        <v>42</v>
      </c>
    </row>
    <row r="1076" spans="1:10" x14ac:dyDescent="0.2">
      <c r="A1076" s="69">
        <v>20000000546</v>
      </c>
      <c r="B1076" s="69" t="s">
        <v>221</v>
      </c>
      <c r="C1076" s="100" t="e">
        <v>#N/A</v>
      </c>
      <c r="D1076" s="69" t="e">
        <v>#N/A</v>
      </c>
      <c r="E1076" s="69" t="e">
        <v>#N/A</v>
      </c>
      <c r="F1076" s="69" t="s">
        <v>275</v>
      </c>
      <c r="G1076" s="69" t="s">
        <v>390</v>
      </c>
      <c r="H1076" s="69">
        <v>0</v>
      </c>
      <c r="I1076" s="69" t="s">
        <v>257</v>
      </c>
      <c r="J1076" s="69">
        <v>42</v>
      </c>
    </row>
    <row r="1077" spans="1:10" x14ac:dyDescent="0.2">
      <c r="A1077" s="69">
        <v>20000000547</v>
      </c>
      <c r="B1077" s="69" t="s">
        <v>221</v>
      </c>
      <c r="C1077" s="100" t="e">
        <v>#N/A</v>
      </c>
      <c r="D1077" s="69" t="e">
        <v>#N/A</v>
      </c>
      <c r="E1077" s="69" t="e">
        <v>#N/A</v>
      </c>
      <c r="F1077" s="69" t="s">
        <v>265</v>
      </c>
      <c r="G1077" s="69" t="s">
        <v>389</v>
      </c>
      <c r="H1077" s="69">
        <v>0</v>
      </c>
      <c r="I1077" s="69" t="s">
        <v>257</v>
      </c>
      <c r="J1077" s="69">
        <v>42</v>
      </c>
    </row>
    <row r="1078" spans="1:10" x14ac:dyDescent="0.2">
      <c r="A1078" s="69">
        <v>20000000548</v>
      </c>
      <c r="B1078" s="69" t="s">
        <v>262</v>
      </c>
      <c r="C1078" s="100" t="e">
        <v>#N/A</v>
      </c>
      <c r="D1078" s="69" t="e">
        <v>#N/A</v>
      </c>
      <c r="E1078" s="69" t="e">
        <v>#N/A</v>
      </c>
      <c r="F1078" s="69" t="s">
        <v>265</v>
      </c>
      <c r="G1078" s="69" t="s">
        <v>389</v>
      </c>
      <c r="H1078" s="69">
        <v>0</v>
      </c>
      <c r="I1078" s="69" t="s">
        <v>261</v>
      </c>
      <c r="J1078" s="69">
        <v>42</v>
      </c>
    </row>
    <row r="1079" spans="1:10" x14ac:dyDescent="0.2">
      <c r="A1079" s="69">
        <v>20000000549</v>
      </c>
      <c r="C1079" s="100">
        <v>19</v>
      </c>
      <c r="G1079" s="69" t="s">
        <v>1252</v>
      </c>
      <c r="H1079" s="69">
        <v>0</v>
      </c>
      <c r="J1079" s="69">
        <v>42</v>
      </c>
    </row>
    <row r="1080" spans="1:10" x14ac:dyDescent="0.2">
      <c r="A1080" s="69">
        <v>20000000552</v>
      </c>
      <c r="C1080" s="100">
        <v>19</v>
      </c>
      <c r="G1080" s="69" t="s">
        <v>1253</v>
      </c>
      <c r="J1080" s="69">
        <v>19</v>
      </c>
    </row>
    <row r="1081" spans="1:10" x14ac:dyDescent="0.2">
      <c r="A1081" s="69">
        <v>20000000555</v>
      </c>
      <c r="B1081" s="69" t="s">
        <v>387</v>
      </c>
      <c r="C1081" s="100" t="e">
        <v>#N/A</v>
      </c>
      <c r="D1081" s="69" t="s">
        <v>1245</v>
      </c>
      <c r="E1081" s="69" t="s">
        <v>1242</v>
      </c>
      <c r="F1081" s="69" t="s">
        <v>303</v>
      </c>
      <c r="G1081" s="69" t="s">
        <v>386</v>
      </c>
      <c r="H1081" s="69">
        <v>0</v>
      </c>
      <c r="I1081" s="69" t="s">
        <v>385</v>
      </c>
      <c r="J1081" s="69">
        <v>24</v>
      </c>
    </row>
    <row r="1082" spans="1:10" x14ac:dyDescent="0.2">
      <c r="A1082" s="69">
        <v>20000000556</v>
      </c>
      <c r="B1082" s="69" t="s">
        <v>220</v>
      </c>
      <c r="C1082" s="100" t="e">
        <v>#N/A</v>
      </c>
      <c r="D1082" s="69" t="s">
        <v>1245</v>
      </c>
      <c r="E1082" s="69" t="s">
        <v>1242</v>
      </c>
      <c r="F1082" s="69" t="s">
        <v>246</v>
      </c>
      <c r="G1082" s="69" t="s">
        <v>384</v>
      </c>
      <c r="H1082" s="69">
        <v>0</v>
      </c>
      <c r="I1082" s="69" t="s">
        <v>247</v>
      </c>
      <c r="J1082" s="69">
        <v>42</v>
      </c>
    </row>
    <row r="1083" spans="1:10" x14ac:dyDescent="0.2">
      <c r="A1083" s="69">
        <v>20000000557</v>
      </c>
      <c r="B1083" s="69" t="s">
        <v>221</v>
      </c>
      <c r="C1083" s="100" t="e">
        <v>#N/A</v>
      </c>
      <c r="D1083" s="69" t="e">
        <v>#N/A</v>
      </c>
      <c r="E1083" s="69" t="e">
        <v>#N/A</v>
      </c>
      <c r="F1083" s="69" t="s">
        <v>275</v>
      </c>
      <c r="G1083" s="69" t="s">
        <v>383</v>
      </c>
      <c r="H1083" s="69">
        <v>0</v>
      </c>
      <c r="I1083" s="69" t="s">
        <v>257</v>
      </c>
      <c r="J1083" s="69">
        <v>42</v>
      </c>
    </row>
    <row r="1084" spans="1:10" x14ac:dyDescent="0.2">
      <c r="A1084" s="69">
        <v>20000000558</v>
      </c>
      <c r="B1084" s="69" t="s">
        <v>221</v>
      </c>
      <c r="C1084" s="100" t="e">
        <v>#N/A</v>
      </c>
      <c r="D1084" s="69" t="e">
        <v>#N/A</v>
      </c>
      <c r="E1084" s="69" t="e">
        <v>#N/A</v>
      </c>
      <c r="F1084" s="69" t="s">
        <v>275</v>
      </c>
      <c r="G1084" s="69" t="s">
        <v>382</v>
      </c>
      <c r="H1084" s="69">
        <v>0</v>
      </c>
      <c r="I1084" s="69" t="s">
        <v>257</v>
      </c>
      <c r="J1084" s="69">
        <v>42</v>
      </c>
    </row>
    <row r="1085" spans="1:10" x14ac:dyDescent="0.2">
      <c r="A1085" s="69">
        <v>20000000559</v>
      </c>
      <c r="B1085" s="69" t="s">
        <v>221</v>
      </c>
      <c r="C1085" s="100" t="e">
        <v>#N/A</v>
      </c>
      <c r="D1085" s="69" t="e">
        <v>#N/A</v>
      </c>
      <c r="E1085" s="69" t="e">
        <v>#N/A</v>
      </c>
      <c r="F1085" s="69" t="s">
        <v>275</v>
      </c>
      <c r="G1085" s="69" t="s">
        <v>381</v>
      </c>
      <c r="H1085" s="69">
        <v>0</v>
      </c>
      <c r="I1085" s="69" t="s">
        <v>257</v>
      </c>
      <c r="J1085" s="69">
        <v>42</v>
      </c>
    </row>
    <row r="1086" spans="1:10" x14ac:dyDescent="0.2">
      <c r="A1086" s="69">
        <v>20000000562</v>
      </c>
      <c r="B1086" s="69" t="s">
        <v>262</v>
      </c>
      <c r="C1086" s="100" t="e">
        <v>#N/A</v>
      </c>
      <c r="D1086" s="69" t="e">
        <v>#N/A</v>
      </c>
      <c r="E1086" s="69" t="e">
        <v>#N/A</v>
      </c>
      <c r="F1086" s="69" t="s">
        <v>275</v>
      </c>
      <c r="G1086" s="69" t="s">
        <v>379</v>
      </c>
      <c r="H1086" s="69">
        <v>0</v>
      </c>
      <c r="I1086" s="69" t="s">
        <v>261</v>
      </c>
      <c r="J1086" s="69">
        <v>42</v>
      </c>
    </row>
    <row r="1087" spans="1:10" x14ac:dyDescent="0.2">
      <c r="A1087" s="69">
        <v>20000000564</v>
      </c>
      <c r="B1087" s="69" t="s">
        <v>221</v>
      </c>
      <c r="C1087" s="100" t="e">
        <v>#N/A</v>
      </c>
      <c r="D1087" s="69" t="e">
        <v>#N/A</v>
      </c>
      <c r="E1087" s="69" t="e">
        <v>#N/A</v>
      </c>
      <c r="F1087" s="69" t="s">
        <v>246</v>
      </c>
      <c r="G1087" s="69" t="s">
        <v>378</v>
      </c>
      <c r="H1087" s="69">
        <v>0</v>
      </c>
      <c r="I1087" s="69" t="s">
        <v>257</v>
      </c>
      <c r="J1087" s="69">
        <v>42</v>
      </c>
    </row>
    <row r="1088" spans="1:10" x14ac:dyDescent="0.2">
      <c r="A1088" s="69">
        <v>20000000565</v>
      </c>
      <c r="B1088" s="69" t="s">
        <v>221</v>
      </c>
      <c r="C1088" s="100" t="e">
        <v>#N/A</v>
      </c>
      <c r="D1088" s="69" t="e">
        <v>#N/A</v>
      </c>
      <c r="E1088" s="69" t="e">
        <v>#N/A</v>
      </c>
      <c r="F1088" s="69" t="s">
        <v>246</v>
      </c>
      <c r="G1088" s="69" t="s">
        <v>377</v>
      </c>
      <c r="H1088" s="69">
        <v>0</v>
      </c>
      <c r="I1088" s="69" t="s">
        <v>257</v>
      </c>
      <c r="J1088" s="69">
        <v>42</v>
      </c>
    </row>
    <row r="1089" spans="1:10" x14ac:dyDescent="0.2">
      <c r="A1089" s="69">
        <v>20000000567</v>
      </c>
      <c r="B1089" s="69" t="s">
        <v>221</v>
      </c>
      <c r="C1089" s="100" t="e">
        <v>#N/A</v>
      </c>
      <c r="D1089" s="69" t="e">
        <v>#N/A</v>
      </c>
      <c r="E1089" s="69" t="e">
        <v>#N/A</v>
      </c>
      <c r="F1089" s="69" t="s">
        <v>275</v>
      </c>
      <c r="G1089" s="69" t="s">
        <v>376</v>
      </c>
      <c r="H1089" s="69">
        <v>0</v>
      </c>
      <c r="I1089" s="69" t="s">
        <v>257</v>
      </c>
      <c r="J1089" s="69">
        <v>42</v>
      </c>
    </row>
    <row r="1090" spans="1:10" x14ac:dyDescent="0.2">
      <c r="A1090" s="69">
        <v>20000000569</v>
      </c>
      <c r="B1090" s="69" t="s">
        <v>262</v>
      </c>
      <c r="C1090" s="100" t="e">
        <v>#N/A</v>
      </c>
      <c r="D1090" s="69" t="e">
        <v>#N/A</v>
      </c>
      <c r="E1090" s="69" t="e">
        <v>#N/A</v>
      </c>
      <c r="F1090" s="69" t="s">
        <v>275</v>
      </c>
      <c r="G1090" s="69" t="s">
        <v>375</v>
      </c>
      <c r="H1090" s="69">
        <v>0</v>
      </c>
      <c r="I1090" s="69" t="s">
        <v>261</v>
      </c>
      <c r="J1090" s="69">
        <v>42</v>
      </c>
    </row>
    <row r="1091" spans="1:10" x14ac:dyDescent="0.2">
      <c r="A1091" s="69">
        <v>20000000570</v>
      </c>
      <c r="B1091" s="69" t="s">
        <v>220</v>
      </c>
      <c r="C1091" s="100" t="e">
        <v>#N/A</v>
      </c>
      <c r="D1091" s="69" t="e">
        <v>#N/A</v>
      </c>
      <c r="E1091" s="69" t="e">
        <v>#N/A</v>
      </c>
      <c r="F1091" s="69" t="s">
        <v>275</v>
      </c>
      <c r="G1091" s="69" t="s">
        <v>374</v>
      </c>
      <c r="H1091" s="69">
        <v>0</v>
      </c>
      <c r="I1091" s="69" t="s">
        <v>247</v>
      </c>
      <c r="J1091" s="69">
        <v>42</v>
      </c>
    </row>
    <row r="1092" spans="1:10" x14ac:dyDescent="0.2">
      <c r="A1092" s="69">
        <v>20000000571</v>
      </c>
      <c r="B1092" s="69" t="s">
        <v>221</v>
      </c>
      <c r="C1092" s="100" t="e">
        <v>#N/A</v>
      </c>
      <c r="D1092" s="69" t="s">
        <v>1246</v>
      </c>
      <c r="E1092" s="69" t="s">
        <v>1242</v>
      </c>
      <c r="F1092" s="69" t="s">
        <v>275</v>
      </c>
      <c r="G1092" s="69" t="s">
        <v>373</v>
      </c>
      <c r="H1092" s="69">
        <v>0</v>
      </c>
      <c r="I1092" s="69" t="s">
        <v>257</v>
      </c>
      <c r="J1092" s="69">
        <v>42</v>
      </c>
    </row>
    <row r="1093" spans="1:10" x14ac:dyDescent="0.2">
      <c r="A1093" s="69">
        <v>20000000572</v>
      </c>
      <c r="C1093" s="100">
        <v>19</v>
      </c>
      <c r="G1093" s="69" t="s">
        <v>1254</v>
      </c>
      <c r="J1093" s="69">
        <v>19</v>
      </c>
    </row>
    <row r="1094" spans="1:10" x14ac:dyDescent="0.2">
      <c r="A1094" s="69">
        <v>20000000574</v>
      </c>
      <c r="B1094" s="69" t="s">
        <v>221</v>
      </c>
      <c r="C1094" s="100" t="e">
        <v>#N/A</v>
      </c>
      <c r="D1094" s="69" t="s">
        <v>1246</v>
      </c>
      <c r="E1094" s="69" t="s">
        <v>1242</v>
      </c>
      <c r="F1094" s="69" t="s">
        <v>263</v>
      </c>
      <c r="G1094" s="69" t="s">
        <v>370</v>
      </c>
      <c r="H1094" s="69">
        <v>0</v>
      </c>
      <c r="I1094" s="69" t="s">
        <v>257</v>
      </c>
      <c r="J1094" s="69">
        <v>42</v>
      </c>
    </row>
    <row r="1095" spans="1:10" x14ac:dyDescent="0.2">
      <c r="A1095" s="69">
        <v>20000000575</v>
      </c>
      <c r="C1095" s="100">
        <v>19</v>
      </c>
      <c r="G1095" s="69" t="s">
        <v>1693</v>
      </c>
      <c r="J1095" s="69">
        <v>19</v>
      </c>
    </row>
    <row r="1096" spans="1:10" x14ac:dyDescent="0.2">
      <c r="A1096" s="69">
        <v>20000000577</v>
      </c>
      <c r="B1096" s="69" t="s">
        <v>220</v>
      </c>
      <c r="C1096" s="100" t="e">
        <v>#N/A</v>
      </c>
      <c r="D1096" s="69" t="e">
        <v>#N/A</v>
      </c>
      <c r="E1096" s="69" t="e">
        <v>#N/A</v>
      </c>
      <c r="F1096" s="69" t="s">
        <v>275</v>
      </c>
      <c r="G1096" s="69" t="s">
        <v>367</v>
      </c>
      <c r="H1096" s="69">
        <v>0</v>
      </c>
      <c r="I1096" s="69" t="s">
        <v>247</v>
      </c>
      <c r="J1096" s="69">
        <v>42</v>
      </c>
    </row>
    <row r="1097" spans="1:10" x14ac:dyDescent="0.2">
      <c r="A1097" s="69">
        <v>20000000578</v>
      </c>
      <c r="B1097" s="69" t="s">
        <v>221</v>
      </c>
      <c r="C1097" s="100" t="e">
        <v>#N/A</v>
      </c>
      <c r="D1097" s="69" t="e">
        <v>#N/A</v>
      </c>
      <c r="E1097" s="69" t="e">
        <v>#N/A</v>
      </c>
      <c r="F1097" s="69" t="s">
        <v>275</v>
      </c>
      <c r="G1097" s="69" t="s">
        <v>367</v>
      </c>
      <c r="H1097" s="69">
        <v>0</v>
      </c>
      <c r="I1097" s="69" t="s">
        <v>257</v>
      </c>
      <c r="J1097" s="69">
        <v>42</v>
      </c>
    </row>
    <row r="1098" spans="1:10" x14ac:dyDescent="0.2">
      <c r="A1098" s="69">
        <v>20000000579</v>
      </c>
      <c r="C1098" s="100">
        <v>19</v>
      </c>
      <c r="G1098" s="69" t="s">
        <v>1255</v>
      </c>
      <c r="H1098" s="69">
        <v>0</v>
      </c>
      <c r="J1098" s="69">
        <v>42</v>
      </c>
    </row>
    <row r="1099" spans="1:10" x14ac:dyDescent="0.2">
      <c r="A1099" s="69">
        <v>20000000582</v>
      </c>
      <c r="C1099" s="100">
        <v>19</v>
      </c>
      <c r="G1099" s="69" t="s">
        <v>1256</v>
      </c>
      <c r="H1099" s="69">
        <v>0</v>
      </c>
      <c r="J1099" s="69">
        <v>42</v>
      </c>
    </row>
    <row r="1100" spans="1:10" x14ac:dyDescent="0.2">
      <c r="A1100" s="69">
        <v>20000000585</v>
      </c>
      <c r="B1100" s="69" t="s">
        <v>221</v>
      </c>
      <c r="C1100" s="100" t="e">
        <v>#N/A</v>
      </c>
      <c r="D1100" s="69" t="e">
        <v>#N/A</v>
      </c>
      <c r="E1100" s="69" t="e">
        <v>#N/A</v>
      </c>
      <c r="F1100" s="69" t="s">
        <v>275</v>
      </c>
      <c r="G1100" s="69" t="s">
        <v>365</v>
      </c>
      <c r="H1100" s="69">
        <v>0</v>
      </c>
      <c r="I1100" s="69" t="s">
        <v>257</v>
      </c>
      <c r="J1100" s="69">
        <v>42</v>
      </c>
    </row>
    <row r="1101" spans="1:10" x14ac:dyDescent="0.2">
      <c r="A1101" s="69">
        <v>20000000586</v>
      </c>
      <c r="B1101" s="69" t="s">
        <v>221</v>
      </c>
      <c r="C1101" s="100" t="e">
        <v>#N/A</v>
      </c>
      <c r="D1101" s="69" t="e">
        <v>#N/A</v>
      </c>
      <c r="E1101" s="69" t="e">
        <v>#N/A</v>
      </c>
      <c r="F1101" s="69" t="s">
        <v>275</v>
      </c>
      <c r="G1101" s="69" t="s">
        <v>364</v>
      </c>
      <c r="H1101" s="69">
        <v>0</v>
      </c>
      <c r="I1101" s="69" t="s">
        <v>257</v>
      </c>
      <c r="J1101" s="69">
        <v>42</v>
      </c>
    </row>
    <row r="1102" spans="1:10" x14ac:dyDescent="0.2">
      <c r="A1102" s="69">
        <v>20000000587</v>
      </c>
      <c r="C1102" s="100">
        <v>19</v>
      </c>
      <c r="G1102" s="69" t="s">
        <v>1257</v>
      </c>
      <c r="H1102" s="69">
        <v>0</v>
      </c>
      <c r="J1102" s="69">
        <v>42</v>
      </c>
    </row>
    <row r="1103" spans="1:10" x14ac:dyDescent="0.2">
      <c r="A1103" s="69">
        <v>20000000588</v>
      </c>
      <c r="B1103" s="69" t="s">
        <v>221</v>
      </c>
      <c r="C1103" s="100" t="e">
        <v>#N/A</v>
      </c>
      <c r="D1103" s="69" t="s">
        <v>1246</v>
      </c>
      <c r="E1103" s="69" t="s">
        <v>1239</v>
      </c>
      <c r="F1103" s="69" t="s">
        <v>275</v>
      </c>
      <c r="G1103" s="69" t="s">
        <v>363</v>
      </c>
      <c r="H1103" s="69">
        <v>0</v>
      </c>
      <c r="I1103" s="69" t="s">
        <v>257</v>
      </c>
      <c r="J1103" s="69">
        <v>42</v>
      </c>
    </row>
    <row r="1104" spans="1:10" x14ac:dyDescent="0.2">
      <c r="A1104" s="69">
        <v>20000000589</v>
      </c>
      <c r="B1104" s="69" t="s">
        <v>221</v>
      </c>
      <c r="C1104" s="100" t="e">
        <v>#N/A</v>
      </c>
      <c r="D1104" s="69" t="s">
        <v>1246</v>
      </c>
      <c r="E1104" s="69" t="s">
        <v>1239</v>
      </c>
      <c r="F1104" s="69" t="s">
        <v>275</v>
      </c>
      <c r="G1104" s="69" t="s">
        <v>362</v>
      </c>
      <c r="H1104" s="69">
        <v>0</v>
      </c>
      <c r="I1104" s="69" t="s">
        <v>257</v>
      </c>
      <c r="J1104" s="69">
        <v>42</v>
      </c>
    </row>
    <row r="1105" spans="1:10" x14ac:dyDescent="0.2">
      <c r="A1105" s="69">
        <v>20000000590</v>
      </c>
      <c r="C1105" s="100">
        <v>19</v>
      </c>
      <c r="G1105" s="69" t="s">
        <v>1258</v>
      </c>
      <c r="J1105" s="69">
        <v>19</v>
      </c>
    </row>
    <row r="1106" spans="1:10" x14ac:dyDescent="0.2">
      <c r="A1106" s="69">
        <v>20000000591</v>
      </c>
      <c r="C1106" s="100">
        <v>19</v>
      </c>
      <c r="G1106" s="69" t="s">
        <v>1259</v>
      </c>
      <c r="J1106" s="69">
        <v>19</v>
      </c>
    </row>
    <row r="1107" spans="1:10" x14ac:dyDescent="0.2">
      <c r="A1107" s="69">
        <v>20000000592</v>
      </c>
      <c r="B1107" s="69" t="s">
        <v>221</v>
      </c>
      <c r="C1107" s="100" t="e">
        <v>#N/A</v>
      </c>
      <c r="D1107" s="69" t="s">
        <v>1246</v>
      </c>
      <c r="E1107" s="69" t="s">
        <v>1239</v>
      </c>
      <c r="F1107" s="69" t="s">
        <v>246</v>
      </c>
      <c r="G1107" s="69" t="s">
        <v>157</v>
      </c>
      <c r="H1107" s="69">
        <v>0</v>
      </c>
      <c r="I1107" s="69" t="s">
        <v>257</v>
      </c>
      <c r="J1107" s="69">
        <v>42</v>
      </c>
    </row>
    <row r="1108" spans="1:10" x14ac:dyDescent="0.2">
      <c r="A1108" s="69">
        <v>20000000594</v>
      </c>
      <c r="B1108" s="69" t="s">
        <v>220</v>
      </c>
      <c r="C1108" s="100" t="e">
        <v>#N/A</v>
      </c>
      <c r="D1108" s="69" t="e">
        <v>#N/A</v>
      </c>
      <c r="E1108" s="69" t="e">
        <v>#N/A</v>
      </c>
      <c r="F1108" s="69" t="s">
        <v>275</v>
      </c>
      <c r="G1108" s="69" t="s">
        <v>360</v>
      </c>
      <c r="H1108" s="69">
        <v>0</v>
      </c>
      <c r="I1108" s="69" t="s">
        <v>247</v>
      </c>
      <c r="J1108" s="69">
        <v>42</v>
      </c>
    </row>
    <row r="1109" spans="1:10" x14ac:dyDescent="0.2">
      <c r="A1109" s="69">
        <v>20000000595</v>
      </c>
      <c r="B1109" s="69" t="s">
        <v>221</v>
      </c>
      <c r="C1109" s="100" t="e">
        <v>#N/A</v>
      </c>
      <c r="D1109" s="69" t="e">
        <v>#N/A</v>
      </c>
      <c r="E1109" s="69" t="e">
        <v>#N/A</v>
      </c>
      <c r="F1109" s="69" t="s">
        <v>275</v>
      </c>
      <c r="G1109" s="69" t="s">
        <v>359</v>
      </c>
      <c r="H1109" s="69">
        <v>0</v>
      </c>
      <c r="I1109" s="69" t="s">
        <v>257</v>
      </c>
      <c r="J1109" s="69">
        <v>42</v>
      </c>
    </row>
    <row r="1110" spans="1:10" x14ac:dyDescent="0.2">
      <c r="A1110" s="69">
        <v>20000000596</v>
      </c>
      <c r="B1110" s="69" t="s">
        <v>220</v>
      </c>
      <c r="C1110" s="100" t="e">
        <v>#N/A</v>
      </c>
      <c r="D1110" s="69" t="e">
        <v>#N/A</v>
      </c>
      <c r="E1110" s="69" t="e">
        <v>#N/A</v>
      </c>
      <c r="F1110" s="69" t="s">
        <v>246</v>
      </c>
      <c r="G1110" s="69" t="s">
        <v>358</v>
      </c>
      <c r="H1110" s="69">
        <v>0</v>
      </c>
      <c r="I1110" s="69" t="s">
        <v>247</v>
      </c>
      <c r="J1110" s="69">
        <v>42</v>
      </c>
    </row>
    <row r="1111" spans="1:10" x14ac:dyDescent="0.2">
      <c r="A1111" s="69">
        <v>20000000599</v>
      </c>
      <c r="C1111" s="100">
        <v>28</v>
      </c>
      <c r="G1111" s="69" t="s">
        <v>1431</v>
      </c>
      <c r="J1111" s="69">
        <v>28</v>
      </c>
    </row>
    <row r="1112" spans="1:10" x14ac:dyDescent="0.2">
      <c r="A1112" s="69">
        <v>20000000600</v>
      </c>
      <c r="B1112" s="69" t="s">
        <v>262</v>
      </c>
      <c r="C1112" s="100" t="e">
        <v>#N/A</v>
      </c>
      <c r="D1112" s="69" t="e">
        <v>#N/A</v>
      </c>
      <c r="E1112" s="69" t="e">
        <v>#N/A</v>
      </c>
      <c r="F1112" s="69" t="s">
        <v>275</v>
      </c>
      <c r="G1112" s="69" t="s">
        <v>356</v>
      </c>
      <c r="H1112" s="69">
        <v>0</v>
      </c>
      <c r="I1112" s="69" t="s">
        <v>261</v>
      </c>
      <c r="J1112" s="69">
        <v>42</v>
      </c>
    </row>
    <row r="1113" spans="1:10" x14ac:dyDescent="0.2">
      <c r="A1113" s="69">
        <v>20000000601</v>
      </c>
      <c r="B1113" s="69" t="s">
        <v>262</v>
      </c>
      <c r="C1113" s="100" t="e">
        <v>#N/A</v>
      </c>
      <c r="D1113" s="69" t="e">
        <v>#N/A</v>
      </c>
      <c r="E1113" s="69" t="e">
        <v>#N/A</v>
      </c>
      <c r="F1113" s="69" t="s">
        <v>275</v>
      </c>
      <c r="G1113" s="69" t="s">
        <v>355</v>
      </c>
      <c r="H1113" s="69">
        <v>0</v>
      </c>
      <c r="I1113" s="69" t="s">
        <v>261</v>
      </c>
      <c r="J1113" s="69">
        <v>42</v>
      </c>
    </row>
    <row r="1114" spans="1:10" x14ac:dyDescent="0.2">
      <c r="A1114" s="69">
        <v>20000000602</v>
      </c>
      <c r="B1114" s="69" t="s">
        <v>221</v>
      </c>
      <c r="C1114" s="100" t="e">
        <v>#N/A</v>
      </c>
      <c r="D1114" s="69" t="e">
        <v>#N/A</v>
      </c>
      <c r="E1114" s="69" t="e">
        <v>#N/A</v>
      </c>
      <c r="F1114" s="69" t="s">
        <v>275</v>
      </c>
      <c r="G1114" s="69" t="s">
        <v>354</v>
      </c>
      <c r="H1114" s="69">
        <v>0</v>
      </c>
      <c r="I1114" s="69" t="s">
        <v>257</v>
      </c>
      <c r="J1114" s="69">
        <v>42</v>
      </c>
    </row>
    <row r="1115" spans="1:10" x14ac:dyDescent="0.2">
      <c r="A1115" s="69">
        <v>20000000603</v>
      </c>
      <c r="B1115" s="69" t="s">
        <v>220</v>
      </c>
      <c r="C1115" s="100" t="e">
        <v>#N/A</v>
      </c>
      <c r="D1115" s="69" t="e">
        <v>#N/A</v>
      </c>
      <c r="E1115" s="69" t="e">
        <v>#N/A</v>
      </c>
      <c r="F1115" s="69" t="s">
        <v>275</v>
      </c>
      <c r="G1115" s="69" t="s">
        <v>353</v>
      </c>
      <c r="H1115" s="69">
        <v>0</v>
      </c>
      <c r="I1115" s="69" t="s">
        <v>247</v>
      </c>
      <c r="J1115" s="69">
        <v>42</v>
      </c>
    </row>
    <row r="1116" spans="1:10" x14ac:dyDescent="0.2">
      <c r="A1116" s="69">
        <v>20000000604</v>
      </c>
      <c r="B1116" s="69" t="s">
        <v>221</v>
      </c>
      <c r="C1116" s="100" t="e">
        <v>#N/A</v>
      </c>
      <c r="D1116" s="69" t="e">
        <v>#N/A</v>
      </c>
      <c r="E1116" s="69" t="e">
        <v>#N/A</v>
      </c>
      <c r="F1116" s="69" t="s">
        <v>275</v>
      </c>
      <c r="G1116" s="69" t="s">
        <v>352</v>
      </c>
      <c r="H1116" s="69">
        <v>0</v>
      </c>
      <c r="I1116" s="69" t="s">
        <v>257</v>
      </c>
      <c r="J1116" s="69">
        <v>42</v>
      </c>
    </row>
    <row r="1117" spans="1:10" x14ac:dyDescent="0.2">
      <c r="A1117" s="69">
        <v>20000000605</v>
      </c>
      <c r="B1117" s="69" t="s">
        <v>262</v>
      </c>
      <c r="C1117" s="100" t="e">
        <v>#N/A</v>
      </c>
      <c r="D1117" s="69" t="e">
        <v>#N/A</v>
      </c>
      <c r="E1117" s="69" t="e">
        <v>#N/A</v>
      </c>
      <c r="F1117" s="69" t="s">
        <v>275</v>
      </c>
      <c r="G1117" s="69" t="s">
        <v>351</v>
      </c>
      <c r="H1117" s="69">
        <v>0</v>
      </c>
      <c r="I1117" s="69" t="s">
        <v>261</v>
      </c>
      <c r="J1117" s="69">
        <v>42</v>
      </c>
    </row>
    <row r="1118" spans="1:10" x14ac:dyDescent="0.2">
      <c r="A1118" s="69">
        <v>20000000606</v>
      </c>
      <c r="C1118" s="100">
        <v>28</v>
      </c>
      <c r="G1118" s="69" t="s">
        <v>1432</v>
      </c>
      <c r="H1118" s="69">
        <v>0</v>
      </c>
      <c r="J1118" s="69">
        <v>42</v>
      </c>
    </row>
    <row r="1119" spans="1:10" x14ac:dyDescent="0.2">
      <c r="A1119" s="69">
        <v>20000000607</v>
      </c>
      <c r="B1119" s="69" t="s">
        <v>221</v>
      </c>
      <c r="C1119" s="100" t="e">
        <v>#N/A</v>
      </c>
      <c r="D1119" s="69" t="e">
        <v>#N/A</v>
      </c>
      <c r="E1119" s="69" t="e">
        <v>#N/A</v>
      </c>
      <c r="F1119" s="69" t="s">
        <v>275</v>
      </c>
      <c r="G1119" s="69" t="s">
        <v>350</v>
      </c>
      <c r="H1119" s="69">
        <v>0</v>
      </c>
      <c r="I1119" s="69" t="s">
        <v>257</v>
      </c>
      <c r="J1119" s="69">
        <v>42</v>
      </c>
    </row>
    <row r="1120" spans="1:10" x14ac:dyDescent="0.2">
      <c r="A1120" s="69">
        <v>20000000608</v>
      </c>
      <c r="B1120" s="69" t="s">
        <v>262</v>
      </c>
      <c r="C1120" s="100" t="e">
        <v>#N/A</v>
      </c>
      <c r="D1120" s="69" t="s">
        <v>1405</v>
      </c>
      <c r="E1120" s="69" t="s">
        <v>1242</v>
      </c>
      <c r="F1120" s="69" t="s">
        <v>74</v>
      </c>
      <c r="G1120" s="69" t="s">
        <v>349</v>
      </c>
      <c r="H1120" s="69">
        <v>0</v>
      </c>
      <c r="I1120" s="69" t="s">
        <v>261</v>
      </c>
      <c r="J1120" s="69">
        <v>42</v>
      </c>
    </row>
    <row r="1121" spans="1:10" x14ac:dyDescent="0.2">
      <c r="A1121" s="69">
        <v>20000000613</v>
      </c>
      <c r="C1121" s="100">
        <v>28</v>
      </c>
      <c r="G1121" s="69" t="s">
        <v>1433</v>
      </c>
      <c r="J1121" s="69">
        <v>28</v>
      </c>
    </row>
    <row r="1122" spans="1:10" x14ac:dyDescent="0.2">
      <c r="A1122" s="69">
        <v>20000000614</v>
      </c>
      <c r="B1122" s="69" t="s">
        <v>262</v>
      </c>
      <c r="C1122" s="100" t="e">
        <v>#N/A</v>
      </c>
      <c r="D1122" s="69" t="e">
        <v>#N/A</v>
      </c>
      <c r="E1122" s="69" t="e">
        <v>#N/A</v>
      </c>
      <c r="F1122" s="69" t="s">
        <v>246</v>
      </c>
      <c r="G1122" s="69" t="s">
        <v>342</v>
      </c>
      <c r="H1122" s="69">
        <v>0</v>
      </c>
      <c r="I1122" s="69" t="s">
        <v>261</v>
      </c>
      <c r="J1122" s="69">
        <v>42</v>
      </c>
    </row>
    <row r="1123" spans="1:10" x14ac:dyDescent="0.2">
      <c r="A1123" s="69">
        <v>20000000615</v>
      </c>
      <c r="C1123" s="100">
        <v>28</v>
      </c>
      <c r="G1123" s="69" t="s">
        <v>1434</v>
      </c>
      <c r="J1123" s="69">
        <v>28</v>
      </c>
    </row>
    <row r="1124" spans="1:10" x14ac:dyDescent="0.2">
      <c r="A1124" s="69">
        <v>20000000616</v>
      </c>
      <c r="B1124" s="69" t="s">
        <v>220</v>
      </c>
      <c r="C1124" s="100" t="e">
        <v>#N/A</v>
      </c>
      <c r="D1124" s="69" t="e">
        <v>#N/A</v>
      </c>
      <c r="E1124" s="69" t="e">
        <v>#N/A</v>
      </c>
      <c r="F1124" s="69" t="s">
        <v>275</v>
      </c>
      <c r="G1124" s="69" t="s">
        <v>339</v>
      </c>
      <c r="H1124" s="69">
        <v>0</v>
      </c>
      <c r="I1124" s="69" t="s">
        <v>247</v>
      </c>
      <c r="J1124" s="69">
        <v>42</v>
      </c>
    </row>
    <row r="1125" spans="1:10" x14ac:dyDescent="0.2">
      <c r="A1125" s="69">
        <v>20000000617</v>
      </c>
      <c r="B1125" s="69" t="s">
        <v>221</v>
      </c>
      <c r="C1125" s="100" t="e">
        <v>#N/A</v>
      </c>
      <c r="D1125" s="69" t="e">
        <v>#N/A</v>
      </c>
      <c r="E1125" s="69" t="e">
        <v>#N/A</v>
      </c>
      <c r="F1125" s="69" t="s">
        <v>275</v>
      </c>
      <c r="G1125" s="69" t="s">
        <v>338</v>
      </c>
      <c r="H1125" s="69">
        <v>0</v>
      </c>
      <c r="I1125" s="69" t="s">
        <v>257</v>
      </c>
      <c r="J1125" s="69">
        <v>42</v>
      </c>
    </row>
    <row r="1126" spans="1:10" x14ac:dyDescent="0.2">
      <c r="A1126" s="69">
        <v>20000000619</v>
      </c>
      <c r="B1126" s="69" t="s">
        <v>262</v>
      </c>
      <c r="C1126" s="100" t="e">
        <v>#N/A</v>
      </c>
      <c r="D1126" s="69" t="e">
        <v>#N/A</v>
      </c>
      <c r="E1126" s="69" t="e">
        <v>#N/A</v>
      </c>
      <c r="F1126" s="69" t="s">
        <v>275</v>
      </c>
      <c r="G1126" s="69" t="s">
        <v>335</v>
      </c>
      <c r="H1126" s="69">
        <v>0</v>
      </c>
      <c r="I1126" s="69" t="s">
        <v>261</v>
      </c>
      <c r="J1126" s="69">
        <v>42</v>
      </c>
    </row>
    <row r="1127" spans="1:10" x14ac:dyDescent="0.2">
      <c r="A1127" s="69">
        <v>20000000622</v>
      </c>
      <c r="C1127" s="100">
        <v>28</v>
      </c>
      <c r="G1127" s="69" t="s">
        <v>1435</v>
      </c>
      <c r="J1127" s="69">
        <v>28</v>
      </c>
    </row>
    <row r="1128" spans="1:10" x14ac:dyDescent="0.2">
      <c r="A1128" s="69">
        <v>20000000634</v>
      </c>
      <c r="B1128" s="69" t="s">
        <v>262</v>
      </c>
      <c r="C1128" s="100" t="e">
        <v>#N/A</v>
      </c>
      <c r="D1128" s="69" t="e">
        <v>#N/A</v>
      </c>
      <c r="E1128" s="69" t="e">
        <v>#N/A</v>
      </c>
      <c r="F1128" s="69" t="s">
        <v>246</v>
      </c>
      <c r="G1128" s="69" t="s">
        <v>334</v>
      </c>
      <c r="H1128" s="69">
        <v>0</v>
      </c>
      <c r="I1128" s="69" t="s">
        <v>261</v>
      </c>
      <c r="J1128" s="69">
        <v>42</v>
      </c>
    </row>
    <row r="1129" spans="1:10" x14ac:dyDescent="0.2">
      <c r="A1129" s="69">
        <v>20000000635</v>
      </c>
      <c r="B1129" s="69" t="s">
        <v>262</v>
      </c>
      <c r="C1129" s="100" t="e">
        <v>#N/A</v>
      </c>
      <c r="D1129" s="69" t="e">
        <v>#N/A</v>
      </c>
      <c r="E1129" s="69" t="e">
        <v>#N/A</v>
      </c>
      <c r="F1129" s="69" t="s">
        <v>246</v>
      </c>
      <c r="G1129" s="69" t="s">
        <v>333</v>
      </c>
      <c r="H1129" s="69">
        <v>0</v>
      </c>
      <c r="I1129" s="69" t="s">
        <v>261</v>
      </c>
      <c r="J1129" s="69">
        <v>42</v>
      </c>
    </row>
    <row r="1130" spans="1:10" x14ac:dyDescent="0.2">
      <c r="A1130" s="69">
        <v>20000000643</v>
      </c>
      <c r="B1130" s="69" t="s">
        <v>220</v>
      </c>
      <c r="C1130" s="100" t="e">
        <v>#N/A</v>
      </c>
      <c r="D1130" s="69" t="e">
        <v>#N/A</v>
      </c>
      <c r="E1130" s="69" t="e">
        <v>#N/A</v>
      </c>
      <c r="F1130" s="69" t="s">
        <v>246</v>
      </c>
      <c r="G1130" s="69" t="s">
        <v>332</v>
      </c>
      <c r="H1130" s="69">
        <v>0</v>
      </c>
      <c r="I1130" s="69" t="s">
        <v>247</v>
      </c>
      <c r="J1130" s="69">
        <v>42</v>
      </c>
    </row>
    <row r="1131" spans="1:10" x14ac:dyDescent="0.2">
      <c r="A1131" s="69">
        <v>20000000644</v>
      </c>
      <c r="C1131" s="100">
        <v>23</v>
      </c>
      <c r="G1131" s="69" t="s">
        <v>1288</v>
      </c>
      <c r="J1131" s="69">
        <v>23</v>
      </c>
    </row>
    <row r="1132" spans="1:10" x14ac:dyDescent="0.2">
      <c r="A1132" s="69">
        <v>20000000650</v>
      </c>
      <c r="C1132" s="100">
        <v>23</v>
      </c>
      <c r="G1132" s="69" t="s">
        <v>1623</v>
      </c>
      <c r="J1132" s="69">
        <v>23</v>
      </c>
    </row>
    <row r="1133" spans="1:10" x14ac:dyDescent="0.2">
      <c r="A1133" s="69">
        <v>20000000653</v>
      </c>
      <c r="C1133" s="100">
        <v>23</v>
      </c>
      <c r="G1133" s="69" t="s">
        <v>1289</v>
      </c>
      <c r="J1133" s="69">
        <v>23</v>
      </c>
    </row>
    <row r="1134" spans="1:10" x14ac:dyDescent="0.2">
      <c r="A1134" s="69">
        <v>20000000660</v>
      </c>
      <c r="B1134" s="69" t="s">
        <v>262</v>
      </c>
      <c r="C1134" s="100" t="e">
        <v>#N/A</v>
      </c>
      <c r="D1134" s="69" t="s">
        <v>1309</v>
      </c>
      <c r="E1134" s="69" t="s">
        <v>1242</v>
      </c>
      <c r="F1134" s="69" t="s">
        <v>246</v>
      </c>
      <c r="G1134" s="69" t="s">
        <v>331</v>
      </c>
      <c r="H1134" s="69">
        <v>0</v>
      </c>
      <c r="I1134" s="69" t="s">
        <v>261</v>
      </c>
      <c r="J1134" s="69">
        <v>42</v>
      </c>
    </row>
    <row r="1135" spans="1:10" x14ac:dyDescent="0.2">
      <c r="A1135" s="69">
        <v>20000000661</v>
      </c>
      <c r="B1135" s="69" t="s">
        <v>262</v>
      </c>
      <c r="C1135" s="100" t="e">
        <v>#N/A</v>
      </c>
      <c r="D1135" s="69" t="s">
        <v>1309</v>
      </c>
      <c r="E1135" s="69" t="s">
        <v>1242</v>
      </c>
      <c r="F1135" s="69" t="s">
        <v>246</v>
      </c>
      <c r="G1135" s="69" t="s">
        <v>330</v>
      </c>
      <c r="H1135" s="69">
        <v>0</v>
      </c>
      <c r="I1135" s="69" t="s">
        <v>261</v>
      </c>
      <c r="J1135" s="69">
        <v>42</v>
      </c>
    </row>
    <row r="1136" spans="1:10" x14ac:dyDescent="0.2">
      <c r="A1136" s="69">
        <v>20000000668</v>
      </c>
      <c r="B1136" s="69" t="s">
        <v>220</v>
      </c>
      <c r="C1136" s="100" t="e">
        <v>#N/A</v>
      </c>
      <c r="D1136" s="69" t="e">
        <v>#N/A</v>
      </c>
      <c r="E1136" s="69" t="e">
        <v>#N/A</v>
      </c>
      <c r="F1136" s="69" t="s">
        <v>246</v>
      </c>
      <c r="G1136" s="69" t="s">
        <v>329</v>
      </c>
      <c r="H1136" s="69">
        <v>0</v>
      </c>
      <c r="I1136" s="69" t="s">
        <v>247</v>
      </c>
      <c r="J1136" s="69">
        <v>42</v>
      </c>
    </row>
    <row r="1137" spans="1:10" x14ac:dyDescent="0.2">
      <c r="A1137" s="69">
        <v>20000000672</v>
      </c>
      <c r="B1137" s="69" t="s">
        <v>262</v>
      </c>
      <c r="C1137" s="100" t="e">
        <v>#N/A</v>
      </c>
      <c r="D1137" s="69" t="e">
        <v>#N/A</v>
      </c>
      <c r="E1137" s="69" t="e">
        <v>#N/A</v>
      </c>
      <c r="F1137" s="69" t="s">
        <v>275</v>
      </c>
      <c r="G1137" s="69" t="s">
        <v>328</v>
      </c>
      <c r="H1137" s="69">
        <v>0</v>
      </c>
      <c r="I1137" s="69" t="s">
        <v>261</v>
      </c>
      <c r="J1137" s="69">
        <v>42</v>
      </c>
    </row>
    <row r="1138" spans="1:10" x14ac:dyDescent="0.2">
      <c r="A1138" s="69">
        <v>20000000677</v>
      </c>
      <c r="B1138" s="69" t="s">
        <v>220</v>
      </c>
      <c r="C1138" s="100" t="e">
        <v>#N/A</v>
      </c>
      <c r="D1138" s="69" t="e">
        <v>#N/A</v>
      </c>
      <c r="E1138" s="69" t="e">
        <v>#N/A</v>
      </c>
      <c r="F1138" s="69" t="s">
        <v>275</v>
      </c>
      <c r="G1138" s="69" t="s">
        <v>110</v>
      </c>
      <c r="H1138" s="69">
        <v>0</v>
      </c>
      <c r="I1138" s="69" t="s">
        <v>247</v>
      </c>
      <c r="J1138" s="69">
        <v>42</v>
      </c>
    </row>
    <row r="1139" spans="1:10" x14ac:dyDescent="0.2">
      <c r="A1139" s="69">
        <v>20000000678</v>
      </c>
      <c r="B1139" s="69" t="s">
        <v>252</v>
      </c>
      <c r="C1139" s="100" t="e">
        <v>#N/A</v>
      </c>
      <c r="D1139" s="69" t="e">
        <v>#N/A</v>
      </c>
      <c r="E1139" s="69" t="e">
        <v>#N/A</v>
      </c>
      <c r="F1139" s="69" t="s">
        <v>275</v>
      </c>
      <c r="G1139" s="69" t="s">
        <v>134</v>
      </c>
      <c r="H1139" s="69">
        <v>45</v>
      </c>
      <c r="I1139" s="69" t="s">
        <v>251</v>
      </c>
      <c r="J1139" s="69">
        <v>42</v>
      </c>
    </row>
    <row r="1140" spans="1:10" x14ac:dyDescent="0.2">
      <c r="A1140" s="69">
        <v>20000000685</v>
      </c>
      <c r="C1140" s="100">
        <v>23</v>
      </c>
      <c r="G1140" s="69" t="s">
        <v>1290</v>
      </c>
      <c r="J1140" s="69">
        <v>23</v>
      </c>
    </row>
    <row r="1141" spans="1:10" x14ac:dyDescent="0.2">
      <c r="A1141" s="69">
        <v>20000000687</v>
      </c>
      <c r="B1141" s="69" t="s">
        <v>221</v>
      </c>
      <c r="C1141" s="100" t="e">
        <v>#N/A</v>
      </c>
      <c r="D1141" s="69" t="e">
        <v>#N/A</v>
      </c>
      <c r="E1141" s="69" t="e">
        <v>#N/A</v>
      </c>
      <c r="F1141" s="69" t="s">
        <v>275</v>
      </c>
      <c r="G1141" s="69" t="s">
        <v>327</v>
      </c>
      <c r="H1141" s="69">
        <v>0</v>
      </c>
      <c r="I1141" s="69" t="s">
        <v>257</v>
      </c>
      <c r="J1141" s="69">
        <v>42</v>
      </c>
    </row>
    <row r="1142" spans="1:10" x14ac:dyDescent="0.2">
      <c r="A1142" s="69">
        <v>20000000688</v>
      </c>
      <c r="B1142" s="69" t="s">
        <v>262</v>
      </c>
      <c r="C1142" s="100" t="e">
        <v>#N/A</v>
      </c>
      <c r="D1142" s="69" t="e">
        <v>#N/A</v>
      </c>
      <c r="E1142" s="69" t="e">
        <v>#N/A</v>
      </c>
      <c r="F1142" s="69" t="s">
        <v>275</v>
      </c>
      <c r="G1142" s="69" t="s">
        <v>327</v>
      </c>
      <c r="H1142" s="69">
        <v>0</v>
      </c>
      <c r="I1142" s="69" t="s">
        <v>261</v>
      </c>
      <c r="J1142" s="69">
        <v>42</v>
      </c>
    </row>
    <row r="1143" spans="1:10" x14ac:dyDescent="0.2">
      <c r="A1143" s="69">
        <v>20000000689</v>
      </c>
      <c r="B1143" s="69" t="s">
        <v>221</v>
      </c>
      <c r="C1143" s="100" t="e">
        <v>#N/A</v>
      </c>
      <c r="D1143" s="69" t="e">
        <v>#N/A</v>
      </c>
      <c r="E1143" s="69" t="e">
        <v>#N/A</v>
      </c>
      <c r="F1143" s="69" t="s">
        <v>275</v>
      </c>
      <c r="G1143" s="69" t="s">
        <v>326</v>
      </c>
      <c r="H1143" s="69">
        <v>0</v>
      </c>
      <c r="I1143" s="69" t="s">
        <v>257</v>
      </c>
      <c r="J1143" s="69">
        <v>42</v>
      </c>
    </row>
    <row r="1144" spans="1:10" x14ac:dyDescent="0.2">
      <c r="A1144" s="69">
        <v>20000000697</v>
      </c>
      <c r="B1144" s="69" t="s">
        <v>220</v>
      </c>
      <c r="C1144" s="100" t="e">
        <v>#N/A</v>
      </c>
      <c r="D1144" s="69" t="e">
        <v>#N/A</v>
      </c>
      <c r="E1144" s="69" t="e">
        <v>#N/A</v>
      </c>
      <c r="F1144" s="69" t="s">
        <v>246</v>
      </c>
      <c r="G1144" s="69" t="s">
        <v>325</v>
      </c>
      <c r="H1144" s="69">
        <v>0</v>
      </c>
      <c r="I1144" s="69" t="s">
        <v>247</v>
      </c>
      <c r="J1144" s="69">
        <v>42</v>
      </c>
    </row>
    <row r="1145" spans="1:10" x14ac:dyDescent="0.2">
      <c r="A1145" s="69">
        <v>20000000698</v>
      </c>
      <c r="B1145" s="69" t="s">
        <v>262</v>
      </c>
      <c r="C1145" s="100" t="e">
        <v>#N/A</v>
      </c>
      <c r="D1145" s="69" t="e">
        <v>#N/A</v>
      </c>
      <c r="E1145" s="69" t="e">
        <v>#N/A</v>
      </c>
      <c r="F1145" s="69" t="s">
        <v>246</v>
      </c>
      <c r="G1145" s="69" t="s">
        <v>324</v>
      </c>
      <c r="H1145" s="69">
        <v>0</v>
      </c>
      <c r="I1145" s="69" t="s">
        <v>261</v>
      </c>
      <c r="J1145" s="69">
        <v>42</v>
      </c>
    </row>
    <row r="1146" spans="1:10" x14ac:dyDescent="0.2">
      <c r="A1146" s="69">
        <v>20000000699</v>
      </c>
      <c r="C1146" s="100">
        <v>28</v>
      </c>
      <c r="G1146" s="69" t="s">
        <v>1436</v>
      </c>
      <c r="J1146" s="69">
        <v>28</v>
      </c>
    </row>
    <row r="1147" spans="1:10" x14ac:dyDescent="0.2">
      <c r="A1147" s="69">
        <v>20000000704</v>
      </c>
      <c r="C1147" s="100">
        <v>28</v>
      </c>
      <c r="G1147" s="69" t="s">
        <v>182</v>
      </c>
      <c r="J1147" s="69">
        <v>28</v>
      </c>
    </row>
    <row r="1148" spans="1:10" x14ac:dyDescent="0.2">
      <c r="A1148" s="69">
        <v>20000000705</v>
      </c>
      <c r="B1148" s="69" t="s">
        <v>220</v>
      </c>
      <c r="C1148" s="100" t="e">
        <v>#N/A</v>
      </c>
      <c r="D1148" s="69" t="e">
        <v>#N/A</v>
      </c>
      <c r="E1148" s="69" t="e">
        <v>#N/A</v>
      </c>
      <c r="F1148" s="69" t="s">
        <v>246</v>
      </c>
      <c r="G1148" s="69" t="s">
        <v>323</v>
      </c>
      <c r="H1148" s="69">
        <v>0</v>
      </c>
      <c r="I1148" s="69" t="s">
        <v>247</v>
      </c>
      <c r="J1148" s="69">
        <v>42</v>
      </c>
    </row>
    <row r="1149" spans="1:10" x14ac:dyDescent="0.2">
      <c r="A1149" s="69">
        <v>20000000709</v>
      </c>
      <c r="B1149" s="69" t="s">
        <v>262</v>
      </c>
      <c r="C1149" s="100" t="e">
        <v>#N/A</v>
      </c>
      <c r="D1149" s="69" t="e">
        <v>#N/A</v>
      </c>
      <c r="E1149" s="69" t="e">
        <v>#N/A</v>
      </c>
      <c r="G1149" s="69" t="s">
        <v>322</v>
      </c>
      <c r="H1149" s="69">
        <v>0</v>
      </c>
      <c r="I1149" s="69" t="s">
        <v>261</v>
      </c>
      <c r="J1149" s="69">
        <v>42</v>
      </c>
    </row>
    <row r="1150" spans="1:10" x14ac:dyDescent="0.2">
      <c r="A1150" s="69">
        <v>20000000710</v>
      </c>
      <c r="C1150" s="100">
        <v>23</v>
      </c>
      <c r="G1150" s="69" t="s">
        <v>148</v>
      </c>
      <c r="J1150" s="69">
        <v>23</v>
      </c>
    </row>
    <row r="1151" spans="1:10" x14ac:dyDescent="0.2">
      <c r="A1151" s="69">
        <v>20000000716</v>
      </c>
      <c r="C1151" s="100">
        <v>23</v>
      </c>
      <c r="G1151" s="69" t="s">
        <v>208</v>
      </c>
      <c r="H1151" s="69">
        <v>0</v>
      </c>
      <c r="J1151" s="69">
        <v>42</v>
      </c>
    </row>
    <row r="1152" spans="1:10" x14ac:dyDescent="0.2">
      <c r="A1152" s="69">
        <v>20000000720</v>
      </c>
      <c r="B1152" s="69" t="s">
        <v>262</v>
      </c>
      <c r="C1152" s="100" t="e">
        <v>#N/A</v>
      </c>
      <c r="D1152" s="69" t="e">
        <v>#N/A</v>
      </c>
      <c r="E1152" s="69" t="e">
        <v>#N/A</v>
      </c>
      <c r="F1152" s="69" t="s">
        <v>275</v>
      </c>
      <c r="G1152" s="69" t="s">
        <v>321</v>
      </c>
      <c r="H1152" s="69">
        <v>0</v>
      </c>
      <c r="I1152" s="69" t="s">
        <v>261</v>
      </c>
      <c r="J1152" s="69">
        <v>42</v>
      </c>
    </row>
    <row r="1153" spans="1:10" x14ac:dyDescent="0.2">
      <c r="A1153" s="69">
        <v>20000000729</v>
      </c>
      <c r="C1153" s="100">
        <v>28</v>
      </c>
      <c r="G1153" s="69" t="s">
        <v>147</v>
      </c>
      <c r="H1153" s="69">
        <v>0</v>
      </c>
      <c r="J1153" s="69">
        <v>42</v>
      </c>
    </row>
    <row r="1154" spans="1:10" x14ac:dyDescent="0.2">
      <c r="A1154" s="69">
        <v>20000000744</v>
      </c>
      <c r="B1154" s="69" t="s">
        <v>221</v>
      </c>
      <c r="C1154" s="100" t="e">
        <v>#N/A</v>
      </c>
      <c r="D1154" s="69" t="s">
        <v>1268</v>
      </c>
      <c r="E1154" s="69" t="s">
        <v>1242</v>
      </c>
      <c r="F1154" s="69" t="s">
        <v>275</v>
      </c>
      <c r="G1154" s="69" t="s">
        <v>318</v>
      </c>
      <c r="H1154" s="69">
        <v>0</v>
      </c>
      <c r="I1154" s="69" t="s">
        <v>257</v>
      </c>
      <c r="J1154" s="69">
        <v>42</v>
      </c>
    </row>
    <row r="1155" spans="1:10" x14ac:dyDescent="0.2">
      <c r="A1155" s="69">
        <v>20000000745</v>
      </c>
      <c r="B1155" s="69" t="s">
        <v>262</v>
      </c>
      <c r="C1155" s="100" t="e">
        <v>#N/A</v>
      </c>
      <c r="D1155" s="69" t="e">
        <v>#N/A</v>
      </c>
      <c r="E1155" s="69" t="e">
        <v>#N/A</v>
      </c>
      <c r="F1155" s="69" t="s">
        <v>275</v>
      </c>
      <c r="G1155" s="69" t="s">
        <v>317</v>
      </c>
      <c r="H1155" s="69">
        <v>0</v>
      </c>
      <c r="I1155" s="69" t="s">
        <v>261</v>
      </c>
      <c r="J1155" s="69">
        <v>42</v>
      </c>
    </row>
    <row r="1156" spans="1:10" x14ac:dyDescent="0.2">
      <c r="A1156" s="69">
        <v>20000000747</v>
      </c>
      <c r="C1156" s="100">
        <v>28</v>
      </c>
      <c r="G1156" s="69" t="s">
        <v>1437</v>
      </c>
      <c r="J1156" s="69">
        <v>28</v>
      </c>
    </row>
    <row r="1157" spans="1:10" x14ac:dyDescent="0.2">
      <c r="A1157" s="69">
        <v>20000000750</v>
      </c>
      <c r="B1157" s="69" t="s">
        <v>220</v>
      </c>
      <c r="C1157" s="100" t="e">
        <v>#N/A</v>
      </c>
      <c r="D1157" s="69" t="e">
        <v>#N/A</v>
      </c>
      <c r="E1157" s="69" t="e">
        <v>#N/A</v>
      </c>
      <c r="F1157" s="69" t="s">
        <v>275</v>
      </c>
      <c r="G1157" s="69" t="s">
        <v>316</v>
      </c>
      <c r="H1157" s="69">
        <v>0</v>
      </c>
      <c r="I1157" s="69" t="s">
        <v>247</v>
      </c>
      <c r="J1157" s="69">
        <v>42</v>
      </c>
    </row>
    <row r="1158" spans="1:10" x14ac:dyDescent="0.2">
      <c r="A1158" s="69">
        <v>20000000751</v>
      </c>
      <c r="B1158" s="69" t="s">
        <v>254</v>
      </c>
      <c r="C1158" s="100" t="e">
        <v>#N/A</v>
      </c>
      <c r="D1158" s="69" t="e">
        <v>#N/A</v>
      </c>
      <c r="E1158" s="69" t="e">
        <v>#N/A</v>
      </c>
      <c r="F1158" s="69" t="s">
        <v>275</v>
      </c>
      <c r="G1158" s="69" t="s">
        <v>315</v>
      </c>
      <c r="H1158" s="69">
        <v>45</v>
      </c>
      <c r="I1158" s="69" t="s">
        <v>253</v>
      </c>
      <c r="J1158" s="69">
        <v>42</v>
      </c>
    </row>
    <row r="1159" spans="1:10" x14ac:dyDescent="0.2">
      <c r="A1159" s="69">
        <v>20000000752</v>
      </c>
      <c r="B1159" s="69" t="s">
        <v>252</v>
      </c>
      <c r="C1159" s="100" t="e">
        <v>#N/A</v>
      </c>
      <c r="D1159" s="69" t="e">
        <v>#N/A</v>
      </c>
      <c r="E1159" s="69" t="e">
        <v>#N/A</v>
      </c>
      <c r="F1159" s="69" t="s">
        <v>275</v>
      </c>
      <c r="G1159" s="69" t="s">
        <v>315</v>
      </c>
      <c r="H1159" s="69">
        <v>45</v>
      </c>
      <c r="I1159" s="69" t="s">
        <v>251</v>
      </c>
      <c r="J1159" s="69">
        <v>42</v>
      </c>
    </row>
    <row r="1160" spans="1:10" x14ac:dyDescent="0.2">
      <c r="A1160" s="69">
        <v>20000000753</v>
      </c>
      <c r="B1160" s="69" t="s">
        <v>250</v>
      </c>
      <c r="C1160" s="100" t="e">
        <v>#N/A</v>
      </c>
      <c r="D1160" s="69" t="e">
        <v>#N/A</v>
      </c>
      <c r="E1160" s="69" t="e">
        <v>#N/A</v>
      </c>
      <c r="F1160" s="69" t="s">
        <v>275</v>
      </c>
      <c r="G1160" s="69" t="s">
        <v>315</v>
      </c>
      <c r="H1160" s="69">
        <v>45</v>
      </c>
      <c r="I1160" s="69" t="s">
        <v>249</v>
      </c>
      <c r="J1160" s="69">
        <v>42</v>
      </c>
    </row>
    <row r="1161" spans="1:10" x14ac:dyDescent="0.2">
      <c r="A1161" s="69">
        <v>20000000756</v>
      </c>
      <c r="C1161" s="100">
        <v>28</v>
      </c>
      <c r="G1161" s="69" t="s">
        <v>162</v>
      </c>
      <c r="J1161" s="69">
        <v>28</v>
      </c>
    </row>
    <row r="1162" spans="1:10" x14ac:dyDescent="0.2">
      <c r="A1162" s="69">
        <v>20000000758</v>
      </c>
      <c r="B1162" s="69" t="s">
        <v>221</v>
      </c>
      <c r="C1162" s="100" t="e">
        <v>#N/A</v>
      </c>
      <c r="D1162" s="69" t="s">
        <v>1438</v>
      </c>
      <c r="E1162" s="69" t="s">
        <v>1242</v>
      </c>
      <c r="F1162" s="69" t="s">
        <v>275</v>
      </c>
      <c r="G1162" s="69" t="s">
        <v>311</v>
      </c>
      <c r="H1162" s="69">
        <v>0</v>
      </c>
      <c r="I1162" s="69" t="s">
        <v>257</v>
      </c>
      <c r="J1162" s="69">
        <v>42</v>
      </c>
    </row>
    <row r="1163" spans="1:10" x14ac:dyDescent="0.2">
      <c r="A1163" s="69">
        <v>20000000759</v>
      </c>
      <c r="C1163" s="100">
        <v>28</v>
      </c>
      <c r="G1163" s="69" t="s">
        <v>188</v>
      </c>
      <c r="H1163" s="69">
        <v>0</v>
      </c>
      <c r="J1163" s="69">
        <v>42</v>
      </c>
    </row>
    <row r="1164" spans="1:10" x14ac:dyDescent="0.2">
      <c r="A1164" s="69">
        <v>20000000773</v>
      </c>
      <c r="C1164" s="100">
        <v>23</v>
      </c>
      <c r="G1164" s="69" t="s">
        <v>1291</v>
      </c>
      <c r="J1164" s="69">
        <v>23</v>
      </c>
    </row>
    <row r="1165" spans="1:10" x14ac:dyDescent="0.2">
      <c r="A1165" s="69">
        <v>20000000774</v>
      </c>
      <c r="B1165" s="69" t="s">
        <v>220</v>
      </c>
      <c r="C1165" s="100" t="e">
        <v>#N/A</v>
      </c>
      <c r="D1165" s="69" t="e">
        <v>#N/A</v>
      </c>
      <c r="E1165" s="69" t="e">
        <v>#N/A</v>
      </c>
      <c r="F1165" s="69" t="s">
        <v>275</v>
      </c>
      <c r="G1165" s="69" t="s">
        <v>310</v>
      </c>
      <c r="H1165" s="69">
        <v>0</v>
      </c>
      <c r="I1165" s="69" t="s">
        <v>247</v>
      </c>
      <c r="J1165" s="69">
        <v>42</v>
      </c>
    </row>
    <row r="1166" spans="1:10" x14ac:dyDescent="0.2">
      <c r="A1166" s="69">
        <v>20000000778</v>
      </c>
      <c r="C1166" s="100">
        <v>23</v>
      </c>
      <c r="G1166" s="69" t="s">
        <v>177</v>
      </c>
      <c r="J1166" s="69">
        <v>23</v>
      </c>
    </row>
    <row r="1167" spans="1:10" x14ac:dyDescent="0.2">
      <c r="A1167" s="69">
        <v>20000000787</v>
      </c>
      <c r="C1167" s="100">
        <v>23</v>
      </c>
      <c r="G1167" s="69" t="s">
        <v>1292</v>
      </c>
      <c r="J1167" s="69">
        <v>23</v>
      </c>
    </row>
    <row r="1168" spans="1:10" x14ac:dyDescent="0.2">
      <c r="A1168" s="69">
        <v>20000000789</v>
      </c>
      <c r="C1168" s="100">
        <v>23</v>
      </c>
      <c r="G1168" s="69" t="s">
        <v>1293</v>
      </c>
      <c r="J1168" s="69">
        <v>23</v>
      </c>
    </row>
    <row r="1169" spans="1:10" x14ac:dyDescent="0.2">
      <c r="A1169" s="69">
        <v>20000000790</v>
      </c>
      <c r="B1169" s="69" t="s">
        <v>220</v>
      </c>
      <c r="C1169" s="100" t="e">
        <v>#N/A</v>
      </c>
      <c r="D1169" s="69" t="e">
        <v>#N/A</v>
      </c>
      <c r="E1169" s="69" t="e">
        <v>#N/A</v>
      </c>
      <c r="G1169" s="69" t="s">
        <v>309</v>
      </c>
      <c r="H1169" s="69">
        <v>0</v>
      </c>
      <c r="I1169" s="69" t="s">
        <v>247</v>
      </c>
      <c r="J1169" s="69">
        <v>42</v>
      </c>
    </row>
    <row r="1170" spans="1:10" x14ac:dyDescent="0.2">
      <c r="A1170" s="69">
        <v>20000000792</v>
      </c>
      <c r="C1170" s="100">
        <v>23</v>
      </c>
      <c r="G1170" s="69" t="s">
        <v>1294</v>
      </c>
      <c r="J1170" s="69">
        <v>23</v>
      </c>
    </row>
    <row r="1171" spans="1:10" x14ac:dyDescent="0.2">
      <c r="A1171" s="69">
        <v>20000000800</v>
      </c>
      <c r="C1171" s="100">
        <v>23</v>
      </c>
      <c r="G1171" s="69" t="s">
        <v>1694</v>
      </c>
      <c r="J1171" s="69">
        <v>23</v>
      </c>
    </row>
    <row r="1172" spans="1:10" x14ac:dyDescent="0.2">
      <c r="A1172" s="69">
        <v>20000000805</v>
      </c>
      <c r="C1172" s="100">
        <v>28</v>
      </c>
      <c r="G1172" s="69" t="s">
        <v>1439</v>
      </c>
      <c r="J1172" s="69">
        <v>28</v>
      </c>
    </row>
    <row r="1173" spans="1:10" x14ac:dyDescent="0.2">
      <c r="A1173" s="69">
        <v>20000000817</v>
      </c>
      <c r="C1173" s="100">
        <v>28</v>
      </c>
      <c r="G1173" s="69" t="s">
        <v>1441</v>
      </c>
      <c r="J1173" s="69">
        <v>28</v>
      </c>
    </row>
    <row r="1174" spans="1:10" x14ac:dyDescent="0.2">
      <c r="A1174" s="69">
        <v>20000000821</v>
      </c>
      <c r="B1174" s="69" t="s">
        <v>220</v>
      </c>
      <c r="C1174" s="100" t="e">
        <v>#N/A</v>
      </c>
      <c r="D1174" s="69" t="e">
        <v>#N/A</v>
      </c>
      <c r="E1174" s="69" t="e">
        <v>#N/A</v>
      </c>
      <c r="F1174" s="69" t="s">
        <v>275</v>
      </c>
      <c r="G1174" s="69" t="s">
        <v>306</v>
      </c>
      <c r="H1174" s="69">
        <v>0</v>
      </c>
      <c r="I1174" s="69" t="s">
        <v>247</v>
      </c>
      <c r="J1174" s="69">
        <v>42</v>
      </c>
    </row>
    <row r="1175" spans="1:10" x14ac:dyDescent="0.2">
      <c r="A1175" s="69">
        <v>20000000822</v>
      </c>
      <c r="C1175" s="100">
        <v>28</v>
      </c>
      <c r="G1175" s="69" t="s">
        <v>1442</v>
      </c>
      <c r="H1175" s="69">
        <v>0</v>
      </c>
      <c r="J1175" s="69">
        <v>42</v>
      </c>
    </row>
    <row r="1176" spans="1:10" x14ac:dyDescent="0.2">
      <c r="A1176" s="69">
        <v>20000000829</v>
      </c>
      <c r="C1176" s="100">
        <v>28</v>
      </c>
      <c r="G1176" s="69" t="s">
        <v>1443</v>
      </c>
      <c r="J1176" s="69">
        <v>28</v>
      </c>
    </row>
    <row r="1177" spans="1:10" x14ac:dyDescent="0.2">
      <c r="A1177" s="69">
        <v>20000000836</v>
      </c>
      <c r="B1177" s="69" t="s">
        <v>220</v>
      </c>
      <c r="C1177" s="100" t="e">
        <v>#N/A</v>
      </c>
      <c r="D1177" s="69" t="e">
        <v>#N/A</v>
      </c>
      <c r="E1177" s="69" t="e">
        <v>#N/A</v>
      </c>
      <c r="F1177" s="69" t="s">
        <v>275</v>
      </c>
      <c r="G1177" s="69" t="s">
        <v>305</v>
      </c>
      <c r="H1177" s="69">
        <v>0</v>
      </c>
      <c r="I1177" s="69" t="s">
        <v>247</v>
      </c>
      <c r="J1177" s="69">
        <v>42</v>
      </c>
    </row>
    <row r="1178" spans="1:10" x14ac:dyDescent="0.2">
      <c r="A1178" s="69">
        <v>20000000837</v>
      </c>
      <c r="B1178" s="69" t="s">
        <v>254</v>
      </c>
      <c r="C1178" s="100" t="e">
        <v>#N/A</v>
      </c>
      <c r="D1178" s="69" t="e">
        <v>#N/A</v>
      </c>
      <c r="E1178" s="69" t="e">
        <v>#N/A</v>
      </c>
      <c r="F1178" s="69" t="s">
        <v>275</v>
      </c>
      <c r="G1178" s="69" t="s">
        <v>304</v>
      </c>
      <c r="H1178" s="69">
        <v>45</v>
      </c>
      <c r="I1178" s="69" t="s">
        <v>253</v>
      </c>
      <c r="J1178" s="69">
        <v>42</v>
      </c>
    </row>
    <row r="1179" spans="1:10" x14ac:dyDescent="0.2">
      <c r="A1179" s="69">
        <v>20000000838</v>
      </c>
      <c r="C1179" s="100">
        <v>28</v>
      </c>
      <c r="G1179" s="69" t="s">
        <v>178</v>
      </c>
      <c r="H1179" s="69">
        <v>45</v>
      </c>
      <c r="J1179" s="69">
        <v>42</v>
      </c>
    </row>
    <row r="1180" spans="1:10" x14ac:dyDescent="0.2">
      <c r="A1180" s="69">
        <v>20000000839</v>
      </c>
      <c r="B1180" s="69" t="s">
        <v>250</v>
      </c>
      <c r="C1180" s="100" t="e">
        <v>#N/A</v>
      </c>
      <c r="D1180" s="69" t="e">
        <v>#N/A</v>
      </c>
      <c r="E1180" s="69" t="e">
        <v>#N/A</v>
      </c>
      <c r="F1180" s="69" t="s">
        <v>275</v>
      </c>
      <c r="G1180" s="69" t="s">
        <v>304</v>
      </c>
      <c r="H1180" s="69">
        <v>45</v>
      </c>
      <c r="I1180" s="69" t="s">
        <v>249</v>
      </c>
      <c r="J1180" s="69">
        <v>42</v>
      </c>
    </row>
    <row r="1181" spans="1:10" x14ac:dyDescent="0.2">
      <c r="A1181" s="69">
        <v>20000000840</v>
      </c>
      <c r="B1181" s="69" t="s">
        <v>220</v>
      </c>
      <c r="C1181" s="100" t="e">
        <v>#N/A</v>
      </c>
      <c r="D1181" s="69" t="e">
        <v>#N/A</v>
      </c>
      <c r="E1181" s="69" t="e">
        <v>#N/A</v>
      </c>
      <c r="F1181" s="69" t="s">
        <v>303</v>
      </c>
      <c r="G1181" s="69" t="s">
        <v>302</v>
      </c>
      <c r="H1181" s="69">
        <v>0</v>
      </c>
      <c r="I1181" s="69" t="s">
        <v>247</v>
      </c>
      <c r="J1181" s="69">
        <v>42</v>
      </c>
    </row>
    <row r="1182" spans="1:10" x14ac:dyDescent="0.2">
      <c r="A1182" s="69">
        <v>20000000841</v>
      </c>
      <c r="B1182" s="69" t="s">
        <v>220</v>
      </c>
      <c r="C1182" s="100" t="e">
        <v>#N/A</v>
      </c>
      <c r="D1182" s="69" t="e">
        <v>#N/A</v>
      </c>
      <c r="E1182" s="69" t="e">
        <v>#N/A</v>
      </c>
      <c r="F1182" s="69" t="s">
        <v>275</v>
      </c>
      <c r="G1182" s="69" t="s">
        <v>301</v>
      </c>
      <c r="H1182" s="69">
        <v>0</v>
      </c>
      <c r="I1182" s="69" t="s">
        <v>247</v>
      </c>
      <c r="J1182" s="69">
        <v>42</v>
      </c>
    </row>
    <row r="1183" spans="1:10" x14ac:dyDescent="0.2">
      <c r="A1183" s="69">
        <v>20000000842</v>
      </c>
      <c r="B1183" s="69" t="s">
        <v>221</v>
      </c>
      <c r="C1183" s="100" t="e">
        <v>#N/A</v>
      </c>
      <c r="D1183" s="69" t="e">
        <v>#N/A</v>
      </c>
      <c r="E1183" s="69" t="e">
        <v>#N/A</v>
      </c>
      <c r="F1183" s="69" t="s">
        <v>275</v>
      </c>
      <c r="G1183" s="69" t="s">
        <v>300</v>
      </c>
      <c r="H1183" s="69">
        <v>0</v>
      </c>
      <c r="I1183" s="69" t="s">
        <v>257</v>
      </c>
      <c r="J1183" s="69">
        <v>42</v>
      </c>
    </row>
    <row r="1184" spans="1:10" x14ac:dyDescent="0.2">
      <c r="A1184" s="69">
        <v>20000000844</v>
      </c>
      <c r="C1184" s="100">
        <v>28</v>
      </c>
      <c r="G1184" s="69" t="s">
        <v>195</v>
      </c>
      <c r="J1184" s="69">
        <v>28</v>
      </c>
    </row>
    <row r="1185" spans="1:10" x14ac:dyDescent="0.2">
      <c r="A1185" s="69">
        <v>20000000847</v>
      </c>
      <c r="B1185" s="69" t="s">
        <v>220</v>
      </c>
      <c r="C1185" s="100" t="e">
        <v>#N/A</v>
      </c>
      <c r="D1185" s="69" t="e">
        <v>#N/A</v>
      </c>
      <c r="E1185" s="69" t="e">
        <v>#N/A</v>
      </c>
      <c r="F1185" s="69" t="s">
        <v>275</v>
      </c>
      <c r="G1185" s="69" t="s">
        <v>168</v>
      </c>
      <c r="H1185" s="69">
        <v>0</v>
      </c>
      <c r="I1185" s="69" t="s">
        <v>247</v>
      </c>
      <c r="J1185" s="69">
        <v>42</v>
      </c>
    </row>
    <row r="1186" spans="1:10" x14ac:dyDescent="0.2">
      <c r="A1186" s="69">
        <v>20000000850</v>
      </c>
      <c r="C1186" s="100">
        <v>23</v>
      </c>
      <c r="G1186" s="69" t="s">
        <v>189</v>
      </c>
      <c r="J1186" s="69">
        <v>23</v>
      </c>
    </row>
    <row r="1187" spans="1:10" x14ac:dyDescent="0.2">
      <c r="A1187" s="69">
        <v>20000000851</v>
      </c>
      <c r="B1187" s="69" t="s">
        <v>220</v>
      </c>
      <c r="C1187" s="100" t="e">
        <v>#N/A</v>
      </c>
      <c r="D1187" s="69" t="e">
        <v>#N/A</v>
      </c>
      <c r="E1187" s="69" t="e">
        <v>#N/A</v>
      </c>
      <c r="F1187" s="69" t="s">
        <v>275</v>
      </c>
      <c r="G1187" s="69" t="s">
        <v>299</v>
      </c>
      <c r="H1187" s="69">
        <v>0</v>
      </c>
      <c r="I1187" s="69" t="s">
        <v>247</v>
      </c>
      <c r="J1187" s="69">
        <v>42</v>
      </c>
    </row>
    <row r="1188" spans="1:10" x14ac:dyDescent="0.2">
      <c r="A1188" s="69">
        <v>20000000852</v>
      </c>
      <c r="B1188" s="69" t="s">
        <v>262</v>
      </c>
      <c r="C1188" s="100" t="e">
        <v>#N/A</v>
      </c>
      <c r="D1188" s="69" t="e">
        <v>#N/A</v>
      </c>
      <c r="E1188" s="69" t="e">
        <v>#N/A</v>
      </c>
      <c r="F1188" s="69" t="s">
        <v>275</v>
      </c>
      <c r="G1188" s="69" t="s">
        <v>298</v>
      </c>
      <c r="H1188" s="69">
        <v>0</v>
      </c>
      <c r="I1188" s="69" t="s">
        <v>261</v>
      </c>
      <c r="J1188" s="69">
        <v>42</v>
      </c>
    </row>
    <row r="1189" spans="1:10" x14ac:dyDescent="0.2">
      <c r="A1189" s="69">
        <v>20000000857</v>
      </c>
      <c r="B1189" s="69" t="s">
        <v>220</v>
      </c>
      <c r="C1189" s="100" t="e">
        <v>#N/A</v>
      </c>
      <c r="D1189" s="69" t="e">
        <v>#N/A</v>
      </c>
      <c r="E1189" s="69" t="e">
        <v>#N/A</v>
      </c>
      <c r="F1189" s="69" t="s">
        <v>275</v>
      </c>
      <c r="G1189" s="69" t="s">
        <v>297</v>
      </c>
      <c r="H1189" s="69">
        <v>0</v>
      </c>
      <c r="I1189" s="69" t="s">
        <v>247</v>
      </c>
      <c r="J1189" s="69">
        <v>42</v>
      </c>
    </row>
    <row r="1190" spans="1:10" x14ac:dyDescent="0.2">
      <c r="A1190" s="69">
        <v>20000000858</v>
      </c>
      <c r="C1190" s="100">
        <v>23</v>
      </c>
      <c r="G1190" s="69" t="s">
        <v>1295</v>
      </c>
      <c r="J1190" s="69">
        <v>23</v>
      </c>
    </row>
    <row r="1191" spans="1:10" x14ac:dyDescent="0.2">
      <c r="A1191" s="69">
        <v>20000000863</v>
      </c>
      <c r="C1191" s="100">
        <v>23</v>
      </c>
      <c r="G1191" s="69" t="s">
        <v>183</v>
      </c>
      <c r="J1191" s="69">
        <v>23</v>
      </c>
    </row>
    <row r="1192" spans="1:10" x14ac:dyDescent="0.2">
      <c r="A1192" s="69">
        <v>20000000864</v>
      </c>
      <c r="B1192" s="69" t="s">
        <v>290</v>
      </c>
      <c r="C1192" s="100" t="e">
        <v>#N/A</v>
      </c>
      <c r="D1192" s="69" t="e">
        <v>#N/A</v>
      </c>
      <c r="E1192" s="69" t="e">
        <v>#N/A</v>
      </c>
      <c r="F1192" s="69" t="s">
        <v>275</v>
      </c>
      <c r="G1192" s="69" t="s">
        <v>295</v>
      </c>
      <c r="H1192" s="69">
        <v>3</v>
      </c>
      <c r="I1192" s="69" t="s">
        <v>289</v>
      </c>
      <c r="J1192" s="69">
        <v>24</v>
      </c>
    </row>
    <row r="1193" spans="1:10" x14ac:dyDescent="0.2">
      <c r="A1193" s="69">
        <v>20000000865</v>
      </c>
      <c r="B1193" s="69" t="s">
        <v>220</v>
      </c>
      <c r="C1193" s="100" t="e">
        <v>#N/A</v>
      </c>
      <c r="D1193" s="69" t="e">
        <v>#N/A</v>
      </c>
      <c r="E1193" s="69" t="e">
        <v>#N/A</v>
      </c>
      <c r="F1193" s="69" t="s">
        <v>275</v>
      </c>
      <c r="G1193" s="69" t="s">
        <v>295</v>
      </c>
      <c r="H1193" s="69">
        <v>0</v>
      </c>
      <c r="I1193" s="69" t="s">
        <v>247</v>
      </c>
      <c r="J1193" s="69">
        <v>42</v>
      </c>
    </row>
    <row r="1194" spans="1:10" x14ac:dyDescent="0.2">
      <c r="A1194" s="69">
        <v>20000000866</v>
      </c>
      <c r="B1194" s="69" t="s">
        <v>262</v>
      </c>
      <c r="C1194" s="100" t="e">
        <v>#N/A</v>
      </c>
      <c r="D1194" s="69" t="e">
        <v>#N/A</v>
      </c>
      <c r="E1194" s="69" t="e">
        <v>#N/A</v>
      </c>
      <c r="F1194" s="69" t="s">
        <v>293</v>
      </c>
      <c r="G1194" s="69" t="s">
        <v>294</v>
      </c>
      <c r="H1194" s="69">
        <v>0</v>
      </c>
      <c r="I1194" s="69" t="s">
        <v>261</v>
      </c>
      <c r="J1194" s="69">
        <v>42</v>
      </c>
    </row>
    <row r="1195" spans="1:10" x14ac:dyDescent="0.2">
      <c r="A1195" s="69">
        <v>20000000868</v>
      </c>
      <c r="C1195" s="100">
        <v>23</v>
      </c>
      <c r="G1195" s="69" t="s">
        <v>1296</v>
      </c>
      <c r="J1195" s="69">
        <v>23</v>
      </c>
    </row>
    <row r="1196" spans="1:10" x14ac:dyDescent="0.2">
      <c r="A1196" s="69">
        <v>20000000878</v>
      </c>
      <c r="B1196" s="69" t="s">
        <v>220</v>
      </c>
      <c r="C1196" s="100" t="e">
        <v>#N/A</v>
      </c>
      <c r="D1196" s="69" t="e">
        <v>#N/A</v>
      </c>
      <c r="E1196" s="69" t="e">
        <v>#N/A</v>
      </c>
      <c r="G1196" s="69" t="s">
        <v>292</v>
      </c>
      <c r="H1196" s="69">
        <v>0</v>
      </c>
      <c r="I1196" s="69" t="s">
        <v>247</v>
      </c>
      <c r="J1196" s="69">
        <v>42</v>
      </c>
    </row>
    <row r="1197" spans="1:10" x14ac:dyDescent="0.2">
      <c r="A1197" s="69">
        <v>20000000879</v>
      </c>
      <c r="B1197" s="69" t="s">
        <v>290</v>
      </c>
      <c r="C1197" s="100" t="e">
        <v>#N/A</v>
      </c>
      <c r="D1197" s="69" t="s">
        <v>1270</v>
      </c>
      <c r="E1197" s="69" t="s">
        <v>1242</v>
      </c>
      <c r="F1197" s="69" t="s">
        <v>275</v>
      </c>
      <c r="G1197" s="69" t="s">
        <v>291</v>
      </c>
      <c r="H1197" s="69">
        <v>5</v>
      </c>
      <c r="I1197" s="69" t="s">
        <v>289</v>
      </c>
      <c r="J1197" s="69">
        <v>24</v>
      </c>
    </row>
    <row r="1198" spans="1:10" x14ac:dyDescent="0.2">
      <c r="A1198" s="69">
        <v>20000000880</v>
      </c>
      <c r="B1198" s="69" t="s">
        <v>220</v>
      </c>
      <c r="C1198" s="100" t="e">
        <v>#N/A</v>
      </c>
      <c r="D1198" s="69" t="e">
        <v>#N/A</v>
      </c>
      <c r="E1198" s="69" t="e">
        <v>#N/A</v>
      </c>
      <c r="F1198" s="69" t="s">
        <v>275</v>
      </c>
      <c r="G1198" s="69" t="s">
        <v>291</v>
      </c>
      <c r="H1198" s="69">
        <v>0</v>
      </c>
      <c r="I1198" s="69" t="s">
        <v>247</v>
      </c>
      <c r="J1198" s="69">
        <v>42</v>
      </c>
    </row>
    <row r="1199" spans="1:10" x14ac:dyDescent="0.2">
      <c r="A1199" s="69">
        <v>20000000881</v>
      </c>
      <c r="B1199" s="69" t="s">
        <v>290</v>
      </c>
      <c r="C1199" s="100" t="e">
        <v>#N/A</v>
      </c>
      <c r="D1199" s="69" t="e">
        <v>#N/A</v>
      </c>
      <c r="E1199" s="69" t="e">
        <v>#N/A</v>
      </c>
      <c r="F1199" s="69" t="s">
        <v>275</v>
      </c>
      <c r="G1199" s="69" t="s">
        <v>288</v>
      </c>
      <c r="H1199" s="69">
        <v>5</v>
      </c>
      <c r="I1199" s="69" t="s">
        <v>289</v>
      </c>
      <c r="J1199" s="69">
        <v>24</v>
      </c>
    </row>
    <row r="1200" spans="1:10" x14ac:dyDescent="0.2">
      <c r="A1200" s="69">
        <v>20000000882</v>
      </c>
      <c r="B1200" s="69" t="s">
        <v>220</v>
      </c>
      <c r="C1200" s="100" t="e">
        <v>#N/A</v>
      </c>
      <c r="D1200" s="69" t="e">
        <v>#N/A</v>
      </c>
      <c r="E1200" s="69" t="e">
        <v>#N/A</v>
      </c>
      <c r="F1200" s="69" t="s">
        <v>275</v>
      </c>
      <c r="G1200" s="69" t="s">
        <v>288</v>
      </c>
      <c r="H1200" s="69">
        <v>0</v>
      </c>
      <c r="I1200" s="69" t="s">
        <v>247</v>
      </c>
      <c r="J1200" s="69">
        <v>42</v>
      </c>
    </row>
    <row r="1201" spans="1:10" x14ac:dyDescent="0.2">
      <c r="A1201" s="69">
        <v>20000000885</v>
      </c>
      <c r="C1201" s="100">
        <v>23</v>
      </c>
      <c r="G1201" s="69" t="s">
        <v>160</v>
      </c>
      <c r="J1201" s="69">
        <v>23</v>
      </c>
    </row>
    <row r="1202" spans="1:10" x14ac:dyDescent="0.2">
      <c r="A1202" s="69">
        <v>20000000890</v>
      </c>
      <c r="C1202" s="100">
        <v>23</v>
      </c>
      <c r="G1202" s="69" t="s">
        <v>1297</v>
      </c>
      <c r="H1202" s="69">
        <v>0</v>
      </c>
      <c r="J1202" s="69">
        <v>42</v>
      </c>
    </row>
    <row r="1203" spans="1:10" x14ac:dyDescent="0.2">
      <c r="A1203" s="69">
        <v>20000000891</v>
      </c>
      <c r="B1203" s="69" t="s">
        <v>252</v>
      </c>
      <c r="C1203" s="100" t="e">
        <v>#N/A</v>
      </c>
      <c r="D1203" s="69" t="e">
        <v>#N/A</v>
      </c>
      <c r="E1203" s="69" t="e">
        <v>#N/A</v>
      </c>
      <c r="F1203" s="69" t="s">
        <v>246</v>
      </c>
      <c r="G1203" s="69" t="s">
        <v>287</v>
      </c>
      <c r="H1203" s="69">
        <v>45</v>
      </c>
      <c r="I1203" s="69" t="s">
        <v>251</v>
      </c>
      <c r="J1203" s="69">
        <v>42</v>
      </c>
    </row>
    <row r="1204" spans="1:10" x14ac:dyDescent="0.2">
      <c r="A1204" s="69">
        <v>20000000892</v>
      </c>
      <c r="B1204" s="69" t="s">
        <v>220</v>
      </c>
      <c r="C1204" s="100" t="e">
        <v>#N/A</v>
      </c>
      <c r="D1204" s="69" t="e">
        <v>#N/A</v>
      </c>
      <c r="E1204" s="69" t="e">
        <v>#N/A</v>
      </c>
      <c r="F1204" s="69" t="s">
        <v>246</v>
      </c>
      <c r="G1204" s="69" t="s">
        <v>286</v>
      </c>
      <c r="H1204" s="69">
        <v>0</v>
      </c>
      <c r="I1204" s="69" t="s">
        <v>247</v>
      </c>
      <c r="J1204" s="69">
        <v>42</v>
      </c>
    </row>
    <row r="1205" spans="1:10" x14ac:dyDescent="0.2">
      <c r="A1205" s="69">
        <v>20000000893</v>
      </c>
      <c r="B1205" s="69" t="s">
        <v>221</v>
      </c>
      <c r="C1205" s="100" t="e">
        <v>#N/A</v>
      </c>
      <c r="D1205" s="69" t="e">
        <v>#N/A</v>
      </c>
      <c r="E1205" s="69" t="e">
        <v>#N/A</v>
      </c>
      <c r="F1205" s="69" t="s">
        <v>246</v>
      </c>
      <c r="G1205" s="69" t="s">
        <v>285</v>
      </c>
      <c r="H1205" s="69">
        <v>0</v>
      </c>
      <c r="I1205" s="69" t="s">
        <v>257</v>
      </c>
      <c r="J1205" s="69">
        <v>42</v>
      </c>
    </row>
    <row r="1206" spans="1:10" x14ac:dyDescent="0.2">
      <c r="A1206" s="69">
        <v>20000000894</v>
      </c>
      <c r="C1206" s="100">
        <v>23</v>
      </c>
      <c r="G1206" s="69" t="s">
        <v>1298</v>
      </c>
      <c r="J1206" s="69">
        <v>23</v>
      </c>
    </row>
    <row r="1207" spans="1:10" x14ac:dyDescent="0.2">
      <c r="A1207" s="69">
        <v>20000000897</v>
      </c>
      <c r="C1207" s="100">
        <v>23</v>
      </c>
      <c r="G1207" s="69" t="s">
        <v>1732</v>
      </c>
      <c r="J1207" s="69">
        <v>23</v>
      </c>
    </row>
    <row r="1208" spans="1:10" x14ac:dyDescent="0.2">
      <c r="A1208" s="69">
        <v>20000000901</v>
      </c>
      <c r="B1208" s="69" t="s">
        <v>220</v>
      </c>
      <c r="C1208" s="100" t="e">
        <v>#N/A</v>
      </c>
      <c r="D1208" s="69" t="e">
        <v>#N/A</v>
      </c>
      <c r="E1208" s="69" t="e">
        <v>#N/A</v>
      </c>
      <c r="F1208" s="69" t="s">
        <v>246</v>
      </c>
      <c r="G1208" s="69" t="s">
        <v>284</v>
      </c>
      <c r="H1208" s="69">
        <v>0</v>
      </c>
      <c r="I1208" s="69" t="s">
        <v>247</v>
      </c>
      <c r="J1208" s="69">
        <v>42</v>
      </c>
    </row>
    <row r="1209" spans="1:10" x14ac:dyDescent="0.2">
      <c r="A1209" s="69">
        <v>20000000906</v>
      </c>
      <c r="C1209" s="100">
        <v>19</v>
      </c>
      <c r="G1209" s="69" t="s">
        <v>1260</v>
      </c>
      <c r="H1209" s="69">
        <v>0</v>
      </c>
      <c r="J1209" s="69">
        <v>42</v>
      </c>
    </row>
    <row r="1210" spans="1:10" x14ac:dyDescent="0.2">
      <c r="A1210" s="69">
        <v>20000000909</v>
      </c>
      <c r="C1210" s="100">
        <v>19</v>
      </c>
      <c r="G1210" s="69" t="s">
        <v>1261</v>
      </c>
      <c r="J1210" s="69">
        <v>19</v>
      </c>
    </row>
    <row r="1211" spans="1:10" x14ac:dyDescent="0.2">
      <c r="A1211" s="69">
        <v>20000000913</v>
      </c>
      <c r="B1211" s="69" t="s">
        <v>220</v>
      </c>
      <c r="C1211" s="100" t="e">
        <v>#N/A</v>
      </c>
      <c r="D1211" s="69" t="s">
        <v>80</v>
      </c>
      <c r="E1211" s="69" t="s">
        <v>1242</v>
      </c>
      <c r="F1211" s="69" t="s">
        <v>246</v>
      </c>
      <c r="G1211" s="69" t="s">
        <v>283</v>
      </c>
      <c r="H1211" s="69">
        <v>0</v>
      </c>
      <c r="I1211" s="69" t="s">
        <v>247</v>
      </c>
      <c r="J1211" s="69">
        <v>42</v>
      </c>
    </row>
    <row r="1212" spans="1:10" x14ac:dyDescent="0.2">
      <c r="A1212" s="69">
        <v>20000000974</v>
      </c>
      <c r="C1212" s="100">
        <v>28</v>
      </c>
      <c r="G1212" s="69" t="s">
        <v>1695</v>
      </c>
      <c r="H1212" s="69">
        <v>0</v>
      </c>
      <c r="J1212" s="69">
        <v>42</v>
      </c>
    </row>
    <row r="1213" spans="1:10" x14ac:dyDescent="0.2">
      <c r="A1213" s="69">
        <v>20000000989</v>
      </c>
      <c r="B1213" s="69" t="s">
        <v>262</v>
      </c>
      <c r="C1213" s="100" t="e">
        <v>#N/A</v>
      </c>
      <c r="D1213" s="69" t="s">
        <v>1440</v>
      </c>
      <c r="E1213" s="69" t="s">
        <v>1242</v>
      </c>
      <c r="F1213" s="69" t="s">
        <v>246</v>
      </c>
      <c r="G1213" s="69" t="s">
        <v>282</v>
      </c>
      <c r="H1213" s="69">
        <v>0</v>
      </c>
      <c r="I1213" s="69" t="s">
        <v>261</v>
      </c>
      <c r="J1213" s="69">
        <v>42</v>
      </c>
    </row>
    <row r="1214" spans="1:10" x14ac:dyDescent="0.2">
      <c r="A1214" s="69">
        <v>20000001077</v>
      </c>
      <c r="C1214" s="100">
        <v>23</v>
      </c>
      <c r="G1214" s="69" t="s">
        <v>1696</v>
      </c>
      <c r="J1214" s="69">
        <v>23</v>
      </c>
    </row>
    <row r="1215" spans="1:10" x14ac:dyDescent="0.2">
      <c r="A1215" s="69">
        <v>20000001112</v>
      </c>
      <c r="C1215" s="100">
        <v>23</v>
      </c>
      <c r="G1215" s="69" t="s">
        <v>1299</v>
      </c>
      <c r="J1215" s="69">
        <v>23</v>
      </c>
    </row>
    <row r="1216" spans="1:10" x14ac:dyDescent="0.2">
      <c r="A1216" s="69">
        <v>20000001115</v>
      </c>
      <c r="C1216" s="100">
        <v>23</v>
      </c>
      <c r="G1216" s="69" t="s">
        <v>1300</v>
      </c>
      <c r="J1216" s="69">
        <v>23</v>
      </c>
    </row>
    <row r="1217" spans="1:10" x14ac:dyDescent="0.2">
      <c r="A1217" s="69">
        <v>20000001136</v>
      </c>
      <c r="C1217" s="100">
        <v>28</v>
      </c>
      <c r="G1217" s="69" t="s">
        <v>1444</v>
      </c>
      <c r="H1217" s="69">
        <v>45</v>
      </c>
      <c r="J1217" s="69">
        <v>42</v>
      </c>
    </row>
    <row r="1218" spans="1:10" x14ac:dyDescent="0.2">
      <c r="A1218" s="69">
        <v>20000001436</v>
      </c>
      <c r="B1218" s="69" t="s">
        <v>250</v>
      </c>
      <c r="C1218" s="100" t="e">
        <v>#N/A</v>
      </c>
      <c r="D1218" s="69" t="s">
        <v>84</v>
      </c>
      <c r="E1218" s="69" t="s">
        <v>1241</v>
      </c>
      <c r="F1218" s="69" t="s">
        <v>246</v>
      </c>
      <c r="G1218" s="69" t="s">
        <v>281</v>
      </c>
      <c r="H1218" s="69">
        <v>45</v>
      </c>
      <c r="I1218" s="69" t="s">
        <v>249</v>
      </c>
      <c r="J1218" s="69">
        <v>42</v>
      </c>
    </row>
    <row r="1219" spans="1:10" x14ac:dyDescent="0.2">
      <c r="A1219" s="69">
        <v>20000001536</v>
      </c>
      <c r="B1219" s="93" t="s">
        <v>1646</v>
      </c>
      <c r="C1219" s="102" t="s">
        <v>1646</v>
      </c>
      <c r="G1219" s="69" t="s">
        <v>1310</v>
      </c>
      <c r="J1219" s="69">
        <v>24</v>
      </c>
    </row>
    <row r="1220" spans="1:10" x14ac:dyDescent="0.2">
      <c r="A1220" s="69">
        <v>20000001537</v>
      </c>
      <c r="C1220" s="100">
        <v>19</v>
      </c>
      <c r="G1220" s="69" t="s">
        <v>1697</v>
      </c>
      <c r="H1220" s="69">
        <v>0</v>
      </c>
      <c r="J1220" s="69">
        <v>42</v>
      </c>
    </row>
    <row r="1221" spans="1:10" x14ac:dyDescent="0.2">
      <c r="A1221" s="69">
        <v>20000001538</v>
      </c>
      <c r="B1221" s="69" t="s">
        <v>262</v>
      </c>
      <c r="C1221" s="100" t="e">
        <v>#N/A</v>
      </c>
      <c r="D1221" s="69" t="s">
        <v>1302</v>
      </c>
      <c r="E1221" s="69" t="s">
        <v>1241</v>
      </c>
      <c r="F1221" s="69" t="s">
        <v>275</v>
      </c>
      <c r="G1221" s="69" t="s">
        <v>280</v>
      </c>
      <c r="H1221" s="69">
        <v>0</v>
      </c>
      <c r="I1221" s="69" t="s">
        <v>261</v>
      </c>
      <c r="J1221" s="69">
        <v>42</v>
      </c>
    </row>
    <row r="1222" spans="1:10" x14ac:dyDescent="0.2">
      <c r="A1222" s="69">
        <v>20000001636</v>
      </c>
      <c r="B1222" s="93" t="s">
        <v>1646</v>
      </c>
      <c r="C1222" s="102" t="s">
        <v>1646</v>
      </c>
      <c r="E1222" s="69" t="s">
        <v>1646</v>
      </c>
      <c r="G1222" s="69" t="s">
        <v>1311</v>
      </c>
      <c r="J1222" s="69">
        <v>24</v>
      </c>
    </row>
    <row r="1223" spans="1:10" x14ac:dyDescent="0.2">
      <c r="A1223" s="69">
        <v>20000002721</v>
      </c>
      <c r="B1223" s="69" t="s">
        <v>220</v>
      </c>
      <c r="C1223" s="100" t="e">
        <v>#N/A</v>
      </c>
      <c r="D1223" s="69" t="e">
        <v>#N/A</v>
      </c>
      <c r="E1223" s="69" t="e">
        <v>#N/A</v>
      </c>
      <c r="F1223" s="69" t="s">
        <v>275</v>
      </c>
      <c r="G1223" s="69" t="s">
        <v>279</v>
      </c>
      <c r="H1223" s="69">
        <v>0</v>
      </c>
      <c r="I1223" s="69" t="s">
        <v>247</v>
      </c>
      <c r="J1223" s="69">
        <v>42</v>
      </c>
    </row>
    <row r="1224" spans="1:10" x14ac:dyDescent="0.2">
      <c r="A1224" s="69">
        <v>20000002736</v>
      </c>
      <c r="C1224" s="100">
        <v>28</v>
      </c>
      <c r="G1224" s="69" t="s">
        <v>1698</v>
      </c>
      <c r="H1224" s="69">
        <v>0</v>
      </c>
      <c r="J1224" s="69">
        <v>42</v>
      </c>
    </row>
    <row r="1225" spans="1:10" x14ac:dyDescent="0.2">
      <c r="A1225" s="69">
        <v>20000003622</v>
      </c>
      <c r="B1225" s="69" t="s">
        <v>220</v>
      </c>
      <c r="C1225" s="100" t="e">
        <v>#N/A</v>
      </c>
      <c r="D1225" s="69" t="s">
        <v>84</v>
      </c>
      <c r="E1225" s="69" t="s">
        <v>1241</v>
      </c>
      <c r="F1225" s="69" t="s">
        <v>275</v>
      </c>
      <c r="G1225" s="69" t="s">
        <v>278</v>
      </c>
      <c r="H1225" s="69">
        <v>0</v>
      </c>
      <c r="I1225" s="69" t="s">
        <v>247</v>
      </c>
      <c r="J1225" s="69">
        <v>42</v>
      </c>
    </row>
    <row r="1226" spans="1:10" x14ac:dyDescent="0.2">
      <c r="A1226" s="69">
        <v>20000003723</v>
      </c>
      <c r="C1226" s="100">
        <v>28</v>
      </c>
      <c r="G1226" s="69" t="s">
        <v>1445</v>
      </c>
      <c r="J1226" s="69">
        <v>28</v>
      </c>
    </row>
    <row r="1227" spans="1:10" x14ac:dyDescent="0.2">
      <c r="A1227" s="69">
        <v>20000004223</v>
      </c>
      <c r="C1227" s="100">
        <v>23</v>
      </c>
      <c r="G1227" s="69" t="s">
        <v>1301</v>
      </c>
      <c r="J1227" s="69">
        <v>23</v>
      </c>
    </row>
    <row r="1228" spans="1:10" x14ac:dyDescent="0.2">
      <c r="A1228" s="69">
        <v>20000004224</v>
      </c>
      <c r="B1228" s="69" t="s">
        <v>221</v>
      </c>
      <c r="C1228" s="100" t="e">
        <v>#N/A</v>
      </c>
      <c r="D1228" s="69" t="e">
        <v>#N/A</v>
      </c>
      <c r="E1228" s="69" t="e">
        <v>#N/A</v>
      </c>
      <c r="F1228" s="69" t="s">
        <v>246</v>
      </c>
      <c r="G1228" s="69" t="s">
        <v>277</v>
      </c>
      <c r="H1228" s="69">
        <v>0</v>
      </c>
      <c r="I1228" s="69" t="s">
        <v>257</v>
      </c>
      <c r="J1228" s="69">
        <v>42</v>
      </c>
    </row>
    <row r="1229" spans="1:10" x14ac:dyDescent="0.2">
      <c r="A1229" s="69">
        <v>20000004423</v>
      </c>
      <c r="C1229" s="100">
        <v>28</v>
      </c>
      <c r="G1229" s="69" t="s">
        <v>1446</v>
      </c>
      <c r="J1229" s="69">
        <v>28</v>
      </c>
    </row>
    <row r="1230" spans="1:10" x14ac:dyDescent="0.2">
      <c r="A1230" s="69">
        <v>20000004525</v>
      </c>
      <c r="C1230" s="100">
        <v>23</v>
      </c>
      <c r="G1230" s="69" t="s">
        <v>1627</v>
      </c>
      <c r="J1230" s="69">
        <v>23</v>
      </c>
    </row>
    <row r="1231" spans="1:10" x14ac:dyDescent="0.2">
      <c r="A1231" s="69">
        <v>20000004529</v>
      </c>
      <c r="C1231" s="100">
        <v>28</v>
      </c>
      <c r="G1231" s="69" t="s">
        <v>1447</v>
      </c>
      <c r="J1231" s="69">
        <v>28</v>
      </c>
    </row>
    <row r="1232" spans="1:10" x14ac:dyDescent="0.2">
      <c r="A1232" s="69">
        <v>20000004729</v>
      </c>
      <c r="C1232" s="100">
        <v>23</v>
      </c>
      <c r="G1232" s="69" t="s">
        <v>1735</v>
      </c>
      <c r="J1232" s="69">
        <v>23</v>
      </c>
    </row>
    <row r="1233" spans="1:10" x14ac:dyDescent="0.2">
      <c r="A1233" s="69">
        <v>20000004822</v>
      </c>
      <c r="C1233" s="100">
        <v>28</v>
      </c>
      <c r="G1233" s="69" t="s">
        <v>1610</v>
      </c>
      <c r="J1233" s="69">
        <v>28</v>
      </c>
    </row>
    <row r="1234" spans="1:10" x14ac:dyDescent="0.2">
      <c r="A1234" s="69">
        <v>20000004830</v>
      </c>
      <c r="B1234" s="93" t="s">
        <v>1646</v>
      </c>
      <c r="C1234" s="102" t="s">
        <v>1646</v>
      </c>
      <c r="G1234" s="69" t="s">
        <v>1636</v>
      </c>
      <c r="J1234" s="69">
        <v>24</v>
      </c>
    </row>
    <row r="1235" spans="1:10" x14ac:dyDescent="0.2">
      <c r="A1235" s="69">
        <v>20000004926</v>
      </c>
      <c r="C1235" s="100">
        <v>23</v>
      </c>
      <c r="G1235" s="69" t="s">
        <v>1617</v>
      </c>
      <c r="J1235" s="69">
        <v>23</v>
      </c>
    </row>
    <row r="1236" spans="1:10" x14ac:dyDescent="0.2">
      <c r="A1236" s="69">
        <v>20000004929</v>
      </c>
      <c r="C1236" s="100">
        <v>23</v>
      </c>
      <c r="G1236" s="69" t="s">
        <v>1655</v>
      </c>
      <c r="J1236" s="69">
        <v>23</v>
      </c>
    </row>
    <row r="1237" spans="1:10" x14ac:dyDescent="0.2">
      <c r="A1237" s="69">
        <v>20000005122</v>
      </c>
      <c r="C1237" s="100">
        <v>28</v>
      </c>
      <c r="G1237" s="69" t="s">
        <v>1654</v>
      </c>
      <c r="J1237" s="69">
        <v>28</v>
      </c>
    </row>
    <row r="1238" spans="1:10" x14ac:dyDescent="0.2">
      <c r="A1238" s="69">
        <v>20000005322</v>
      </c>
      <c r="C1238" s="100">
        <v>23</v>
      </c>
      <c r="G1238" s="69" t="s">
        <v>1699</v>
      </c>
      <c r="J1238" s="69">
        <v>23</v>
      </c>
    </row>
    <row r="1239" spans="1:10" x14ac:dyDescent="0.2">
      <c r="A1239" s="69">
        <v>20000005834</v>
      </c>
      <c r="B1239" s="93" t="s">
        <v>1646</v>
      </c>
      <c r="C1239" s="102" t="s">
        <v>1646</v>
      </c>
      <c r="E1239" s="69" t="s">
        <v>1646</v>
      </c>
      <c r="G1239" s="69" t="s">
        <v>1648</v>
      </c>
      <c r="J1239" s="69">
        <v>24</v>
      </c>
    </row>
    <row r="1240" spans="1:10" x14ac:dyDescent="0.2">
      <c r="A1240" s="69">
        <v>20000005837</v>
      </c>
      <c r="C1240" s="100">
        <v>28</v>
      </c>
      <c r="G1240" s="69" t="s">
        <v>1700</v>
      </c>
      <c r="J1240" s="69">
        <v>28</v>
      </c>
    </row>
    <row r="1241" spans="1:10" x14ac:dyDescent="0.2">
      <c r="A1241" s="69">
        <v>20000005923</v>
      </c>
      <c r="C1241" s="100">
        <v>28</v>
      </c>
      <c r="G1241" s="69" t="s">
        <v>1701</v>
      </c>
      <c r="J1241" s="69">
        <v>28</v>
      </c>
    </row>
    <row r="1242" spans="1:10" x14ac:dyDescent="0.2">
      <c r="A1242" s="69">
        <v>20000005936</v>
      </c>
      <c r="B1242" s="93" t="s">
        <v>1646</v>
      </c>
      <c r="C1242" s="102" t="s">
        <v>1646</v>
      </c>
      <c r="E1242" s="69" t="s">
        <v>1646</v>
      </c>
      <c r="G1242" s="69" t="s">
        <v>1649</v>
      </c>
      <c r="J1242" s="69">
        <v>24</v>
      </c>
    </row>
    <row r="1243" spans="1:10" x14ac:dyDescent="0.2">
      <c r="A1243" s="69">
        <v>20000005937</v>
      </c>
      <c r="C1243" s="100">
        <v>28</v>
      </c>
      <c r="G1243" s="69" t="s">
        <v>1702</v>
      </c>
      <c r="J1243" s="69">
        <v>28</v>
      </c>
    </row>
    <row r="1244" spans="1:10" x14ac:dyDescent="0.2">
      <c r="A1244" s="69">
        <v>20000006022</v>
      </c>
      <c r="B1244" s="93" t="s">
        <v>1646</v>
      </c>
      <c r="C1244" s="102" t="s">
        <v>1646</v>
      </c>
      <c r="E1244" s="69" t="s">
        <v>1646</v>
      </c>
      <c r="G1244" s="69" t="s">
        <v>1650</v>
      </c>
      <c r="J1244" s="69">
        <v>24</v>
      </c>
    </row>
    <row r="1245" spans="1:10" x14ac:dyDescent="0.2">
      <c r="A1245" s="69">
        <v>20000006025</v>
      </c>
      <c r="B1245" s="93" t="s">
        <v>1646</v>
      </c>
      <c r="C1245" s="102" t="s">
        <v>1646</v>
      </c>
      <c r="E1245" s="69" t="s">
        <v>1646</v>
      </c>
      <c r="G1245" s="69" t="s">
        <v>1651</v>
      </c>
      <c r="J1245" s="69">
        <v>24</v>
      </c>
    </row>
    <row r="1246" spans="1:10" x14ac:dyDescent="0.2">
      <c r="A1246" s="69">
        <v>20000006026</v>
      </c>
      <c r="C1246" s="100">
        <v>23</v>
      </c>
      <c r="G1246" s="69" t="s">
        <v>1733</v>
      </c>
      <c r="J1246" s="69">
        <v>23</v>
      </c>
    </row>
    <row r="1247" spans="1:10" x14ac:dyDescent="0.2">
      <c r="A1247" s="69">
        <v>20000006038</v>
      </c>
      <c r="C1247" s="100">
        <v>28</v>
      </c>
      <c r="G1247" s="69" t="s">
        <v>1614</v>
      </c>
      <c r="J1247" s="69">
        <v>28</v>
      </c>
    </row>
    <row r="1248" spans="1:10" x14ac:dyDescent="0.2">
      <c r="A1248" s="69">
        <v>20000006523</v>
      </c>
      <c r="B1248" s="93" t="s">
        <v>1646</v>
      </c>
      <c r="C1248" s="102" t="s">
        <v>1646</v>
      </c>
      <c r="G1248" s="69" t="s">
        <v>1599</v>
      </c>
      <c r="J1248" s="69">
        <v>24</v>
      </c>
    </row>
    <row r="1249" spans="1:10" x14ac:dyDescent="0.2">
      <c r="A1249" s="69">
        <v>20000006538</v>
      </c>
      <c r="C1249" s="100">
        <v>28</v>
      </c>
      <c r="G1249" s="69" t="s">
        <v>1602</v>
      </c>
      <c r="J1249" s="69">
        <v>28</v>
      </c>
    </row>
    <row r="1250" spans="1:10" x14ac:dyDescent="0.2">
      <c r="A1250" s="69">
        <v>20000006539</v>
      </c>
      <c r="C1250" s="100">
        <v>28</v>
      </c>
      <c r="G1250" s="69" t="s">
        <v>1603</v>
      </c>
      <c r="J1250" s="69">
        <v>28</v>
      </c>
    </row>
    <row r="1251" spans="1:10" x14ac:dyDescent="0.2">
      <c r="A1251" s="69">
        <v>20000006541</v>
      </c>
      <c r="C1251" s="100">
        <v>28</v>
      </c>
      <c r="G1251" s="69" t="s">
        <v>1612</v>
      </c>
      <c r="J1251" s="69">
        <v>28</v>
      </c>
    </row>
    <row r="1252" spans="1:10" x14ac:dyDescent="0.2">
      <c r="A1252" s="69">
        <v>40000000051</v>
      </c>
      <c r="C1252" s="100">
        <v>28</v>
      </c>
      <c r="G1252" s="69" t="s">
        <v>1703</v>
      </c>
      <c r="J1252" s="69">
        <v>28</v>
      </c>
    </row>
    <row r="1253" spans="1:10" x14ac:dyDescent="0.2">
      <c r="A1253" s="69">
        <v>50000000059</v>
      </c>
      <c r="C1253" s="100">
        <v>28</v>
      </c>
      <c r="G1253" s="69" t="s">
        <v>1449</v>
      </c>
      <c r="J1253" s="69">
        <v>28</v>
      </c>
    </row>
    <row r="1254" spans="1:10" x14ac:dyDescent="0.2">
      <c r="A1254" s="69">
        <v>50000000060</v>
      </c>
      <c r="C1254" s="100">
        <v>28</v>
      </c>
      <c r="G1254" s="69" t="s">
        <v>117</v>
      </c>
      <c r="J1254" s="69">
        <v>28</v>
      </c>
    </row>
    <row r="1255" spans="1:10" x14ac:dyDescent="0.2">
      <c r="A1255" s="69">
        <v>50000000074</v>
      </c>
      <c r="C1255" s="100">
        <v>28</v>
      </c>
      <c r="G1255" s="69" t="s">
        <v>1450</v>
      </c>
      <c r="J1255" s="69">
        <v>28</v>
      </c>
    </row>
    <row r="1256" spans="1:10" x14ac:dyDescent="0.2">
      <c r="A1256" s="69">
        <v>50000000115</v>
      </c>
      <c r="C1256" s="100">
        <v>23</v>
      </c>
      <c r="G1256" s="69" t="s">
        <v>1312</v>
      </c>
      <c r="J1256" s="69">
        <v>23</v>
      </c>
    </row>
    <row r="1257" spans="1:10" x14ac:dyDescent="0.2">
      <c r="A1257" s="69">
        <v>50000001139</v>
      </c>
      <c r="C1257" s="100">
        <v>28</v>
      </c>
      <c r="G1257" s="69" t="s">
        <v>1704</v>
      </c>
      <c r="J1257" s="69">
        <v>28</v>
      </c>
    </row>
    <row r="1258" spans="1:10" x14ac:dyDescent="0.2">
      <c r="A1258" s="69">
        <v>50000001739</v>
      </c>
      <c r="C1258" s="100">
        <v>23</v>
      </c>
      <c r="G1258" s="69" t="s">
        <v>1734</v>
      </c>
      <c r="J1258" s="69">
        <v>23</v>
      </c>
    </row>
    <row r="1259" spans="1:10" x14ac:dyDescent="0.2">
      <c r="A1259" s="69">
        <v>50000001740</v>
      </c>
      <c r="C1259" s="100">
        <v>23</v>
      </c>
      <c r="G1259" s="69" t="s">
        <v>1705</v>
      </c>
      <c r="J1259" s="69">
        <v>23</v>
      </c>
    </row>
    <row r="1260" spans="1:10" x14ac:dyDescent="0.2">
      <c r="A1260" s="69">
        <v>50000002139</v>
      </c>
      <c r="C1260" s="100">
        <v>23</v>
      </c>
      <c r="G1260" s="69" t="s">
        <v>1706</v>
      </c>
      <c r="J1260" s="69">
        <v>23</v>
      </c>
    </row>
    <row r="1261" spans="1:10" x14ac:dyDescent="0.2">
      <c r="A1261" s="69">
        <v>50000002140</v>
      </c>
      <c r="C1261" s="100">
        <v>23</v>
      </c>
      <c r="G1261" s="69" t="s">
        <v>1707</v>
      </c>
      <c r="J1261" s="69">
        <v>23</v>
      </c>
    </row>
    <row r="1262" spans="1:10" x14ac:dyDescent="0.2">
      <c r="A1262" s="69">
        <v>50000002141</v>
      </c>
      <c r="C1262" s="100">
        <v>23</v>
      </c>
      <c r="G1262" s="69" t="s">
        <v>1708</v>
      </c>
      <c r="J1262" s="69">
        <v>23</v>
      </c>
    </row>
    <row r="1264" spans="1:10" x14ac:dyDescent="0.2">
      <c r="A1264"/>
      <c r="B1264"/>
      <c r="C1264"/>
      <c r="D1264"/>
      <c r="E1264"/>
      <c r="F1264"/>
      <c r="G1264"/>
      <c r="H1264"/>
      <c r="I1264"/>
      <c r="J1264"/>
    </row>
    <row r="1265" spans="1:10" x14ac:dyDescent="0.2">
      <c r="A1265"/>
      <c r="B1265"/>
      <c r="C1265"/>
      <c r="D1265"/>
      <c r="E1265"/>
      <c r="F1265"/>
      <c r="G1265"/>
      <c r="H1265"/>
      <c r="I1265"/>
      <c r="J1265"/>
    </row>
    <row r="1266" spans="1:10" x14ac:dyDescent="0.2">
      <c r="A1266"/>
      <c r="B1266"/>
      <c r="C1266"/>
      <c r="D1266"/>
      <c r="E1266"/>
      <c r="F1266"/>
      <c r="G1266"/>
      <c r="H1266"/>
      <c r="I1266"/>
      <c r="J1266"/>
    </row>
    <row r="1267" spans="1:10" x14ac:dyDescent="0.2">
      <c r="A1267"/>
      <c r="B1267"/>
      <c r="C1267"/>
      <c r="D1267"/>
      <c r="E1267"/>
      <c r="F1267"/>
      <c r="G1267"/>
      <c r="H1267"/>
      <c r="I1267"/>
      <c r="J1267"/>
    </row>
    <row r="1268" spans="1:10" x14ac:dyDescent="0.2">
      <c r="A1268"/>
      <c r="B1268"/>
      <c r="C1268"/>
      <c r="D1268"/>
      <c r="E1268"/>
      <c r="F1268"/>
      <c r="G1268"/>
      <c r="H1268"/>
      <c r="I1268"/>
      <c r="J1268"/>
    </row>
    <row r="1269" spans="1:10" x14ac:dyDescent="0.2">
      <c r="A1269"/>
      <c r="B1269"/>
      <c r="C1269"/>
      <c r="D1269"/>
      <c r="E1269"/>
      <c r="F1269"/>
      <c r="G1269"/>
      <c r="H1269"/>
      <c r="I1269"/>
      <c r="J1269"/>
    </row>
    <row r="1270" spans="1:10" x14ac:dyDescent="0.2">
      <c r="A1270"/>
      <c r="B1270"/>
      <c r="C1270"/>
      <c r="D1270"/>
      <c r="E1270"/>
      <c r="F1270"/>
      <c r="G1270"/>
      <c r="H1270"/>
      <c r="I1270"/>
      <c r="J1270"/>
    </row>
    <row r="1271" spans="1:10" x14ac:dyDescent="0.2">
      <c r="A1271"/>
      <c r="B1271"/>
      <c r="C1271"/>
      <c r="D1271"/>
      <c r="E1271"/>
      <c r="F1271"/>
      <c r="G1271"/>
      <c r="H1271"/>
      <c r="I1271"/>
      <c r="J1271"/>
    </row>
    <row r="1272" spans="1:10" x14ac:dyDescent="0.2">
      <c r="A1272"/>
      <c r="B1272"/>
      <c r="C1272"/>
      <c r="D1272"/>
      <c r="E1272"/>
      <c r="F1272"/>
      <c r="G1272"/>
      <c r="H1272"/>
      <c r="I1272"/>
      <c r="J1272"/>
    </row>
    <row r="1273" spans="1:10" x14ac:dyDescent="0.2">
      <c r="A1273"/>
      <c r="B1273"/>
      <c r="C1273"/>
      <c r="D1273"/>
      <c r="E1273"/>
      <c r="F1273"/>
      <c r="G1273"/>
      <c r="H1273"/>
      <c r="I1273"/>
      <c r="J1273"/>
    </row>
    <row r="1274" spans="1:10" x14ac:dyDescent="0.2">
      <c r="A1274"/>
      <c r="B1274"/>
      <c r="C1274"/>
      <c r="D1274"/>
      <c r="E1274"/>
      <c r="F1274"/>
      <c r="G1274"/>
      <c r="H1274"/>
      <c r="I1274"/>
      <c r="J1274"/>
    </row>
    <row r="1275" spans="1:10" x14ac:dyDescent="0.2">
      <c r="A1275"/>
      <c r="B1275"/>
      <c r="C1275"/>
      <c r="D1275"/>
      <c r="E1275"/>
      <c r="F1275"/>
      <c r="G1275"/>
      <c r="H1275"/>
      <c r="I1275"/>
      <c r="J1275"/>
    </row>
    <row r="1276" spans="1:10" x14ac:dyDescent="0.2">
      <c r="A1276"/>
      <c r="B1276"/>
      <c r="C1276"/>
      <c r="D1276"/>
      <c r="E1276"/>
      <c r="F1276"/>
      <c r="G1276"/>
      <c r="H1276"/>
      <c r="I1276"/>
      <c r="J1276"/>
    </row>
    <row r="1277" spans="1:10" x14ac:dyDescent="0.2">
      <c r="A1277"/>
      <c r="B1277"/>
      <c r="C1277"/>
      <c r="D1277"/>
      <c r="E1277"/>
      <c r="F1277"/>
      <c r="G1277"/>
      <c r="H1277"/>
      <c r="I1277"/>
      <c r="J1277"/>
    </row>
    <row r="1278" spans="1:10" x14ac:dyDescent="0.2">
      <c r="A1278"/>
      <c r="B1278"/>
      <c r="C1278"/>
      <c r="D1278"/>
      <c r="E1278"/>
      <c r="F1278"/>
      <c r="G1278"/>
      <c r="H1278"/>
      <c r="I1278"/>
      <c r="J1278"/>
    </row>
    <row r="1279" spans="1:10" x14ac:dyDescent="0.2">
      <c r="A1279"/>
      <c r="B1279"/>
      <c r="C1279"/>
      <c r="D1279"/>
      <c r="E1279"/>
      <c r="F1279"/>
      <c r="G1279"/>
      <c r="H1279"/>
      <c r="I1279"/>
      <c r="J1279"/>
    </row>
    <row r="1280" spans="1:10" x14ac:dyDescent="0.2">
      <c r="A1280"/>
      <c r="B1280"/>
      <c r="C1280"/>
      <c r="D1280"/>
      <c r="E1280"/>
      <c r="F1280"/>
      <c r="G1280"/>
      <c r="H1280"/>
      <c r="I1280"/>
      <c r="J1280"/>
    </row>
    <row r="1281" spans="1:10" x14ac:dyDescent="0.2">
      <c r="A1281"/>
      <c r="B1281"/>
      <c r="C1281"/>
      <c r="D1281"/>
      <c r="E1281"/>
      <c r="F1281"/>
      <c r="G1281"/>
      <c r="H1281"/>
      <c r="I1281"/>
      <c r="J1281"/>
    </row>
    <row r="1282" spans="1:10" x14ac:dyDescent="0.2">
      <c r="A1282"/>
      <c r="B1282"/>
      <c r="C1282"/>
      <c r="D1282"/>
      <c r="E1282"/>
      <c r="F1282"/>
      <c r="G1282"/>
      <c r="H1282"/>
      <c r="I1282"/>
      <c r="J1282"/>
    </row>
    <row r="1283" spans="1:10" x14ac:dyDescent="0.2">
      <c r="A1283"/>
      <c r="B1283"/>
      <c r="C1283"/>
      <c r="D1283"/>
      <c r="E1283"/>
      <c r="F1283"/>
      <c r="G1283"/>
      <c r="H1283"/>
      <c r="I1283"/>
      <c r="J1283"/>
    </row>
    <row r="1284" spans="1:10" x14ac:dyDescent="0.2">
      <c r="A1284"/>
      <c r="B1284"/>
      <c r="C1284"/>
      <c r="D1284"/>
      <c r="E1284"/>
      <c r="F1284"/>
      <c r="G1284"/>
      <c r="H1284"/>
      <c r="I1284"/>
      <c r="J1284"/>
    </row>
    <row r="1285" spans="1:10" x14ac:dyDescent="0.2">
      <c r="A1285"/>
      <c r="B1285"/>
      <c r="C1285"/>
      <c r="D1285"/>
      <c r="E1285"/>
      <c r="F1285"/>
      <c r="G1285"/>
      <c r="H1285"/>
      <c r="I1285"/>
      <c r="J1285"/>
    </row>
    <row r="1286" spans="1:10" x14ac:dyDescent="0.2">
      <c r="A1286"/>
      <c r="B1286"/>
      <c r="C1286"/>
      <c r="D1286"/>
      <c r="E1286"/>
      <c r="F1286"/>
      <c r="G1286"/>
      <c r="H1286"/>
      <c r="I1286"/>
      <c r="J1286"/>
    </row>
    <row r="1287" spans="1:10" x14ac:dyDescent="0.2">
      <c r="A1287"/>
      <c r="B1287"/>
      <c r="C1287"/>
      <c r="D1287"/>
      <c r="E1287"/>
      <c r="F1287"/>
      <c r="G1287"/>
      <c r="H1287"/>
      <c r="I1287"/>
      <c r="J1287"/>
    </row>
    <row r="1288" spans="1:10" x14ac:dyDescent="0.2">
      <c r="A1288"/>
      <c r="B1288"/>
      <c r="C1288"/>
      <c r="D1288"/>
      <c r="E1288"/>
      <c r="F1288"/>
      <c r="G1288"/>
      <c r="H1288"/>
      <c r="I1288"/>
      <c r="J1288"/>
    </row>
    <row r="1289" spans="1:10" x14ac:dyDescent="0.2">
      <c r="A1289"/>
      <c r="B1289"/>
      <c r="C1289"/>
      <c r="D1289"/>
      <c r="E1289"/>
      <c r="F1289"/>
      <c r="G1289"/>
      <c r="H1289"/>
      <c r="I1289"/>
      <c r="J1289"/>
    </row>
    <row r="1290" spans="1:10" x14ac:dyDescent="0.2">
      <c r="A1290"/>
      <c r="B1290"/>
      <c r="C1290"/>
      <c r="D1290"/>
      <c r="E1290"/>
      <c r="F1290"/>
      <c r="G1290"/>
      <c r="H1290"/>
      <c r="I1290"/>
      <c r="J1290"/>
    </row>
    <row r="1291" spans="1:10" x14ac:dyDescent="0.2">
      <c r="A1291"/>
      <c r="B1291"/>
      <c r="C1291"/>
      <c r="D1291"/>
      <c r="E1291"/>
      <c r="F1291"/>
      <c r="G1291"/>
      <c r="H1291"/>
      <c r="I1291"/>
      <c r="J1291"/>
    </row>
    <row r="1292" spans="1:10" x14ac:dyDescent="0.2">
      <c r="A1292"/>
      <c r="B1292"/>
      <c r="C1292"/>
      <c r="D1292"/>
      <c r="E1292"/>
      <c r="F1292"/>
      <c r="G1292"/>
      <c r="H1292"/>
      <c r="I1292"/>
      <c r="J1292"/>
    </row>
    <row r="1293" spans="1:10" x14ac:dyDescent="0.2">
      <c r="A1293"/>
      <c r="B1293"/>
      <c r="C1293"/>
      <c r="D1293"/>
      <c r="E1293"/>
      <c r="F1293"/>
      <c r="G1293"/>
      <c r="H1293"/>
      <c r="I1293"/>
      <c r="J1293"/>
    </row>
    <row r="1294" spans="1:10" x14ac:dyDescent="0.2">
      <c r="A1294"/>
      <c r="B1294"/>
      <c r="C1294"/>
      <c r="D1294"/>
      <c r="E1294"/>
      <c r="F1294"/>
      <c r="G1294"/>
      <c r="H1294"/>
      <c r="I1294"/>
      <c r="J1294"/>
    </row>
    <row r="1295" spans="1:10" x14ac:dyDescent="0.2">
      <c r="A1295"/>
      <c r="B1295"/>
      <c r="C1295"/>
      <c r="D1295"/>
      <c r="E1295"/>
      <c r="F1295"/>
      <c r="G1295"/>
      <c r="H1295"/>
      <c r="I1295"/>
      <c r="J1295"/>
    </row>
    <row r="1296" spans="1:10" x14ac:dyDescent="0.2">
      <c r="A1296"/>
      <c r="B1296"/>
      <c r="C1296"/>
      <c r="D1296"/>
      <c r="E1296"/>
      <c r="F1296"/>
      <c r="G1296"/>
      <c r="H1296"/>
      <c r="I1296"/>
      <c r="J1296"/>
    </row>
    <row r="1297" spans="1:10" x14ac:dyDescent="0.2">
      <c r="A1297"/>
      <c r="B1297"/>
      <c r="C1297"/>
      <c r="D1297"/>
      <c r="E1297"/>
      <c r="F1297"/>
      <c r="G1297"/>
      <c r="H1297"/>
      <c r="I1297"/>
      <c r="J1297"/>
    </row>
    <row r="1298" spans="1:10" x14ac:dyDescent="0.2">
      <c r="A1298"/>
      <c r="B1298"/>
      <c r="C1298"/>
      <c r="D1298"/>
      <c r="E1298"/>
      <c r="F1298"/>
      <c r="G1298"/>
      <c r="H1298"/>
      <c r="I1298"/>
      <c r="J1298"/>
    </row>
    <row r="1299" spans="1:10" x14ac:dyDescent="0.2">
      <c r="A1299"/>
      <c r="B1299"/>
      <c r="C1299"/>
      <c r="D1299"/>
      <c r="E1299"/>
      <c r="F1299"/>
      <c r="G1299"/>
      <c r="H1299"/>
      <c r="I1299"/>
      <c r="J1299"/>
    </row>
    <row r="1300" spans="1:10" x14ac:dyDescent="0.2">
      <c r="A1300"/>
      <c r="B1300"/>
      <c r="C1300"/>
      <c r="D1300"/>
      <c r="E1300"/>
      <c r="F1300"/>
      <c r="G1300"/>
      <c r="H1300"/>
      <c r="I1300"/>
      <c r="J1300"/>
    </row>
    <row r="1301" spans="1:10" x14ac:dyDescent="0.2">
      <c r="A1301"/>
      <c r="B1301"/>
      <c r="C1301"/>
      <c r="D1301"/>
      <c r="E1301"/>
      <c r="F1301"/>
      <c r="G1301"/>
      <c r="H1301"/>
      <c r="I1301"/>
      <c r="J1301"/>
    </row>
    <row r="1302" spans="1:10" x14ac:dyDescent="0.2">
      <c r="A1302"/>
      <c r="B1302"/>
      <c r="C1302"/>
      <c r="D1302"/>
      <c r="E1302"/>
      <c r="F1302"/>
      <c r="G1302"/>
      <c r="H1302"/>
      <c r="I1302"/>
      <c r="J1302"/>
    </row>
    <row r="1303" spans="1:10" x14ac:dyDescent="0.2">
      <c r="A1303"/>
      <c r="B1303"/>
      <c r="C1303"/>
      <c r="D1303"/>
      <c r="E1303"/>
      <c r="F1303"/>
      <c r="G1303"/>
      <c r="H1303"/>
      <c r="I1303"/>
      <c r="J1303"/>
    </row>
    <row r="1304" spans="1:10" x14ac:dyDescent="0.2">
      <c r="A1304"/>
      <c r="B1304"/>
      <c r="C1304"/>
      <c r="D1304"/>
      <c r="E1304"/>
      <c r="F1304"/>
      <c r="G1304"/>
      <c r="H1304"/>
      <c r="I1304"/>
      <c r="J1304"/>
    </row>
    <row r="1305" spans="1:10" x14ac:dyDescent="0.2">
      <c r="A1305"/>
      <c r="B1305"/>
      <c r="C1305"/>
      <c r="D1305"/>
      <c r="E1305"/>
      <c r="F1305"/>
      <c r="G1305"/>
      <c r="H1305"/>
      <c r="I1305"/>
      <c r="J1305"/>
    </row>
    <row r="1306" spans="1:10" x14ac:dyDescent="0.2">
      <c r="A1306"/>
      <c r="B1306"/>
      <c r="C1306"/>
      <c r="D1306"/>
      <c r="E1306"/>
      <c r="F1306"/>
      <c r="G1306"/>
      <c r="H1306"/>
      <c r="I1306"/>
      <c r="J1306"/>
    </row>
    <row r="1307" spans="1:10" x14ac:dyDescent="0.2">
      <c r="A1307"/>
      <c r="B1307"/>
      <c r="C1307"/>
      <c r="D1307"/>
      <c r="E1307"/>
      <c r="F1307"/>
      <c r="G1307"/>
      <c r="H1307"/>
      <c r="I1307"/>
      <c r="J1307"/>
    </row>
    <row r="1308" spans="1:10" x14ac:dyDescent="0.2">
      <c r="A1308"/>
      <c r="B1308"/>
      <c r="C1308"/>
      <c r="D1308"/>
      <c r="E1308"/>
      <c r="F1308"/>
      <c r="G1308"/>
      <c r="H1308"/>
      <c r="I1308"/>
      <c r="J1308"/>
    </row>
    <row r="1309" spans="1:10" x14ac:dyDescent="0.2">
      <c r="A1309"/>
      <c r="B1309"/>
      <c r="C1309"/>
      <c r="D1309"/>
      <c r="E1309"/>
      <c r="F1309"/>
      <c r="G1309"/>
      <c r="H1309"/>
      <c r="I1309"/>
      <c r="J1309"/>
    </row>
    <row r="1310" spans="1:10" x14ac:dyDescent="0.2">
      <c r="A1310"/>
      <c r="B1310"/>
      <c r="C1310"/>
      <c r="D1310"/>
      <c r="E1310"/>
      <c r="F1310"/>
      <c r="G1310"/>
      <c r="H1310"/>
      <c r="I1310"/>
      <c r="J1310"/>
    </row>
    <row r="1311" spans="1:10" x14ac:dyDescent="0.2">
      <c r="A1311"/>
      <c r="B1311"/>
      <c r="C1311"/>
      <c r="D1311"/>
      <c r="E1311"/>
      <c r="F1311"/>
      <c r="G1311"/>
      <c r="H1311"/>
      <c r="I1311"/>
      <c r="J1311"/>
    </row>
    <row r="1312" spans="1:10" x14ac:dyDescent="0.2">
      <c r="A1312"/>
      <c r="B1312"/>
      <c r="C1312"/>
      <c r="D1312"/>
      <c r="E1312"/>
      <c r="F1312"/>
      <c r="G1312"/>
      <c r="H1312"/>
      <c r="I1312"/>
      <c r="J1312"/>
    </row>
    <row r="1313" spans="1:10" x14ac:dyDescent="0.2">
      <c r="A1313"/>
      <c r="B1313"/>
      <c r="C1313"/>
      <c r="D1313"/>
      <c r="E1313"/>
      <c r="F1313"/>
      <c r="G1313"/>
      <c r="H1313"/>
      <c r="I1313"/>
      <c r="J1313"/>
    </row>
    <row r="1314" spans="1:10" x14ac:dyDescent="0.2">
      <c r="A1314"/>
      <c r="B1314"/>
      <c r="C1314"/>
      <c r="D1314"/>
      <c r="E1314"/>
      <c r="F1314"/>
      <c r="G1314"/>
      <c r="H1314"/>
      <c r="I1314"/>
      <c r="J1314"/>
    </row>
    <row r="1315" spans="1:10" x14ac:dyDescent="0.2">
      <c r="A1315"/>
      <c r="B1315"/>
      <c r="C1315"/>
      <c r="D1315"/>
      <c r="E1315"/>
      <c r="F1315"/>
      <c r="G1315"/>
      <c r="H1315"/>
      <c r="I1315"/>
      <c r="J1315"/>
    </row>
    <row r="1316" spans="1:10" x14ac:dyDescent="0.2">
      <c r="A1316"/>
      <c r="B1316"/>
      <c r="C1316"/>
      <c r="D1316"/>
      <c r="E1316"/>
      <c r="F1316"/>
      <c r="G1316"/>
      <c r="H1316"/>
      <c r="I1316"/>
      <c r="J1316"/>
    </row>
    <row r="1317" spans="1:10" x14ac:dyDescent="0.2">
      <c r="A1317"/>
      <c r="B1317"/>
      <c r="C1317"/>
      <c r="D1317"/>
      <c r="E1317"/>
      <c r="F1317"/>
      <c r="G1317"/>
      <c r="H1317"/>
      <c r="I1317"/>
      <c r="J1317"/>
    </row>
    <row r="1318" spans="1:10" x14ac:dyDescent="0.2">
      <c r="A1318"/>
      <c r="B1318"/>
      <c r="C1318"/>
      <c r="D1318"/>
      <c r="E1318"/>
      <c r="F1318"/>
      <c r="G1318"/>
      <c r="H1318"/>
      <c r="I1318"/>
      <c r="J1318"/>
    </row>
    <row r="1319" spans="1:10" x14ac:dyDescent="0.2">
      <c r="A1319"/>
      <c r="B1319"/>
      <c r="C1319"/>
      <c r="D1319"/>
      <c r="E1319"/>
      <c r="F1319"/>
      <c r="G1319"/>
      <c r="H1319"/>
      <c r="I1319"/>
      <c r="J1319"/>
    </row>
    <row r="1320" spans="1:10" x14ac:dyDescent="0.2">
      <c r="A1320"/>
      <c r="B1320"/>
      <c r="C1320"/>
      <c r="D1320"/>
      <c r="E1320"/>
      <c r="F1320"/>
      <c r="G1320"/>
      <c r="H1320"/>
      <c r="I1320"/>
      <c r="J1320"/>
    </row>
    <row r="1321" spans="1:10" x14ac:dyDescent="0.2">
      <c r="A1321"/>
      <c r="B1321"/>
      <c r="C1321"/>
      <c r="D1321"/>
      <c r="E1321"/>
      <c r="F1321"/>
      <c r="G1321"/>
      <c r="H1321"/>
      <c r="I1321"/>
      <c r="J1321"/>
    </row>
    <row r="1322" spans="1:10" x14ac:dyDescent="0.2">
      <c r="A1322"/>
      <c r="B1322"/>
      <c r="C1322"/>
      <c r="D1322"/>
      <c r="E1322"/>
      <c r="F1322"/>
      <c r="G1322"/>
      <c r="H1322"/>
      <c r="I1322"/>
      <c r="J1322"/>
    </row>
    <row r="1323" spans="1:10" x14ac:dyDescent="0.2">
      <c r="A1323"/>
      <c r="B1323"/>
      <c r="C1323"/>
      <c r="D1323"/>
      <c r="E1323"/>
      <c r="F1323"/>
      <c r="G1323"/>
      <c r="H1323"/>
      <c r="I1323"/>
      <c r="J1323"/>
    </row>
    <row r="1324" spans="1:10" x14ac:dyDescent="0.2">
      <c r="A1324"/>
      <c r="B1324"/>
      <c r="C1324"/>
      <c r="D1324"/>
      <c r="E1324"/>
      <c r="F1324"/>
      <c r="G1324"/>
      <c r="H1324"/>
      <c r="I1324"/>
      <c r="J1324"/>
    </row>
    <row r="1325" spans="1:10" x14ac:dyDescent="0.2">
      <c r="A1325"/>
      <c r="B1325"/>
      <c r="C1325"/>
      <c r="D1325"/>
      <c r="E1325"/>
      <c r="F1325"/>
      <c r="G1325"/>
      <c r="H1325"/>
      <c r="I1325"/>
      <c r="J1325"/>
    </row>
    <row r="1326" spans="1:10" x14ac:dyDescent="0.2">
      <c r="A1326"/>
      <c r="B1326"/>
      <c r="C1326"/>
      <c r="D1326"/>
      <c r="E1326"/>
      <c r="F1326"/>
      <c r="G1326"/>
      <c r="H1326"/>
      <c r="I1326"/>
      <c r="J1326"/>
    </row>
    <row r="1327" spans="1:10" x14ac:dyDescent="0.2">
      <c r="A1327"/>
      <c r="B1327"/>
      <c r="C1327"/>
      <c r="D1327"/>
      <c r="E1327"/>
      <c r="F1327"/>
      <c r="G1327"/>
      <c r="H1327"/>
      <c r="I1327"/>
      <c r="J1327"/>
    </row>
    <row r="1328" spans="1:10" x14ac:dyDescent="0.2">
      <c r="A1328"/>
      <c r="B1328"/>
      <c r="C1328"/>
      <c r="D1328"/>
      <c r="E1328"/>
      <c r="F1328"/>
      <c r="G1328"/>
      <c r="H1328"/>
      <c r="I1328"/>
      <c r="J1328"/>
    </row>
    <row r="1329" spans="1:10" x14ac:dyDescent="0.2">
      <c r="A1329"/>
      <c r="B1329"/>
      <c r="C1329"/>
      <c r="D1329"/>
      <c r="E1329"/>
      <c r="F1329"/>
      <c r="G1329"/>
      <c r="H1329"/>
      <c r="I1329"/>
      <c r="J1329"/>
    </row>
    <row r="1330" spans="1:10" x14ac:dyDescent="0.2">
      <c r="A1330"/>
      <c r="B1330"/>
      <c r="C1330"/>
      <c r="D1330"/>
      <c r="E1330"/>
      <c r="F1330"/>
      <c r="G1330"/>
      <c r="H1330"/>
      <c r="I1330"/>
      <c r="J1330"/>
    </row>
    <row r="1331" spans="1:10" x14ac:dyDescent="0.2">
      <c r="A1331"/>
      <c r="B1331"/>
      <c r="C1331"/>
      <c r="D1331"/>
      <c r="E1331"/>
      <c r="F1331"/>
      <c r="G1331"/>
      <c r="H1331"/>
      <c r="I1331"/>
      <c r="J1331"/>
    </row>
    <row r="1332" spans="1:10" x14ac:dyDescent="0.2">
      <c r="A1332"/>
      <c r="B1332"/>
      <c r="C1332"/>
      <c r="D1332"/>
      <c r="E1332"/>
      <c r="F1332"/>
      <c r="G1332"/>
      <c r="H1332"/>
      <c r="I1332"/>
      <c r="J1332"/>
    </row>
    <row r="1333" spans="1:10" x14ac:dyDescent="0.2">
      <c r="A1333"/>
      <c r="B1333"/>
      <c r="C1333"/>
      <c r="D1333"/>
      <c r="E1333"/>
      <c r="F1333"/>
      <c r="G1333"/>
      <c r="H1333"/>
      <c r="I1333"/>
      <c r="J1333"/>
    </row>
    <row r="1334" spans="1:10" x14ac:dyDescent="0.2">
      <c r="A1334"/>
      <c r="B1334"/>
      <c r="C1334"/>
      <c r="D1334"/>
      <c r="E1334"/>
      <c r="F1334"/>
      <c r="G1334"/>
      <c r="H1334"/>
      <c r="I1334"/>
      <c r="J1334"/>
    </row>
    <row r="1335" spans="1:10" x14ac:dyDescent="0.2">
      <c r="A1335"/>
      <c r="B1335"/>
      <c r="C1335"/>
      <c r="D1335"/>
      <c r="E1335"/>
      <c r="F1335"/>
      <c r="G1335"/>
      <c r="H1335"/>
      <c r="I1335"/>
      <c r="J1335"/>
    </row>
    <row r="1336" spans="1:10" x14ac:dyDescent="0.2">
      <c r="A1336"/>
      <c r="B1336"/>
      <c r="C1336"/>
      <c r="D1336"/>
      <c r="E1336"/>
      <c r="F1336"/>
      <c r="G1336"/>
      <c r="H1336"/>
      <c r="I1336"/>
      <c r="J1336"/>
    </row>
    <row r="1337" spans="1:10" x14ac:dyDescent="0.2">
      <c r="A1337"/>
      <c r="B1337"/>
      <c r="C1337"/>
      <c r="D1337"/>
      <c r="E1337"/>
      <c r="F1337"/>
      <c r="G1337"/>
      <c r="H1337"/>
      <c r="I1337"/>
      <c r="J1337"/>
    </row>
    <row r="1338" spans="1:10" x14ac:dyDescent="0.2">
      <c r="A1338"/>
      <c r="B1338"/>
      <c r="C1338"/>
      <c r="D1338"/>
      <c r="E1338"/>
      <c r="F1338"/>
      <c r="G1338"/>
      <c r="H1338"/>
      <c r="I1338"/>
      <c r="J1338"/>
    </row>
    <row r="1339" spans="1:10" x14ac:dyDescent="0.2">
      <c r="A1339"/>
      <c r="B1339"/>
      <c r="C1339"/>
      <c r="D1339"/>
      <c r="E1339"/>
      <c r="F1339"/>
      <c r="G1339"/>
      <c r="H1339"/>
      <c r="I1339"/>
      <c r="J1339"/>
    </row>
    <row r="1340" spans="1:10" x14ac:dyDescent="0.2">
      <c r="A1340"/>
      <c r="B1340"/>
      <c r="C1340"/>
      <c r="D1340"/>
      <c r="E1340"/>
      <c r="F1340"/>
      <c r="G1340"/>
      <c r="H1340"/>
      <c r="I1340"/>
      <c r="J1340"/>
    </row>
    <row r="1341" spans="1:10" x14ac:dyDescent="0.2">
      <c r="A1341"/>
      <c r="B1341"/>
      <c r="C1341"/>
      <c r="D1341"/>
      <c r="E1341"/>
      <c r="F1341"/>
      <c r="G1341"/>
      <c r="H1341"/>
      <c r="I1341"/>
      <c r="J1341"/>
    </row>
    <row r="1342" spans="1:10" x14ac:dyDescent="0.2">
      <c r="A1342"/>
      <c r="B1342"/>
      <c r="C1342"/>
      <c r="D1342"/>
      <c r="E1342"/>
      <c r="F1342"/>
      <c r="G1342"/>
      <c r="H1342"/>
      <c r="I1342"/>
      <c r="J1342"/>
    </row>
    <row r="1343" spans="1:10" x14ac:dyDescent="0.2">
      <c r="A1343"/>
      <c r="B1343"/>
      <c r="C1343"/>
      <c r="D1343"/>
      <c r="E1343"/>
      <c r="F1343"/>
      <c r="G1343"/>
      <c r="H1343"/>
      <c r="I1343"/>
      <c r="J1343"/>
    </row>
    <row r="1344" spans="1:10" x14ac:dyDescent="0.2">
      <c r="A1344"/>
      <c r="B1344"/>
      <c r="C1344"/>
      <c r="D1344"/>
      <c r="E1344"/>
      <c r="F1344"/>
      <c r="G1344"/>
      <c r="H1344"/>
      <c r="I1344"/>
      <c r="J1344"/>
    </row>
    <row r="1345" spans="1:10" x14ac:dyDescent="0.2">
      <c r="A1345"/>
      <c r="B1345"/>
      <c r="C1345"/>
      <c r="D1345"/>
      <c r="E1345"/>
      <c r="F1345"/>
      <c r="G1345"/>
      <c r="H1345"/>
      <c r="I1345"/>
      <c r="J1345"/>
    </row>
    <row r="1346" spans="1:10" x14ac:dyDescent="0.2">
      <c r="A1346"/>
      <c r="B1346"/>
      <c r="C1346"/>
      <c r="D1346"/>
      <c r="E1346"/>
      <c r="F1346"/>
      <c r="G1346"/>
      <c r="H1346"/>
      <c r="I1346"/>
      <c r="J1346"/>
    </row>
    <row r="1347" spans="1:10" x14ac:dyDescent="0.2">
      <c r="A1347"/>
      <c r="B1347"/>
      <c r="C1347"/>
      <c r="D1347"/>
      <c r="E1347"/>
      <c r="F1347"/>
      <c r="G1347"/>
      <c r="H1347"/>
      <c r="I1347"/>
      <c r="J1347"/>
    </row>
    <row r="1348" spans="1:10" x14ac:dyDescent="0.2">
      <c r="A1348"/>
      <c r="B1348"/>
      <c r="C1348"/>
      <c r="D1348"/>
      <c r="E1348"/>
      <c r="F1348"/>
      <c r="G1348"/>
      <c r="H1348"/>
      <c r="I1348"/>
      <c r="J1348"/>
    </row>
    <row r="1349" spans="1:10" x14ac:dyDescent="0.2">
      <c r="A1349"/>
      <c r="B1349"/>
      <c r="C1349"/>
      <c r="D1349"/>
      <c r="E1349"/>
      <c r="F1349"/>
      <c r="G1349"/>
      <c r="H1349"/>
      <c r="I1349"/>
      <c r="J1349"/>
    </row>
    <row r="1350" spans="1:10" x14ac:dyDescent="0.2">
      <c r="A1350"/>
      <c r="B1350"/>
      <c r="C1350"/>
      <c r="D1350"/>
      <c r="E1350"/>
      <c r="F1350"/>
      <c r="G1350"/>
      <c r="H1350"/>
      <c r="I1350"/>
      <c r="J1350"/>
    </row>
    <row r="1351" spans="1:10" x14ac:dyDescent="0.2">
      <c r="A1351"/>
      <c r="B1351"/>
      <c r="C1351"/>
      <c r="D1351"/>
      <c r="E1351"/>
      <c r="F1351"/>
      <c r="G1351"/>
      <c r="H1351"/>
      <c r="I1351"/>
      <c r="J1351"/>
    </row>
    <row r="1352" spans="1:10" x14ac:dyDescent="0.2">
      <c r="A1352"/>
      <c r="B1352"/>
      <c r="C1352"/>
      <c r="D1352"/>
      <c r="E1352"/>
      <c r="F1352"/>
      <c r="G1352"/>
      <c r="H1352"/>
      <c r="I1352"/>
      <c r="J1352"/>
    </row>
    <row r="1353" spans="1:10" x14ac:dyDescent="0.2">
      <c r="A1353"/>
      <c r="B1353"/>
      <c r="C1353"/>
      <c r="D1353"/>
      <c r="E1353"/>
      <c r="F1353"/>
      <c r="G1353"/>
      <c r="H1353"/>
      <c r="I1353"/>
      <c r="J1353"/>
    </row>
    <row r="1354" spans="1:10" x14ac:dyDescent="0.2">
      <c r="A1354"/>
      <c r="B1354"/>
      <c r="C1354"/>
      <c r="D1354"/>
      <c r="E1354"/>
      <c r="F1354"/>
      <c r="G1354"/>
      <c r="H1354"/>
      <c r="I1354"/>
      <c r="J1354"/>
    </row>
    <row r="1355" spans="1:10" x14ac:dyDescent="0.2">
      <c r="A1355"/>
      <c r="B1355"/>
      <c r="C1355"/>
      <c r="D1355"/>
      <c r="E1355"/>
      <c r="F1355"/>
      <c r="G1355"/>
      <c r="H1355"/>
      <c r="I1355"/>
      <c r="J1355"/>
    </row>
    <row r="1356" spans="1:10" x14ac:dyDescent="0.2">
      <c r="A1356"/>
      <c r="B1356"/>
      <c r="C1356"/>
      <c r="D1356"/>
      <c r="E1356"/>
      <c r="F1356"/>
      <c r="G1356"/>
      <c r="H1356"/>
      <c r="I1356"/>
      <c r="J1356"/>
    </row>
    <row r="1357" spans="1:10" x14ac:dyDescent="0.2">
      <c r="A1357"/>
      <c r="B1357"/>
      <c r="C1357"/>
      <c r="D1357"/>
      <c r="E1357"/>
      <c r="F1357"/>
      <c r="G1357"/>
      <c r="H1357"/>
      <c r="I1357"/>
      <c r="J1357"/>
    </row>
    <row r="1358" spans="1:10" x14ac:dyDescent="0.2">
      <c r="A1358"/>
      <c r="B1358"/>
      <c r="C1358"/>
      <c r="D1358"/>
      <c r="E1358"/>
      <c r="F1358"/>
      <c r="G1358"/>
      <c r="H1358"/>
      <c r="I1358"/>
      <c r="J1358"/>
    </row>
    <row r="1359" spans="1:10" x14ac:dyDescent="0.2">
      <c r="A1359"/>
      <c r="B1359"/>
      <c r="C1359"/>
      <c r="D1359"/>
      <c r="E1359"/>
      <c r="F1359"/>
      <c r="G1359"/>
      <c r="H1359"/>
      <c r="I1359"/>
      <c r="J1359"/>
    </row>
    <row r="1360" spans="1:10" x14ac:dyDescent="0.2">
      <c r="A1360"/>
      <c r="B1360"/>
      <c r="C1360"/>
      <c r="D1360"/>
      <c r="E1360"/>
      <c r="F1360"/>
      <c r="G1360"/>
      <c r="H1360"/>
      <c r="I1360"/>
      <c r="J1360"/>
    </row>
    <row r="1361" spans="1:10" x14ac:dyDescent="0.2">
      <c r="A1361"/>
      <c r="B1361"/>
      <c r="C1361"/>
      <c r="D1361"/>
      <c r="E1361"/>
      <c r="F1361"/>
      <c r="G1361"/>
      <c r="H1361"/>
      <c r="I1361"/>
      <c r="J1361"/>
    </row>
    <row r="1362" spans="1:10" x14ac:dyDescent="0.2">
      <c r="A1362"/>
      <c r="B1362"/>
      <c r="C1362"/>
      <c r="D1362"/>
      <c r="E1362"/>
      <c r="F1362"/>
      <c r="G1362"/>
      <c r="H1362"/>
      <c r="I1362"/>
      <c r="J1362"/>
    </row>
    <row r="1363" spans="1:10" x14ac:dyDescent="0.2">
      <c r="A1363"/>
      <c r="B1363"/>
      <c r="C1363"/>
      <c r="D1363"/>
      <c r="E1363"/>
      <c r="F1363"/>
      <c r="G1363"/>
      <c r="H1363"/>
      <c r="I1363"/>
      <c r="J1363"/>
    </row>
    <row r="1364" spans="1:10" x14ac:dyDescent="0.2">
      <c r="A1364"/>
      <c r="B1364"/>
      <c r="C1364"/>
      <c r="D1364"/>
      <c r="E1364"/>
      <c r="F1364"/>
      <c r="G1364"/>
      <c r="H1364"/>
      <c r="I1364"/>
      <c r="J1364"/>
    </row>
    <row r="1365" spans="1:10" x14ac:dyDescent="0.2">
      <c r="A1365"/>
      <c r="B1365"/>
      <c r="C1365"/>
      <c r="D1365"/>
      <c r="E1365"/>
      <c r="F1365"/>
      <c r="G1365"/>
      <c r="H1365"/>
      <c r="I1365"/>
      <c r="J1365"/>
    </row>
    <row r="1366" spans="1:10" x14ac:dyDescent="0.2">
      <c r="A1366"/>
      <c r="B1366"/>
      <c r="C1366"/>
      <c r="D1366"/>
      <c r="E1366"/>
      <c r="F1366"/>
      <c r="G1366"/>
      <c r="H1366"/>
      <c r="I1366"/>
      <c r="J1366"/>
    </row>
    <row r="1367" spans="1:10" x14ac:dyDescent="0.2">
      <c r="A1367"/>
      <c r="B1367"/>
      <c r="C1367"/>
      <c r="D1367"/>
      <c r="E1367"/>
      <c r="F1367"/>
      <c r="G1367"/>
      <c r="H1367"/>
      <c r="I1367"/>
      <c r="J1367"/>
    </row>
    <row r="1368" spans="1:10" x14ac:dyDescent="0.2">
      <c r="A1368"/>
      <c r="B1368"/>
      <c r="C1368"/>
      <c r="D1368"/>
      <c r="E1368"/>
      <c r="F1368"/>
      <c r="G1368"/>
      <c r="H1368"/>
      <c r="I1368"/>
      <c r="J1368"/>
    </row>
    <row r="1369" spans="1:10" x14ac:dyDescent="0.2">
      <c r="A1369"/>
      <c r="B1369"/>
      <c r="C1369"/>
      <c r="D1369"/>
      <c r="E1369"/>
      <c r="F1369"/>
      <c r="G1369"/>
      <c r="H1369"/>
      <c r="I1369"/>
      <c r="J1369"/>
    </row>
    <row r="1370" spans="1:10" x14ac:dyDescent="0.2">
      <c r="A1370"/>
      <c r="B1370"/>
      <c r="C1370"/>
      <c r="D1370"/>
      <c r="E1370"/>
      <c r="F1370"/>
      <c r="G1370"/>
      <c r="H1370"/>
      <c r="I1370"/>
      <c r="J1370"/>
    </row>
    <row r="1371" spans="1:10" x14ac:dyDescent="0.2">
      <c r="A1371"/>
      <c r="B1371"/>
      <c r="C1371"/>
      <c r="D1371"/>
      <c r="E1371"/>
      <c r="F1371"/>
      <c r="G1371"/>
      <c r="H1371"/>
      <c r="I1371"/>
      <c r="J1371"/>
    </row>
    <row r="1372" spans="1:10" x14ac:dyDescent="0.2">
      <c r="A1372"/>
      <c r="B1372"/>
      <c r="C1372"/>
      <c r="D1372"/>
      <c r="E1372"/>
      <c r="F1372"/>
      <c r="G1372"/>
      <c r="H1372"/>
      <c r="I1372"/>
      <c r="J1372"/>
    </row>
    <row r="1373" spans="1:10" x14ac:dyDescent="0.2">
      <c r="A1373"/>
      <c r="B1373"/>
      <c r="C1373"/>
      <c r="D1373"/>
      <c r="E1373"/>
      <c r="F1373"/>
      <c r="G1373"/>
      <c r="H1373"/>
      <c r="I1373"/>
      <c r="J1373"/>
    </row>
    <row r="1374" spans="1:10" x14ac:dyDescent="0.2">
      <c r="A1374"/>
      <c r="B1374"/>
      <c r="C1374"/>
      <c r="D1374"/>
      <c r="E1374"/>
      <c r="F1374"/>
      <c r="G1374"/>
      <c r="H1374"/>
      <c r="I1374"/>
      <c r="J1374"/>
    </row>
    <row r="1375" spans="1:10" x14ac:dyDescent="0.2">
      <c r="A1375"/>
      <c r="B1375"/>
      <c r="C1375"/>
      <c r="D1375"/>
      <c r="E1375"/>
      <c r="F1375"/>
      <c r="G1375"/>
      <c r="H1375"/>
      <c r="I1375"/>
      <c r="J1375"/>
    </row>
    <row r="1376" spans="1:10" x14ac:dyDescent="0.2">
      <c r="A1376"/>
      <c r="B1376"/>
      <c r="C1376"/>
      <c r="D1376"/>
      <c r="E1376"/>
      <c r="F1376"/>
      <c r="G1376"/>
      <c r="H1376"/>
      <c r="I1376"/>
      <c r="J1376"/>
    </row>
    <row r="1377" spans="1:10" x14ac:dyDescent="0.2">
      <c r="A1377"/>
      <c r="B1377"/>
      <c r="C1377"/>
      <c r="D1377"/>
      <c r="E1377"/>
      <c r="F1377"/>
      <c r="G1377"/>
      <c r="H1377"/>
      <c r="I1377"/>
      <c r="J1377"/>
    </row>
    <row r="1378" spans="1:10" x14ac:dyDescent="0.2">
      <c r="A1378"/>
      <c r="B1378"/>
      <c r="C1378"/>
      <c r="D1378"/>
      <c r="E1378"/>
      <c r="F1378"/>
      <c r="G1378"/>
      <c r="H1378"/>
      <c r="I1378"/>
      <c r="J1378"/>
    </row>
    <row r="1379" spans="1:10" x14ac:dyDescent="0.2">
      <c r="A1379"/>
      <c r="B1379"/>
      <c r="C1379"/>
      <c r="D1379"/>
      <c r="E1379"/>
      <c r="F1379"/>
      <c r="G1379"/>
      <c r="H1379"/>
      <c r="I1379"/>
      <c r="J1379"/>
    </row>
    <row r="1380" spans="1:10" x14ac:dyDescent="0.2">
      <c r="A1380"/>
      <c r="B1380"/>
      <c r="C1380"/>
      <c r="D1380"/>
      <c r="E1380"/>
      <c r="F1380"/>
      <c r="G1380"/>
      <c r="H1380"/>
      <c r="I1380"/>
      <c r="J1380"/>
    </row>
    <row r="1381" spans="1:10" x14ac:dyDescent="0.2">
      <c r="A1381"/>
      <c r="B1381"/>
      <c r="C1381"/>
      <c r="D1381"/>
      <c r="E1381"/>
      <c r="F1381"/>
      <c r="G1381"/>
      <c r="H1381"/>
      <c r="I1381"/>
      <c r="J1381"/>
    </row>
    <row r="1382" spans="1:10" x14ac:dyDescent="0.2">
      <c r="A1382"/>
      <c r="B1382"/>
      <c r="C1382"/>
      <c r="D1382"/>
      <c r="E1382"/>
      <c r="F1382"/>
      <c r="G1382"/>
      <c r="H1382"/>
      <c r="I1382"/>
      <c r="J1382"/>
    </row>
    <row r="1383" spans="1:10" x14ac:dyDescent="0.2">
      <c r="A1383"/>
      <c r="B1383"/>
      <c r="C1383"/>
      <c r="D1383"/>
      <c r="E1383"/>
      <c r="F1383"/>
      <c r="G1383"/>
      <c r="H1383"/>
      <c r="I1383"/>
      <c r="J1383"/>
    </row>
    <row r="1384" spans="1:10" x14ac:dyDescent="0.2">
      <c r="A1384"/>
      <c r="B1384"/>
      <c r="C1384"/>
      <c r="D1384"/>
      <c r="E1384"/>
      <c r="F1384"/>
      <c r="G1384"/>
      <c r="H1384"/>
      <c r="I1384"/>
      <c r="J1384"/>
    </row>
    <row r="1385" spans="1:10" x14ac:dyDescent="0.2">
      <c r="A1385"/>
      <c r="B1385"/>
      <c r="C1385"/>
      <c r="D1385"/>
      <c r="E1385"/>
      <c r="F1385"/>
      <c r="G1385"/>
      <c r="H1385"/>
      <c r="I1385"/>
      <c r="J1385"/>
    </row>
    <row r="1386" spans="1:10" x14ac:dyDescent="0.2">
      <c r="A1386"/>
      <c r="B1386"/>
      <c r="C1386"/>
      <c r="D1386"/>
      <c r="E1386"/>
      <c r="F1386"/>
      <c r="G1386"/>
      <c r="H1386"/>
      <c r="I1386"/>
      <c r="J1386"/>
    </row>
    <row r="1387" spans="1:10" x14ac:dyDescent="0.2">
      <c r="A1387"/>
      <c r="B1387"/>
      <c r="C1387"/>
      <c r="D1387"/>
      <c r="E1387"/>
      <c r="F1387"/>
      <c r="G1387"/>
      <c r="H1387"/>
      <c r="I1387"/>
      <c r="J1387"/>
    </row>
    <row r="1388" spans="1:10" x14ac:dyDescent="0.2">
      <c r="A1388"/>
      <c r="B1388"/>
      <c r="C1388"/>
      <c r="D1388"/>
      <c r="E1388"/>
      <c r="F1388"/>
      <c r="G1388"/>
      <c r="H1388"/>
      <c r="I1388"/>
      <c r="J1388"/>
    </row>
    <row r="1389" spans="1:10" x14ac:dyDescent="0.2">
      <c r="A1389"/>
      <c r="B1389"/>
      <c r="C1389"/>
      <c r="D1389"/>
      <c r="E1389"/>
      <c r="F1389"/>
      <c r="G1389"/>
      <c r="H1389"/>
      <c r="I1389"/>
      <c r="J1389"/>
    </row>
    <row r="1390" spans="1:10" x14ac:dyDescent="0.2">
      <c r="A1390"/>
      <c r="B1390"/>
      <c r="C1390"/>
      <c r="D1390"/>
      <c r="E1390"/>
      <c r="F1390"/>
      <c r="G1390"/>
      <c r="H1390"/>
      <c r="I1390"/>
      <c r="J1390"/>
    </row>
    <row r="1391" spans="1:10" x14ac:dyDescent="0.2">
      <c r="A1391"/>
      <c r="B1391"/>
      <c r="C1391"/>
      <c r="D1391"/>
      <c r="E1391"/>
      <c r="F1391"/>
      <c r="G1391"/>
      <c r="H1391"/>
      <c r="I1391"/>
      <c r="J1391"/>
    </row>
    <row r="1392" spans="1:10" x14ac:dyDescent="0.2">
      <c r="A1392"/>
      <c r="B1392"/>
      <c r="C1392"/>
      <c r="D1392"/>
      <c r="E1392"/>
      <c r="F1392"/>
      <c r="G1392"/>
      <c r="H1392"/>
      <c r="I1392"/>
      <c r="J1392"/>
    </row>
    <row r="1393" spans="1:10" x14ac:dyDescent="0.2">
      <c r="A1393"/>
      <c r="B1393"/>
      <c r="C1393"/>
      <c r="D1393"/>
      <c r="E1393"/>
      <c r="F1393"/>
      <c r="G1393"/>
      <c r="H1393"/>
      <c r="I1393"/>
      <c r="J1393"/>
    </row>
    <row r="1394" spans="1:10" x14ac:dyDescent="0.2">
      <c r="A1394"/>
      <c r="B1394"/>
      <c r="C1394"/>
      <c r="D1394"/>
      <c r="E1394"/>
      <c r="F1394"/>
      <c r="G1394"/>
      <c r="H1394"/>
      <c r="I1394"/>
      <c r="J1394"/>
    </row>
    <row r="1395" spans="1:10" x14ac:dyDescent="0.2">
      <c r="A1395"/>
      <c r="B1395"/>
      <c r="C1395"/>
      <c r="D1395"/>
      <c r="E1395"/>
      <c r="F1395"/>
      <c r="G1395"/>
      <c r="H1395"/>
      <c r="I1395"/>
      <c r="J1395"/>
    </row>
    <row r="1396" spans="1:10" x14ac:dyDescent="0.2">
      <c r="A1396"/>
      <c r="B1396"/>
      <c r="C1396"/>
      <c r="D1396"/>
      <c r="E1396"/>
      <c r="F1396"/>
      <c r="G1396"/>
      <c r="H1396"/>
      <c r="I1396"/>
      <c r="J1396"/>
    </row>
    <row r="1397" spans="1:10" x14ac:dyDescent="0.2">
      <c r="A1397"/>
      <c r="B1397"/>
      <c r="C1397"/>
      <c r="D1397"/>
      <c r="E1397"/>
      <c r="F1397"/>
      <c r="G1397"/>
      <c r="H1397"/>
      <c r="I1397"/>
      <c r="J1397"/>
    </row>
    <row r="1398" spans="1:10" x14ac:dyDescent="0.2">
      <c r="A1398"/>
      <c r="B1398"/>
      <c r="C1398"/>
      <c r="D1398"/>
      <c r="E1398"/>
      <c r="F1398"/>
      <c r="G1398"/>
      <c r="H1398"/>
      <c r="I1398"/>
      <c r="J1398"/>
    </row>
    <row r="1399" spans="1:10" x14ac:dyDescent="0.2">
      <c r="A1399"/>
      <c r="B1399"/>
      <c r="C1399"/>
      <c r="D1399"/>
      <c r="E1399"/>
      <c r="F1399"/>
      <c r="G1399"/>
      <c r="H1399"/>
      <c r="I1399"/>
      <c r="J1399"/>
    </row>
    <row r="1400" spans="1:10" x14ac:dyDescent="0.2">
      <c r="A1400"/>
      <c r="B1400"/>
      <c r="C1400"/>
      <c r="D1400"/>
      <c r="E1400"/>
      <c r="F1400"/>
      <c r="G1400"/>
      <c r="H1400"/>
      <c r="I1400"/>
      <c r="J1400"/>
    </row>
    <row r="1401" spans="1:10" x14ac:dyDescent="0.2">
      <c r="A1401"/>
      <c r="B1401"/>
      <c r="C1401"/>
      <c r="D1401"/>
      <c r="E1401"/>
      <c r="F1401"/>
      <c r="G1401"/>
      <c r="H1401"/>
      <c r="I1401"/>
      <c r="J1401"/>
    </row>
    <row r="1402" spans="1:10" x14ac:dyDescent="0.2">
      <c r="A1402"/>
      <c r="B1402"/>
      <c r="C1402"/>
      <c r="D1402"/>
      <c r="E1402"/>
      <c r="F1402"/>
      <c r="G1402"/>
      <c r="H1402"/>
      <c r="I1402"/>
      <c r="J1402"/>
    </row>
    <row r="1403" spans="1:10" x14ac:dyDescent="0.2">
      <c r="A1403"/>
      <c r="B1403"/>
      <c r="C1403"/>
      <c r="D1403"/>
      <c r="E1403"/>
      <c r="F1403"/>
      <c r="G1403"/>
      <c r="H1403"/>
      <c r="I1403"/>
      <c r="J1403"/>
    </row>
    <row r="1404" spans="1:10" x14ac:dyDescent="0.2">
      <c r="A1404"/>
      <c r="B1404"/>
      <c r="C1404"/>
      <c r="D1404"/>
      <c r="E1404"/>
      <c r="F1404"/>
      <c r="G1404"/>
      <c r="H1404"/>
      <c r="I1404"/>
      <c r="J1404"/>
    </row>
    <row r="1405" spans="1:10" x14ac:dyDescent="0.2">
      <c r="A1405"/>
      <c r="B1405"/>
      <c r="C1405"/>
      <c r="D1405"/>
      <c r="E1405"/>
      <c r="F1405"/>
      <c r="G1405"/>
      <c r="H1405"/>
      <c r="I1405"/>
      <c r="J1405"/>
    </row>
    <row r="1406" spans="1:10" x14ac:dyDescent="0.2">
      <c r="A1406"/>
      <c r="B1406"/>
      <c r="C1406"/>
      <c r="D1406"/>
      <c r="E1406"/>
      <c r="F1406"/>
      <c r="G1406"/>
      <c r="H1406"/>
      <c r="I1406"/>
      <c r="J1406"/>
    </row>
    <row r="1407" spans="1:10" x14ac:dyDescent="0.2">
      <c r="A1407"/>
      <c r="B1407"/>
      <c r="C1407"/>
      <c r="D1407"/>
      <c r="E1407"/>
      <c r="F1407"/>
      <c r="G1407"/>
      <c r="H1407"/>
      <c r="I1407"/>
      <c r="J1407"/>
    </row>
    <row r="1408" spans="1:10" x14ac:dyDescent="0.2">
      <c r="A1408"/>
      <c r="B1408"/>
      <c r="C1408"/>
      <c r="D1408"/>
      <c r="E1408"/>
      <c r="F1408"/>
      <c r="G1408"/>
      <c r="H1408"/>
      <c r="I1408"/>
      <c r="J1408"/>
    </row>
    <row r="1409" spans="1:10" x14ac:dyDescent="0.2">
      <c r="A1409"/>
      <c r="B1409"/>
      <c r="C1409"/>
      <c r="D1409"/>
      <c r="E1409"/>
      <c r="F1409"/>
      <c r="G1409"/>
      <c r="H1409"/>
      <c r="I1409"/>
      <c r="J1409"/>
    </row>
    <row r="1410" spans="1:10" x14ac:dyDescent="0.2">
      <c r="A1410"/>
      <c r="B1410"/>
      <c r="C1410"/>
      <c r="D1410"/>
      <c r="E1410"/>
      <c r="F1410"/>
      <c r="G1410"/>
      <c r="H1410"/>
      <c r="I1410"/>
      <c r="J1410"/>
    </row>
    <row r="1411" spans="1:10" x14ac:dyDescent="0.2">
      <c r="A1411"/>
      <c r="B1411"/>
      <c r="C1411"/>
      <c r="D1411"/>
      <c r="E1411"/>
      <c r="F1411"/>
      <c r="G1411"/>
      <c r="H1411"/>
      <c r="I1411"/>
      <c r="J1411"/>
    </row>
    <row r="1412" spans="1:10" x14ac:dyDescent="0.2">
      <c r="A1412"/>
      <c r="B1412"/>
      <c r="C1412"/>
      <c r="D1412"/>
      <c r="E1412"/>
      <c r="F1412"/>
      <c r="G1412"/>
      <c r="H1412"/>
      <c r="I1412"/>
      <c r="J1412"/>
    </row>
    <row r="1413" spans="1:10" x14ac:dyDescent="0.2">
      <c r="A1413"/>
      <c r="B1413"/>
      <c r="C1413"/>
      <c r="D1413"/>
      <c r="E1413"/>
      <c r="F1413"/>
      <c r="G1413"/>
      <c r="H1413"/>
      <c r="I1413"/>
      <c r="J1413"/>
    </row>
    <row r="1414" spans="1:10" x14ac:dyDescent="0.2">
      <c r="A1414"/>
      <c r="B1414"/>
      <c r="C1414"/>
      <c r="D1414"/>
      <c r="E1414"/>
      <c r="F1414"/>
      <c r="G1414"/>
      <c r="H1414"/>
      <c r="I1414"/>
      <c r="J1414"/>
    </row>
    <row r="1415" spans="1:10" x14ac:dyDescent="0.2">
      <c r="A1415"/>
      <c r="B1415"/>
      <c r="C1415"/>
      <c r="D1415"/>
      <c r="E1415"/>
      <c r="F1415"/>
      <c r="G1415"/>
      <c r="H1415"/>
      <c r="I1415"/>
      <c r="J1415"/>
    </row>
    <row r="1416" spans="1:10" x14ac:dyDescent="0.2">
      <c r="A1416"/>
      <c r="B1416"/>
      <c r="C1416"/>
      <c r="D1416"/>
      <c r="E1416"/>
      <c r="F1416"/>
      <c r="G1416"/>
      <c r="H1416"/>
      <c r="I1416"/>
      <c r="J1416"/>
    </row>
    <row r="1417" spans="1:10" x14ac:dyDescent="0.2">
      <c r="A1417"/>
      <c r="B1417"/>
      <c r="C1417"/>
      <c r="D1417"/>
      <c r="E1417"/>
      <c r="F1417"/>
      <c r="G1417"/>
      <c r="H1417"/>
      <c r="I1417"/>
      <c r="J1417"/>
    </row>
    <row r="1418" spans="1:10" x14ac:dyDescent="0.2">
      <c r="A1418"/>
      <c r="B1418"/>
      <c r="C1418"/>
      <c r="D1418"/>
      <c r="E1418"/>
      <c r="F1418"/>
      <c r="G1418"/>
      <c r="H1418"/>
      <c r="I1418"/>
      <c r="J1418"/>
    </row>
    <row r="1419" spans="1:10" x14ac:dyDescent="0.2">
      <c r="A1419"/>
      <c r="B1419"/>
      <c r="C1419"/>
      <c r="D1419"/>
      <c r="E1419"/>
      <c r="F1419"/>
      <c r="G1419"/>
      <c r="H1419"/>
      <c r="I1419"/>
      <c r="J1419"/>
    </row>
    <row r="1420" spans="1:10" x14ac:dyDescent="0.2">
      <c r="A1420"/>
      <c r="B1420"/>
      <c r="C1420"/>
      <c r="D1420"/>
      <c r="E1420"/>
      <c r="F1420"/>
      <c r="G1420"/>
      <c r="H1420"/>
      <c r="I1420"/>
      <c r="J1420"/>
    </row>
    <row r="1421" spans="1:10" x14ac:dyDescent="0.2">
      <c r="A1421"/>
      <c r="B1421"/>
      <c r="C1421"/>
      <c r="D1421"/>
      <c r="E1421"/>
      <c r="F1421"/>
      <c r="G1421"/>
      <c r="H1421"/>
      <c r="I1421"/>
      <c r="J1421"/>
    </row>
    <row r="1422" spans="1:10" x14ac:dyDescent="0.2">
      <c r="A1422"/>
      <c r="B1422"/>
      <c r="C1422"/>
      <c r="D1422"/>
      <c r="E1422"/>
      <c r="F1422"/>
      <c r="G1422"/>
      <c r="H1422"/>
      <c r="I1422"/>
      <c r="J1422"/>
    </row>
    <row r="1423" spans="1:10" x14ac:dyDescent="0.2">
      <c r="A1423"/>
      <c r="B1423"/>
      <c r="C1423"/>
      <c r="D1423"/>
      <c r="E1423"/>
      <c r="F1423"/>
      <c r="G1423"/>
      <c r="H1423"/>
      <c r="I1423"/>
      <c r="J1423"/>
    </row>
    <row r="1424" spans="1:10" x14ac:dyDescent="0.2">
      <c r="A1424"/>
      <c r="B1424"/>
      <c r="C1424"/>
      <c r="D1424"/>
      <c r="E1424"/>
      <c r="F1424"/>
      <c r="G1424"/>
      <c r="H1424"/>
      <c r="I1424"/>
      <c r="J1424"/>
    </row>
    <row r="1425" spans="1:10" x14ac:dyDescent="0.2">
      <c r="A1425"/>
      <c r="B1425"/>
      <c r="C1425"/>
      <c r="D1425"/>
      <c r="E1425"/>
      <c r="F1425"/>
      <c r="G1425"/>
      <c r="H1425"/>
      <c r="I1425"/>
      <c r="J1425"/>
    </row>
    <row r="1426" spans="1:10" x14ac:dyDescent="0.2">
      <c r="A1426"/>
      <c r="B1426"/>
      <c r="C1426"/>
      <c r="D1426"/>
      <c r="E1426"/>
      <c r="F1426"/>
      <c r="G1426"/>
      <c r="H1426"/>
      <c r="I1426"/>
      <c r="J1426"/>
    </row>
    <row r="1427" spans="1:10" x14ac:dyDescent="0.2">
      <c r="A1427"/>
      <c r="B1427"/>
      <c r="C1427"/>
      <c r="D1427"/>
      <c r="E1427"/>
      <c r="F1427"/>
      <c r="G1427"/>
      <c r="H1427"/>
      <c r="I1427"/>
      <c r="J1427"/>
    </row>
    <row r="1428" spans="1:10" x14ac:dyDescent="0.2">
      <c r="A1428"/>
      <c r="B1428"/>
      <c r="C1428"/>
      <c r="D1428"/>
      <c r="E1428"/>
      <c r="F1428"/>
      <c r="G1428"/>
      <c r="H1428"/>
      <c r="I1428"/>
      <c r="J1428"/>
    </row>
    <row r="1429" spans="1:10" x14ac:dyDescent="0.2">
      <c r="A1429"/>
      <c r="B1429"/>
      <c r="C1429"/>
      <c r="D1429"/>
      <c r="E1429"/>
      <c r="F1429"/>
      <c r="G1429"/>
      <c r="H1429"/>
      <c r="I1429"/>
      <c r="J1429"/>
    </row>
    <row r="1430" spans="1:10" x14ac:dyDescent="0.2">
      <c r="A1430"/>
      <c r="B1430"/>
      <c r="C1430"/>
      <c r="D1430"/>
      <c r="E1430"/>
      <c r="F1430"/>
      <c r="G1430"/>
      <c r="H1430"/>
      <c r="I1430"/>
      <c r="J1430"/>
    </row>
    <row r="1431" spans="1:10" x14ac:dyDescent="0.2">
      <c r="A1431"/>
      <c r="B1431"/>
      <c r="C1431"/>
      <c r="D1431"/>
      <c r="E1431"/>
      <c r="F1431"/>
      <c r="G1431"/>
      <c r="H1431"/>
      <c r="I1431"/>
      <c r="J1431"/>
    </row>
    <row r="1432" spans="1:10" x14ac:dyDescent="0.2">
      <c r="A1432"/>
      <c r="B1432"/>
      <c r="C1432"/>
      <c r="D1432"/>
      <c r="E1432"/>
      <c r="F1432"/>
      <c r="G1432"/>
      <c r="H1432"/>
      <c r="I1432"/>
      <c r="J1432"/>
    </row>
    <row r="1433" spans="1:10" x14ac:dyDescent="0.2">
      <c r="A1433"/>
      <c r="B1433"/>
      <c r="C1433"/>
      <c r="D1433"/>
      <c r="E1433"/>
      <c r="F1433"/>
      <c r="G1433"/>
      <c r="H1433"/>
      <c r="I1433"/>
      <c r="J1433"/>
    </row>
    <row r="1434" spans="1:10" x14ac:dyDescent="0.2">
      <c r="A1434"/>
      <c r="B1434"/>
      <c r="C1434"/>
      <c r="D1434"/>
      <c r="E1434"/>
      <c r="F1434"/>
      <c r="G1434"/>
      <c r="H1434"/>
      <c r="I1434"/>
      <c r="J1434"/>
    </row>
    <row r="1435" spans="1:10" x14ac:dyDescent="0.2">
      <c r="A1435"/>
      <c r="B1435"/>
      <c r="C1435"/>
      <c r="D1435"/>
      <c r="E1435"/>
      <c r="F1435"/>
      <c r="G1435"/>
      <c r="H1435"/>
      <c r="I1435"/>
      <c r="J1435"/>
    </row>
    <row r="1436" spans="1:10" x14ac:dyDescent="0.2">
      <c r="A1436"/>
      <c r="B1436"/>
      <c r="C1436"/>
      <c r="D1436"/>
      <c r="E1436"/>
      <c r="F1436"/>
      <c r="G1436"/>
      <c r="H1436"/>
      <c r="I1436"/>
      <c r="J1436"/>
    </row>
    <row r="1437" spans="1:10" x14ac:dyDescent="0.2">
      <c r="A1437"/>
      <c r="B1437"/>
      <c r="C1437"/>
      <c r="D1437"/>
      <c r="E1437"/>
      <c r="F1437"/>
      <c r="G1437"/>
      <c r="H1437"/>
      <c r="I1437"/>
      <c r="J1437"/>
    </row>
    <row r="1438" spans="1:10" x14ac:dyDescent="0.2">
      <c r="A1438"/>
      <c r="B1438"/>
      <c r="C1438"/>
      <c r="D1438"/>
      <c r="E1438"/>
      <c r="F1438"/>
      <c r="G1438"/>
      <c r="H1438"/>
      <c r="I1438"/>
      <c r="J1438"/>
    </row>
    <row r="1439" spans="1:10" x14ac:dyDescent="0.2">
      <c r="A1439"/>
      <c r="B1439"/>
      <c r="C1439"/>
      <c r="D1439"/>
      <c r="E1439"/>
      <c r="F1439"/>
      <c r="G1439"/>
      <c r="H1439"/>
      <c r="I1439"/>
      <c r="J1439"/>
    </row>
    <row r="1440" spans="1:10" x14ac:dyDescent="0.2">
      <c r="A1440"/>
      <c r="B1440"/>
      <c r="C1440"/>
      <c r="D1440"/>
      <c r="E1440"/>
      <c r="F1440"/>
      <c r="G1440"/>
      <c r="H1440"/>
      <c r="I1440"/>
      <c r="J1440"/>
    </row>
    <row r="1441" spans="1:10" x14ac:dyDescent="0.2">
      <c r="A1441"/>
      <c r="B1441"/>
      <c r="C1441"/>
      <c r="D1441"/>
      <c r="E1441"/>
      <c r="F1441"/>
      <c r="G1441"/>
      <c r="H1441"/>
      <c r="I1441"/>
      <c r="J1441"/>
    </row>
    <row r="1442" spans="1:10" x14ac:dyDescent="0.2">
      <c r="A1442"/>
      <c r="B1442"/>
      <c r="C1442"/>
      <c r="D1442"/>
      <c r="E1442"/>
      <c r="F1442"/>
      <c r="G1442"/>
      <c r="H1442"/>
      <c r="I1442"/>
      <c r="J1442"/>
    </row>
    <row r="1443" spans="1:10" x14ac:dyDescent="0.2">
      <c r="A1443"/>
      <c r="B1443"/>
      <c r="C1443"/>
      <c r="D1443"/>
      <c r="E1443"/>
      <c r="F1443"/>
      <c r="G1443"/>
      <c r="H1443"/>
      <c r="I1443"/>
      <c r="J1443"/>
    </row>
    <row r="1444" spans="1:10" x14ac:dyDescent="0.2">
      <c r="A1444"/>
      <c r="B1444"/>
      <c r="C1444"/>
      <c r="D1444"/>
      <c r="E1444"/>
      <c r="F1444"/>
      <c r="G1444"/>
      <c r="H1444"/>
      <c r="I1444"/>
      <c r="J1444"/>
    </row>
    <row r="1445" spans="1:10" x14ac:dyDescent="0.2">
      <c r="A1445"/>
      <c r="B1445"/>
      <c r="C1445"/>
      <c r="D1445"/>
      <c r="E1445"/>
      <c r="F1445"/>
      <c r="G1445"/>
      <c r="H1445"/>
      <c r="I1445"/>
      <c r="J1445"/>
    </row>
    <row r="1446" spans="1:10" x14ac:dyDescent="0.2">
      <c r="A1446"/>
      <c r="B1446"/>
      <c r="C1446"/>
      <c r="D1446"/>
      <c r="E1446"/>
      <c r="F1446"/>
      <c r="G1446"/>
      <c r="H1446"/>
      <c r="I1446"/>
      <c r="J1446"/>
    </row>
    <row r="1447" spans="1:10" x14ac:dyDescent="0.2">
      <c r="A1447"/>
      <c r="B1447"/>
      <c r="C1447"/>
      <c r="D1447"/>
      <c r="E1447"/>
      <c r="F1447"/>
      <c r="G1447"/>
      <c r="H1447"/>
      <c r="I1447"/>
      <c r="J1447"/>
    </row>
    <row r="1448" spans="1:10" x14ac:dyDescent="0.2">
      <c r="A1448"/>
      <c r="B1448"/>
      <c r="C1448"/>
      <c r="D1448"/>
      <c r="E1448"/>
      <c r="F1448"/>
      <c r="G1448"/>
      <c r="H1448"/>
      <c r="I1448"/>
      <c r="J1448"/>
    </row>
    <row r="1449" spans="1:10" x14ac:dyDescent="0.2">
      <c r="A1449"/>
      <c r="B1449"/>
      <c r="C1449"/>
      <c r="D1449"/>
      <c r="E1449"/>
      <c r="F1449"/>
      <c r="G1449"/>
      <c r="H1449"/>
      <c r="I1449"/>
      <c r="J1449"/>
    </row>
    <row r="1450" spans="1:10" x14ac:dyDescent="0.2">
      <c r="A1450"/>
      <c r="B1450"/>
      <c r="C1450"/>
      <c r="D1450"/>
      <c r="E1450"/>
      <c r="F1450"/>
      <c r="G1450"/>
      <c r="H1450"/>
      <c r="I1450"/>
      <c r="J1450"/>
    </row>
    <row r="1451" spans="1:10" x14ac:dyDescent="0.2">
      <c r="A1451"/>
      <c r="B1451"/>
      <c r="C1451"/>
      <c r="D1451"/>
      <c r="E1451"/>
      <c r="F1451"/>
      <c r="G1451"/>
      <c r="H1451"/>
      <c r="I1451"/>
      <c r="J1451"/>
    </row>
    <row r="1452" spans="1:10" x14ac:dyDescent="0.2">
      <c r="A1452"/>
      <c r="B1452"/>
      <c r="C1452"/>
      <c r="D1452"/>
      <c r="E1452"/>
      <c r="F1452"/>
      <c r="G1452"/>
      <c r="H1452"/>
      <c r="I1452"/>
      <c r="J1452"/>
    </row>
    <row r="1453" spans="1:10" x14ac:dyDescent="0.2">
      <c r="A1453"/>
      <c r="B1453"/>
      <c r="C1453"/>
      <c r="D1453"/>
      <c r="E1453"/>
      <c r="F1453"/>
      <c r="G1453"/>
      <c r="H1453"/>
      <c r="I1453"/>
      <c r="J1453"/>
    </row>
    <row r="1454" spans="1:10" x14ac:dyDescent="0.2">
      <c r="A1454"/>
      <c r="B1454"/>
      <c r="C1454"/>
      <c r="D1454"/>
      <c r="E1454"/>
      <c r="F1454"/>
      <c r="G1454"/>
      <c r="H1454"/>
      <c r="I1454"/>
      <c r="J1454"/>
    </row>
    <row r="1455" spans="1:10" x14ac:dyDescent="0.2">
      <c r="A1455"/>
      <c r="B1455"/>
      <c r="C1455"/>
      <c r="D1455"/>
      <c r="E1455"/>
      <c r="F1455"/>
      <c r="G1455"/>
      <c r="H1455"/>
      <c r="I1455"/>
      <c r="J1455"/>
    </row>
    <row r="1456" spans="1:10" x14ac:dyDescent="0.2">
      <c r="A1456"/>
      <c r="B1456"/>
      <c r="C1456"/>
      <c r="D1456"/>
      <c r="E1456"/>
      <c r="F1456"/>
      <c r="G1456"/>
      <c r="H1456"/>
      <c r="I1456"/>
      <c r="J1456"/>
    </row>
    <row r="1457" spans="1:10" x14ac:dyDescent="0.2">
      <c r="A1457"/>
      <c r="B1457"/>
      <c r="C1457"/>
      <c r="D1457"/>
      <c r="E1457"/>
      <c r="F1457"/>
      <c r="G1457"/>
      <c r="H1457"/>
      <c r="I1457"/>
      <c r="J1457"/>
    </row>
    <row r="1458" spans="1:10" x14ac:dyDescent="0.2">
      <c r="A1458"/>
      <c r="B1458"/>
      <c r="C1458"/>
      <c r="D1458"/>
      <c r="E1458"/>
      <c r="F1458"/>
      <c r="G1458"/>
      <c r="H1458"/>
      <c r="I1458"/>
      <c r="J1458"/>
    </row>
    <row r="1459" spans="1:10" x14ac:dyDescent="0.2">
      <c r="A1459"/>
      <c r="B1459"/>
      <c r="C1459"/>
      <c r="D1459"/>
      <c r="E1459"/>
      <c r="F1459"/>
      <c r="G1459"/>
      <c r="H1459"/>
      <c r="I1459"/>
      <c r="J1459"/>
    </row>
    <row r="1460" spans="1:10" x14ac:dyDescent="0.2">
      <c r="A1460"/>
      <c r="B1460"/>
      <c r="C1460"/>
      <c r="D1460"/>
      <c r="E1460"/>
      <c r="F1460"/>
      <c r="G1460"/>
      <c r="H1460"/>
      <c r="I1460"/>
      <c r="J1460"/>
    </row>
    <row r="1461" spans="1:10" x14ac:dyDescent="0.2">
      <c r="A1461"/>
      <c r="B1461"/>
      <c r="C1461"/>
      <c r="D1461"/>
      <c r="E1461"/>
      <c r="F1461"/>
      <c r="G1461"/>
      <c r="H1461"/>
      <c r="I1461"/>
      <c r="J1461"/>
    </row>
    <row r="1462" spans="1:10" x14ac:dyDescent="0.2">
      <c r="A1462"/>
      <c r="B1462"/>
      <c r="C1462"/>
      <c r="D1462"/>
      <c r="E1462"/>
      <c r="F1462"/>
      <c r="G1462"/>
      <c r="H1462"/>
      <c r="I1462"/>
      <c r="J1462"/>
    </row>
    <row r="1463" spans="1:10" x14ac:dyDescent="0.2">
      <c r="A1463"/>
      <c r="B1463"/>
      <c r="C1463"/>
      <c r="D1463"/>
      <c r="E1463"/>
      <c r="F1463"/>
      <c r="G1463"/>
      <c r="H1463"/>
      <c r="I1463"/>
      <c r="J1463"/>
    </row>
    <row r="1464" spans="1:10" x14ac:dyDescent="0.2">
      <c r="A1464"/>
      <c r="B1464"/>
      <c r="C1464"/>
      <c r="D1464"/>
      <c r="E1464"/>
      <c r="F1464"/>
      <c r="G1464"/>
      <c r="H1464"/>
      <c r="I1464"/>
      <c r="J1464"/>
    </row>
    <row r="1465" spans="1:10" x14ac:dyDescent="0.2">
      <c r="A1465"/>
      <c r="B1465"/>
      <c r="C1465"/>
      <c r="D1465"/>
      <c r="E1465"/>
      <c r="F1465"/>
      <c r="G1465"/>
      <c r="H1465"/>
      <c r="I1465"/>
      <c r="J1465"/>
    </row>
    <row r="1466" spans="1:10" x14ac:dyDescent="0.2">
      <c r="A1466"/>
      <c r="B1466"/>
      <c r="C1466"/>
      <c r="D1466"/>
      <c r="E1466"/>
      <c r="F1466"/>
      <c r="G1466"/>
      <c r="H1466"/>
      <c r="I1466"/>
      <c r="J1466"/>
    </row>
    <row r="1467" spans="1:10" x14ac:dyDescent="0.2">
      <c r="A1467"/>
      <c r="B1467"/>
      <c r="C1467"/>
      <c r="D1467"/>
      <c r="E1467"/>
      <c r="F1467"/>
      <c r="G1467"/>
      <c r="H1467"/>
      <c r="I1467"/>
      <c r="J1467"/>
    </row>
    <row r="1468" spans="1:10" x14ac:dyDescent="0.2">
      <c r="A1468"/>
      <c r="B1468"/>
      <c r="C1468"/>
      <c r="D1468"/>
      <c r="E1468"/>
      <c r="F1468"/>
      <c r="G1468"/>
      <c r="H1468"/>
      <c r="I1468"/>
      <c r="J1468"/>
    </row>
    <row r="1469" spans="1:10" x14ac:dyDescent="0.2">
      <c r="A1469"/>
      <c r="B1469"/>
      <c r="C1469"/>
      <c r="D1469"/>
      <c r="E1469"/>
      <c r="F1469"/>
      <c r="G1469"/>
      <c r="H1469"/>
      <c r="I1469"/>
      <c r="J1469"/>
    </row>
    <row r="1470" spans="1:10" x14ac:dyDescent="0.2">
      <c r="A1470"/>
      <c r="B1470"/>
      <c r="C1470"/>
      <c r="D1470"/>
      <c r="E1470"/>
      <c r="F1470"/>
      <c r="G1470"/>
      <c r="H1470"/>
      <c r="I1470"/>
      <c r="J1470"/>
    </row>
    <row r="1471" spans="1:10" x14ac:dyDescent="0.2">
      <c r="A1471"/>
      <c r="B1471"/>
      <c r="C1471"/>
      <c r="D1471"/>
      <c r="E1471"/>
      <c r="F1471"/>
      <c r="G1471"/>
      <c r="H1471"/>
      <c r="I1471"/>
      <c r="J1471"/>
    </row>
    <row r="1472" spans="1:10" x14ac:dyDescent="0.2">
      <c r="A1472"/>
      <c r="B1472"/>
      <c r="C1472"/>
      <c r="D1472"/>
      <c r="E1472"/>
      <c r="F1472"/>
      <c r="G1472"/>
      <c r="H1472"/>
      <c r="I1472"/>
      <c r="J1472"/>
    </row>
    <row r="1473" spans="1:10" x14ac:dyDescent="0.2">
      <c r="A1473"/>
      <c r="B1473"/>
      <c r="C1473"/>
      <c r="D1473"/>
      <c r="E1473"/>
      <c r="F1473"/>
      <c r="G1473"/>
      <c r="H1473"/>
      <c r="I1473"/>
      <c r="J1473"/>
    </row>
    <row r="1474" spans="1:10" x14ac:dyDescent="0.2">
      <c r="A1474"/>
      <c r="B1474"/>
      <c r="C1474"/>
      <c r="D1474"/>
      <c r="E1474"/>
      <c r="F1474"/>
      <c r="G1474"/>
      <c r="H1474"/>
      <c r="I1474"/>
      <c r="J1474"/>
    </row>
    <row r="1475" spans="1:10" x14ac:dyDescent="0.2">
      <c r="A1475"/>
      <c r="B1475"/>
      <c r="C1475"/>
      <c r="D1475"/>
      <c r="E1475"/>
      <c r="F1475"/>
      <c r="G1475"/>
      <c r="H1475"/>
      <c r="I1475"/>
      <c r="J1475"/>
    </row>
    <row r="1476" spans="1:10" x14ac:dyDescent="0.2">
      <c r="A1476"/>
      <c r="B1476"/>
      <c r="C1476"/>
      <c r="D1476"/>
      <c r="E1476"/>
      <c r="F1476"/>
      <c r="G1476"/>
      <c r="H1476"/>
      <c r="I1476"/>
      <c r="J1476"/>
    </row>
    <row r="1477" spans="1:10" x14ac:dyDescent="0.2">
      <c r="A1477"/>
      <c r="B1477"/>
      <c r="C1477"/>
      <c r="D1477"/>
      <c r="E1477"/>
      <c r="F1477"/>
      <c r="G1477"/>
      <c r="H1477"/>
      <c r="I1477"/>
      <c r="J1477"/>
    </row>
    <row r="1478" spans="1:10" x14ac:dyDescent="0.2">
      <c r="A1478"/>
      <c r="B1478"/>
      <c r="C1478"/>
      <c r="D1478"/>
      <c r="E1478"/>
      <c r="F1478"/>
      <c r="G1478"/>
      <c r="H1478"/>
      <c r="I1478"/>
      <c r="J1478"/>
    </row>
    <row r="1479" spans="1:10" x14ac:dyDescent="0.2">
      <c r="A1479"/>
      <c r="B1479"/>
      <c r="C1479"/>
      <c r="D1479"/>
      <c r="E1479"/>
      <c r="F1479"/>
      <c r="G1479"/>
      <c r="H1479"/>
      <c r="I1479"/>
      <c r="J1479"/>
    </row>
    <row r="1480" spans="1:10" x14ac:dyDescent="0.2">
      <c r="A1480"/>
      <c r="B1480"/>
      <c r="C1480"/>
      <c r="D1480"/>
      <c r="E1480"/>
      <c r="F1480"/>
      <c r="G1480"/>
      <c r="H1480"/>
      <c r="I1480"/>
      <c r="J1480"/>
    </row>
    <row r="1481" spans="1:10" x14ac:dyDescent="0.2">
      <c r="A1481"/>
      <c r="B1481"/>
      <c r="C1481"/>
      <c r="D1481"/>
      <c r="E1481"/>
      <c r="F1481"/>
      <c r="G1481"/>
      <c r="H1481"/>
      <c r="I1481"/>
      <c r="J1481"/>
    </row>
    <row r="1482" spans="1:10" x14ac:dyDescent="0.2">
      <c r="A1482"/>
      <c r="B1482"/>
      <c r="C1482"/>
      <c r="D1482"/>
      <c r="E1482"/>
      <c r="F1482"/>
      <c r="G1482"/>
      <c r="H1482"/>
      <c r="I1482"/>
      <c r="J1482"/>
    </row>
    <row r="1483" spans="1:10" x14ac:dyDescent="0.2">
      <c r="A1483"/>
      <c r="B1483"/>
      <c r="C1483"/>
      <c r="D1483"/>
      <c r="E1483"/>
      <c r="F1483"/>
      <c r="G1483"/>
      <c r="H1483"/>
      <c r="I1483"/>
      <c r="J1483"/>
    </row>
    <row r="1484" spans="1:10" x14ac:dyDescent="0.2">
      <c r="A1484"/>
      <c r="B1484"/>
      <c r="C1484"/>
      <c r="D1484"/>
      <c r="E1484"/>
      <c r="F1484"/>
      <c r="G1484"/>
      <c r="H1484"/>
      <c r="I1484"/>
      <c r="J1484"/>
    </row>
    <row r="1485" spans="1:10" x14ac:dyDescent="0.2">
      <c r="A1485"/>
      <c r="B1485"/>
      <c r="C1485"/>
      <c r="D1485"/>
      <c r="E1485"/>
      <c r="F1485"/>
      <c r="G1485"/>
      <c r="H1485"/>
      <c r="I1485"/>
      <c r="J1485"/>
    </row>
    <row r="1486" spans="1:10" x14ac:dyDescent="0.2">
      <c r="A1486"/>
      <c r="B1486"/>
      <c r="C1486"/>
      <c r="D1486"/>
      <c r="E1486"/>
      <c r="F1486"/>
      <c r="G1486"/>
      <c r="H1486"/>
      <c r="I1486"/>
      <c r="J1486"/>
    </row>
    <row r="1487" spans="1:10" x14ac:dyDescent="0.2">
      <c r="A1487"/>
      <c r="B1487"/>
      <c r="C1487"/>
      <c r="D1487"/>
      <c r="E1487"/>
      <c r="F1487"/>
      <c r="G1487"/>
      <c r="H1487"/>
      <c r="I1487"/>
      <c r="J1487"/>
    </row>
    <row r="1488" spans="1:10" x14ac:dyDescent="0.2">
      <c r="A1488"/>
      <c r="B1488"/>
      <c r="C1488"/>
      <c r="D1488"/>
      <c r="E1488"/>
      <c r="F1488"/>
      <c r="G1488"/>
      <c r="H1488"/>
      <c r="I1488"/>
      <c r="J1488"/>
    </row>
    <row r="1489" spans="1:10" x14ac:dyDescent="0.2">
      <c r="A1489"/>
      <c r="B1489"/>
      <c r="C1489"/>
      <c r="D1489"/>
      <c r="E1489"/>
      <c r="F1489"/>
      <c r="G1489"/>
      <c r="H1489"/>
      <c r="I1489"/>
      <c r="J1489"/>
    </row>
    <row r="1490" spans="1:10" x14ac:dyDescent="0.2">
      <c r="A1490"/>
      <c r="B1490"/>
      <c r="C1490"/>
      <c r="D1490"/>
      <c r="E1490"/>
      <c r="F1490"/>
      <c r="G1490"/>
      <c r="H1490"/>
      <c r="I1490"/>
      <c r="J1490"/>
    </row>
    <row r="1491" spans="1:10" x14ac:dyDescent="0.2">
      <c r="A1491"/>
      <c r="B1491"/>
      <c r="C1491"/>
      <c r="D1491"/>
      <c r="E1491"/>
      <c r="F1491"/>
      <c r="G1491"/>
      <c r="H1491"/>
      <c r="I1491"/>
      <c r="J1491"/>
    </row>
    <row r="1492" spans="1:10" x14ac:dyDescent="0.2">
      <c r="A1492"/>
      <c r="B1492"/>
      <c r="C1492"/>
      <c r="D1492"/>
      <c r="E1492"/>
      <c r="F1492"/>
      <c r="G1492"/>
      <c r="H1492"/>
      <c r="I1492"/>
      <c r="J1492"/>
    </row>
    <row r="1493" spans="1:10" x14ac:dyDescent="0.2">
      <c r="A1493"/>
      <c r="B1493"/>
      <c r="C1493"/>
      <c r="D1493"/>
      <c r="E1493"/>
      <c r="F1493"/>
      <c r="G1493"/>
      <c r="H1493"/>
      <c r="I1493"/>
      <c r="J1493"/>
    </row>
    <row r="1494" spans="1:10" x14ac:dyDescent="0.2">
      <c r="A1494"/>
      <c r="B1494"/>
      <c r="C1494"/>
      <c r="D1494"/>
      <c r="E1494"/>
      <c r="F1494"/>
      <c r="G1494"/>
      <c r="H1494"/>
      <c r="I1494"/>
      <c r="J1494"/>
    </row>
    <row r="1495" spans="1:10" x14ac:dyDescent="0.2">
      <c r="A1495"/>
      <c r="B1495"/>
      <c r="C1495"/>
      <c r="D1495"/>
      <c r="E1495"/>
      <c r="F1495"/>
      <c r="G1495"/>
      <c r="H1495"/>
      <c r="I1495"/>
      <c r="J1495"/>
    </row>
    <row r="1496" spans="1:10" x14ac:dyDescent="0.2">
      <c r="A1496"/>
      <c r="B1496"/>
      <c r="C1496"/>
      <c r="D1496"/>
      <c r="E1496"/>
      <c r="F1496"/>
      <c r="G1496"/>
      <c r="H1496"/>
      <c r="I1496"/>
      <c r="J1496"/>
    </row>
    <row r="1497" spans="1:10" x14ac:dyDescent="0.2">
      <c r="A1497"/>
      <c r="B1497"/>
      <c r="C1497"/>
      <c r="D1497"/>
      <c r="E1497"/>
      <c r="F1497"/>
      <c r="G1497"/>
      <c r="H1497"/>
      <c r="I1497"/>
      <c r="J1497"/>
    </row>
    <row r="1498" spans="1:10" x14ac:dyDescent="0.2">
      <c r="A1498"/>
      <c r="B1498"/>
      <c r="C1498"/>
      <c r="D1498"/>
      <c r="E1498"/>
      <c r="F1498"/>
      <c r="G1498"/>
      <c r="H1498"/>
      <c r="I1498"/>
      <c r="J1498"/>
    </row>
    <row r="1499" spans="1:10" x14ac:dyDescent="0.2">
      <c r="A1499"/>
      <c r="B1499"/>
      <c r="C1499"/>
      <c r="D1499"/>
      <c r="E1499"/>
      <c r="F1499"/>
      <c r="G1499"/>
      <c r="H1499"/>
      <c r="I1499"/>
      <c r="J1499"/>
    </row>
    <row r="1500" spans="1:10" x14ac:dyDescent="0.2">
      <c r="A1500"/>
      <c r="B1500"/>
      <c r="C1500"/>
      <c r="D1500"/>
      <c r="E1500"/>
      <c r="F1500"/>
      <c r="G1500"/>
      <c r="H1500"/>
      <c r="I1500"/>
      <c r="J1500"/>
    </row>
    <row r="1501" spans="1:10" x14ac:dyDescent="0.2">
      <c r="A1501"/>
      <c r="B1501"/>
      <c r="C1501"/>
      <c r="D1501"/>
      <c r="E1501"/>
      <c r="F1501"/>
      <c r="G1501"/>
      <c r="H1501"/>
      <c r="I1501"/>
      <c r="J1501"/>
    </row>
    <row r="1502" spans="1:10" x14ac:dyDescent="0.2">
      <c r="A1502"/>
      <c r="B1502"/>
      <c r="C1502"/>
      <c r="D1502"/>
      <c r="E1502"/>
      <c r="F1502"/>
      <c r="G1502"/>
      <c r="H1502"/>
      <c r="I1502"/>
      <c r="J1502"/>
    </row>
    <row r="1503" spans="1:10" x14ac:dyDescent="0.2">
      <c r="A1503"/>
      <c r="B1503"/>
      <c r="C1503"/>
      <c r="D1503"/>
      <c r="E1503"/>
      <c r="F1503"/>
      <c r="G1503"/>
      <c r="H1503"/>
      <c r="I1503"/>
      <c r="J1503"/>
    </row>
    <row r="1504" spans="1:10" x14ac:dyDescent="0.2">
      <c r="A1504"/>
      <c r="B1504"/>
      <c r="C1504"/>
      <c r="D1504"/>
      <c r="E1504"/>
      <c r="F1504"/>
      <c r="G1504"/>
      <c r="H1504"/>
      <c r="I1504"/>
      <c r="J1504"/>
    </row>
    <row r="1505" spans="1:10" x14ac:dyDescent="0.2">
      <c r="A1505"/>
      <c r="B1505"/>
      <c r="C1505"/>
      <c r="D1505"/>
      <c r="E1505"/>
      <c r="F1505"/>
      <c r="G1505"/>
      <c r="H1505"/>
      <c r="I1505"/>
      <c r="J1505"/>
    </row>
    <row r="1506" spans="1:10" x14ac:dyDescent="0.2">
      <c r="A1506"/>
      <c r="B1506"/>
      <c r="C1506"/>
      <c r="D1506"/>
      <c r="E1506"/>
      <c r="F1506"/>
      <c r="G1506"/>
      <c r="H1506"/>
      <c r="I1506"/>
      <c r="J1506"/>
    </row>
    <row r="1507" spans="1:10" x14ac:dyDescent="0.2">
      <c r="A1507"/>
      <c r="B1507"/>
      <c r="C1507"/>
      <c r="D1507"/>
      <c r="E1507"/>
      <c r="F1507"/>
      <c r="G1507"/>
      <c r="H1507"/>
      <c r="I1507"/>
      <c r="J1507"/>
    </row>
    <row r="1508" spans="1:10" x14ac:dyDescent="0.2">
      <c r="A1508"/>
      <c r="B1508"/>
      <c r="C1508"/>
      <c r="D1508"/>
      <c r="E1508"/>
      <c r="F1508"/>
      <c r="G1508"/>
      <c r="H1508"/>
      <c r="I1508"/>
      <c r="J1508"/>
    </row>
    <row r="1509" spans="1:10" x14ac:dyDescent="0.2">
      <c r="A1509"/>
      <c r="B1509"/>
      <c r="C1509"/>
      <c r="D1509"/>
      <c r="E1509"/>
      <c r="F1509"/>
      <c r="G1509"/>
      <c r="H1509"/>
      <c r="I1509"/>
      <c r="J1509"/>
    </row>
    <row r="1510" spans="1:10" x14ac:dyDescent="0.2">
      <c r="A1510"/>
      <c r="B1510"/>
      <c r="C1510"/>
      <c r="D1510"/>
      <c r="E1510"/>
      <c r="F1510"/>
      <c r="G1510"/>
      <c r="H1510"/>
      <c r="I1510"/>
      <c r="J1510"/>
    </row>
    <row r="1511" spans="1:10" x14ac:dyDescent="0.2">
      <c r="A1511"/>
      <c r="B1511"/>
      <c r="C1511"/>
      <c r="D1511"/>
      <c r="E1511"/>
      <c r="F1511"/>
      <c r="G1511"/>
      <c r="H1511"/>
      <c r="I1511"/>
      <c r="J1511"/>
    </row>
    <row r="1512" spans="1:10" x14ac:dyDescent="0.2">
      <c r="A1512"/>
      <c r="B1512"/>
      <c r="C1512"/>
      <c r="D1512"/>
      <c r="E1512"/>
      <c r="F1512"/>
      <c r="G1512"/>
      <c r="H1512"/>
      <c r="I1512"/>
      <c r="J1512"/>
    </row>
    <row r="1513" spans="1:10" x14ac:dyDescent="0.2">
      <c r="A1513"/>
      <c r="B1513"/>
      <c r="C1513"/>
      <c r="D1513"/>
      <c r="E1513"/>
      <c r="F1513"/>
      <c r="G1513"/>
      <c r="H1513"/>
      <c r="I1513"/>
      <c r="J1513"/>
    </row>
    <row r="1514" spans="1:10" x14ac:dyDescent="0.2">
      <c r="A1514"/>
      <c r="B1514"/>
      <c r="C1514"/>
      <c r="D1514"/>
      <c r="E1514"/>
      <c r="F1514"/>
      <c r="G1514"/>
      <c r="H1514"/>
      <c r="I1514"/>
      <c r="J1514"/>
    </row>
    <row r="1515" spans="1:10" x14ac:dyDescent="0.2">
      <c r="A1515"/>
      <c r="B1515"/>
      <c r="C1515"/>
      <c r="D1515"/>
      <c r="E1515"/>
      <c r="F1515"/>
      <c r="G1515"/>
      <c r="H1515"/>
      <c r="I1515"/>
      <c r="J1515"/>
    </row>
    <row r="1516" spans="1:10" x14ac:dyDescent="0.2">
      <c r="A1516"/>
      <c r="B1516"/>
      <c r="C1516"/>
      <c r="D1516"/>
      <c r="E1516"/>
      <c r="F1516"/>
      <c r="G1516"/>
      <c r="H1516"/>
      <c r="I1516"/>
      <c r="J1516"/>
    </row>
    <row r="1517" spans="1:10" x14ac:dyDescent="0.2">
      <c r="A1517"/>
      <c r="B1517"/>
      <c r="C1517"/>
      <c r="D1517"/>
      <c r="E1517"/>
      <c r="F1517"/>
      <c r="G1517"/>
      <c r="H1517"/>
      <c r="I1517"/>
      <c r="J1517"/>
    </row>
    <row r="1518" spans="1:10" x14ac:dyDescent="0.2">
      <c r="A1518"/>
      <c r="B1518"/>
      <c r="C1518"/>
      <c r="D1518"/>
      <c r="E1518"/>
      <c r="F1518"/>
      <c r="G1518"/>
      <c r="H1518"/>
      <c r="I1518"/>
      <c r="J1518"/>
    </row>
    <row r="1519" spans="1:10" x14ac:dyDescent="0.2">
      <c r="A1519"/>
      <c r="B1519"/>
      <c r="C1519"/>
      <c r="D1519"/>
      <c r="E1519"/>
      <c r="F1519"/>
      <c r="G1519"/>
      <c r="H1519"/>
      <c r="I1519"/>
      <c r="J1519"/>
    </row>
    <row r="1520" spans="1:10" x14ac:dyDescent="0.2">
      <c r="A1520"/>
      <c r="B1520"/>
      <c r="C1520"/>
      <c r="D1520"/>
      <c r="E1520"/>
      <c r="F1520"/>
      <c r="G1520"/>
      <c r="H1520"/>
      <c r="I1520"/>
      <c r="J1520"/>
    </row>
    <row r="1521" spans="1:10" x14ac:dyDescent="0.2">
      <c r="A1521"/>
      <c r="B1521"/>
      <c r="C1521"/>
      <c r="D1521"/>
      <c r="E1521"/>
      <c r="F1521"/>
      <c r="G1521"/>
      <c r="H1521"/>
      <c r="I1521"/>
      <c r="J1521"/>
    </row>
    <row r="1522" spans="1:10" x14ac:dyDescent="0.2">
      <c r="A1522"/>
      <c r="B1522"/>
      <c r="C1522"/>
      <c r="D1522"/>
      <c r="E1522"/>
      <c r="F1522"/>
      <c r="G1522"/>
      <c r="H1522"/>
      <c r="I1522"/>
      <c r="J1522"/>
    </row>
    <row r="1523" spans="1:10" x14ac:dyDescent="0.2">
      <c r="A1523"/>
      <c r="B1523"/>
      <c r="C1523"/>
      <c r="D1523"/>
      <c r="E1523"/>
      <c r="F1523"/>
      <c r="G1523"/>
      <c r="H1523"/>
      <c r="I1523"/>
      <c r="J1523"/>
    </row>
    <row r="1524" spans="1:10" x14ac:dyDescent="0.2">
      <c r="A1524"/>
      <c r="B1524"/>
      <c r="C1524"/>
      <c r="D1524"/>
      <c r="E1524"/>
      <c r="F1524"/>
      <c r="G1524"/>
      <c r="H1524"/>
      <c r="I1524"/>
      <c r="J1524"/>
    </row>
    <row r="1525" spans="1:10" x14ac:dyDescent="0.2">
      <c r="A1525"/>
      <c r="B1525"/>
      <c r="C1525"/>
      <c r="D1525"/>
      <c r="E1525"/>
      <c r="F1525"/>
      <c r="G1525"/>
      <c r="H1525"/>
      <c r="I1525"/>
      <c r="J1525"/>
    </row>
    <row r="1526" spans="1:10" x14ac:dyDescent="0.2">
      <c r="A1526"/>
      <c r="B1526"/>
      <c r="C1526"/>
      <c r="D1526"/>
      <c r="E1526"/>
      <c r="F1526"/>
      <c r="G1526"/>
      <c r="H1526"/>
      <c r="I1526"/>
      <c r="J1526"/>
    </row>
    <row r="1527" spans="1:10" x14ac:dyDescent="0.2">
      <c r="A1527"/>
      <c r="B1527"/>
      <c r="C1527"/>
      <c r="D1527"/>
      <c r="E1527"/>
      <c r="F1527"/>
      <c r="G1527"/>
      <c r="H1527"/>
      <c r="I1527"/>
      <c r="J1527"/>
    </row>
    <row r="1528" spans="1:10" x14ac:dyDescent="0.2">
      <c r="A1528"/>
      <c r="B1528"/>
      <c r="C1528"/>
      <c r="D1528"/>
      <c r="E1528"/>
      <c r="F1528"/>
      <c r="G1528"/>
      <c r="H1528"/>
      <c r="I1528"/>
      <c r="J1528"/>
    </row>
    <row r="1529" spans="1:10" x14ac:dyDescent="0.2">
      <c r="A1529"/>
      <c r="B1529"/>
      <c r="C1529"/>
      <c r="D1529"/>
      <c r="E1529"/>
      <c r="F1529"/>
      <c r="G1529"/>
      <c r="H1529"/>
      <c r="I1529"/>
      <c r="J1529"/>
    </row>
    <row r="1530" spans="1:10" x14ac:dyDescent="0.2">
      <c r="A1530"/>
      <c r="B1530"/>
      <c r="C1530"/>
      <c r="D1530"/>
      <c r="E1530"/>
      <c r="F1530"/>
      <c r="G1530"/>
      <c r="H1530"/>
      <c r="I1530"/>
      <c r="J1530"/>
    </row>
    <row r="1531" spans="1:10" x14ac:dyDescent="0.2">
      <c r="A1531"/>
      <c r="B1531"/>
      <c r="C1531"/>
      <c r="D1531"/>
      <c r="E1531"/>
      <c r="F1531"/>
      <c r="G1531"/>
      <c r="H1531"/>
      <c r="I1531"/>
      <c r="J1531"/>
    </row>
    <row r="1532" spans="1:10" x14ac:dyDescent="0.2">
      <c r="A1532"/>
      <c r="B1532"/>
      <c r="C1532"/>
      <c r="D1532"/>
      <c r="E1532"/>
      <c r="F1532"/>
      <c r="G1532"/>
      <c r="H1532"/>
      <c r="I1532"/>
      <c r="J1532"/>
    </row>
    <row r="1533" spans="1:10" x14ac:dyDescent="0.2">
      <c r="A1533"/>
      <c r="B1533"/>
      <c r="C1533"/>
      <c r="D1533"/>
      <c r="E1533"/>
      <c r="F1533"/>
      <c r="G1533"/>
      <c r="H1533"/>
      <c r="I1533"/>
      <c r="J1533"/>
    </row>
    <row r="1534" spans="1:10" x14ac:dyDescent="0.2">
      <c r="A1534"/>
      <c r="B1534"/>
      <c r="C1534"/>
      <c r="D1534"/>
      <c r="E1534"/>
      <c r="F1534"/>
      <c r="G1534"/>
      <c r="H1534"/>
      <c r="I1534"/>
      <c r="J1534"/>
    </row>
    <row r="1535" spans="1:10" x14ac:dyDescent="0.2">
      <c r="A1535"/>
      <c r="B1535"/>
      <c r="C1535"/>
      <c r="D1535"/>
      <c r="E1535"/>
      <c r="F1535"/>
      <c r="G1535"/>
      <c r="H1535"/>
      <c r="I1535"/>
      <c r="J1535"/>
    </row>
    <row r="1536" spans="1:10" x14ac:dyDescent="0.2">
      <c r="A1536"/>
      <c r="B1536"/>
      <c r="C1536"/>
      <c r="D1536"/>
      <c r="E1536"/>
      <c r="F1536"/>
      <c r="G1536"/>
      <c r="H1536"/>
      <c r="I1536"/>
      <c r="J1536"/>
    </row>
    <row r="1537" spans="1:10" x14ac:dyDescent="0.2">
      <c r="A1537"/>
      <c r="B1537"/>
      <c r="C1537"/>
      <c r="D1537"/>
      <c r="E1537"/>
      <c r="F1537"/>
      <c r="G1537"/>
      <c r="H1537"/>
      <c r="I1537"/>
      <c r="J1537"/>
    </row>
    <row r="1538" spans="1:10" x14ac:dyDescent="0.2">
      <c r="A1538"/>
      <c r="B1538"/>
      <c r="C1538"/>
      <c r="D1538"/>
      <c r="E1538"/>
      <c r="F1538"/>
      <c r="G1538"/>
      <c r="H1538"/>
      <c r="I1538"/>
      <c r="J1538"/>
    </row>
    <row r="1539" spans="1:10" x14ac:dyDescent="0.2">
      <c r="A1539"/>
      <c r="B1539"/>
      <c r="C1539"/>
      <c r="D1539"/>
      <c r="E1539"/>
      <c r="F1539"/>
      <c r="G1539"/>
      <c r="H1539"/>
      <c r="I1539"/>
      <c r="J1539"/>
    </row>
    <row r="1540" spans="1:10" x14ac:dyDescent="0.2">
      <c r="A1540"/>
      <c r="B1540"/>
      <c r="C1540"/>
      <c r="D1540"/>
      <c r="E1540"/>
      <c r="F1540"/>
      <c r="G1540"/>
      <c r="H1540"/>
      <c r="I1540"/>
      <c r="J1540"/>
    </row>
    <row r="1541" spans="1:10" x14ac:dyDescent="0.2">
      <c r="A1541"/>
      <c r="B1541"/>
      <c r="C1541"/>
      <c r="D1541"/>
      <c r="E1541"/>
      <c r="F1541"/>
      <c r="G1541"/>
      <c r="H1541"/>
      <c r="I1541"/>
      <c r="J1541"/>
    </row>
    <row r="1542" spans="1:10" x14ac:dyDescent="0.2">
      <c r="A1542"/>
      <c r="B1542"/>
      <c r="C1542"/>
      <c r="D1542"/>
      <c r="E1542"/>
      <c r="F1542"/>
      <c r="G1542"/>
      <c r="H1542"/>
      <c r="I1542"/>
      <c r="J1542"/>
    </row>
    <row r="1543" spans="1:10" x14ac:dyDescent="0.2">
      <c r="A1543"/>
      <c r="B1543"/>
      <c r="C1543"/>
      <c r="D1543"/>
      <c r="E1543"/>
      <c r="F1543"/>
      <c r="G1543"/>
      <c r="H1543"/>
      <c r="I1543"/>
      <c r="J1543"/>
    </row>
    <row r="1544" spans="1:10" x14ac:dyDescent="0.2">
      <c r="A1544"/>
      <c r="B1544"/>
      <c r="C1544"/>
      <c r="D1544"/>
      <c r="E1544"/>
      <c r="F1544"/>
      <c r="G1544"/>
      <c r="H1544"/>
      <c r="I1544"/>
      <c r="J1544"/>
    </row>
    <row r="1545" spans="1:10" x14ac:dyDescent="0.2">
      <c r="A1545"/>
      <c r="B1545"/>
      <c r="C1545"/>
      <c r="D1545"/>
      <c r="E1545"/>
      <c r="F1545"/>
      <c r="G1545"/>
      <c r="H1545"/>
      <c r="I1545"/>
      <c r="J1545"/>
    </row>
    <row r="1546" spans="1:10" x14ac:dyDescent="0.2">
      <c r="A1546"/>
      <c r="B1546"/>
      <c r="C1546"/>
      <c r="D1546"/>
      <c r="E1546"/>
      <c r="F1546"/>
      <c r="G1546"/>
      <c r="H1546"/>
      <c r="I1546"/>
      <c r="J1546"/>
    </row>
    <row r="1547" spans="1:10" x14ac:dyDescent="0.2">
      <c r="A1547"/>
      <c r="B1547"/>
      <c r="C1547"/>
      <c r="D1547"/>
      <c r="E1547"/>
      <c r="F1547"/>
      <c r="G1547"/>
      <c r="H1547"/>
      <c r="I1547"/>
      <c r="J1547"/>
    </row>
    <row r="1548" spans="1:10" x14ac:dyDescent="0.2">
      <c r="A1548"/>
      <c r="B1548"/>
      <c r="C1548"/>
      <c r="D1548"/>
      <c r="E1548"/>
      <c r="F1548"/>
      <c r="G1548"/>
      <c r="H1548"/>
      <c r="I1548"/>
      <c r="J1548"/>
    </row>
    <row r="1549" spans="1:10" x14ac:dyDescent="0.2">
      <c r="A1549"/>
      <c r="B1549"/>
      <c r="C1549"/>
      <c r="D1549"/>
      <c r="E1549"/>
      <c r="F1549"/>
      <c r="G1549"/>
      <c r="H1549"/>
      <c r="I1549"/>
      <c r="J1549"/>
    </row>
    <row r="1550" spans="1:10" x14ac:dyDescent="0.2">
      <c r="A1550"/>
      <c r="B1550"/>
      <c r="C1550"/>
      <c r="D1550"/>
      <c r="E1550"/>
      <c r="F1550"/>
      <c r="G1550"/>
      <c r="H1550"/>
      <c r="I1550"/>
      <c r="J1550"/>
    </row>
    <row r="1551" spans="1:10" x14ac:dyDescent="0.2">
      <c r="A1551"/>
      <c r="B1551"/>
      <c r="C1551"/>
      <c r="D1551"/>
      <c r="E1551"/>
      <c r="F1551"/>
      <c r="G1551"/>
      <c r="H1551"/>
      <c r="I1551"/>
      <c r="J1551"/>
    </row>
    <row r="1552" spans="1:10" x14ac:dyDescent="0.2">
      <c r="A1552"/>
      <c r="B1552"/>
      <c r="C1552"/>
      <c r="D1552"/>
      <c r="E1552"/>
      <c r="F1552"/>
      <c r="G1552"/>
      <c r="H1552"/>
      <c r="I1552"/>
      <c r="J1552"/>
    </row>
    <row r="1553" spans="1:10" x14ac:dyDescent="0.2">
      <c r="A1553"/>
      <c r="B1553"/>
      <c r="C1553"/>
      <c r="D1553"/>
      <c r="E1553"/>
      <c r="F1553"/>
      <c r="G1553"/>
      <c r="H1553"/>
      <c r="I1553"/>
      <c r="J1553"/>
    </row>
    <row r="1554" spans="1:10" x14ac:dyDescent="0.2">
      <c r="A1554"/>
      <c r="B1554"/>
      <c r="C1554"/>
      <c r="D1554"/>
      <c r="E1554"/>
      <c r="F1554"/>
      <c r="G1554"/>
      <c r="H1554"/>
      <c r="I1554"/>
      <c r="J1554"/>
    </row>
    <row r="1555" spans="1:10" x14ac:dyDescent="0.2">
      <c r="A1555"/>
      <c r="B1555"/>
      <c r="C1555"/>
      <c r="D1555"/>
      <c r="E1555"/>
      <c r="F1555"/>
      <c r="G1555"/>
      <c r="H1555"/>
      <c r="I1555"/>
      <c r="J1555"/>
    </row>
    <row r="1556" spans="1:10" x14ac:dyDescent="0.2">
      <c r="A1556"/>
      <c r="B1556"/>
      <c r="C1556"/>
      <c r="D1556"/>
      <c r="E1556"/>
      <c r="F1556"/>
      <c r="G1556"/>
      <c r="H1556"/>
      <c r="I1556"/>
      <c r="J1556"/>
    </row>
    <row r="1557" spans="1:10" x14ac:dyDescent="0.2">
      <c r="A1557"/>
      <c r="B1557"/>
      <c r="C1557"/>
      <c r="D1557"/>
      <c r="E1557"/>
      <c r="F1557"/>
      <c r="G1557"/>
      <c r="H1557"/>
      <c r="I1557"/>
      <c r="J1557"/>
    </row>
    <row r="1558" spans="1:10" x14ac:dyDescent="0.2">
      <c r="A1558"/>
      <c r="B1558"/>
      <c r="C1558"/>
      <c r="D1558"/>
      <c r="E1558"/>
      <c r="F1558"/>
      <c r="G1558"/>
      <c r="H1558"/>
      <c r="I1558"/>
      <c r="J1558"/>
    </row>
    <row r="1559" spans="1:10" x14ac:dyDescent="0.2">
      <c r="A1559"/>
      <c r="B1559"/>
      <c r="C1559"/>
      <c r="D1559"/>
      <c r="E1559"/>
      <c r="F1559"/>
      <c r="G1559"/>
      <c r="H1559"/>
      <c r="I1559"/>
      <c r="J1559"/>
    </row>
    <row r="1560" spans="1:10" x14ac:dyDescent="0.2">
      <c r="A1560"/>
      <c r="B1560"/>
      <c r="C1560"/>
      <c r="D1560"/>
      <c r="E1560"/>
      <c r="F1560"/>
      <c r="G1560"/>
      <c r="H1560"/>
      <c r="I1560"/>
      <c r="J1560"/>
    </row>
    <row r="1561" spans="1:10" x14ac:dyDescent="0.2">
      <c r="A1561"/>
      <c r="B1561"/>
      <c r="C1561"/>
      <c r="D1561"/>
      <c r="E1561"/>
      <c r="F1561"/>
      <c r="G1561"/>
      <c r="H1561"/>
      <c r="I1561"/>
      <c r="J1561"/>
    </row>
    <row r="1562" spans="1:10" x14ac:dyDescent="0.2">
      <c r="A1562"/>
      <c r="B1562"/>
      <c r="C1562"/>
      <c r="D1562"/>
      <c r="E1562"/>
      <c r="F1562"/>
      <c r="G1562"/>
      <c r="H1562"/>
      <c r="I1562"/>
      <c r="J1562"/>
    </row>
    <row r="1563" spans="1:10" x14ac:dyDescent="0.2">
      <c r="A1563"/>
      <c r="B1563"/>
      <c r="C1563"/>
      <c r="D1563"/>
      <c r="E1563"/>
      <c r="F1563"/>
      <c r="G1563"/>
      <c r="H1563"/>
      <c r="I1563"/>
      <c r="J1563"/>
    </row>
    <row r="1564" spans="1:10" x14ac:dyDescent="0.2">
      <c r="A1564"/>
      <c r="B1564"/>
      <c r="C1564"/>
      <c r="D1564"/>
      <c r="E1564"/>
      <c r="F1564"/>
      <c r="G1564"/>
      <c r="H1564"/>
      <c r="I1564"/>
      <c r="J1564"/>
    </row>
    <row r="1565" spans="1:10" x14ac:dyDescent="0.2">
      <c r="A1565"/>
      <c r="B1565"/>
      <c r="C1565"/>
      <c r="D1565"/>
      <c r="E1565"/>
      <c r="F1565"/>
      <c r="G1565"/>
      <c r="H1565"/>
      <c r="I1565"/>
      <c r="J1565"/>
    </row>
    <row r="1566" spans="1:10" x14ac:dyDescent="0.2">
      <c r="A1566"/>
      <c r="B1566"/>
      <c r="C1566"/>
      <c r="D1566"/>
      <c r="E1566"/>
      <c r="F1566"/>
      <c r="G1566"/>
      <c r="H1566"/>
      <c r="I1566"/>
      <c r="J1566"/>
    </row>
    <row r="1567" spans="1:10" x14ac:dyDescent="0.2">
      <c r="A1567"/>
      <c r="B1567"/>
      <c r="C1567"/>
      <c r="D1567"/>
      <c r="E1567"/>
      <c r="F1567"/>
      <c r="G1567"/>
      <c r="H1567"/>
      <c r="I1567"/>
      <c r="J1567"/>
    </row>
    <row r="1568" spans="1:10" x14ac:dyDescent="0.2">
      <c r="A1568"/>
      <c r="B1568"/>
      <c r="C1568"/>
      <c r="D1568"/>
      <c r="E1568"/>
      <c r="F1568"/>
      <c r="G1568"/>
      <c r="H1568"/>
      <c r="I1568"/>
      <c r="J1568"/>
    </row>
    <row r="1569" spans="1:10" x14ac:dyDescent="0.2">
      <c r="A1569"/>
      <c r="B1569"/>
      <c r="C1569"/>
      <c r="D1569"/>
      <c r="E1569"/>
      <c r="F1569"/>
      <c r="G1569"/>
      <c r="H1569"/>
      <c r="I1569"/>
      <c r="J1569"/>
    </row>
    <row r="1570" spans="1:10" x14ac:dyDescent="0.2">
      <c r="A1570"/>
      <c r="B1570"/>
      <c r="C1570"/>
      <c r="D1570"/>
      <c r="E1570"/>
      <c r="F1570"/>
      <c r="G1570"/>
      <c r="H1570"/>
      <c r="I1570"/>
      <c r="J1570"/>
    </row>
    <row r="1571" spans="1:10" x14ac:dyDescent="0.2">
      <c r="A1571"/>
      <c r="B1571"/>
      <c r="C1571"/>
      <c r="D1571"/>
      <c r="E1571"/>
      <c r="F1571"/>
      <c r="G1571"/>
      <c r="H1571"/>
      <c r="I1571"/>
      <c r="J1571"/>
    </row>
    <row r="1572" spans="1:10" x14ac:dyDescent="0.2">
      <c r="A1572"/>
      <c r="B1572"/>
      <c r="C1572"/>
      <c r="D1572"/>
      <c r="E1572"/>
      <c r="F1572"/>
      <c r="G1572"/>
      <c r="H1572"/>
      <c r="I1572"/>
      <c r="J1572"/>
    </row>
    <row r="1573" spans="1:10" x14ac:dyDescent="0.2">
      <c r="A1573"/>
      <c r="B1573"/>
      <c r="C1573"/>
      <c r="D1573"/>
      <c r="E1573"/>
      <c r="F1573"/>
      <c r="G1573"/>
      <c r="H1573"/>
      <c r="I1573"/>
      <c r="J1573"/>
    </row>
    <row r="1574" spans="1:10" x14ac:dyDescent="0.2">
      <c r="A1574"/>
      <c r="B1574"/>
      <c r="C1574"/>
      <c r="D1574"/>
      <c r="E1574"/>
      <c r="F1574"/>
      <c r="G1574"/>
      <c r="H1574"/>
      <c r="I1574"/>
      <c r="J1574"/>
    </row>
    <row r="1575" spans="1:10" x14ac:dyDescent="0.2">
      <c r="A1575"/>
      <c r="B1575"/>
      <c r="C1575"/>
      <c r="D1575"/>
      <c r="E1575"/>
      <c r="F1575"/>
      <c r="G1575"/>
      <c r="H1575"/>
      <c r="I1575"/>
      <c r="J1575"/>
    </row>
    <row r="1576" spans="1:10" x14ac:dyDescent="0.2">
      <c r="A1576"/>
      <c r="B1576"/>
      <c r="C1576"/>
      <c r="D1576"/>
      <c r="E1576"/>
      <c r="F1576"/>
      <c r="G1576"/>
      <c r="H1576"/>
      <c r="I1576"/>
      <c r="J1576"/>
    </row>
    <row r="1577" spans="1:10" x14ac:dyDescent="0.2">
      <c r="A1577"/>
      <c r="B1577"/>
      <c r="C1577"/>
      <c r="D1577"/>
      <c r="E1577"/>
      <c r="F1577"/>
      <c r="G1577"/>
      <c r="H1577"/>
      <c r="I1577"/>
      <c r="J1577"/>
    </row>
    <row r="1578" spans="1:10" x14ac:dyDescent="0.2">
      <c r="A1578"/>
      <c r="B1578"/>
      <c r="C1578"/>
      <c r="D1578"/>
      <c r="E1578"/>
      <c r="F1578"/>
      <c r="G1578"/>
      <c r="H1578"/>
      <c r="I1578"/>
      <c r="J1578"/>
    </row>
    <row r="1579" spans="1:10" x14ac:dyDescent="0.2">
      <c r="A1579"/>
      <c r="B1579"/>
      <c r="C1579"/>
      <c r="D1579"/>
      <c r="E1579"/>
      <c r="F1579"/>
      <c r="G1579"/>
      <c r="H1579"/>
      <c r="I1579"/>
      <c r="J1579"/>
    </row>
    <row r="1580" spans="1:10" x14ac:dyDescent="0.2">
      <c r="A1580"/>
      <c r="B1580"/>
      <c r="C1580"/>
      <c r="D1580"/>
      <c r="E1580"/>
      <c r="F1580"/>
      <c r="G1580"/>
      <c r="H1580"/>
      <c r="I1580"/>
      <c r="J1580"/>
    </row>
    <row r="1581" spans="1:10" x14ac:dyDescent="0.2">
      <c r="A1581"/>
      <c r="B1581"/>
      <c r="C1581"/>
      <c r="D1581"/>
      <c r="E1581"/>
      <c r="F1581"/>
      <c r="G1581"/>
      <c r="H1581"/>
      <c r="I1581"/>
      <c r="J1581"/>
    </row>
    <row r="1582" spans="1:10" x14ac:dyDescent="0.2">
      <c r="A1582"/>
      <c r="B1582"/>
      <c r="C1582"/>
      <c r="D1582"/>
      <c r="E1582"/>
      <c r="F1582"/>
      <c r="G1582"/>
      <c r="H1582"/>
      <c r="I1582"/>
      <c r="J1582"/>
    </row>
    <row r="1583" spans="1:10" x14ac:dyDescent="0.2">
      <c r="A1583"/>
      <c r="B1583"/>
      <c r="C1583"/>
      <c r="D1583"/>
      <c r="E1583"/>
      <c r="F1583"/>
      <c r="G1583"/>
      <c r="H1583"/>
      <c r="I1583"/>
      <c r="J1583"/>
    </row>
    <row r="1584" spans="1:10" x14ac:dyDescent="0.2">
      <c r="A1584"/>
      <c r="B1584"/>
      <c r="C1584"/>
      <c r="D1584"/>
      <c r="E1584"/>
      <c r="F1584"/>
      <c r="G1584"/>
      <c r="H1584"/>
      <c r="I1584"/>
      <c r="J1584"/>
    </row>
    <row r="1585" spans="1:10" x14ac:dyDescent="0.2">
      <c r="A1585"/>
      <c r="B1585"/>
      <c r="C1585"/>
      <c r="D1585"/>
      <c r="E1585"/>
      <c r="F1585"/>
      <c r="G1585"/>
      <c r="H1585"/>
      <c r="I1585"/>
      <c r="J1585"/>
    </row>
    <row r="1586" spans="1:10" x14ac:dyDescent="0.2">
      <c r="A1586"/>
      <c r="B1586"/>
      <c r="C1586"/>
      <c r="D1586"/>
      <c r="E1586"/>
      <c r="F1586"/>
      <c r="G1586"/>
      <c r="H1586"/>
      <c r="I1586"/>
      <c r="J1586"/>
    </row>
    <row r="1587" spans="1:10" x14ac:dyDescent="0.2">
      <c r="A1587"/>
      <c r="B1587"/>
      <c r="C1587"/>
      <c r="D1587"/>
      <c r="E1587"/>
      <c r="F1587"/>
      <c r="G1587"/>
      <c r="H1587"/>
      <c r="I1587"/>
      <c r="J1587"/>
    </row>
    <row r="1588" spans="1:10" x14ac:dyDescent="0.2">
      <c r="A1588"/>
      <c r="B1588"/>
      <c r="C1588"/>
      <c r="D1588"/>
      <c r="E1588"/>
      <c r="F1588"/>
      <c r="G1588"/>
      <c r="H1588"/>
      <c r="I1588"/>
      <c r="J1588"/>
    </row>
    <row r="1589" spans="1:10" x14ac:dyDescent="0.2">
      <c r="A1589"/>
      <c r="B1589"/>
      <c r="C1589"/>
      <c r="D1589"/>
      <c r="E1589"/>
      <c r="F1589"/>
      <c r="G1589"/>
      <c r="H1589"/>
      <c r="I1589"/>
      <c r="J1589"/>
    </row>
    <row r="1590" spans="1:10" x14ac:dyDescent="0.2">
      <c r="A1590"/>
      <c r="B1590"/>
      <c r="C1590"/>
      <c r="D1590"/>
      <c r="E1590"/>
      <c r="F1590"/>
      <c r="G1590"/>
      <c r="H1590"/>
      <c r="I1590"/>
      <c r="J1590"/>
    </row>
    <row r="1591" spans="1:10" x14ac:dyDescent="0.2">
      <c r="A1591"/>
      <c r="B1591"/>
      <c r="C1591"/>
      <c r="D1591"/>
      <c r="E1591"/>
      <c r="F1591"/>
      <c r="G1591"/>
      <c r="H1591"/>
      <c r="I1591"/>
      <c r="J1591"/>
    </row>
    <row r="1592" spans="1:10" x14ac:dyDescent="0.2">
      <c r="A1592"/>
      <c r="B1592"/>
      <c r="C1592"/>
      <c r="D1592"/>
      <c r="E1592"/>
      <c r="F1592"/>
      <c r="G1592"/>
      <c r="H1592"/>
      <c r="I1592"/>
      <c r="J1592"/>
    </row>
    <row r="1593" spans="1:10" x14ac:dyDescent="0.2">
      <c r="A1593"/>
      <c r="B1593"/>
      <c r="C1593"/>
      <c r="D1593"/>
      <c r="E1593"/>
      <c r="F1593"/>
      <c r="G1593"/>
      <c r="H1593"/>
      <c r="I1593"/>
      <c r="J1593"/>
    </row>
    <row r="1594" spans="1:10" x14ac:dyDescent="0.2">
      <c r="A1594"/>
      <c r="B1594"/>
      <c r="C1594"/>
      <c r="D1594"/>
      <c r="E1594"/>
      <c r="F1594"/>
      <c r="G1594"/>
      <c r="H1594"/>
      <c r="I1594"/>
      <c r="J1594"/>
    </row>
    <row r="1595" spans="1:10" x14ac:dyDescent="0.2">
      <c r="A1595"/>
      <c r="B1595"/>
      <c r="C1595"/>
      <c r="D1595"/>
      <c r="E1595"/>
      <c r="F1595"/>
      <c r="G1595"/>
      <c r="H1595"/>
      <c r="I1595"/>
      <c r="J1595"/>
    </row>
    <row r="1596" spans="1:10" x14ac:dyDescent="0.2">
      <c r="A1596"/>
      <c r="B1596"/>
      <c r="C1596"/>
      <c r="D1596"/>
      <c r="E1596"/>
      <c r="F1596"/>
      <c r="G1596"/>
      <c r="H1596"/>
      <c r="I1596"/>
      <c r="J1596"/>
    </row>
    <row r="1597" spans="1:10" x14ac:dyDescent="0.2">
      <c r="A1597"/>
      <c r="B1597"/>
      <c r="C1597"/>
      <c r="D1597"/>
      <c r="E1597"/>
      <c r="F1597"/>
      <c r="G1597"/>
      <c r="H1597"/>
      <c r="I1597"/>
      <c r="J1597"/>
    </row>
    <row r="1598" spans="1:10" x14ac:dyDescent="0.2">
      <c r="A1598"/>
      <c r="B1598"/>
      <c r="C1598"/>
      <c r="D1598"/>
      <c r="E1598"/>
      <c r="F1598"/>
      <c r="G1598"/>
      <c r="H1598"/>
      <c r="I1598"/>
      <c r="J1598"/>
    </row>
    <row r="1599" spans="1:10" x14ac:dyDescent="0.2">
      <c r="A1599"/>
      <c r="B1599"/>
      <c r="C1599"/>
      <c r="D1599"/>
      <c r="E1599"/>
      <c r="F1599"/>
      <c r="G1599"/>
      <c r="H1599"/>
      <c r="I1599"/>
      <c r="J1599"/>
    </row>
    <row r="1600" spans="1:10" x14ac:dyDescent="0.2">
      <c r="A1600"/>
      <c r="B1600"/>
      <c r="C1600"/>
      <c r="D1600"/>
      <c r="E1600"/>
      <c r="F1600"/>
      <c r="G1600"/>
      <c r="H1600"/>
      <c r="I1600"/>
      <c r="J1600"/>
    </row>
    <row r="1601" spans="1:10" x14ac:dyDescent="0.2">
      <c r="A1601"/>
      <c r="B1601"/>
      <c r="C1601"/>
      <c r="D1601"/>
      <c r="E1601"/>
      <c r="F1601"/>
      <c r="G1601"/>
      <c r="H1601"/>
      <c r="I1601"/>
      <c r="J1601"/>
    </row>
    <row r="1602" spans="1:10" x14ac:dyDescent="0.2">
      <c r="A1602"/>
      <c r="B1602"/>
      <c r="C1602"/>
      <c r="D1602"/>
      <c r="E1602"/>
      <c r="F1602"/>
      <c r="G1602"/>
      <c r="H1602"/>
      <c r="I1602"/>
      <c r="J1602"/>
    </row>
    <row r="1603" spans="1:10" x14ac:dyDescent="0.2">
      <c r="A1603"/>
      <c r="B1603"/>
      <c r="C1603"/>
      <c r="D1603"/>
      <c r="E1603"/>
      <c r="F1603"/>
      <c r="G1603"/>
      <c r="H1603"/>
      <c r="I1603"/>
      <c r="J1603"/>
    </row>
    <row r="1604" spans="1:10" x14ac:dyDescent="0.2">
      <c r="A1604"/>
      <c r="B1604"/>
      <c r="C1604"/>
      <c r="D1604"/>
      <c r="E1604"/>
      <c r="F1604"/>
      <c r="G1604"/>
      <c r="H1604"/>
      <c r="I1604"/>
      <c r="J1604"/>
    </row>
    <row r="1605" spans="1:10" x14ac:dyDescent="0.2">
      <c r="A1605"/>
      <c r="B1605"/>
      <c r="C1605"/>
      <c r="D1605"/>
      <c r="E1605"/>
      <c r="F1605"/>
      <c r="G1605"/>
      <c r="H1605"/>
      <c r="I1605"/>
      <c r="J1605"/>
    </row>
    <row r="1606" spans="1:10" x14ac:dyDescent="0.2">
      <c r="A1606"/>
      <c r="B1606"/>
      <c r="C1606"/>
      <c r="D1606"/>
      <c r="E1606"/>
      <c r="F1606"/>
      <c r="G1606"/>
      <c r="H1606"/>
      <c r="I1606"/>
      <c r="J1606"/>
    </row>
    <row r="1607" spans="1:10" x14ac:dyDescent="0.2">
      <c r="A1607"/>
      <c r="B1607"/>
      <c r="C1607"/>
      <c r="D1607"/>
      <c r="E1607"/>
      <c r="F1607"/>
      <c r="G1607"/>
      <c r="H1607"/>
      <c r="I1607"/>
      <c r="J1607"/>
    </row>
    <row r="1608" spans="1:10" x14ac:dyDescent="0.2">
      <c r="A1608"/>
      <c r="B1608"/>
      <c r="C1608"/>
      <c r="D1608"/>
      <c r="E1608"/>
      <c r="F1608"/>
      <c r="G1608"/>
      <c r="H1608"/>
      <c r="I1608"/>
      <c r="J1608"/>
    </row>
    <row r="1609" spans="1:10" x14ac:dyDescent="0.2">
      <c r="A1609"/>
      <c r="B1609"/>
      <c r="C1609"/>
      <c r="D1609"/>
      <c r="E1609"/>
      <c r="F1609"/>
      <c r="G1609"/>
      <c r="H1609"/>
      <c r="I1609"/>
      <c r="J1609"/>
    </row>
    <row r="1610" spans="1:10" x14ac:dyDescent="0.2">
      <c r="A1610"/>
      <c r="B1610"/>
      <c r="C1610"/>
      <c r="D1610"/>
      <c r="E1610"/>
      <c r="F1610"/>
      <c r="G1610"/>
      <c r="H1610"/>
      <c r="I1610"/>
      <c r="J1610"/>
    </row>
    <row r="1611" spans="1:10" x14ac:dyDescent="0.2">
      <c r="A1611"/>
      <c r="B1611"/>
      <c r="C1611"/>
      <c r="D1611"/>
      <c r="E1611"/>
      <c r="F1611"/>
      <c r="G1611"/>
      <c r="H1611"/>
      <c r="I1611"/>
      <c r="J1611"/>
    </row>
    <row r="1612" spans="1:10" x14ac:dyDescent="0.2">
      <c r="A1612"/>
      <c r="B1612"/>
      <c r="C1612"/>
      <c r="D1612"/>
      <c r="E1612"/>
      <c r="F1612"/>
      <c r="G1612"/>
      <c r="H1612"/>
      <c r="I1612"/>
      <c r="J1612"/>
    </row>
    <row r="1613" spans="1:10" x14ac:dyDescent="0.2">
      <c r="A1613"/>
      <c r="B1613"/>
      <c r="C1613"/>
      <c r="D1613"/>
      <c r="E1613"/>
      <c r="F1613"/>
      <c r="G1613"/>
      <c r="H1613"/>
      <c r="I1613"/>
      <c r="J1613"/>
    </row>
    <row r="1614" spans="1:10" x14ac:dyDescent="0.2">
      <c r="A1614"/>
      <c r="B1614"/>
      <c r="C1614"/>
      <c r="D1614"/>
      <c r="E1614"/>
      <c r="F1614"/>
      <c r="G1614"/>
      <c r="H1614"/>
      <c r="I1614"/>
      <c r="J1614"/>
    </row>
    <row r="1615" spans="1:10" x14ac:dyDescent="0.2">
      <c r="A1615"/>
      <c r="B1615"/>
      <c r="C1615"/>
      <c r="D1615"/>
      <c r="E1615"/>
      <c r="F1615"/>
      <c r="G1615"/>
      <c r="H1615"/>
      <c r="I1615"/>
      <c r="J1615"/>
    </row>
    <row r="1616" spans="1:10" x14ac:dyDescent="0.2">
      <c r="A1616"/>
      <c r="B1616"/>
      <c r="C1616"/>
      <c r="D1616"/>
      <c r="E1616"/>
      <c r="F1616"/>
      <c r="G1616"/>
      <c r="H1616"/>
      <c r="I1616"/>
      <c r="J1616"/>
    </row>
    <row r="1617" spans="1:10" x14ac:dyDescent="0.2">
      <c r="A1617"/>
      <c r="B1617"/>
      <c r="C1617"/>
      <c r="D1617"/>
      <c r="E1617"/>
      <c r="F1617"/>
      <c r="G1617"/>
      <c r="H1617"/>
      <c r="I1617"/>
      <c r="J1617"/>
    </row>
    <row r="1618" spans="1:10" x14ac:dyDescent="0.2">
      <c r="A1618"/>
      <c r="B1618"/>
      <c r="C1618"/>
      <c r="D1618"/>
      <c r="E1618"/>
      <c r="F1618"/>
      <c r="G1618"/>
      <c r="H1618"/>
      <c r="I1618"/>
      <c r="J1618"/>
    </row>
    <row r="1619" spans="1:10" x14ac:dyDescent="0.2">
      <c r="A1619"/>
      <c r="B1619"/>
      <c r="C1619"/>
      <c r="D1619"/>
      <c r="E1619"/>
      <c r="F1619"/>
      <c r="G1619"/>
      <c r="H1619"/>
      <c r="I1619"/>
      <c r="J1619"/>
    </row>
    <row r="1620" spans="1:10" x14ac:dyDescent="0.2">
      <c r="A1620"/>
      <c r="B1620"/>
      <c r="C1620"/>
      <c r="D1620"/>
      <c r="E1620"/>
      <c r="F1620"/>
      <c r="G1620"/>
      <c r="H1620"/>
      <c r="I1620"/>
      <c r="J1620"/>
    </row>
    <row r="1621" spans="1:10" x14ac:dyDescent="0.2">
      <c r="A1621"/>
      <c r="B1621"/>
      <c r="C1621"/>
      <c r="D1621"/>
      <c r="E1621"/>
      <c r="F1621"/>
      <c r="G1621"/>
      <c r="H1621"/>
      <c r="I1621"/>
      <c r="J1621"/>
    </row>
    <row r="1622" spans="1:10" x14ac:dyDescent="0.2">
      <c r="A1622"/>
      <c r="B1622"/>
      <c r="C1622"/>
      <c r="D1622"/>
      <c r="E1622"/>
      <c r="F1622"/>
      <c r="G1622"/>
      <c r="H1622"/>
      <c r="I1622"/>
      <c r="J1622"/>
    </row>
    <row r="1623" spans="1:10" x14ac:dyDescent="0.2">
      <c r="A1623"/>
      <c r="B1623"/>
      <c r="C1623"/>
      <c r="D1623"/>
      <c r="E1623"/>
      <c r="F1623"/>
      <c r="G1623"/>
      <c r="H1623"/>
      <c r="I1623"/>
      <c r="J1623"/>
    </row>
    <row r="1624" spans="1:10" x14ac:dyDescent="0.2">
      <c r="A1624"/>
      <c r="B1624"/>
      <c r="C1624"/>
      <c r="D1624"/>
      <c r="E1624"/>
      <c r="F1624"/>
      <c r="G1624"/>
      <c r="H1624"/>
      <c r="I1624"/>
      <c r="J1624"/>
    </row>
    <row r="1625" spans="1:10" x14ac:dyDescent="0.2">
      <c r="A1625"/>
      <c r="B1625"/>
      <c r="C1625"/>
      <c r="D1625"/>
      <c r="E1625"/>
      <c r="F1625"/>
      <c r="G1625"/>
      <c r="H1625"/>
      <c r="I1625"/>
      <c r="J1625"/>
    </row>
    <row r="1626" spans="1:10" x14ac:dyDescent="0.2">
      <c r="A1626"/>
      <c r="B1626"/>
      <c r="C1626"/>
      <c r="D1626"/>
      <c r="E1626"/>
      <c r="F1626"/>
      <c r="G1626"/>
      <c r="H1626"/>
      <c r="I1626"/>
      <c r="J1626"/>
    </row>
    <row r="1627" spans="1:10" x14ac:dyDescent="0.2">
      <c r="A1627"/>
      <c r="B1627"/>
      <c r="C1627"/>
      <c r="D1627"/>
      <c r="E1627"/>
      <c r="F1627"/>
      <c r="G1627"/>
      <c r="H1627"/>
      <c r="I1627"/>
      <c r="J1627"/>
    </row>
    <row r="1628" spans="1:10" x14ac:dyDescent="0.2">
      <c r="A1628"/>
      <c r="B1628"/>
      <c r="C1628"/>
      <c r="D1628"/>
      <c r="E1628"/>
      <c r="F1628"/>
      <c r="G1628"/>
      <c r="H1628"/>
      <c r="I1628"/>
      <c r="J1628"/>
    </row>
    <row r="1629" spans="1:10" x14ac:dyDescent="0.2">
      <c r="A1629"/>
      <c r="B1629"/>
      <c r="C1629"/>
      <c r="D1629"/>
      <c r="E1629"/>
      <c r="F1629"/>
      <c r="G1629"/>
      <c r="H1629"/>
      <c r="I1629"/>
      <c r="J1629"/>
    </row>
    <row r="1630" spans="1:10" x14ac:dyDescent="0.2">
      <c r="A1630"/>
      <c r="B1630"/>
      <c r="C1630"/>
      <c r="D1630"/>
      <c r="E1630"/>
      <c r="F1630"/>
      <c r="G1630"/>
      <c r="H1630"/>
      <c r="I1630"/>
      <c r="J1630"/>
    </row>
    <row r="1631" spans="1:10" x14ac:dyDescent="0.2">
      <c r="A1631"/>
      <c r="B1631"/>
      <c r="C1631"/>
      <c r="D1631"/>
      <c r="E1631"/>
      <c r="F1631"/>
      <c r="G1631"/>
      <c r="H1631"/>
      <c r="I1631"/>
      <c r="J1631"/>
    </row>
    <row r="1632" spans="1:10" x14ac:dyDescent="0.2">
      <c r="A1632"/>
      <c r="B1632"/>
      <c r="C1632"/>
      <c r="D1632"/>
      <c r="E1632"/>
      <c r="F1632"/>
      <c r="G1632"/>
      <c r="H1632"/>
      <c r="I1632"/>
      <c r="J1632"/>
    </row>
    <row r="1633" spans="1:10" x14ac:dyDescent="0.2">
      <c r="A1633"/>
      <c r="B1633"/>
      <c r="C1633"/>
      <c r="D1633"/>
      <c r="E1633"/>
      <c r="F1633"/>
      <c r="G1633"/>
      <c r="H1633"/>
      <c r="I1633"/>
      <c r="J1633"/>
    </row>
    <row r="1634" spans="1:10" x14ac:dyDescent="0.2">
      <c r="A1634"/>
      <c r="B1634"/>
      <c r="C1634"/>
      <c r="D1634"/>
      <c r="E1634"/>
      <c r="F1634"/>
      <c r="G1634"/>
      <c r="H1634"/>
      <c r="I1634"/>
      <c r="J1634"/>
    </row>
    <row r="1635" spans="1:10" x14ac:dyDescent="0.2">
      <c r="A1635"/>
      <c r="B1635"/>
      <c r="C1635"/>
      <c r="D1635"/>
      <c r="E1635"/>
      <c r="F1635"/>
      <c r="G1635"/>
      <c r="H1635"/>
      <c r="I1635"/>
      <c r="J1635"/>
    </row>
    <row r="1636" spans="1:10" x14ac:dyDescent="0.2">
      <c r="A1636"/>
      <c r="B1636"/>
      <c r="C1636"/>
      <c r="D1636"/>
      <c r="E1636"/>
      <c r="F1636"/>
      <c r="G1636"/>
      <c r="H1636"/>
      <c r="I1636"/>
      <c r="J1636"/>
    </row>
    <row r="1637" spans="1:10" x14ac:dyDescent="0.2">
      <c r="A1637"/>
      <c r="B1637"/>
      <c r="C1637"/>
      <c r="D1637"/>
      <c r="E1637"/>
      <c r="F1637"/>
      <c r="G1637"/>
      <c r="H1637"/>
      <c r="I1637"/>
      <c r="J1637"/>
    </row>
    <row r="1638" spans="1:10" x14ac:dyDescent="0.2">
      <c r="A1638"/>
      <c r="B1638"/>
      <c r="C1638"/>
      <c r="D1638"/>
      <c r="E1638"/>
      <c r="F1638"/>
      <c r="G1638"/>
      <c r="H1638"/>
      <c r="I1638"/>
      <c r="J1638"/>
    </row>
    <row r="1639" spans="1:10" x14ac:dyDescent="0.2">
      <c r="A1639"/>
      <c r="B1639"/>
      <c r="C1639"/>
      <c r="D1639"/>
      <c r="E1639"/>
      <c r="F1639"/>
      <c r="G1639"/>
      <c r="H1639"/>
      <c r="I1639"/>
      <c r="J1639"/>
    </row>
    <row r="1640" spans="1:10" x14ac:dyDescent="0.2">
      <c r="A1640"/>
      <c r="B1640"/>
      <c r="C1640"/>
      <c r="D1640"/>
      <c r="E1640"/>
      <c r="F1640"/>
      <c r="G1640"/>
      <c r="H1640"/>
      <c r="I1640"/>
      <c r="J1640"/>
    </row>
    <row r="1641" spans="1:10" x14ac:dyDescent="0.2">
      <c r="A1641"/>
      <c r="B1641"/>
      <c r="C1641"/>
      <c r="D1641"/>
      <c r="E1641"/>
      <c r="F1641"/>
      <c r="G1641"/>
      <c r="H1641"/>
      <c r="I1641"/>
      <c r="J1641"/>
    </row>
    <row r="1642" spans="1:10" x14ac:dyDescent="0.2">
      <c r="A1642"/>
      <c r="B1642"/>
      <c r="C1642"/>
      <c r="D1642"/>
      <c r="E1642"/>
      <c r="F1642"/>
      <c r="G1642"/>
      <c r="H1642"/>
      <c r="I1642"/>
      <c r="J1642"/>
    </row>
    <row r="1643" spans="1:10" x14ac:dyDescent="0.2">
      <c r="A1643"/>
      <c r="B1643"/>
      <c r="C1643"/>
      <c r="D1643"/>
      <c r="E1643"/>
      <c r="F1643"/>
      <c r="G1643"/>
      <c r="H1643"/>
      <c r="I1643"/>
      <c r="J1643"/>
    </row>
    <row r="1644" spans="1:10" x14ac:dyDescent="0.2">
      <c r="A1644"/>
      <c r="B1644"/>
      <c r="C1644"/>
      <c r="D1644"/>
      <c r="E1644"/>
      <c r="F1644"/>
      <c r="G1644"/>
      <c r="H1644"/>
      <c r="I1644"/>
      <c r="J1644"/>
    </row>
    <row r="1645" spans="1:10" x14ac:dyDescent="0.2">
      <c r="A1645"/>
      <c r="B1645"/>
      <c r="C1645"/>
      <c r="D1645"/>
      <c r="E1645"/>
      <c r="F1645"/>
      <c r="G1645"/>
      <c r="H1645"/>
      <c r="I1645"/>
      <c r="J1645"/>
    </row>
    <row r="1646" spans="1:10" x14ac:dyDescent="0.2">
      <c r="A1646"/>
      <c r="B1646"/>
      <c r="C1646"/>
      <c r="D1646"/>
      <c r="E1646"/>
      <c r="F1646"/>
      <c r="G1646"/>
      <c r="H1646"/>
      <c r="I1646"/>
      <c r="J1646"/>
    </row>
  </sheetData>
  <autoFilter ref="A1:J1498" xr:uid="{D5DA0384-8F28-4A88-B914-0A483A9E2122}"/>
  <conditionalFormatting sqref="A1647:A1048576 A1:A1263">
    <cfRule type="duplicateValues" dxfId="24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E3D4A-FDC9-4F3E-8B86-4187F5008513}">
  <sheetPr codeName="גיליון10"/>
  <dimension ref="A1:B8"/>
  <sheetViews>
    <sheetView rightToLeft="1" workbookViewId="0">
      <selection activeCell="H12" sqref="H12"/>
    </sheetView>
  </sheetViews>
  <sheetFormatPr defaultRowHeight="12.75" x14ac:dyDescent="0.2"/>
  <cols>
    <col min="1" max="1" width="15.140625" bestFit="1" customWidth="1"/>
    <col min="2" max="2" width="33.140625" bestFit="1" customWidth="1"/>
  </cols>
  <sheetData>
    <row r="1" spans="1:2" x14ac:dyDescent="0.2">
      <c r="A1" s="3" t="s">
        <v>14</v>
      </c>
      <c r="B1" s="6" t="s">
        <v>22</v>
      </c>
    </row>
    <row r="3" spans="1:2" x14ac:dyDescent="0.2">
      <c r="A3" s="3" t="s">
        <v>17</v>
      </c>
      <c r="B3" t="s">
        <v>20</v>
      </c>
    </row>
    <row r="4" spans="1:2" x14ac:dyDescent="0.2">
      <c r="A4" s="6" t="s">
        <v>1964</v>
      </c>
    </row>
    <row r="5" spans="1:2" x14ac:dyDescent="0.2">
      <c r="A5" s="123" t="s">
        <v>22</v>
      </c>
    </row>
    <row r="6" spans="1:2" x14ac:dyDescent="0.2">
      <c r="A6" s="6" t="s">
        <v>22</v>
      </c>
    </row>
    <row r="7" spans="1:2" x14ac:dyDescent="0.2">
      <c r="A7" s="123" t="s">
        <v>22</v>
      </c>
    </row>
    <row r="8" spans="1:2" x14ac:dyDescent="0.2">
      <c r="A8" s="6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B5D29-7CD1-4307-A26A-5E89DB5D1E4B}">
  <sheetPr codeName="גיליון7">
    <pageSetUpPr fitToPage="1"/>
  </sheetPr>
  <dimension ref="A1:AX74"/>
  <sheetViews>
    <sheetView tabSelected="1" zoomScale="90" zoomScaleNormal="90" workbookViewId="0">
      <selection activeCell="E19" sqref="E19"/>
    </sheetView>
  </sheetViews>
  <sheetFormatPr defaultColWidth="10.28515625" defaultRowHeight="14.25" x14ac:dyDescent="0.2"/>
  <cols>
    <col min="1" max="1" width="24.140625" style="17" customWidth="1"/>
    <col min="2" max="2" width="9.5703125" style="17" bestFit="1" customWidth="1"/>
    <col min="3" max="3" width="9" style="17" customWidth="1"/>
    <col min="4" max="4" width="12.28515625" style="17" customWidth="1"/>
    <col min="5" max="5" width="12.7109375" style="17" customWidth="1"/>
    <col min="6" max="6" width="7.5703125" style="17" hidden="1" customWidth="1"/>
    <col min="7" max="7" width="8" style="17" customWidth="1"/>
    <col min="8" max="8" width="8" style="17" hidden="1" customWidth="1"/>
    <col min="9" max="9" width="7.7109375" style="17" customWidth="1"/>
    <col min="10" max="11" width="7.7109375" style="17" hidden="1" customWidth="1"/>
    <col min="12" max="12" width="10.28515625" style="17" customWidth="1"/>
    <col min="13" max="13" width="8.42578125" style="17" customWidth="1"/>
    <col min="14" max="14" width="8.42578125" style="17" hidden="1" customWidth="1"/>
    <col min="15" max="15" width="10.28515625" style="17" customWidth="1"/>
    <col min="16" max="16" width="10.28515625" style="17" hidden="1" customWidth="1"/>
    <col min="17" max="17" width="11.28515625" style="17" customWidth="1"/>
    <col min="18" max="18" width="10.28515625" style="17" customWidth="1"/>
    <col min="19" max="19" width="9" style="17" customWidth="1"/>
    <col min="20" max="20" width="9.42578125" style="17" customWidth="1"/>
    <col min="21" max="21" width="12.28515625" style="17" customWidth="1"/>
    <col min="22" max="22" width="11.42578125" style="17" customWidth="1"/>
    <col min="23" max="23" width="16" style="17" hidden="1" customWidth="1"/>
    <col min="24" max="24" width="22.5703125" style="11" customWidth="1"/>
    <col min="25" max="26" width="10.28515625" style="17" hidden="1" customWidth="1"/>
    <col min="27" max="27" width="13" style="17" hidden="1" customWidth="1"/>
    <col min="28" max="30" width="10.28515625" style="17" hidden="1" customWidth="1"/>
    <col min="31" max="31" width="17.42578125" style="17" hidden="1" customWidth="1"/>
    <col min="32" max="32" width="15.42578125" style="17" hidden="1" customWidth="1"/>
    <col min="33" max="33" width="14.7109375" style="17" hidden="1" customWidth="1"/>
    <col min="34" max="34" width="10.42578125" style="17" hidden="1" customWidth="1"/>
    <col min="35" max="35" width="15.28515625" style="17" hidden="1" customWidth="1"/>
    <col min="36" max="36" width="26.7109375" style="17" hidden="1" customWidth="1"/>
    <col min="37" max="37" width="21" style="17" hidden="1" customWidth="1"/>
    <col min="38" max="38" width="15.28515625" style="17" hidden="1" customWidth="1"/>
    <col min="39" max="40" width="8.140625" style="17" hidden="1" customWidth="1"/>
    <col min="41" max="41" width="4.140625" style="17" hidden="1" customWidth="1"/>
    <col min="42" max="42" width="7.5703125" style="17" customWidth="1"/>
    <col min="43" max="43" width="8" style="17" customWidth="1"/>
    <col min="44" max="44" width="7" style="17" bestFit="1" customWidth="1"/>
    <col min="45" max="16384" width="10.28515625" style="17"/>
  </cols>
  <sheetData>
    <row r="1" spans="1:50" s="11" customFormat="1" ht="30" customHeight="1" x14ac:dyDescent="0.2">
      <c r="A1" s="8">
        <f ca="1">TODAY()</f>
        <v>46236</v>
      </c>
      <c r="B1" s="140" t="s">
        <v>2147</v>
      </c>
      <c r="C1" s="141"/>
      <c r="D1" s="141"/>
      <c r="E1" s="9"/>
      <c r="F1" s="9"/>
      <c r="G1" s="9"/>
      <c r="H1" s="9"/>
      <c r="I1" s="9"/>
      <c r="J1" s="9"/>
      <c r="K1" s="9"/>
      <c r="L1" s="9"/>
      <c r="M1" s="9"/>
      <c r="N1" s="9"/>
      <c r="O1" s="43"/>
      <c r="P1" s="10"/>
      <c r="Q1" s="10"/>
      <c r="R1" s="10"/>
      <c r="S1" s="10"/>
      <c r="T1" s="10"/>
      <c r="U1" s="10"/>
      <c r="V1" s="10"/>
      <c r="W1" s="10"/>
    </row>
    <row r="2" spans="1:50" ht="29.25" customHeight="1" x14ac:dyDescent="0.25">
      <c r="A2" s="44">
        <v>1</v>
      </c>
      <c r="B2" s="45" t="s">
        <v>1223</v>
      </c>
      <c r="C2" s="45" t="s">
        <v>95</v>
      </c>
      <c r="D2" s="46" t="s">
        <v>1583</v>
      </c>
      <c r="E2" s="46" t="s">
        <v>23</v>
      </c>
      <c r="F2" s="46" t="s">
        <v>24</v>
      </c>
      <c r="G2" s="46" t="s">
        <v>24</v>
      </c>
      <c r="H2" s="46" t="s">
        <v>25</v>
      </c>
      <c r="I2" s="46" t="s">
        <v>25</v>
      </c>
      <c r="J2" s="46" t="s">
        <v>26</v>
      </c>
      <c r="K2" s="46" t="s">
        <v>27</v>
      </c>
      <c r="L2" s="46" t="s">
        <v>27</v>
      </c>
      <c r="M2" s="46" t="s">
        <v>28</v>
      </c>
      <c r="N2" s="46" t="s">
        <v>29</v>
      </c>
      <c r="O2" s="45" t="s">
        <v>29</v>
      </c>
      <c r="P2" s="13"/>
      <c r="Q2" s="125" t="s">
        <v>2002</v>
      </c>
      <c r="R2" s="125" t="s">
        <v>2044</v>
      </c>
      <c r="S2" s="125" t="s">
        <v>2021</v>
      </c>
      <c r="T2" s="132" t="s">
        <v>1592</v>
      </c>
      <c r="U2" s="132" t="s">
        <v>1593</v>
      </c>
      <c r="V2" s="46" t="s">
        <v>1595</v>
      </c>
      <c r="W2" s="46" t="s">
        <v>1594</v>
      </c>
      <c r="X2" s="14" t="s">
        <v>30</v>
      </c>
      <c r="Y2" s="15"/>
      <c r="Z2" s="12" t="s">
        <v>31</v>
      </c>
      <c r="AA2" s="15" t="s">
        <v>31</v>
      </c>
      <c r="AB2" s="15" t="s">
        <v>32</v>
      </c>
      <c r="AC2" s="15" t="s">
        <v>33</v>
      </c>
      <c r="AD2" s="15"/>
      <c r="AE2" s="16" t="s">
        <v>34</v>
      </c>
      <c r="AF2" s="16" t="s">
        <v>35</v>
      </c>
      <c r="AG2" s="16" t="s">
        <v>36</v>
      </c>
      <c r="AH2" s="15" t="s">
        <v>37</v>
      </c>
      <c r="AI2" s="15"/>
      <c r="AJ2" s="15"/>
      <c r="AK2" s="15"/>
      <c r="AL2" s="15"/>
      <c r="AM2" s="15"/>
      <c r="AN2" s="15"/>
      <c r="AO2" s="15"/>
      <c r="AP2" s="76" t="s">
        <v>1551</v>
      </c>
      <c r="AQ2" s="83" t="s">
        <v>1550</v>
      </c>
      <c r="AR2" s="91">
        <v>46235</v>
      </c>
    </row>
    <row r="3" spans="1:50" ht="15" hidden="1" x14ac:dyDescent="0.25">
      <c r="A3" s="47" t="s">
        <v>38</v>
      </c>
      <c r="B3" s="79"/>
      <c r="C3" s="48">
        <f>C4+C21</f>
        <v>650</v>
      </c>
      <c r="D3" s="49">
        <f>D4+D21</f>
        <v>44.456000000000003</v>
      </c>
      <c r="E3" s="50">
        <f t="shared" ref="E3:E51" si="0">IFERROR(D3/C3,0)</f>
        <v>6.8393846153846152E-2</v>
      </c>
      <c r="F3" s="50"/>
      <c r="G3" s="35">
        <f>C3/(AC3-AB3+1)</f>
        <v>20.967741935483872</v>
      </c>
      <c r="H3" s="35"/>
      <c r="I3" s="49">
        <f>I4+I21</f>
        <v>44.456000000000003</v>
      </c>
      <c r="J3" s="49"/>
      <c r="K3" s="49"/>
      <c r="L3" s="35">
        <f>IF(AD3&gt;0,(C3-D3)/(AC3-$A$2),0)</f>
        <v>20.184799999999999</v>
      </c>
      <c r="M3" s="35">
        <f t="shared" ref="M3:M51" si="1">D3/$A$2</f>
        <v>44.456000000000003</v>
      </c>
      <c r="N3" s="35"/>
      <c r="O3" s="51">
        <f t="shared" ref="O3:O51" si="2">IFERROR(E3/AA3,0)</f>
        <v>1.9150276923076923</v>
      </c>
      <c r="P3" s="51"/>
      <c r="Q3" s="51"/>
      <c r="R3" s="51"/>
      <c r="S3" s="51"/>
      <c r="T3" s="51"/>
      <c r="U3" s="51"/>
      <c r="V3" s="51"/>
      <c r="W3" s="51"/>
      <c r="X3" s="33"/>
      <c r="Y3" s="17">
        <v>28</v>
      </c>
      <c r="AA3" s="18">
        <f t="shared" ref="AA3:AA45" si="3">IF(AB3=1,$A$2/Y3,($A$2-AB3)/(Y3-AB3))</f>
        <v>3.5714285714285712E-2</v>
      </c>
      <c r="AB3" s="33">
        <v>1</v>
      </c>
      <c r="AC3" s="33">
        <v>31</v>
      </c>
      <c r="AD3" s="19">
        <f t="shared" ref="AD3:AD6" si="4">($A$2-(AB3-1))*(C3-D3)</f>
        <v>605.54399999999998</v>
      </c>
      <c r="AI3" s="34">
        <v>3920</v>
      </c>
      <c r="AJ3" s="34">
        <f>D3</f>
        <v>44.456000000000003</v>
      </c>
      <c r="AK3" s="35">
        <f>4062-1400</f>
        <v>2662</v>
      </c>
      <c r="AL3" s="35">
        <f>AI3-AJ3-AK3</f>
        <v>1213.5439999999999</v>
      </c>
      <c r="AM3" s="20">
        <f>SUM(AK3+AJ3)/AI3</f>
        <v>0.69042244897959182</v>
      </c>
      <c r="AN3" s="20"/>
      <c r="AO3" s="20"/>
      <c r="AP3" s="20"/>
      <c r="AQ3" s="20"/>
      <c r="AR3" s="25"/>
    </row>
    <row r="4" spans="1:50" ht="15" x14ac:dyDescent="0.25">
      <c r="A4" s="52" t="s">
        <v>39</v>
      </c>
      <c r="B4" s="80">
        <v>1000</v>
      </c>
      <c r="C4" s="118">
        <v>500</v>
      </c>
      <c r="D4" s="119">
        <f>sumif!C36</f>
        <v>44.456000000000003</v>
      </c>
      <c r="E4" s="54">
        <f t="shared" si="0"/>
        <v>8.8912000000000005E-2</v>
      </c>
      <c r="F4" s="41">
        <f t="shared" ref="F4:F13" si="5">C4/J4</f>
        <v>53</v>
      </c>
      <c r="G4" s="41">
        <f t="shared" ref="G4:G18" si="6">(C4-D4)/(AC4-$A$2)</f>
        <v>15.184799999999999</v>
      </c>
      <c r="H4" s="55">
        <f>I4</f>
        <v>44.456000000000003</v>
      </c>
      <c r="I4" s="55">
        <f>sumif!B36</f>
        <v>44.456000000000003</v>
      </c>
      <c r="J4" s="55">
        <f>C4/AH4</f>
        <v>9.433962264150944</v>
      </c>
      <c r="K4" s="55">
        <f>(C4-D4)/(J4-AF4)</f>
        <v>48.287663999999992</v>
      </c>
      <c r="L4" s="41">
        <f t="shared" ref="L4:L45" si="7">IFERROR((C4-D4)/AE4,0)</f>
        <v>17.520923076923076</v>
      </c>
      <c r="M4" s="41">
        <f t="shared" si="1"/>
        <v>44.456000000000003</v>
      </c>
      <c r="N4" s="56">
        <f t="shared" ref="N4:N10" si="8">IFERROR(E4/Z4,0)</f>
        <v>0</v>
      </c>
      <c r="O4" s="57">
        <f t="shared" si="2"/>
        <v>-0.15357527272727273</v>
      </c>
      <c r="P4" s="57"/>
      <c r="Q4" s="57">
        <f>MAX((1-ABS((D4-C4)/C4)),0)</f>
        <v>8.8911999999999991E-2</v>
      </c>
      <c r="R4" s="115">
        <v>12</v>
      </c>
      <c r="S4" s="115">
        <f>C4*O4</f>
        <v>-76.787636363636366</v>
      </c>
      <c r="T4" s="115">
        <f>sumif!E75/1000</f>
        <v>0</v>
      </c>
      <c r="U4" s="115">
        <f>sumif!F75/1000</f>
        <v>0</v>
      </c>
      <c r="V4" s="57"/>
      <c r="W4" s="57"/>
      <c r="X4" s="72"/>
      <c r="Y4" s="37">
        <v>31</v>
      </c>
      <c r="Z4" s="38">
        <f t="shared" ref="Z4:Z10" si="9">AF4/J4</f>
        <v>0</v>
      </c>
      <c r="AA4" s="38">
        <f t="shared" si="3"/>
        <v>-0.57894736842105265</v>
      </c>
      <c r="AB4" s="39">
        <v>12</v>
      </c>
      <c r="AC4" s="39">
        <v>31</v>
      </c>
      <c r="AD4" s="37">
        <f t="shared" si="4"/>
        <v>-4555.4399999999996</v>
      </c>
      <c r="AE4" s="37">
        <v>26</v>
      </c>
      <c r="AF4" s="37">
        <f>'[1]EC (23)'!F1</f>
        <v>0</v>
      </c>
      <c r="AG4" s="37">
        <f>3*2</f>
        <v>6</v>
      </c>
      <c r="AH4" s="25">
        <v>53</v>
      </c>
      <c r="AI4" s="40"/>
      <c r="AJ4" s="40"/>
      <c r="AK4" s="41"/>
      <c r="AL4" s="41"/>
      <c r="AM4" s="42"/>
      <c r="AN4" s="42"/>
      <c r="AO4" s="74"/>
      <c r="AP4" s="74">
        <f t="shared" ref="AP4" si="10">IF(AQ4/G4,AQ4/G4,0)</f>
        <v>2.9276645066118756</v>
      </c>
      <c r="AQ4" s="75">
        <f>AVERAGE(AR4:AV4)</f>
        <v>44.456000000000003</v>
      </c>
      <c r="AR4" s="37">
        <v>44.456000000000003</v>
      </c>
      <c r="AX4" s="19"/>
    </row>
    <row r="5" spans="1:50" ht="15" hidden="1" x14ac:dyDescent="0.25">
      <c r="A5" s="52" t="s">
        <v>40</v>
      </c>
      <c r="B5" s="80"/>
      <c r="C5" s="118"/>
      <c r="D5" s="119">
        <f>sumif!C37</f>
        <v>65</v>
      </c>
      <c r="E5" s="54">
        <f>IFERROR(D5/C5,0)</f>
        <v>0</v>
      </c>
      <c r="F5" s="41" t="e">
        <f>C5/J5</f>
        <v>#DIV/0!</v>
      </c>
      <c r="G5" s="41">
        <f t="shared" si="6"/>
        <v>-2.1666666666666665</v>
      </c>
      <c r="H5" s="55">
        <f>I5</f>
        <v>65</v>
      </c>
      <c r="I5" s="55">
        <f>sumif!B37</f>
        <v>65</v>
      </c>
      <c r="J5" s="55">
        <f>C5/AH5</f>
        <v>0</v>
      </c>
      <c r="K5" s="55" t="e">
        <f>(C5-D5)/(J5-AF5)</f>
        <v>#DIV/0!</v>
      </c>
      <c r="L5" s="41">
        <f t="shared" si="7"/>
        <v>-2.1666666666666665</v>
      </c>
      <c r="M5" s="41">
        <f>D5/$A$2</f>
        <v>65</v>
      </c>
      <c r="N5" s="56">
        <f t="shared" si="8"/>
        <v>0</v>
      </c>
      <c r="O5" s="57">
        <f t="shared" si="2"/>
        <v>0</v>
      </c>
      <c r="P5" s="57"/>
      <c r="Q5" s="57" t="e">
        <f t="shared" ref="Q5:Q59" si="11">MAX((1-ABS((D5-C5)/C5)),0)</f>
        <v>#DIV/0!</v>
      </c>
      <c r="R5" s="115"/>
      <c r="S5" s="115">
        <f t="shared" ref="S5:S45" si="12">C5*O5</f>
        <v>0</v>
      </c>
      <c r="T5" s="115">
        <f>sumif!E76</f>
        <v>0</v>
      </c>
      <c r="U5" s="115">
        <f>sumif!F76</f>
        <v>0</v>
      </c>
      <c r="V5" s="57"/>
      <c r="W5" s="57"/>
      <c r="X5" s="39"/>
      <c r="Y5" s="37">
        <v>19</v>
      </c>
      <c r="Z5" s="38" t="e">
        <f t="shared" si="9"/>
        <v>#DIV/0!</v>
      </c>
      <c r="AA5" s="38">
        <f t="shared" si="3"/>
        <v>-1.5714285714285714</v>
      </c>
      <c r="AB5" s="39">
        <v>12</v>
      </c>
      <c r="AC5" s="39">
        <v>31</v>
      </c>
      <c r="AD5" s="37">
        <f t="shared" si="4"/>
        <v>650</v>
      </c>
      <c r="AE5" s="37">
        <v>30</v>
      </c>
      <c r="AF5" s="37">
        <f>'[1]EC (23)'!F2</f>
        <v>0</v>
      </c>
      <c r="AG5" s="37">
        <f>3*2</f>
        <v>6</v>
      </c>
      <c r="AH5" s="25">
        <v>54</v>
      </c>
      <c r="AI5" s="40">
        <v>8100</v>
      </c>
      <c r="AJ5" s="40">
        <f>D5</f>
        <v>65</v>
      </c>
      <c r="AK5" s="41">
        <f>4613-C5</f>
        <v>4613</v>
      </c>
      <c r="AL5" s="41">
        <f t="shared" ref="AL5:AL45" si="13">AI5-AK5</f>
        <v>3487</v>
      </c>
      <c r="AM5" s="42">
        <f>SUM(AK5+AJ5)/AI5</f>
        <v>0.57753086419753086</v>
      </c>
      <c r="AN5" s="42"/>
      <c r="AO5" s="74"/>
      <c r="AP5" s="74">
        <f t="shared" ref="AP5:AP18" si="14">IF(AQ5/G5,AQ5/G5,0)</f>
        <v>-30.000000000000004</v>
      </c>
      <c r="AQ5" s="75">
        <f>AVERAGE(AR5:AV5)</f>
        <v>65</v>
      </c>
      <c r="AR5" s="37">
        <v>65</v>
      </c>
    </row>
    <row r="6" spans="1:50" ht="15" hidden="1" x14ac:dyDescent="0.25">
      <c r="A6" s="52" t="s">
        <v>2099</v>
      </c>
      <c r="B6" s="80">
        <v>240</v>
      </c>
      <c r="C6" s="118">
        <v>0</v>
      </c>
      <c r="D6" s="119">
        <f>sumif!C34</f>
        <v>0</v>
      </c>
      <c r="E6" s="54">
        <f>IFERROR(D6/C6,0)</f>
        <v>0</v>
      </c>
      <c r="F6" s="41" t="e">
        <f>C6/J6</f>
        <v>#DIV/0!</v>
      </c>
      <c r="G6" s="41">
        <f t="shared" si="6"/>
        <v>0</v>
      </c>
      <c r="H6" s="55">
        <f>I6</f>
        <v>0</v>
      </c>
      <c r="I6" s="55">
        <f>sumif!B34</f>
        <v>0</v>
      </c>
      <c r="J6" s="55">
        <f>C6/AH6</f>
        <v>0</v>
      </c>
      <c r="K6" s="55" t="e">
        <f>(C6-D6)/(J6-AF6)</f>
        <v>#DIV/0!</v>
      </c>
      <c r="L6" s="41">
        <f t="shared" si="7"/>
        <v>0</v>
      </c>
      <c r="M6" s="41">
        <f>D6/$A$2</f>
        <v>0</v>
      </c>
      <c r="N6" s="56">
        <f t="shared" si="8"/>
        <v>0</v>
      </c>
      <c r="O6" s="57">
        <f t="shared" si="2"/>
        <v>0</v>
      </c>
      <c r="P6" s="57"/>
      <c r="Q6" s="57" t="e">
        <f t="shared" si="11"/>
        <v>#DIV/0!</v>
      </c>
      <c r="R6" s="115"/>
      <c r="S6" s="115">
        <f t="shared" si="12"/>
        <v>0</v>
      </c>
      <c r="T6" s="115">
        <f>sumif!E215/1000</f>
        <v>0</v>
      </c>
      <c r="U6" s="115">
        <f>sumif!F215/1000</f>
        <v>0</v>
      </c>
      <c r="V6" s="57"/>
      <c r="W6" s="57"/>
      <c r="X6" s="39"/>
      <c r="Y6" s="37">
        <v>19</v>
      </c>
      <c r="Z6" s="38" t="e">
        <f t="shared" si="9"/>
        <v>#DIV/0!</v>
      </c>
      <c r="AA6" s="38">
        <f t="shared" si="3"/>
        <v>-1.5714285714285714</v>
      </c>
      <c r="AB6" s="39">
        <v>12</v>
      </c>
      <c r="AC6" s="39">
        <v>31</v>
      </c>
      <c r="AD6" s="37">
        <f t="shared" si="4"/>
        <v>0</v>
      </c>
      <c r="AE6" s="37">
        <v>26</v>
      </c>
      <c r="AF6" s="37">
        <f>'[1]EC (23)'!F3</f>
        <v>0</v>
      </c>
      <c r="AG6" s="37">
        <f>3*2</f>
        <v>6</v>
      </c>
      <c r="AH6" s="25">
        <v>55</v>
      </c>
      <c r="AI6" s="40"/>
      <c r="AJ6" s="40"/>
      <c r="AK6" s="41"/>
      <c r="AL6" s="41"/>
      <c r="AM6" s="42"/>
      <c r="AN6" s="42"/>
      <c r="AO6" s="74"/>
      <c r="AP6" s="74" t="e">
        <f t="shared" si="14"/>
        <v>#DIV/0!</v>
      </c>
      <c r="AQ6" s="75">
        <f>AVERAGE(AR6:AV6)</f>
        <v>0</v>
      </c>
      <c r="AR6" s="37">
        <v>0</v>
      </c>
    </row>
    <row r="7" spans="1:50" ht="15" hidden="1" x14ac:dyDescent="0.25">
      <c r="A7" s="52" t="s">
        <v>1652</v>
      </c>
      <c r="B7" s="80">
        <v>120</v>
      </c>
      <c r="C7" s="118">
        <v>144</v>
      </c>
      <c r="D7" s="119">
        <f>sumif!C42</f>
        <v>0</v>
      </c>
      <c r="E7" s="54">
        <f>IFERROR(D7/C7,0)</f>
        <v>0</v>
      </c>
      <c r="F7" s="41" t="e">
        <f>C7/J7</f>
        <v>#DIV/0!</v>
      </c>
      <c r="G7" s="41">
        <f t="shared" si="6"/>
        <v>4.8</v>
      </c>
      <c r="H7" s="55"/>
      <c r="I7" s="55">
        <f>sumif!B42</f>
        <v>0</v>
      </c>
      <c r="J7" s="55"/>
      <c r="K7" s="55"/>
      <c r="L7" s="41">
        <f t="shared" si="7"/>
        <v>5.5384615384615383</v>
      </c>
      <c r="M7" s="41">
        <f>D7/$A$2</f>
        <v>0</v>
      </c>
      <c r="N7" s="56">
        <f t="shared" si="8"/>
        <v>0</v>
      </c>
      <c r="O7" s="57">
        <f t="shared" si="2"/>
        <v>0</v>
      </c>
      <c r="P7" s="57"/>
      <c r="Q7" s="57">
        <f t="shared" si="11"/>
        <v>0</v>
      </c>
      <c r="R7" s="115"/>
      <c r="S7" s="115">
        <f t="shared" si="12"/>
        <v>0</v>
      </c>
      <c r="T7" s="115">
        <f>sumif!E155/1000</f>
        <v>0</v>
      </c>
      <c r="U7" s="115">
        <f>sumif!F155/1000</f>
        <v>0</v>
      </c>
      <c r="V7" s="57"/>
      <c r="W7" s="57"/>
      <c r="X7" s="39"/>
      <c r="Y7" s="37">
        <v>19</v>
      </c>
      <c r="Z7" s="38" t="e">
        <f t="shared" si="9"/>
        <v>#DIV/0!</v>
      </c>
      <c r="AA7" s="38">
        <f t="shared" si="3"/>
        <v>-1.5714285714285714</v>
      </c>
      <c r="AB7" s="39">
        <v>12</v>
      </c>
      <c r="AC7" s="39">
        <v>31</v>
      </c>
      <c r="AD7" s="37">
        <f t="shared" ref="AD7:AD45" si="15">($A$2-(AB7-1))*(C7-D7)</f>
        <v>-1440</v>
      </c>
      <c r="AE7" s="37">
        <v>26</v>
      </c>
      <c r="AF7" s="37">
        <f>'[1]EC (23)'!F4</f>
        <v>0</v>
      </c>
      <c r="AG7" s="37">
        <f>3*2</f>
        <v>6</v>
      </c>
      <c r="AH7" s="25">
        <v>56</v>
      </c>
      <c r="AI7" s="40"/>
      <c r="AJ7" s="40"/>
      <c r="AK7" s="41"/>
      <c r="AL7" s="41"/>
      <c r="AM7" s="42"/>
      <c r="AN7" s="42"/>
      <c r="AO7" s="74"/>
      <c r="AP7" s="74">
        <f t="shared" si="14"/>
        <v>0</v>
      </c>
      <c r="AQ7" s="75">
        <f>AVERAGE(AR7:AV7)</f>
        <v>0</v>
      </c>
      <c r="AR7" s="37">
        <v>0</v>
      </c>
    </row>
    <row r="8" spans="1:50" ht="15.75" customHeight="1" x14ac:dyDescent="0.25">
      <c r="A8" s="52" t="s">
        <v>137</v>
      </c>
      <c r="B8" s="80">
        <f>18*30</f>
        <v>540</v>
      </c>
      <c r="C8" s="118">
        <v>20</v>
      </c>
      <c r="D8" s="119">
        <f>sumif!C30</f>
        <v>0</v>
      </c>
      <c r="E8" s="54">
        <f t="shared" si="0"/>
        <v>0</v>
      </c>
      <c r="F8" s="41">
        <f t="shared" si="5"/>
        <v>3</v>
      </c>
      <c r="G8" s="41">
        <f t="shared" si="6"/>
        <v>0.66666666666666663</v>
      </c>
      <c r="H8" s="58">
        <f t="shared" ref="H8:H45" si="16">I8</f>
        <v>0</v>
      </c>
      <c r="I8" s="55">
        <f>sumif!B30</f>
        <v>0</v>
      </c>
      <c r="J8" s="55">
        <f t="shared" ref="J8:J19" si="17">C8/AH8</f>
        <v>6.666666666666667</v>
      </c>
      <c r="K8" s="58">
        <f>(C8-D8)/(J8-AF8)</f>
        <v>3</v>
      </c>
      <c r="L8" s="41">
        <f t="shared" si="7"/>
        <v>0.76923076923076927</v>
      </c>
      <c r="M8" s="41">
        <f t="shared" si="1"/>
        <v>0</v>
      </c>
      <c r="N8" s="56">
        <f t="shared" si="8"/>
        <v>0</v>
      </c>
      <c r="O8" s="57">
        <f t="shared" si="2"/>
        <v>0</v>
      </c>
      <c r="P8" s="57"/>
      <c r="Q8" s="57">
        <f t="shared" si="11"/>
        <v>0</v>
      </c>
      <c r="R8" s="115"/>
      <c r="S8" s="115">
        <f t="shared" si="12"/>
        <v>0</v>
      </c>
      <c r="T8" s="115">
        <f>sumif!E55/1000</f>
        <v>0</v>
      </c>
      <c r="U8" s="115">
        <f>sumif!F55/1000</f>
        <v>0</v>
      </c>
      <c r="V8" s="57"/>
      <c r="W8" s="57"/>
      <c r="X8" s="73"/>
      <c r="Y8" s="37">
        <v>31</v>
      </c>
      <c r="Z8" s="38">
        <f t="shared" si="9"/>
        <v>0</v>
      </c>
      <c r="AA8" s="38">
        <f t="shared" si="3"/>
        <v>-0.57894736842105265</v>
      </c>
      <c r="AB8" s="39">
        <v>12</v>
      </c>
      <c r="AC8" s="39">
        <v>31</v>
      </c>
      <c r="AD8" s="37">
        <f t="shared" si="15"/>
        <v>-200</v>
      </c>
      <c r="AE8" s="37">
        <v>26</v>
      </c>
      <c r="AF8" s="37">
        <f>'[1]1 lt '!F1</f>
        <v>0</v>
      </c>
      <c r="AG8" s="37"/>
      <c r="AH8" s="25">
        <v>3</v>
      </c>
      <c r="AI8" s="40"/>
      <c r="AJ8" s="40"/>
      <c r="AK8" s="41"/>
      <c r="AL8" s="41"/>
      <c r="AM8" s="42"/>
      <c r="AN8" s="42"/>
      <c r="AO8" s="74"/>
      <c r="AP8" s="74">
        <f t="shared" si="14"/>
        <v>0</v>
      </c>
      <c r="AQ8" s="75">
        <f>AVERAGE(AR8:AV8)</f>
        <v>0</v>
      </c>
      <c r="AR8" s="37">
        <v>0</v>
      </c>
    </row>
    <row r="9" spans="1:50" ht="15" x14ac:dyDescent="0.25">
      <c r="A9" s="52" t="s">
        <v>41</v>
      </c>
      <c r="B9" s="80">
        <f>45*30</f>
        <v>1350</v>
      </c>
      <c r="C9" s="118">
        <v>250</v>
      </c>
      <c r="D9" s="119">
        <f>sumif!C29-D11</f>
        <v>0</v>
      </c>
      <c r="E9" s="54">
        <f t="shared" si="0"/>
        <v>0</v>
      </c>
      <c r="F9" s="41">
        <f t="shared" si="5"/>
        <v>45</v>
      </c>
      <c r="G9" s="41">
        <f t="shared" si="6"/>
        <v>8.3333333333333339</v>
      </c>
      <c r="H9" s="55">
        <f t="shared" si="16"/>
        <v>0</v>
      </c>
      <c r="I9" s="55">
        <f>sumif!B29-I11</f>
        <v>0</v>
      </c>
      <c r="J9" s="55">
        <f t="shared" si="17"/>
        <v>5.5555555555555554</v>
      </c>
      <c r="K9" s="55">
        <f>(C9-D9)/(J9-AF9)</f>
        <v>45</v>
      </c>
      <c r="L9" s="41">
        <f t="shared" si="7"/>
        <v>9.615384615384615</v>
      </c>
      <c r="M9" s="41">
        <f t="shared" si="1"/>
        <v>0</v>
      </c>
      <c r="N9" s="56">
        <f t="shared" si="8"/>
        <v>0</v>
      </c>
      <c r="O9" s="57">
        <f t="shared" si="2"/>
        <v>0</v>
      </c>
      <c r="P9" s="57"/>
      <c r="Q9" s="57">
        <f t="shared" si="11"/>
        <v>0</v>
      </c>
      <c r="R9" s="115"/>
      <c r="S9" s="115">
        <f t="shared" si="12"/>
        <v>0</v>
      </c>
      <c r="T9" s="115">
        <f>sumif!E60/1000</f>
        <v>0</v>
      </c>
      <c r="U9" s="115">
        <f>sumif!F60/1000</f>
        <v>0</v>
      </c>
      <c r="V9" s="57"/>
      <c r="W9" s="57"/>
      <c r="X9" s="137"/>
      <c r="Y9" s="37">
        <v>31</v>
      </c>
      <c r="Z9" s="38">
        <f t="shared" si="9"/>
        <v>0</v>
      </c>
      <c r="AA9" s="38">
        <f t="shared" si="3"/>
        <v>-0.57894736842105265</v>
      </c>
      <c r="AB9" s="39">
        <v>12</v>
      </c>
      <c r="AC9" s="39">
        <v>31</v>
      </c>
      <c r="AD9" s="37">
        <f t="shared" si="15"/>
        <v>-2500</v>
      </c>
      <c r="AE9" s="37">
        <v>26</v>
      </c>
      <c r="AF9" s="37">
        <f>'[1]5 lt'!F1</f>
        <v>0</v>
      </c>
      <c r="AG9" s="37"/>
      <c r="AH9" s="25">
        <v>45</v>
      </c>
      <c r="AI9" s="40"/>
      <c r="AJ9" s="40"/>
      <c r="AK9" s="41"/>
      <c r="AL9" s="41"/>
      <c r="AM9" s="42"/>
      <c r="AN9" s="42"/>
      <c r="AO9" s="74"/>
      <c r="AP9" s="74">
        <f t="shared" si="14"/>
        <v>0</v>
      </c>
      <c r="AQ9" s="75">
        <f>AVERAGE(AR9:AV9)</f>
        <v>0</v>
      </c>
      <c r="AR9" s="37">
        <v>0</v>
      </c>
    </row>
    <row r="10" spans="1:50" ht="15" x14ac:dyDescent="0.25">
      <c r="A10" s="52" t="s">
        <v>42</v>
      </c>
      <c r="B10" s="80">
        <f>45*30</f>
        <v>1350</v>
      </c>
      <c r="C10" s="118">
        <v>362</v>
      </c>
      <c r="D10" s="119">
        <f>sumif!C33</f>
        <v>0</v>
      </c>
      <c r="E10" s="54">
        <f t="shared" si="0"/>
        <v>0</v>
      </c>
      <c r="F10" s="41">
        <f t="shared" si="5"/>
        <v>45</v>
      </c>
      <c r="G10" s="41">
        <f t="shared" si="6"/>
        <v>12.066666666666666</v>
      </c>
      <c r="H10" s="55">
        <f t="shared" si="16"/>
        <v>0</v>
      </c>
      <c r="I10" s="55">
        <f>sumif!B33</f>
        <v>0</v>
      </c>
      <c r="J10" s="55">
        <f t="shared" si="17"/>
        <v>8.0444444444444443</v>
      </c>
      <c r="K10" s="55">
        <f>(C10-D10)/(J10-AF10)</f>
        <v>45</v>
      </c>
      <c r="L10" s="41">
        <f t="shared" si="7"/>
        <v>13.923076923076923</v>
      </c>
      <c r="M10" s="41">
        <f t="shared" si="1"/>
        <v>0</v>
      </c>
      <c r="N10" s="56">
        <f t="shared" si="8"/>
        <v>0</v>
      </c>
      <c r="O10" s="57">
        <f t="shared" si="2"/>
        <v>0</v>
      </c>
      <c r="P10" s="57"/>
      <c r="Q10" s="57">
        <f t="shared" si="11"/>
        <v>0</v>
      </c>
      <c r="R10" s="115"/>
      <c r="S10" s="115">
        <f t="shared" si="12"/>
        <v>0</v>
      </c>
      <c r="T10" s="115">
        <f>sumif!E65/1000</f>
        <v>0</v>
      </c>
      <c r="U10" s="115">
        <f>sumif!F65/1000</f>
        <v>0</v>
      </c>
      <c r="V10" s="57"/>
      <c r="W10" s="57"/>
      <c r="X10" s="126"/>
      <c r="Y10" s="37">
        <v>31</v>
      </c>
      <c r="Z10" s="38">
        <f t="shared" si="9"/>
        <v>0</v>
      </c>
      <c r="AA10" s="38">
        <f t="shared" si="3"/>
        <v>-0.57894736842105265</v>
      </c>
      <c r="AB10" s="39">
        <v>12</v>
      </c>
      <c r="AC10" s="39">
        <v>31</v>
      </c>
      <c r="AD10" s="37">
        <f t="shared" si="15"/>
        <v>-3620</v>
      </c>
      <c r="AE10" s="37">
        <v>26</v>
      </c>
      <c r="AF10" s="37">
        <f>'[1]10 lt'!F6</f>
        <v>0</v>
      </c>
      <c r="AG10" s="37"/>
      <c r="AH10" s="25">
        <v>45</v>
      </c>
      <c r="AI10" s="40"/>
      <c r="AJ10" s="40"/>
      <c r="AK10" s="41"/>
      <c r="AL10" s="41"/>
      <c r="AM10" s="42"/>
      <c r="AN10" s="42"/>
      <c r="AO10" s="74"/>
      <c r="AP10" s="74">
        <f t="shared" si="14"/>
        <v>0</v>
      </c>
      <c r="AQ10" s="75">
        <f>AVERAGE(AR10:AV10)</f>
        <v>0</v>
      </c>
      <c r="AR10" s="37">
        <v>0</v>
      </c>
    </row>
    <row r="11" spans="1:50" ht="15" hidden="1" x14ac:dyDescent="0.25">
      <c r="A11" s="52" t="s">
        <v>2081</v>
      </c>
      <c r="B11" s="80"/>
      <c r="C11" s="118">
        <v>600</v>
      </c>
      <c r="D11" s="119">
        <f>sumif!C43</f>
        <v>0</v>
      </c>
      <c r="E11" s="54">
        <f t="shared" si="0"/>
        <v>0</v>
      </c>
      <c r="F11" s="41"/>
      <c r="G11" s="41"/>
      <c r="H11" s="55"/>
      <c r="I11" s="55">
        <f>sumif!B43</f>
        <v>0</v>
      </c>
      <c r="J11" s="55"/>
      <c r="K11" s="55"/>
      <c r="L11" s="41"/>
      <c r="M11" s="41"/>
      <c r="N11" s="56"/>
      <c r="O11" s="57">
        <f t="shared" si="2"/>
        <v>0</v>
      </c>
      <c r="P11" s="57"/>
      <c r="Q11" s="57">
        <f t="shared" si="11"/>
        <v>0</v>
      </c>
      <c r="R11" s="115"/>
      <c r="S11" s="115">
        <f t="shared" si="12"/>
        <v>0</v>
      </c>
      <c r="T11" s="115"/>
      <c r="U11" s="115"/>
      <c r="V11" s="57"/>
      <c r="W11" s="57"/>
      <c r="X11" s="126"/>
      <c r="Y11" s="37">
        <v>31</v>
      </c>
      <c r="Z11" s="38"/>
      <c r="AA11" s="38"/>
      <c r="AB11" s="39">
        <v>12</v>
      </c>
      <c r="AC11" s="39">
        <v>31</v>
      </c>
      <c r="AD11" s="37"/>
      <c r="AE11" s="37">
        <v>26</v>
      </c>
      <c r="AF11" s="37"/>
      <c r="AG11" s="37"/>
      <c r="AH11" s="25"/>
      <c r="AI11" s="40"/>
      <c r="AJ11" s="40"/>
      <c r="AK11" s="41"/>
      <c r="AL11" s="41"/>
      <c r="AM11" s="42"/>
      <c r="AN11" s="42"/>
      <c r="AO11" s="74"/>
      <c r="AP11" s="74"/>
      <c r="AQ11" s="75">
        <f>AVERAGE(AR11:AV11)</f>
        <v>0</v>
      </c>
      <c r="AR11" s="37">
        <v>0</v>
      </c>
    </row>
    <row r="12" spans="1:50" ht="15" x14ac:dyDescent="0.25">
      <c r="A12" s="52" t="s">
        <v>2042</v>
      </c>
      <c r="B12" s="80">
        <f>26*22</f>
        <v>572</v>
      </c>
      <c r="C12" s="118"/>
      <c r="D12" s="119">
        <f>sumif!C44</f>
        <v>0</v>
      </c>
      <c r="E12" s="54">
        <f t="shared" ref="E12" si="18">IFERROR(D12/C12,0)</f>
        <v>0</v>
      </c>
      <c r="F12" s="41" t="e">
        <f t="shared" ref="F12" si="19">C12/J12</f>
        <v>#DIV/0!</v>
      </c>
      <c r="G12" s="41">
        <f t="shared" ref="G12" si="20">(C12-D12)/(AC12-$A$2)</f>
        <v>0</v>
      </c>
      <c r="H12" s="55"/>
      <c r="I12" s="55">
        <f>sumif!B44</f>
        <v>0</v>
      </c>
      <c r="J12" s="55"/>
      <c r="K12" s="55"/>
      <c r="L12" s="41">
        <f t="shared" ref="L12" si="21">IFERROR((C12-D12)/AE12,0)</f>
        <v>0</v>
      </c>
      <c r="M12" s="41">
        <f t="shared" ref="M12" si="22">D12/$A$2</f>
        <v>0</v>
      </c>
      <c r="N12" s="56"/>
      <c r="O12" s="57">
        <f t="shared" ref="O12" si="23">IFERROR(E12/AA12,0)</f>
        <v>0</v>
      </c>
      <c r="P12" s="57"/>
      <c r="Q12" s="57" t="e">
        <f t="shared" si="11"/>
        <v>#DIV/0!</v>
      </c>
      <c r="R12" s="115"/>
      <c r="S12" s="115">
        <f t="shared" si="12"/>
        <v>0</v>
      </c>
      <c r="T12" s="115"/>
      <c r="U12" s="115"/>
      <c r="V12" s="57"/>
      <c r="W12" s="57"/>
      <c r="X12" s="136" t="s">
        <v>2065</v>
      </c>
      <c r="Y12" s="37">
        <v>31</v>
      </c>
      <c r="Z12" s="38" t="e">
        <f t="shared" ref="Z12" si="24">AF12/J12</f>
        <v>#DIV/0!</v>
      </c>
      <c r="AA12" s="38">
        <f t="shared" si="3"/>
        <v>-0.57894736842105265</v>
      </c>
      <c r="AB12" s="39">
        <v>12</v>
      </c>
      <c r="AC12" s="39">
        <v>31</v>
      </c>
      <c r="AD12" s="37">
        <f t="shared" si="15"/>
        <v>0</v>
      </c>
      <c r="AE12" s="37">
        <v>26</v>
      </c>
      <c r="AF12" s="37">
        <f>'[1]10 lt'!F7</f>
        <v>0</v>
      </c>
      <c r="AG12" s="37"/>
      <c r="AH12" s="25">
        <v>46</v>
      </c>
      <c r="AI12" s="40"/>
      <c r="AJ12" s="40"/>
      <c r="AK12" s="41"/>
      <c r="AL12" s="41"/>
      <c r="AM12" s="42"/>
      <c r="AN12" s="42"/>
      <c r="AO12" s="74"/>
      <c r="AP12" s="74" t="e">
        <f t="shared" si="14"/>
        <v>#DIV/0!</v>
      </c>
      <c r="AQ12" s="75">
        <f>AVERAGE(AR12:AV12)</f>
        <v>0</v>
      </c>
      <c r="AR12" s="37">
        <v>0</v>
      </c>
    </row>
    <row r="13" spans="1:50" ht="15" x14ac:dyDescent="0.25">
      <c r="A13" s="52" t="s">
        <v>43</v>
      </c>
      <c r="B13" s="80">
        <v>1600</v>
      </c>
      <c r="C13" s="118">
        <v>1550</v>
      </c>
      <c r="D13" s="119">
        <f>sumif!C37-D14</f>
        <v>65</v>
      </c>
      <c r="E13" s="54">
        <f t="shared" si="0"/>
        <v>4.1935483870967745E-2</v>
      </c>
      <c r="F13" s="41">
        <f t="shared" si="5"/>
        <v>76</v>
      </c>
      <c r="G13" s="41">
        <f t="shared" si="6"/>
        <v>49.5</v>
      </c>
      <c r="H13" s="55">
        <f t="shared" si="16"/>
        <v>65</v>
      </c>
      <c r="I13" s="55">
        <f>sumif!B37-I14</f>
        <v>65</v>
      </c>
      <c r="J13" s="55">
        <f t="shared" si="17"/>
        <v>20.394736842105264</v>
      </c>
      <c r="K13" s="55">
        <f>(C13-D13)/(J13-AF13)</f>
        <v>72.812903225806451</v>
      </c>
      <c r="L13" s="41">
        <f t="shared" si="7"/>
        <v>57.115384615384613</v>
      </c>
      <c r="M13" s="41">
        <f t="shared" si="1"/>
        <v>65</v>
      </c>
      <c r="N13" s="56">
        <f t="shared" ref="N13:N45" si="25">O13</f>
        <v>-7.2434017595307917E-2</v>
      </c>
      <c r="O13" s="57">
        <f t="shared" si="2"/>
        <v>-7.2434017595307917E-2</v>
      </c>
      <c r="P13" s="57"/>
      <c r="Q13" s="57">
        <f t="shared" si="11"/>
        <v>4.1935483870967794E-2</v>
      </c>
      <c r="R13" s="115">
        <v>180</v>
      </c>
      <c r="S13" s="115">
        <f t="shared" si="12"/>
        <v>-112.27272727272727</v>
      </c>
      <c r="T13" s="115">
        <f>sumif!E90/1000</f>
        <v>0</v>
      </c>
      <c r="U13" s="115">
        <f>sumif!F90/1000</f>
        <v>0</v>
      </c>
      <c r="V13" s="57"/>
      <c r="W13" s="57"/>
      <c r="X13" s="72"/>
      <c r="Y13" s="37">
        <v>31</v>
      </c>
      <c r="Z13" s="38">
        <f>AA13</f>
        <v>-0.57894736842105265</v>
      </c>
      <c r="AA13" s="38">
        <f t="shared" si="3"/>
        <v>-0.57894736842105265</v>
      </c>
      <c r="AB13" s="39">
        <v>12</v>
      </c>
      <c r="AC13" s="39">
        <v>31</v>
      </c>
      <c r="AD13" s="37">
        <f t="shared" si="15"/>
        <v>-14850</v>
      </c>
      <c r="AE13" s="37">
        <v>26</v>
      </c>
      <c r="AF13" s="37"/>
      <c r="AG13" s="37"/>
      <c r="AH13" s="25">
        <f>19*4</f>
        <v>76</v>
      </c>
      <c r="AI13" s="40">
        <v>5887</v>
      </c>
      <c r="AJ13" s="40">
        <f>D13</f>
        <v>65</v>
      </c>
      <c r="AK13" s="41">
        <f>5265-1600</f>
        <v>3665</v>
      </c>
      <c r="AL13" s="41">
        <f t="shared" si="13"/>
        <v>2222</v>
      </c>
      <c r="AM13" s="42">
        <f>SUM(AK13+AJ13)/AI13</f>
        <v>0.63359945642942073</v>
      </c>
      <c r="AN13" s="42"/>
      <c r="AO13" s="74"/>
      <c r="AP13" s="74">
        <f t="shared" si="14"/>
        <v>1.3131313131313131</v>
      </c>
      <c r="AQ13" s="75">
        <f>AVERAGE(AR13:AV13)</f>
        <v>65</v>
      </c>
      <c r="AR13" s="37">
        <v>65</v>
      </c>
    </row>
    <row r="14" spans="1:50" ht="15" hidden="1" x14ac:dyDescent="0.25">
      <c r="A14" s="52" t="s">
        <v>2114</v>
      </c>
      <c r="B14" s="80"/>
      <c r="C14" s="118">
        <v>500</v>
      </c>
      <c r="D14" s="119">
        <f>sumif!C38</f>
        <v>0</v>
      </c>
      <c r="E14" s="54">
        <f t="shared" si="0"/>
        <v>0</v>
      </c>
      <c r="F14" s="41"/>
      <c r="G14" s="41">
        <f t="shared" si="6"/>
        <v>16.666666666666668</v>
      </c>
      <c r="H14" s="55"/>
      <c r="I14" s="55">
        <f>sumif!B38</f>
        <v>0</v>
      </c>
      <c r="J14" s="55"/>
      <c r="K14" s="55"/>
      <c r="L14" s="41">
        <f t="shared" si="7"/>
        <v>0</v>
      </c>
      <c r="M14" s="41">
        <f t="shared" si="1"/>
        <v>0</v>
      </c>
      <c r="N14" s="56"/>
      <c r="O14" s="57">
        <f t="shared" si="2"/>
        <v>0</v>
      </c>
      <c r="P14" s="57"/>
      <c r="Q14" s="57">
        <f t="shared" si="11"/>
        <v>0</v>
      </c>
      <c r="R14" s="115"/>
      <c r="S14" s="115"/>
      <c r="T14" s="115"/>
      <c r="U14" s="115"/>
      <c r="V14" s="57"/>
      <c r="W14" s="57"/>
      <c r="X14" s="72" t="s">
        <v>2115</v>
      </c>
      <c r="Y14" s="37">
        <v>31</v>
      </c>
      <c r="Z14" s="38"/>
      <c r="AA14" s="38"/>
      <c r="AB14" s="39">
        <v>12</v>
      </c>
      <c r="AC14" s="39">
        <v>31</v>
      </c>
      <c r="AD14" s="37"/>
      <c r="AE14" s="37"/>
      <c r="AF14" s="37"/>
      <c r="AG14" s="37"/>
      <c r="AH14" s="25"/>
      <c r="AI14" s="40"/>
      <c r="AJ14" s="40"/>
      <c r="AK14" s="41"/>
      <c r="AL14" s="41"/>
      <c r="AM14" s="42"/>
      <c r="AN14" s="42"/>
      <c r="AO14" s="74"/>
      <c r="AP14" s="74"/>
      <c r="AQ14" s="75">
        <f>AVERAGE(AR14:AV14)</f>
        <v>0</v>
      </c>
      <c r="AR14" s="37">
        <v>0</v>
      </c>
    </row>
    <row r="15" spans="1:50" ht="15" hidden="1" x14ac:dyDescent="0.25">
      <c r="A15" s="52" t="s">
        <v>44</v>
      </c>
      <c r="B15" s="80"/>
      <c r="C15" s="120"/>
      <c r="D15" s="119">
        <f>D16+D17</f>
        <v>0</v>
      </c>
      <c r="E15" s="54">
        <f t="shared" si="0"/>
        <v>0</v>
      </c>
      <c r="F15" s="41">
        <f t="shared" ref="F15:F43" si="26">C15/(AC15-AB15+1)</f>
        <v>0</v>
      </c>
      <c r="G15" s="41">
        <f t="shared" si="6"/>
        <v>0</v>
      </c>
      <c r="H15" s="41">
        <f>H16+H17</f>
        <v>0</v>
      </c>
      <c r="I15" s="55">
        <f>I16+I17</f>
        <v>0</v>
      </c>
      <c r="J15" s="55" t="e">
        <f t="shared" si="17"/>
        <v>#DIV/0!</v>
      </c>
      <c r="K15" s="41">
        <f t="shared" ref="K15:K39" si="27">(C15-D15)/AE15</f>
        <v>0</v>
      </c>
      <c r="L15" s="41">
        <f t="shared" si="7"/>
        <v>0</v>
      </c>
      <c r="M15" s="41">
        <f t="shared" si="1"/>
        <v>0</v>
      </c>
      <c r="N15" s="56">
        <f t="shared" si="25"/>
        <v>0</v>
      </c>
      <c r="O15" s="57">
        <f t="shared" si="2"/>
        <v>0</v>
      </c>
      <c r="P15" s="57"/>
      <c r="Q15" s="57" t="e">
        <f t="shared" si="11"/>
        <v>#DIV/0!</v>
      </c>
      <c r="R15" s="115"/>
      <c r="S15" s="115">
        <f t="shared" si="12"/>
        <v>0</v>
      </c>
      <c r="T15" s="115">
        <f>sumif!E83</f>
        <v>0</v>
      </c>
      <c r="U15" s="115">
        <f>sumif!F83</f>
        <v>0</v>
      </c>
      <c r="V15" s="57"/>
      <c r="W15" s="57"/>
      <c r="X15" s="39"/>
      <c r="Y15" s="37">
        <v>31</v>
      </c>
      <c r="Z15" s="38">
        <f t="shared" ref="Z15:Z45" si="28">AA15</f>
        <v>-0.57894736842105265</v>
      </c>
      <c r="AA15" s="38">
        <f t="shared" si="3"/>
        <v>-0.57894736842105265</v>
      </c>
      <c r="AB15" s="39">
        <v>12</v>
      </c>
      <c r="AC15" s="39">
        <v>31</v>
      </c>
      <c r="AD15" s="37">
        <f t="shared" si="15"/>
        <v>0</v>
      </c>
      <c r="AE15" s="37">
        <v>26</v>
      </c>
      <c r="AF15" s="37"/>
      <c r="AG15" s="37"/>
      <c r="AH15" s="25"/>
      <c r="AI15" s="40"/>
      <c r="AJ15" s="40"/>
      <c r="AK15" s="41"/>
      <c r="AL15" s="41"/>
      <c r="AM15" s="42"/>
      <c r="AN15" s="42"/>
      <c r="AO15" s="74"/>
      <c r="AP15" s="74" t="e">
        <f t="shared" si="14"/>
        <v>#DIV/0!</v>
      </c>
      <c r="AQ15" s="75">
        <f>AVERAGE(AR15:AV15)</f>
        <v>0</v>
      </c>
      <c r="AR15" s="37">
        <v>0</v>
      </c>
    </row>
    <row r="16" spans="1:50" ht="15" x14ac:dyDescent="0.25">
      <c r="A16" s="52" t="s">
        <v>138</v>
      </c>
      <c r="B16" s="80">
        <v>1500</v>
      </c>
      <c r="C16" s="118">
        <v>480</v>
      </c>
      <c r="D16" s="119">
        <v>0</v>
      </c>
      <c r="E16" s="54">
        <f t="shared" si="0"/>
        <v>0</v>
      </c>
      <c r="F16" s="41">
        <f t="shared" si="26"/>
        <v>24</v>
      </c>
      <c r="G16" s="41">
        <f t="shared" si="6"/>
        <v>16</v>
      </c>
      <c r="H16" s="55">
        <f t="shared" si="16"/>
        <v>0</v>
      </c>
      <c r="I16" s="55">
        <v>0</v>
      </c>
      <c r="J16" s="55">
        <f t="shared" si="17"/>
        <v>22.857142857142858</v>
      </c>
      <c r="K16" s="55">
        <f t="shared" si="27"/>
        <v>18.46153846153846</v>
      </c>
      <c r="L16" s="41">
        <f t="shared" si="7"/>
        <v>18.46153846153846</v>
      </c>
      <c r="M16" s="41">
        <f t="shared" si="1"/>
        <v>0</v>
      </c>
      <c r="N16" s="56">
        <f t="shared" si="25"/>
        <v>0</v>
      </c>
      <c r="O16" s="57">
        <f t="shared" si="2"/>
        <v>0</v>
      </c>
      <c r="P16" s="57"/>
      <c r="Q16" s="57">
        <f t="shared" si="11"/>
        <v>0</v>
      </c>
      <c r="R16" s="115">
        <v>60</v>
      </c>
      <c r="S16" s="115">
        <f t="shared" si="12"/>
        <v>0</v>
      </c>
      <c r="T16" s="115">
        <f>sumif!E50/1000</f>
        <v>0</v>
      </c>
      <c r="U16" s="115">
        <f>sumif!F50/1000</f>
        <v>0</v>
      </c>
      <c r="V16" s="57"/>
      <c r="W16" s="57"/>
      <c r="X16" s="39"/>
      <c r="Y16" s="37">
        <v>31</v>
      </c>
      <c r="Z16" s="38">
        <f t="shared" si="28"/>
        <v>-0.57894736842105265</v>
      </c>
      <c r="AA16" s="38">
        <f t="shared" si="3"/>
        <v>-0.57894736842105265</v>
      </c>
      <c r="AB16" s="39">
        <v>12</v>
      </c>
      <c r="AC16" s="39">
        <v>31</v>
      </c>
      <c r="AD16" s="37">
        <f t="shared" si="15"/>
        <v>-4800</v>
      </c>
      <c r="AE16" s="37">
        <v>26</v>
      </c>
      <c r="AF16" s="37"/>
      <c r="AG16" s="37"/>
      <c r="AH16" s="25">
        <v>21</v>
      </c>
      <c r="AI16" s="40">
        <v>3750</v>
      </c>
      <c r="AJ16" s="40">
        <f>D16</f>
        <v>0</v>
      </c>
      <c r="AK16" s="41">
        <f>4232-1200</f>
        <v>3032</v>
      </c>
      <c r="AL16" s="41">
        <f t="shared" si="13"/>
        <v>718</v>
      </c>
      <c r="AM16" s="42">
        <f>SUM(AK16+AJ16)/AI16</f>
        <v>0.80853333333333333</v>
      </c>
      <c r="AN16" s="42"/>
      <c r="AO16" s="74"/>
      <c r="AP16" s="74">
        <f t="shared" si="14"/>
        <v>0</v>
      </c>
      <c r="AQ16" s="75">
        <f>AVERAGE(AR16:AV16)</f>
        <v>0</v>
      </c>
      <c r="AR16" s="37">
        <v>0</v>
      </c>
    </row>
    <row r="17" spans="1:44" ht="15" x14ac:dyDescent="0.25">
      <c r="A17" s="52" t="s">
        <v>98</v>
      </c>
      <c r="B17" s="80">
        <v>750</v>
      </c>
      <c r="C17" s="118">
        <v>150</v>
      </c>
      <c r="D17" s="119">
        <v>0</v>
      </c>
      <c r="E17" s="54">
        <f t="shared" si="0"/>
        <v>0</v>
      </c>
      <c r="F17" s="41">
        <f t="shared" si="26"/>
        <v>7.5</v>
      </c>
      <c r="G17" s="41">
        <f t="shared" si="6"/>
        <v>5</v>
      </c>
      <c r="H17" s="55">
        <f t="shared" si="16"/>
        <v>0</v>
      </c>
      <c r="I17" s="55">
        <v>0</v>
      </c>
      <c r="J17" s="55">
        <f t="shared" si="17"/>
        <v>7.1428571428571432</v>
      </c>
      <c r="K17" s="41">
        <f t="shared" si="27"/>
        <v>5.7692307692307692</v>
      </c>
      <c r="L17" s="41">
        <f t="shared" si="7"/>
        <v>5.7692307692307692</v>
      </c>
      <c r="M17" s="41">
        <f t="shared" si="1"/>
        <v>0</v>
      </c>
      <c r="N17" s="56">
        <f t="shared" si="25"/>
        <v>0</v>
      </c>
      <c r="O17" s="57">
        <f t="shared" si="2"/>
        <v>0</v>
      </c>
      <c r="P17" s="57"/>
      <c r="Q17" s="57">
        <f t="shared" si="11"/>
        <v>0</v>
      </c>
      <c r="R17" s="115"/>
      <c r="S17" s="115">
        <f t="shared" si="12"/>
        <v>0</v>
      </c>
      <c r="T17" s="115">
        <f>sumif!E85/1000</f>
        <v>0</v>
      </c>
      <c r="U17" s="115">
        <f>sumif!F85/1000</f>
        <v>0</v>
      </c>
      <c r="V17" s="57"/>
      <c r="W17" s="57"/>
      <c r="X17" s="39"/>
      <c r="Y17" s="37">
        <v>31</v>
      </c>
      <c r="Z17" s="38">
        <f t="shared" si="28"/>
        <v>-0.57894736842105265</v>
      </c>
      <c r="AA17" s="38">
        <f t="shared" si="3"/>
        <v>-0.57894736842105265</v>
      </c>
      <c r="AB17" s="39">
        <v>12</v>
      </c>
      <c r="AC17" s="39">
        <v>31</v>
      </c>
      <c r="AD17" s="37">
        <f t="shared" si="15"/>
        <v>-1500</v>
      </c>
      <c r="AE17" s="37">
        <v>26</v>
      </c>
      <c r="AF17" s="37"/>
      <c r="AG17" s="37"/>
      <c r="AH17" s="25">
        <v>21</v>
      </c>
      <c r="AI17" s="40">
        <v>2955</v>
      </c>
      <c r="AJ17" s="40">
        <f>D17</f>
        <v>0</v>
      </c>
      <c r="AK17" s="41">
        <f>2167-500</f>
        <v>1667</v>
      </c>
      <c r="AL17" s="41">
        <f t="shared" si="13"/>
        <v>1288</v>
      </c>
      <c r="AM17" s="42">
        <f>SUM(AK17+AJ17)/AI17</f>
        <v>0.56412859560067685</v>
      </c>
      <c r="AN17" s="42"/>
      <c r="AO17" s="74"/>
      <c r="AP17" s="74">
        <f t="shared" si="14"/>
        <v>0</v>
      </c>
      <c r="AQ17" s="75">
        <f>AVERAGE(AR17:AV17)</f>
        <v>0</v>
      </c>
      <c r="AR17" s="37">
        <v>0</v>
      </c>
    </row>
    <row r="18" spans="1:44" ht="15" x14ac:dyDescent="0.25">
      <c r="A18" s="52" t="s">
        <v>2119</v>
      </c>
      <c r="B18" s="80">
        <v>180</v>
      </c>
      <c r="C18" s="118">
        <v>146</v>
      </c>
      <c r="D18" s="119">
        <f>sumif!C40</f>
        <v>0</v>
      </c>
      <c r="E18" s="54">
        <f t="shared" si="0"/>
        <v>0</v>
      </c>
      <c r="F18" s="41"/>
      <c r="G18" s="41">
        <f t="shared" si="6"/>
        <v>4.8666666666666663</v>
      </c>
      <c r="H18" s="55"/>
      <c r="I18" s="55">
        <f>sumif!B40</f>
        <v>0</v>
      </c>
      <c r="J18" s="55"/>
      <c r="K18" s="41"/>
      <c r="L18" s="41"/>
      <c r="M18" s="41"/>
      <c r="N18" s="56"/>
      <c r="O18" s="57">
        <f t="shared" si="2"/>
        <v>0</v>
      </c>
      <c r="P18" s="57"/>
      <c r="Q18" s="57">
        <f t="shared" si="11"/>
        <v>0</v>
      </c>
      <c r="R18" s="115"/>
      <c r="S18" s="115">
        <f t="shared" si="12"/>
        <v>0</v>
      </c>
      <c r="T18" s="115"/>
      <c r="U18" s="115"/>
      <c r="V18" s="57"/>
      <c r="W18" s="57"/>
      <c r="X18" s="39"/>
      <c r="Y18" s="37">
        <v>31</v>
      </c>
      <c r="Z18" s="38"/>
      <c r="AA18" s="38">
        <f t="shared" si="3"/>
        <v>-0.57894736842105265</v>
      </c>
      <c r="AB18" s="39">
        <v>12</v>
      </c>
      <c r="AC18" s="39">
        <v>31</v>
      </c>
      <c r="AD18" s="37">
        <f t="shared" si="15"/>
        <v>-1460</v>
      </c>
      <c r="AE18" s="37"/>
      <c r="AF18" s="37"/>
      <c r="AG18" s="37"/>
      <c r="AH18" s="25"/>
      <c r="AI18" s="40"/>
      <c r="AJ18" s="40"/>
      <c r="AK18" s="41"/>
      <c r="AL18" s="41"/>
      <c r="AM18" s="42"/>
      <c r="AN18" s="42"/>
      <c r="AO18" s="74"/>
      <c r="AP18" s="74">
        <f t="shared" si="14"/>
        <v>0</v>
      </c>
      <c r="AQ18" s="75">
        <f>AVERAGE(AR18:AV18)</f>
        <v>0</v>
      </c>
      <c r="AR18" s="37">
        <v>0</v>
      </c>
    </row>
    <row r="19" spans="1:44" ht="14.25" customHeight="1" x14ac:dyDescent="0.25">
      <c r="A19" s="52" t="s">
        <v>1646</v>
      </c>
      <c r="B19" s="80">
        <v>180</v>
      </c>
      <c r="C19" s="80">
        <v>180</v>
      </c>
      <c r="D19" s="119">
        <f>sumif!C39</f>
        <v>5.37</v>
      </c>
      <c r="E19" s="54">
        <f t="shared" si="0"/>
        <v>2.9833333333333333E-2</v>
      </c>
      <c r="F19" s="41">
        <f t="shared" si="26"/>
        <v>9</v>
      </c>
      <c r="G19" s="41">
        <f>IFERROR((C19-D19)/(AC19-$A$2),0)</f>
        <v>5.8209999999999997</v>
      </c>
      <c r="H19" s="55">
        <f t="shared" si="16"/>
        <v>5.37</v>
      </c>
      <c r="I19" s="55">
        <f>sumif!B39</f>
        <v>5.37</v>
      </c>
      <c r="J19" s="55">
        <f t="shared" si="17"/>
        <v>25.714285714285715</v>
      </c>
      <c r="K19" s="41">
        <f t="shared" si="27"/>
        <v>6.7165384615384616</v>
      </c>
      <c r="L19" s="41">
        <f t="shared" si="7"/>
        <v>6.7165384615384616</v>
      </c>
      <c r="M19" s="41">
        <f t="shared" si="1"/>
        <v>5.37</v>
      </c>
      <c r="N19" s="56">
        <f t="shared" si="25"/>
        <v>-5.153030303030303E-2</v>
      </c>
      <c r="O19" s="57">
        <f t="shared" si="2"/>
        <v>-5.153030303030303E-2</v>
      </c>
      <c r="P19" s="57"/>
      <c r="Q19" s="57">
        <f t="shared" si="11"/>
        <v>2.9833333333333378E-2</v>
      </c>
      <c r="R19" s="115"/>
      <c r="S19" s="115">
        <f t="shared" si="12"/>
        <v>-9.2754545454545454</v>
      </c>
      <c r="T19" s="115">
        <f>sumif!E80/1000</f>
        <v>0</v>
      </c>
      <c r="U19" s="115">
        <f>sumif!F80/1000</f>
        <v>0</v>
      </c>
      <c r="V19" s="57"/>
      <c r="W19" s="57"/>
      <c r="X19" s="39"/>
      <c r="Y19" s="37">
        <v>31</v>
      </c>
      <c r="Z19" s="38">
        <f t="shared" si="28"/>
        <v>-0.57894736842105265</v>
      </c>
      <c r="AA19" s="38">
        <f t="shared" si="3"/>
        <v>-0.57894736842105265</v>
      </c>
      <c r="AB19" s="39">
        <v>12</v>
      </c>
      <c r="AC19" s="39">
        <v>31</v>
      </c>
      <c r="AD19" s="37">
        <f t="shared" si="15"/>
        <v>-1746.3</v>
      </c>
      <c r="AE19" s="37">
        <v>26</v>
      </c>
      <c r="AF19" s="37"/>
      <c r="AG19" s="37"/>
      <c r="AH19" s="25">
        <v>7</v>
      </c>
      <c r="AI19" s="40">
        <v>510</v>
      </c>
      <c r="AJ19" s="40">
        <f>D19</f>
        <v>5.37</v>
      </c>
      <c r="AK19" s="41">
        <v>256</v>
      </c>
      <c r="AL19" s="41">
        <f t="shared" si="13"/>
        <v>254</v>
      </c>
      <c r="AM19" s="42">
        <f>SUM(AK19+AJ19)/AI19</f>
        <v>0.51249019607843138</v>
      </c>
      <c r="AN19" s="42"/>
      <c r="AO19" s="74"/>
      <c r="AP19" s="74">
        <f>IFERROR(IF(AQ19/G19,AQ19/G19,0),0)</f>
        <v>0.92252190345301499</v>
      </c>
      <c r="AQ19" s="75">
        <f>AVERAGE(AR19:AV19)</f>
        <v>5.37</v>
      </c>
      <c r="AR19" s="37">
        <v>5.37</v>
      </c>
    </row>
    <row r="20" spans="1:44" ht="15" hidden="1" x14ac:dyDescent="0.25">
      <c r="A20" s="52" t="s">
        <v>45</v>
      </c>
      <c r="B20" s="80">
        <v>420</v>
      </c>
      <c r="C20" s="80">
        <v>0</v>
      </c>
      <c r="D20" s="119">
        <f>sumif!C41</f>
        <v>0</v>
      </c>
      <c r="E20" s="54">
        <f t="shared" si="0"/>
        <v>0</v>
      </c>
      <c r="F20" s="41">
        <f t="shared" si="26"/>
        <v>0</v>
      </c>
      <c r="G20" s="41">
        <f t="shared" ref="G20:G43" si="29">(C20-D20)/(AC20-$A$2)</f>
        <v>0</v>
      </c>
      <c r="H20" s="55">
        <f t="shared" si="16"/>
        <v>0</v>
      </c>
      <c r="I20" s="55">
        <f>sumif!B41</f>
        <v>0</v>
      </c>
      <c r="J20" s="55"/>
      <c r="K20" s="41">
        <f t="shared" si="27"/>
        <v>0</v>
      </c>
      <c r="L20" s="41">
        <f t="shared" si="7"/>
        <v>0</v>
      </c>
      <c r="M20" s="41">
        <f t="shared" si="1"/>
        <v>0</v>
      </c>
      <c r="N20" s="56">
        <f t="shared" si="25"/>
        <v>0</v>
      </c>
      <c r="O20" s="57">
        <f t="shared" si="2"/>
        <v>0</v>
      </c>
      <c r="P20" s="57"/>
      <c r="Q20" s="57" t="e">
        <f t="shared" si="11"/>
        <v>#DIV/0!</v>
      </c>
      <c r="R20" s="115"/>
      <c r="S20" s="115">
        <f t="shared" si="12"/>
        <v>0</v>
      </c>
      <c r="T20" s="115">
        <f>sumif!E85/1000</f>
        <v>0</v>
      </c>
      <c r="U20" s="115">
        <f>sumif!F85/1000</f>
        <v>0</v>
      </c>
      <c r="V20" s="57"/>
      <c r="W20" s="57"/>
      <c r="X20" s="59" t="s">
        <v>1959</v>
      </c>
      <c r="Y20" s="37">
        <v>31</v>
      </c>
      <c r="Z20" s="38">
        <f t="shared" si="28"/>
        <v>-0.57894736842105265</v>
      </c>
      <c r="AA20" s="38">
        <f t="shared" si="3"/>
        <v>-0.57894736842105265</v>
      </c>
      <c r="AB20" s="39">
        <v>12</v>
      </c>
      <c r="AC20" s="39">
        <v>31</v>
      </c>
      <c r="AD20" s="37">
        <f t="shared" si="15"/>
        <v>0</v>
      </c>
      <c r="AE20" s="37">
        <v>26</v>
      </c>
      <c r="AF20" s="37"/>
      <c r="AG20" s="37"/>
      <c r="AH20" s="25"/>
      <c r="AI20" s="40">
        <v>518</v>
      </c>
      <c r="AJ20" s="40">
        <f>D20</f>
        <v>0</v>
      </c>
      <c r="AK20" s="41">
        <v>174</v>
      </c>
      <c r="AL20" s="41">
        <f t="shared" si="13"/>
        <v>344</v>
      </c>
      <c r="AM20" s="42">
        <f>SUM(AK20+AJ20)/AI20</f>
        <v>0.3359073359073359</v>
      </c>
      <c r="AN20" s="42"/>
      <c r="AO20" s="74"/>
      <c r="AP20" s="74" t="e">
        <f t="shared" ref="AP20:AP43" si="30">IF(AQ20/G20,AQ20/G20,0)</f>
        <v>#DIV/0!</v>
      </c>
      <c r="AQ20" s="75">
        <f>AVERAGE(AR20:AV20)</f>
        <v>0</v>
      </c>
      <c r="AR20" s="37">
        <v>0</v>
      </c>
    </row>
    <row r="21" spans="1:44" ht="15" x14ac:dyDescent="0.25">
      <c r="A21" s="52" t="s">
        <v>46</v>
      </c>
      <c r="B21" s="80">
        <f>730+180</f>
        <v>910</v>
      </c>
      <c r="C21" s="80">
        <v>150</v>
      </c>
      <c r="D21" s="119">
        <f>sumif!C2</f>
        <v>0</v>
      </c>
      <c r="E21" s="54">
        <f t="shared" si="0"/>
        <v>0</v>
      </c>
      <c r="F21" s="41">
        <f t="shared" si="26"/>
        <v>7.5</v>
      </c>
      <c r="G21" s="41">
        <f t="shared" si="29"/>
        <v>5</v>
      </c>
      <c r="H21" s="55">
        <f t="shared" si="16"/>
        <v>0</v>
      </c>
      <c r="I21" s="55">
        <f>sumif!B2</f>
        <v>0</v>
      </c>
      <c r="J21" s="55"/>
      <c r="K21" s="41">
        <f t="shared" si="27"/>
        <v>5.7692307692307692</v>
      </c>
      <c r="L21" s="41">
        <f t="shared" si="7"/>
        <v>5.7692307692307692</v>
      </c>
      <c r="M21" s="41">
        <f t="shared" si="1"/>
        <v>0</v>
      </c>
      <c r="N21" s="56">
        <f t="shared" si="25"/>
        <v>0</v>
      </c>
      <c r="O21" s="57">
        <f t="shared" si="2"/>
        <v>0</v>
      </c>
      <c r="P21" s="57"/>
      <c r="Q21" s="57">
        <f t="shared" si="11"/>
        <v>0</v>
      </c>
      <c r="R21" s="115">
        <v>50</v>
      </c>
      <c r="S21" s="115">
        <f t="shared" si="12"/>
        <v>0</v>
      </c>
      <c r="T21" s="115">
        <f>sumif!E130/1000</f>
        <v>0</v>
      </c>
      <c r="U21" s="115">
        <f>sumif!F130/1000</f>
        <v>0</v>
      </c>
      <c r="V21" s="57"/>
      <c r="W21" s="57"/>
      <c r="X21" s="127"/>
      <c r="Y21" s="37">
        <v>31</v>
      </c>
      <c r="Z21" s="38">
        <f t="shared" si="28"/>
        <v>-0.57894736842105265</v>
      </c>
      <c r="AA21" s="38">
        <f t="shared" si="3"/>
        <v>-0.57894736842105265</v>
      </c>
      <c r="AB21" s="39">
        <v>12</v>
      </c>
      <c r="AC21" s="39">
        <v>31</v>
      </c>
      <c r="AD21" s="37">
        <f t="shared" si="15"/>
        <v>-1500</v>
      </c>
      <c r="AE21" s="37">
        <v>26</v>
      </c>
      <c r="AF21" s="37"/>
      <c r="AG21" s="37"/>
      <c r="AH21" s="25"/>
      <c r="AI21" s="40"/>
      <c r="AJ21" s="40"/>
      <c r="AK21" s="41"/>
      <c r="AL21" s="41"/>
      <c r="AM21" s="42"/>
      <c r="AN21" s="42"/>
      <c r="AO21" s="74"/>
      <c r="AP21" s="74">
        <f t="shared" si="30"/>
        <v>0</v>
      </c>
      <c r="AQ21" s="75">
        <f>AVERAGE(AR21:AV21)</f>
        <v>0</v>
      </c>
      <c r="AR21" s="37">
        <v>0</v>
      </c>
    </row>
    <row r="22" spans="1:44" ht="15" x14ac:dyDescent="0.25">
      <c r="A22" s="52" t="s">
        <v>1553</v>
      </c>
      <c r="B22" s="80">
        <v>900</v>
      </c>
      <c r="C22" s="118">
        <v>550</v>
      </c>
      <c r="D22" s="119">
        <f>sumif!C14</f>
        <v>26.4</v>
      </c>
      <c r="E22" s="54">
        <f t="shared" si="0"/>
        <v>4.7999999999999994E-2</v>
      </c>
      <c r="F22" s="41">
        <f t="shared" si="26"/>
        <v>27.5</v>
      </c>
      <c r="G22" s="41">
        <f t="shared" si="29"/>
        <v>17.453333333333333</v>
      </c>
      <c r="H22" s="55">
        <f t="shared" si="16"/>
        <v>26.4</v>
      </c>
      <c r="I22" s="55">
        <f>sumif!B14</f>
        <v>26.4</v>
      </c>
      <c r="J22" s="55"/>
      <c r="K22" s="41">
        <f t="shared" si="27"/>
        <v>20.138461538461538</v>
      </c>
      <c r="L22" s="41">
        <f t="shared" si="7"/>
        <v>20.138461538461538</v>
      </c>
      <c r="M22" s="41">
        <f t="shared" si="1"/>
        <v>26.4</v>
      </c>
      <c r="N22" s="56">
        <f t="shared" si="25"/>
        <v>-8.2909090909090891E-2</v>
      </c>
      <c r="O22" s="57">
        <f t="shared" si="2"/>
        <v>-8.2909090909090891E-2</v>
      </c>
      <c r="P22" s="57"/>
      <c r="Q22" s="57">
        <f t="shared" si="11"/>
        <v>4.7999999999999932E-2</v>
      </c>
      <c r="R22" s="115"/>
      <c r="S22" s="115">
        <f t="shared" si="12"/>
        <v>-45.599999999999987</v>
      </c>
      <c r="T22" s="115">
        <f>sumif!E125/1000</f>
        <v>0</v>
      </c>
      <c r="U22" s="115">
        <f>sumif!F125/1000</f>
        <v>0</v>
      </c>
      <c r="V22" s="57"/>
      <c r="W22" s="57"/>
      <c r="X22" s="72" t="s">
        <v>2113</v>
      </c>
      <c r="Y22" s="37">
        <v>31</v>
      </c>
      <c r="Z22" s="38">
        <f t="shared" si="28"/>
        <v>-0.57894736842105265</v>
      </c>
      <c r="AA22" s="38">
        <f t="shared" si="3"/>
        <v>-0.57894736842105265</v>
      </c>
      <c r="AB22" s="39">
        <v>12</v>
      </c>
      <c r="AC22" s="39">
        <v>31</v>
      </c>
      <c r="AD22" s="37">
        <f t="shared" si="15"/>
        <v>-5236</v>
      </c>
      <c r="AE22" s="37">
        <v>26</v>
      </c>
      <c r="AF22" s="37"/>
      <c r="AG22" s="37"/>
      <c r="AH22" s="25"/>
      <c r="AI22" s="40">
        <v>2470</v>
      </c>
      <c r="AJ22" s="40">
        <f>D22</f>
        <v>26.4</v>
      </c>
      <c r="AK22" s="41">
        <v>1098</v>
      </c>
      <c r="AL22" s="41">
        <f t="shared" si="13"/>
        <v>1372</v>
      </c>
      <c r="AM22" s="42">
        <f>SUM(AK22+AJ22)/AI22</f>
        <v>0.45522267206477735</v>
      </c>
      <c r="AN22" s="42"/>
      <c r="AO22" s="74"/>
      <c r="AP22" s="74">
        <f t="shared" si="30"/>
        <v>1.5126050420168067</v>
      </c>
      <c r="AQ22" s="75">
        <f>AVERAGE(AR22:AV22)</f>
        <v>26.4</v>
      </c>
      <c r="AR22" s="37">
        <v>26.4</v>
      </c>
    </row>
    <row r="23" spans="1:44" ht="14.25" customHeight="1" x14ac:dyDescent="0.25">
      <c r="A23" s="52" t="s">
        <v>1555</v>
      </c>
      <c r="B23" s="80">
        <v>330</v>
      </c>
      <c r="C23" s="80">
        <v>260</v>
      </c>
      <c r="D23" s="119">
        <f>sumif!C15</f>
        <v>9.9</v>
      </c>
      <c r="E23" s="54">
        <f t="shared" si="0"/>
        <v>3.8076923076923078E-2</v>
      </c>
      <c r="F23" s="41">
        <f t="shared" si="26"/>
        <v>13</v>
      </c>
      <c r="G23" s="41">
        <f t="shared" si="29"/>
        <v>8.336666666666666</v>
      </c>
      <c r="H23" s="55">
        <f t="shared" si="16"/>
        <v>9.9</v>
      </c>
      <c r="I23" s="55">
        <f>sumif!B15</f>
        <v>9.9</v>
      </c>
      <c r="J23" s="55"/>
      <c r="K23" s="41">
        <f t="shared" si="27"/>
        <v>9.6192307692307697</v>
      </c>
      <c r="L23" s="41">
        <f t="shared" si="7"/>
        <v>9.6192307692307697</v>
      </c>
      <c r="M23" s="41">
        <f t="shared" si="1"/>
        <v>9.9</v>
      </c>
      <c r="N23" s="56">
        <f t="shared" si="25"/>
        <v>-6.5769230769230774E-2</v>
      </c>
      <c r="O23" s="57">
        <f t="shared" si="2"/>
        <v>-6.5769230769230774E-2</v>
      </c>
      <c r="P23" s="57"/>
      <c r="Q23" s="57">
        <f t="shared" si="11"/>
        <v>3.8076923076923119E-2</v>
      </c>
      <c r="R23" s="115">
        <v>25</v>
      </c>
      <c r="S23" s="115">
        <f t="shared" si="12"/>
        <v>-17.100000000000001</v>
      </c>
      <c r="T23" s="115">
        <f>sumif!E110/1000</f>
        <v>0</v>
      </c>
      <c r="U23" s="115">
        <f>sumif!F110/1000</f>
        <v>0</v>
      </c>
      <c r="V23" s="57"/>
      <c r="W23" s="57"/>
      <c r="X23" s="72"/>
      <c r="Y23" s="37">
        <v>31</v>
      </c>
      <c r="Z23" s="38">
        <f t="shared" si="28"/>
        <v>-0.57894736842105265</v>
      </c>
      <c r="AA23" s="38">
        <f t="shared" si="3"/>
        <v>-0.57894736842105265</v>
      </c>
      <c r="AB23" s="39">
        <v>12</v>
      </c>
      <c r="AC23" s="39">
        <v>31</v>
      </c>
      <c r="AD23" s="37">
        <f t="shared" si="15"/>
        <v>-2501</v>
      </c>
      <c r="AE23" s="37">
        <v>26</v>
      </c>
      <c r="AF23" s="37"/>
      <c r="AG23" s="37"/>
      <c r="AH23" s="25"/>
      <c r="AI23" s="40"/>
      <c r="AJ23" s="40"/>
      <c r="AK23" s="41"/>
      <c r="AL23" s="41"/>
      <c r="AM23" s="42"/>
      <c r="AN23" s="42"/>
      <c r="AO23" s="74"/>
      <c r="AP23" s="74">
        <f t="shared" si="30"/>
        <v>1.1875249900039986</v>
      </c>
      <c r="AQ23" s="75">
        <f>AVERAGE(AR23:AV23)</f>
        <v>9.9</v>
      </c>
      <c r="AR23" s="37">
        <v>9.9</v>
      </c>
    </row>
    <row r="24" spans="1:44" ht="15" hidden="1" x14ac:dyDescent="0.25">
      <c r="A24" s="52" t="s">
        <v>47</v>
      </c>
      <c r="B24" s="80">
        <v>330</v>
      </c>
      <c r="C24" s="80">
        <v>0</v>
      </c>
      <c r="D24" s="119">
        <f>sumif!C22</f>
        <v>0</v>
      </c>
      <c r="E24" s="54">
        <f t="shared" si="0"/>
        <v>0</v>
      </c>
      <c r="F24" s="41">
        <f t="shared" si="26"/>
        <v>0</v>
      </c>
      <c r="G24" s="41">
        <f t="shared" si="29"/>
        <v>0</v>
      </c>
      <c r="H24" s="55">
        <f t="shared" si="16"/>
        <v>0</v>
      </c>
      <c r="I24" s="55">
        <f>sumif!B22</f>
        <v>0</v>
      </c>
      <c r="J24" s="55"/>
      <c r="K24" s="41">
        <f t="shared" si="27"/>
        <v>0</v>
      </c>
      <c r="L24" s="41">
        <f t="shared" si="7"/>
        <v>0</v>
      </c>
      <c r="M24" s="60">
        <f t="shared" si="1"/>
        <v>0</v>
      </c>
      <c r="N24" s="56">
        <f t="shared" si="25"/>
        <v>0</v>
      </c>
      <c r="O24" s="57">
        <f t="shared" si="2"/>
        <v>0</v>
      </c>
      <c r="P24" s="57"/>
      <c r="Q24" s="57" t="e">
        <f t="shared" si="11"/>
        <v>#DIV/0!</v>
      </c>
      <c r="R24" s="115"/>
      <c r="S24" s="115">
        <f t="shared" si="12"/>
        <v>0</v>
      </c>
      <c r="T24" s="115">
        <f>sumif!E145/1000</f>
        <v>0</v>
      </c>
      <c r="U24" s="115">
        <f>sumif!F145/1000</f>
        <v>0</v>
      </c>
      <c r="V24" s="57"/>
      <c r="W24" s="57"/>
      <c r="X24" s="39"/>
      <c r="Y24" s="37">
        <v>31</v>
      </c>
      <c r="Z24" s="38">
        <f t="shared" si="28"/>
        <v>-0.57894736842105265</v>
      </c>
      <c r="AA24" s="38">
        <f t="shared" si="3"/>
        <v>-0.57894736842105265</v>
      </c>
      <c r="AB24" s="39">
        <v>12</v>
      </c>
      <c r="AC24" s="39">
        <v>31</v>
      </c>
      <c r="AD24" s="37">
        <f t="shared" si="15"/>
        <v>0</v>
      </c>
      <c r="AE24" s="37">
        <v>26</v>
      </c>
      <c r="AF24" s="37"/>
      <c r="AG24" s="37"/>
      <c r="AH24" s="25"/>
      <c r="AI24" s="40"/>
      <c r="AJ24" s="40"/>
      <c r="AK24" s="41"/>
      <c r="AL24" s="41"/>
      <c r="AM24" s="42"/>
      <c r="AN24" s="42"/>
      <c r="AO24" s="74"/>
      <c r="AP24" s="74" t="e">
        <f t="shared" si="30"/>
        <v>#DIV/0!</v>
      </c>
      <c r="AQ24" s="75">
        <f>AVERAGE(AR24:AV24)</f>
        <v>0</v>
      </c>
      <c r="AR24" s="37">
        <v>0</v>
      </c>
    </row>
    <row r="25" spans="1:44" ht="15" x14ac:dyDescent="0.25">
      <c r="A25" s="52" t="s">
        <v>48</v>
      </c>
      <c r="B25" s="80">
        <v>180</v>
      </c>
      <c r="C25" s="80">
        <v>78</v>
      </c>
      <c r="D25" s="119">
        <f>sumif!C6</f>
        <v>0</v>
      </c>
      <c r="E25" s="54">
        <f t="shared" si="0"/>
        <v>0</v>
      </c>
      <c r="F25" s="41">
        <f t="shared" si="26"/>
        <v>3.9</v>
      </c>
      <c r="G25" s="41">
        <f t="shared" si="29"/>
        <v>2.6</v>
      </c>
      <c r="H25" s="55">
        <f t="shared" si="16"/>
        <v>0</v>
      </c>
      <c r="I25" s="55">
        <f>sumif!B6</f>
        <v>0</v>
      </c>
      <c r="J25" s="55"/>
      <c r="K25" s="41">
        <f t="shared" si="27"/>
        <v>3</v>
      </c>
      <c r="L25" s="41">
        <f t="shared" si="7"/>
        <v>3</v>
      </c>
      <c r="M25" s="60">
        <f t="shared" si="1"/>
        <v>0</v>
      </c>
      <c r="N25" s="56">
        <f t="shared" si="25"/>
        <v>0</v>
      </c>
      <c r="O25" s="57">
        <f t="shared" si="2"/>
        <v>0</v>
      </c>
      <c r="P25" s="57"/>
      <c r="Q25" s="57">
        <f t="shared" si="11"/>
        <v>0</v>
      </c>
      <c r="R25" s="115">
        <v>12</v>
      </c>
      <c r="S25" s="115">
        <f t="shared" si="12"/>
        <v>0</v>
      </c>
      <c r="T25" s="115">
        <f>sumif!E115/1000</f>
        <v>0</v>
      </c>
      <c r="U25" s="115">
        <f>sumif!F115/1000</f>
        <v>0</v>
      </c>
      <c r="V25" s="57"/>
      <c r="W25" s="57"/>
      <c r="X25" s="36"/>
      <c r="Y25" s="37">
        <v>31</v>
      </c>
      <c r="Z25" s="38">
        <f t="shared" si="28"/>
        <v>-0.57894736842105265</v>
      </c>
      <c r="AA25" s="38">
        <f t="shared" si="3"/>
        <v>-0.57894736842105265</v>
      </c>
      <c r="AB25" s="39">
        <v>12</v>
      </c>
      <c r="AC25" s="39">
        <v>31</v>
      </c>
      <c r="AD25" s="37">
        <f t="shared" si="15"/>
        <v>-780</v>
      </c>
      <c r="AE25" s="37">
        <v>26</v>
      </c>
      <c r="AF25" s="37"/>
      <c r="AG25" s="37"/>
      <c r="AH25" s="25"/>
      <c r="AI25" s="40">
        <v>384</v>
      </c>
      <c r="AJ25" s="40">
        <f>D25</f>
        <v>0</v>
      </c>
      <c r="AK25" s="41">
        <v>118</v>
      </c>
      <c r="AL25" s="41">
        <f t="shared" si="13"/>
        <v>266</v>
      </c>
      <c r="AM25" s="42">
        <f>SUM(AK25+AJ25)/AI25</f>
        <v>0.30729166666666669</v>
      </c>
      <c r="AN25" s="42"/>
      <c r="AO25" s="74"/>
      <c r="AP25" s="74">
        <f t="shared" si="30"/>
        <v>0</v>
      </c>
      <c r="AQ25" s="75">
        <f>AVERAGE(AR25:AV25)</f>
        <v>0</v>
      </c>
      <c r="AR25" s="37">
        <v>0</v>
      </c>
    </row>
    <row r="26" spans="1:44" ht="15" hidden="1" x14ac:dyDescent="0.25">
      <c r="A26" s="52" t="s">
        <v>1569</v>
      </c>
      <c r="B26" s="80">
        <v>100</v>
      </c>
      <c r="C26" s="80">
        <v>0</v>
      </c>
      <c r="D26" s="119">
        <f>sumif!C7</f>
        <v>0</v>
      </c>
      <c r="E26" s="54">
        <f t="shared" si="0"/>
        <v>0</v>
      </c>
      <c r="F26" s="41">
        <f t="shared" si="26"/>
        <v>0</v>
      </c>
      <c r="G26" s="41">
        <f t="shared" si="29"/>
        <v>0</v>
      </c>
      <c r="H26" s="55">
        <f t="shared" si="16"/>
        <v>0</v>
      </c>
      <c r="I26" s="55">
        <f>sumif!B7</f>
        <v>0</v>
      </c>
      <c r="J26" s="55"/>
      <c r="K26" s="41">
        <f t="shared" si="27"/>
        <v>0</v>
      </c>
      <c r="L26" s="41">
        <f t="shared" si="7"/>
        <v>0</v>
      </c>
      <c r="M26" s="60">
        <f t="shared" si="1"/>
        <v>0</v>
      </c>
      <c r="N26" s="56">
        <f t="shared" si="25"/>
        <v>0</v>
      </c>
      <c r="O26" s="57">
        <f t="shared" si="2"/>
        <v>0</v>
      </c>
      <c r="P26" s="57"/>
      <c r="Q26" s="57" t="e">
        <f t="shared" si="11"/>
        <v>#DIV/0!</v>
      </c>
      <c r="R26" s="115"/>
      <c r="S26" s="115">
        <f t="shared" si="12"/>
        <v>0</v>
      </c>
      <c r="T26" s="115">
        <f>sumif!E226/1000</f>
        <v>0</v>
      </c>
      <c r="U26" s="115">
        <f>sumif!F226/1000</f>
        <v>0</v>
      </c>
      <c r="V26" s="57"/>
      <c r="W26" s="57"/>
      <c r="X26" s="36"/>
      <c r="Y26" s="37">
        <v>31</v>
      </c>
      <c r="Z26" s="38">
        <f t="shared" si="28"/>
        <v>-0.57894736842105265</v>
      </c>
      <c r="AA26" s="38">
        <f t="shared" si="3"/>
        <v>-0.57894736842105265</v>
      </c>
      <c r="AB26" s="39">
        <v>12</v>
      </c>
      <c r="AC26" s="39">
        <v>31</v>
      </c>
      <c r="AD26" s="37">
        <f t="shared" si="15"/>
        <v>0</v>
      </c>
      <c r="AE26" s="37">
        <v>26</v>
      </c>
      <c r="AF26" s="37"/>
      <c r="AG26" s="37"/>
      <c r="AH26" s="25"/>
      <c r="AI26" s="40">
        <v>145</v>
      </c>
      <c r="AJ26" s="40">
        <f>D26</f>
        <v>0</v>
      </c>
      <c r="AK26" s="41">
        <v>66</v>
      </c>
      <c r="AL26" s="41">
        <f t="shared" si="13"/>
        <v>79</v>
      </c>
      <c r="AM26" s="42">
        <f>SUM(AK26+AJ26)/AI26</f>
        <v>0.45517241379310347</v>
      </c>
      <c r="AN26" s="42"/>
      <c r="AO26" s="74"/>
      <c r="AP26" s="74" t="e">
        <f t="shared" si="30"/>
        <v>#DIV/0!</v>
      </c>
      <c r="AQ26" s="75">
        <f>AVERAGE(AR26:AV26)</f>
        <v>0</v>
      </c>
      <c r="AR26" s="37">
        <v>0</v>
      </c>
    </row>
    <row r="27" spans="1:44" ht="15" x14ac:dyDescent="0.25">
      <c r="A27" s="52" t="s">
        <v>49</v>
      </c>
      <c r="B27" s="80">
        <v>105</v>
      </c>
      <c r="C27" s="80">
        <v>40</v>
      </c>
      <c r="D27" s="119">
        <f>sumif!C13</f>
        <v>2.1</v>
      </c>
      <c r="E27" s="54">
        <f t="shared" si="0"/>
        <v>5.2500000000000005E-2</v>
      </c>
      <c r="F27" s="41">
        <f t="shared" si="26"/>
        <v>2</v>
      </c>
      <c r="G27" s="41">
        <f t="shared" si="29"/>
        <v>1.2633333333333332</v>
      </c>
      <c r="H27" s="55">
        <f t="shared" si="16"/>
        <v>2.1</v>
      </c>
      <c r="I27" s="55">
        <f>sumif!B13</f>
        <v>2.1</v>
      </c>
      <c r="J27" s="55"/>
      <c r="K27" s="41">
        <f t="shared" si="27"/>
        <v>1.4576923076923076</v>
      </c>
      <c r="L27" s="41">
        <f t="shared" si="7"/>
        <v>1.4576923076923076</v>
      </c>
      <c r="M27" s="60">
        <f t="shared" si="1"/>
        <v>2.1</v>
      </c>
      <c r="N27" s="56">
        <f t="shared" si="25"/>
        <v>-9.0681818181818183E-2</v>
      </c>
      <c r="O27" s="57">
        <f t="shared" si="2"/>
        <v>-9.0681818181818183E-2</v>
      </c>
      <c r="P27" s="57"/>
      <c r="Q27" s="57">
        <f t="shared" si="11"/>
        <v>5.2499999999999991E-2</v>
      </c>
      <c r="R27" s="115"/>
      <c r="S27" s="115">
        <f t="shared" si="12"/>
        <v>-3.6272727272727274</v>
      </c>
      <c r="T27" s="115">
        <f>sumif!E105/1000</f>
        <v>0</v>
      </c>
      <c r="U27" s="115">
        <f>sumif!F105/1000</f>
        <v>0</v>
      </c>
      <c r="V27" s="57"/>
      <c r="W27" s="57"/>
      <c r="X27" s="72"/>
      <c r="Y27" s="37">
        <v>31</v>
      </c>
      <c r="Z27" s="38">
        <f t="shared" si="28"/>
        <v>-0.57894736842105265</v>
      </c>
      <c r="AA27" s="38">
        <f t="shared" si="3"/>
        <v>-0.57894736842105265</v>
      </c>
      <c r="AB27" s="39">
        <v>12</v>
      </c>
      <c r="AC27" s="39">
        <v>31</v>
      </c>
      <c r="AD27" s="37">
        <f t="shared" si="15"/>
        <v>-379</v>
      </c>
      <c r="AE27" s="37">
        <v>26</v>
      </c>
      <c r="AF27" s="37"/>
      <c r="AG27" s="37"/>
      <c r="AH27" s="25"/>
      <c r="AI27" s="40">
        <v>232</v>
      </c>
      <c r="AJ27" s="40">
        <f>D27</f>
        <v>2.1</v>
      </c>
      <c r="AK27" s="41">
        <v>115</v>
      </c>
      <c r="AL27" s="41">
        <f t="shared" si="13"/>
        <v>117</v>
      </c>
      <c r="AM27" s="42">
        <f>SUM(AK27+AJ27)/AI27</f>
        <v>0.5047413793103448</v>
      </c>
      <c r="AN27" s="42"/>
      <c r="AO27" s="74"/>
      <c r="AP27" s="74">
        <f t="shared" si="30"/>
        <v>1.6622691292875993</v>
      </c>
      <c r="AQ27" s="75">
        <f>AVERAGE(AR27:AV27)</f>
        <v>2.1</v>
      </c>
      <c r="AR27" s="37">
        <v>2.1</v>
      </c>
    </row>
    <row r="28" spans="1:44" ht="15" hidden="1" x14ac:dyDescent="0.25">
      <c r="A28" s="52" t="s">
        <v>1554</v>
      </c>
      <c r="B28" s="80">
        <v>60</v>
      </c>
      <c r="C28" s="80">
        <v>0</v>
      </c>
      <c r="D28" s="119">
        <f>sumif!C12</f>
        <v>0</v>
      </c>
      <c r="E28" s="54">
        <f t="shared" si="0"/>
        <v>0</v>
      </c>
      <c r="F28" s="41">
        <f t="shared" si="26"/>
        <v>0</v>
      </c>
      <c r="G28" s="41">
        <f t="shared" si="29"/>
        <v>0</v>
      </c>
      <c r="H28" s="55">
        <f t="shared" si="16"/>
        <v>0</v>
      </c>
      <c r="I28" s="55">
        <f>sumif!B12</f>
        <v>0</v>
      </c>
      <c r="J28" s="55"/>
      <c r="K28" s="41">
        <f t="shared" si="27"/>
        <v>0</v>
      </c>
      <c r="L28" s="41">
        <f t="shared" si="7"/>
        <v>0</v>
      </c>
      <c r="M28" s="60">
        <f t="shared" si="1"/>
        <v>0</v>
      </c>
      <c r="N28" s="56">
        <f t="shared" si="25"/>
        <v>0</v>
      </c>
      <c r="O28" s="57">
        <f t="shared" si="2"/>
        <v>0</v>
      </c>
      <c r="P28" s="57"/>
      <c r="Q28" s="57" t="e">
        <f t="shared" si="11"/>
        <v>#DIV/0!</v>
      </c>
      <c r="R28" s="115"/>
      <c r="S28" s="115">
        <f t="shared" si="12"/>
        <v>0</v>
      </c>
      <c r="T28" s="115">
        <f>sumif!E170/1000</f>
        <v>0</v>
      </c>
      <c r="U28" s="115">
        <f>sumif!F170/1000</f>
        <v>0</v>
      </c>
      <c r="V28" s="57"/>
      <c r="W28" s="57"/>
      <c r="X28" s="72"/>
      <c r="Y28" s="37">
        <v>31</v>
      </c>
      <c r="Z28" s="38">
        <f t="shared" si="28"/>
        <v>-0.57894736842105265</v>
      </c>
      <c r="AA28" s="38">
        <f t="shared" si="3"/>
        <v>-0.57894736842105265</v>
      </c>
      <c r="AB28" s="39">
        <v>12</v>
      </c>
      <c r="AC28" s="39">
        <v>31</v>
      </c>
      <c r="AD28" s="37">
        <f t="shared" si="15"/>
        <v>0</v>
      </c>
      <c r="AE28" s="37">
        <v>26</v>
      </c>
      <c r="AF28" s="37"/>
      <c r="AG28" s="37"/>
      <c r="AH28" s="25"/>
      <c r="AI28" s="40"/>
      <c r="AJ28" s="40"/>
      <c r="AK28" s="41">
        <v>0</v>
      </c>
      <c r="AL28" s="41"/>
      <c r="AM28" s="42"/>
      <c r="AN28" s="42"/>
      <c r="AO28" s="74"/>
      <c r="AP28" s="74" t="e">
        <f t="shared" si="30"/>
        <v>#DIV/0!</v>
      </c>
      <c r="AQ28" s="75">
        <f>AVERAGE(AR28:AV28)</f>
        <v>0</v>
      </c>
      <c r="AR28" s="37">
        <v>0</v>
      </c>
    </row>
    <row r="29" spans="1:44" ht="42.75" x14ac:dyDescent="0.25">
      <c r="A29" s="52" t="s">
        <v>50</v>
      </c>
      <c r="B29" s="80">
        <v>45</v>
      </c>
      <c r="C29" s="80">
        <v>20</v>
      </c>
      <c r="D29" s="119">
        <f>sumif!C9</f>
        <v>0</v>
      </c>
      <c r="E29" s="54">
        <f t="shared" si="0"/>
        <v>0</v>
      </c>
      <c r="F29" s="41">
        <f t="shared" si="26"/>
        <v>1</v>
      </c>
      <c r="G29" s="41">
        <f t="shared" si="29"/>
        <v>0.66666666666666663</v>
      </c>
      <c r="H29" s="55">
        <f t="shared" si="16"/>
        <v>0</v>
      </c>
      <c r="I29" s="55">
        <f>sumif!B9</f>
        <v>0</v>
      </c>
      <c r="J29" s="55"/>
      <c r="K29" s="41">
        <f t="shared" si="27"/>
        <v>0.76923076923076927</v>
      </c>
      <c r="L29" s="41">
        <f t="shared" si="7"/>
        <v>0.76923076923076927</v>
      </c>
      <c r="M29" s="60">
        <f t="shared" si="1"/>
        <v>0</v>
      </c>
      <c r="N29" s="56">
        <f t="shared" si="25"/>
        <v>0</v>
      </c>
      <c r="O29" s="57">
        <f t="shared" si="2"/>
        <v>0</v>
      </c>
      <c r="P29" s="57"/>
      <c r="Q29" s="57">
        <f t="shared" si="11"/>
        <v>0</v>
      </c>
      <c r="R29" s="115"/>
      <c r="S29" s="115">
        <f t="shared" si="12"/>
        <v>0</v>
      </c>
      <c r="T29" s="115">
        <f>sumif!E161/1000</f>
        <v>0</v>
      </c>
      <c r="U29" s="115">
        <f>sumif!F161/1000</f>
        <v>0</v>
      </c>
      <c r="V29" s="57"/>
      <c r="W29" s="57"/>
      <c r="X29" s="39" t="s">
        <v>2148</v>
      </c>
      <c r="Y29" s="37">
        <v>31</v>
      </c>
      <c r="Z29" s="38">
        <f t="shared" si="28"/>
        <v>-0.57894736842105265</v>
      </c>
      <c r="AA29" s="38">
        <f t="shared" si="3"/>
        <v>-0.57894736842105265</v>
      </c>
      <c r="AB29" s="39">
        <v>12</v>
      </c>
      <c r="AC29" s="39">
        <v>31</v>
      </c>
      <c r="AD29" s="37">
        <f t="shared" si="15"/>
        <v>-200</v>
      </c>
      <c r="AE29" s="37">
        <v>26</v>
      </c>
      <c r="AF29" s="37"/>
      <c r="AG29" s="37"/>
      <c r="AH29" s="25"/>
      <c r="AI29" s="40">
        <v>116</v>
      </c>
      <c r="AJ29" s="40">
        <f>D29</f>
        <v>0</v>
      </c>
      <c r="AK29" s="41">
        <v>36</v>
      </c>
      <c r="AL29" s="41">
        <f t="shared" si="13"/>
        <v>80</v>
      </c>
      <c r="AM29" s="42">
        <f>SUM(AK29+AJ29)/AI29</f>
        <v>0.31034482758620691</v>
      </c>
      <c r="AN29" s="42"/>
      <c r="AO29" s="74"/>
      <c r="AP29" s="74">
        <f t="shared" si="30"/>
        <v>0</v>
      </c>
      <c r="AQ29" s="75">
        <f>AVERAGE(AR29:AV29)</f>
        <v>0</v>
      </c>
      <c r="AR29" s="37">
        <v>0</v>
      </c>
    </row>
    <row r="30" spans="1:44" ht="15" x14ac:dyDescent="0.25">
      <c r="A30" s="52" t="s">
        <v>51</v>
      </c>
      <c r="B30" s="80">
        <v>330</v>
      </c>
      <c r="C30" s="80"/>
      <c r="D30" s="119">
        <f>sumif!C19</f>
        <v>0</v>
      </c>
      <c r="E30" s="54">
        <f t="shared" si="0"/>
        <v>0</v>
      </c>
      <c r="F30" s="41">
        <f t="shared" si="26"/>
        <v>0</v>
      </c>
      <c r="G30" s="41">
        <f t="shared" si="29"/>
        <v>0</v>
      </c>
      <c r="H30" s="55">
        <f t="shared" si="16"/>
        <v>0</v>
      </c>
      <c r="I30" s="55">
        <f>sumif!B19</f>
        <v>0</v>
      </c>
      <c r="J30" s="55"/>
      <c r="K30" s="41">
        <f t="shared" si="27"/>
        <v>0</v>
      </c>
      <c r="L30" s="41">
        <f t="shared" si="7"/>
        <v>0</v>
      </c>
      <c r="M30" s="60">
        <f t="shared" si="1"/>
        <v>0</v>
      </c>
      <c r="N30" s="56">
        <f t="shared" si="25"/>
        <v>0</v>
      </c>
      <c r="O30" s="57">
        <f t="shared" si="2"/>
        <v>0</v>
      </c>
      <c r="P30" s="57"/>
      <c r="Q30" s="57" t="e">
        <f t="shared" si="11"/>
        <v>#DIV/0!</v>
      </c>
      <c r="R30" s="115"/>
      <c r="S30" s="115">
        <f t="shared" si="12"/>
        <v>0</v>
      </c>
      <c r="T30" s="115">
        <f>sumif!E196/1000</f>
        <v>0</v>
      </c>
      <c r="U30" s="115">
        <f>sumif!F196/1000</f>
        <v>0</v>
      </c>
      <c r="V30" s="57"/>
      <c r="W30" s="57"/>
      <c r="X30" s="72"/>
      <c r="Y30" s="37">
        <v>31</v>
      </c>
      <c r="Z30" s="38">
        <f t="shared" si="28"/>
        <v>-0.57894736842105265</v>
      </c>
      <c r="AA30" s="38">
        <f t="shared" si="3"/>
        <v>-0.57894736842105265</v>
      </c>
      <c r="AB30" s="39">
        <v>12</v>
      </c>
      <c r="AC30" s="39">
        <v>31</v>
      </c>
      <c r="AD30" s="37">
        <f t="shared" si="15"/>
        <v>0</v>
      </c>
      <c r="AE30" s="37">
        <v>26</v>
      </c>
      <c r="AF30" s="37"/>
      <c r="AG30" s="37"/>
      <c r="AH30" s="25"/>
      <c r="AI30" s="40">
        <v>704</v>
      </c>
      <c r="AJ30" s="40">
        <f>D30</f>
        <v>0</v>
      </c>
      <c r="AK30" s="41">
        <v>0</v>
      </c>
      <c r="AL30" s="41">
        <f t="shared" si="13"/>
        <v>704</v>
      </c>
      <c r="AM30" s="42">
        <f>SUM(AK30+AJ30)/AI30</f>
        <v>0</v>
      </c>
      <c r="AN30" s="42"/>
      <c r="AO30" s="74"/>
      <c r="AP30" s="74" t="e">
        <f t="shared" si="30"/>
        <v>#DIV/0!</v>
      </c>
      <c r="AQ30" s="75">
        <f>AVERAGE(AR30:AV30)</f>
        <v>0</v>
      </c>
      <c r="AR30" s="37">
        <v>0</v>
      </c>
    </row>
    <row r="31" spans="1:44" ht="15" hidden="1" x14ac:dyDescent="0.25">
      <c r="A31" s="52" t="s">
        <v>2064</v>
      </c>
      <c r="B31" s="80">
        <v>300</v>
      </c>
      <c r="C31" s="80">
        <v>0</v>
      </c>
      <c r="D31" s="119">
        <f>sumif!C18</f>
        <v>0</v>
      </c>
      <c r="E31" s="54">
        <f t="shared" si="0"/>
        <v>0</v>
      </c>
      <c r="F31" s="41">
        <f t="shared" si="26"/>
        <v>0</v>
      </c>
      <c r="G31" s="41">
        <f t="shared" si="29"/>
        <v>0</v>
      </c>
      <c r="H31" s="55">
        <f t="shared" si="16"/>
        <v>0</v>
      </c>
      <c r="I31" s="55">
        <f>sumif!B18</f>
        <v>0</v>
      </c>
      <c r="J31" s="55"/>
      <c r="K31" s="41">
        <f t="shared" si="27"/>
        <v>0</v>
      </c>
      <c r="L31" s="41">
        <f t="shared" si="7"/>
        <v>0</v>
      </c>
      <c r="M31" s="60">
        <f t="shared" si="1"/>
        <v>0</v>
      </c>
      <c r="N31" s="56">
        <f t="shared" si="25"/>
        <v>0</v>
      </c>
      <c r="O31" s="57">
        <f t="shared" si="2"/>
        <v>0</v>
      </c>
      <c r="P31" s="57"/>
      <c r="Q31" s="57" t="e">
        <f t="shared" si="11"/>
        <v>#DIV/0!</v>
      </c>
      <c r="R31" s="115"/>
      <c r="S31" s="115">
        <f t="shared" si="12"/>
        <v>0</v>
      </c>
      <c r="T31" s="115">
        <f>sumif!E98</f>
        <v>0</v>
      </c>
      <c r="U31" s="115">
        <f>sumif!F98</f>
        <v>0</v>
      </c>
      <c r="V31" s="57"/>
      <c r="W31" s="57"/>
      <c r="X31" s="39"/>
      <c r="Y31" s="37">
        <v>31</v>
      </c>
      <c r="Z31" s="38">
        <f t="shared" si="28"/>
        <v>-0.57894736842105265</v>
      </c>
      <c r="AA31" s="38">
        <f t="shared" si="3"/>
        <v>-0.57894736842105265</v>
      </c>
      <c r="AB31" s="39">
        <v>12</v>
      </c>
      <c r="AC31" s="39">
        <v>31</v>
      </c>
      <c r="AD31" s="37">
        <f t="shared" si="15"/>
        <v>0</v>
      </c>
      <c r="AE31" s="37">
        <v>26</v>
      </c>
      <c r="AF31" s="37"/>
      <c r="AG31" s="37"/>
      <c r="AH31" s="25"/>
      <c r="AI31" s="40"/>
      <c r="AJ31" s="40"/>
      <c r="AK31" s="41"/>
      <c r="AL31" s="41"/>
      <c r="AM31" s="42"/>
      <c r="AN31" s="42"/>
      <c r="AO31" s="74"/>
      <c r="AP31" s="74" t="e">
        <f t="shared" si="30"/>
        <v>#DIV/0!</v>
      </c>
      <c r="AQ31" s="75">
        <f>AVERAGE(AR31:AV31)</f>
        <v>0</v>
      </c>
      <c r="AR31" s="37">
        <v>0</v>
      </c>
    </row>
    <row r="32" spans="1:44" ht="15" x14ac:dyDescent="0.25">
      <c r="A32" s="52" t="s">
        <v>52</v>
      </c>
      <c r="B32" s="80">
        <v>120</v>
      </c>
      <c r="C32" s="118">
        <v>60</v>
      </c>
      <c r="D32" s="119">
        <f>sumif!C17</f>
        <v>0</v>
      </c>
      <c r="E32" s="54">
        <f t="shared" si="0"/>
        <v>0</v>
      </c>
      <c r="F32" s="41">
        <f t="shared" si="26"/>
        <v>3</v>
      </c>
      <c r="G32" s="41">
        <f t="shared" si="29"/>
        <v>2</v>
      </c>
      <c r="H32" s="55">
        <f t="shared" si="16"/>
        <v>0</v>
      </c>
      <c r="I32" s="55">
        <f>sumif!B17</f>
        <v>0</v>
      </c>
      <c r="J32" s="55"/>
      <c r="K32" s="41">
        <f t="shared" si="27"/>
        <v>2.3076923076923075</v>
      </c>
      <c r="L32" s="41">
        <f t="shared" si="7"/>
        <v>2.3076923076923075</v>
      </c>
      <c r="M32" s="60">
        <f t="shared" si="1"/>
        <v>0</v>
      </c>
      <c r="N32" s="56">
        <f t="shared" si="25"/>
        <v>0</v>
      </c>
      <c r="O32" s="57">
        <f t="shared" si="2"/>
        <v>0</v>
      </c>
      <c r="P32" s="57"/>
      <c r="Q32" s="57">
        <f t="shared" si="11"/>
        <v>0</v>
      </c>
      <c r="R32" s="115"/>
      <c r="S32" s="115">
        <f t="shared" si="12"/>
        <v>0</v>
      </c>
      <c r="T32" s="115">
        <f>sumif!E150/1000</f>
        <v>0</v>
      </c>
      <c r="U32" s="115">
        <f>sumif!F150/1000</f>
        <v>0</v>
      </c>
      <c r="V32" s="57"/>
      <c r="W32" s="57"/>
      <c r="X32" s="36"/>
      <c r="Y32" s="37">
        <v>31</v>
      </c>
      <c r="Z32" s="38">
        <f t="shared" si="28"/>
        <v>-0.57894736842105265</v>
      </c>
      <c r="AA32" s="38">
        <f t="shared" si="3"/>
        <v>-0.57894736842105265</v>
      </c>
      <c r="AB32" s="39">
        <v>12</v>
      </c>
      <c r="AC32" s="39">
        <v>31</v>
      </c>
      <c r="AD32" s="37">
        <f t="shared" si="15"/>
        <v>-600</v>
      </c>
      <c r="AE32" s="37">
        <v>26</v>
      </c>
      <c r="AF32" s="37"/>
      <c r="AG32" s="37"/>
      <c r="AH32" s="25"/>
      <c r="AI32" s="40">
        <v>348</v>
      </c>
      <c r="AJ32" s="40">
        <f>D32</f>
        <v>0</v>
      </c>
      <c r="AK32" s="41">
        <v>156</v>
      </c>
      <c r="AL32" s="41">
        <f t="shared" si="13"/>
        <v>192</v>
      </c>
      <c r="AM32" s="42">
        <f>SUM(AK32+AJ32)/AI32</f>
        <v>0.44827586206896552</v>
      </c>
      <c r="AN32" s="42"/>
      <c r="AO32" s="74"/>
      <c r="AP32" s="74">
        <f t="shared" si="30"/>
        <v>0</v>
      </c>
      <c r="AQ32" s="75">
        <f>AVERAGE(AR32:AV32)</f>
        <v>0</v>
      </c>
      <c r="AR32" s="37">
        <v>0</v>
      </c>
    </row>
    <row r="33" spans="1:44" ht="15" x14ac:dyDescent="0.25">
      <c r="A33" s="52" t="s">
        <v>53</v>
      </c>
      <c r="B33" s="90">
        <v>1.2</v>
      </c>
      <c r="C33" s="80">
        <v>2</v>
      </c>
      <c r="D33" s="119">
        <f>sumif!C25</f>
        <v>0</v>
      </c>
      <c r="E33" s="54">
        <f t="shared" si="0"/>
        <v>0</v>
      </c>
      <c r="F33" s="41">
        <f t="shared" si="26"/>
        <v>0.1</v>
      </c>
      <c r="G33" s="41">
        <f t="shared" si="29"/>
        <v>6.6666666666666666E-2</v>
      </c>
      <c r="H33" s="55">
        <f t="shared" si="16"/>
        <v>0</v>
      </c>
      <c r="I33" s="55">
        <f>sumif!B25</f>
        <v>0</v>
      </c>
      <c r="J33" s="55"/>
      <c r="K33" s="41">
        <f t="shared" si="27"/>
        <v>7.6923076923076927E-2</v>
      </c>
      <c r="L33" s="41">
        <f t="shared" si="7"/>
        <v>7.6923076923076927E-2</v>
      </c>
      <c r="M33" s="60">
        <f t="shared" si="1"/>
        <v>0</v>
      </c>
      <c r="N33" s="56">
        <f t="shared" si="25"/>
        <v>0</v>
      </c>
      <c r="O33" s="57">
        <f t="shared" si="2"/>
        <v>0</v>
      </c>
      <c r="P33" s="57"/>
      <c r="Q33" s="57">
        <f t="shared" si="11"/>
        <v>0</v>
      </c>
      <c r="R33" s="115"/>
      <c r="S33" s="115">
        <f t="shared" si="12"/>
        <v>0</v>
      </c>
      <c r="T33" s="115">
        <f>sumif!E211/1000</f>
        <v>0</v>
      </c>
      <c r="U33" s="115">
        <f>sumif!F211/1000</f>
        <v>0</v>
      </c>
      <c r="V33" s="57"/>
      <c r="W33" s="57"/>
      <c r="X33" s="36" t="s">
        <v>2149</v>
      </c>
      <c r="Y33" s="37">
        <v>31</v>
      </c>
      <c r="Z33" s="38">
        <f t="shared" si="28"/>
        <v>-0.57894736842105265</v>
      </c>
      <c r="AA33" s="38">
        <f t="shared" si="3"/>
        <v>-0.57894736842105265</v>
      </c>
      <c r="AB33" s="39">
        <v>12</v>
      </c>
      <c r="AC33" s="39">
        <v>31</v>
      </c>
      <c r="AD33" s="37">
        <f t="shared" si="15"/>
        <v>-20</v>
      </c>
      <c r="AE33" s="37">
        <v>26</v>
      </c>
      <c r="AF33" s="37"/>
      <c r="AG33" s="37"/>
      <c r="AH33" s="25"/>
      <c r="AI33" s="40"/>
      <c r="AJ33" s="40"/>
      <c r="AK33" s="41"/>
      <c r="AL33" s="41"/>
      <c r="AM33" s="42"/>
      <c r="AN33" s="42"/>
      <c r="AO33" s="74"/>
      <c r="AP33" s="74">
        <f t="shared" si="30"/>
        <v>0</v>
      </c>
      <c r="AQ33" s="75">
        <f>AVERAGE(AR33:AV33)</f>
        <v>0</v>
      </c>
      <c r="AR33" s="37">
        <v>0</v>
      </c>
    </row>
    <row r="34" spans="1:44" ht="15" hidden="1" x14ac:dyDescent="0.25">
      <c r="A34" s="52" t="s">
        <v>54</v>
      </c>
      <c r="B34" s="80"/>
      <c r="C34" s="80"/>
      <c r="D34" s="119">
        <f>sumif!C4</f>
        <v>0</v>
      </c>
      <c r="E34" s="54">
        <f t="shared" si="0"/>
        <v>0</v>
      </c>
      <c r="F34" s="41">
        <f t="shared" si="26"/>
        <v>0</v>
      </c>
      <c r="G34" s="41">
        <f t="shared" si="29"/>
        <v>0</v>
      </c>
      <c r="H34" s="55">
        <f t="shared" si="16"/>
        <v>0</v>
      </c>
      <c r="I34" s="55">
        <f>sumif!B4</f>
        <v>0</v>
      </c>
      <c r="J34" s="55"/>
      <c r="K34" s="41">
        <f t="shared" si="27"/>
        <v>0</v>
      </c>
      <c r="L34" s="41">
        <f t="shared" si="7"/>
        <v>0</v>
      </c>
      <c r="M34" s="60">
        <f t="shared" si="1"/>
        <v>0</v>
      </c>
      <c r="N34" s="56">
        <f t="shared" si="25"/>
        <v>0</v>
      </c>
      <c r="O34" s="57">
        <f t="shared" si="2"/>
        <v>0</v>
      </c>
      <c r="P34" s="57"/>
      <c r="Q34" s="57" t="e">
        <f t="shared" si="11"/>
        <v>#DIV/0!</v>
      </c>
      <c r="R34" s="115"/>
      <c r="S34" s="115">
        <f t="shared" si="12"/>
        <v>0</v>
      </c>
      <c r="T34" s="115">
        <f>sumif!E101</f>
        <v>0</v>
      </c>
      <c r="U34" s="115">
        <f>sumif!F101</f>
        <v>0</v>
      </c>
      <c r="V34" s="57"/>
      <c r="W34" s="57"/>
      <c r="X34" s="22"/>
      <c r="Y34" s="37">
        <v>31</v>
      </c>
      <c r="Z34" s="38">
        <f t="shared" si="28"/>
        <v>-0.57894736842105265</v>
      </c>
      <c r="AA34" s="38">
        <f t="shared" si="3"/>
        <v>-0.57894736842105265</v>
      </c>
      <c r="AB34" s="39">
        <v>12</v>
      </c>
      <c r="AC34" s="39">
        <v>31</v>
      </c>
      <c r="AD34" s="37">
        <f t="shared" si="15"/>
        <v>0</v>
      </c>
      <c r="AE34" s="37">
        <v>26</v>
      </c>
      <c r="AF34" s="37"/>
      <c r="AG34" s="37"/>
      <c r="AH34" s="25"/>
      <c r="AI34" s="40"/>
      <c r="AJ34" s="40"/>
      <c r="AK34" s="41"/>
      <c r="AL34" s="41"/>
      <c r="AM34" s="42"/>
      <c r="AN34" s="42"/>
      <c r="AO34" s="74"/>
      <c r="AP34" s="74" t="e">
        <f t="shared" si="30"/>
        <v>#DIV/0!</v>
      </c>
      <c r="AQ34" s="75">
        <f>AVERAGE(AR34:AV34)</f>
        <v>0</v>
      </c>
      <c r="AR34" s="37">
        <v>0</v>
      </c>
    </row>
    <row r="35" spans="1:44" ht="15" hidden="1" x14ac:dyDescent="0.25">
      <c r="A35" s="52" t="s">
        <v>55</v>
      </c>
      <c r="B35" s="80">
        <v>13</v>
      </c>
      <c r="C35" s="80">
        <v>0</v>
      </c>
      <c r="D35" s="119">
        <f>sumif!C5</f>
        <v>0</v>
      </c>
      <c r="E35" s="54">
        <f t="shared" si="0"/>
        <v>0</v>
      </c>
      <c r="F35" s="41">
        <f t="shared" si="26"/>
        <v>0</v>
      </c>
      <c r="G35" s="41">
        <f t="shared" si="29"/>
        <v>0</v>
      </c>
      <c r="H35" s="55">
        <f t="shared" si="16"/>
        <v>0</v>
      </c>
      <c r="I35" s="55">
        <f>sumif!B5</f>
        <v>0</v>
      </c>
      <c r="J35" s="55"/>
      <c r="K35" s="41">
        <f t="shared" si="27"/>
        <v>0</v>
      </c>
      <c r="L35" s="41">
        <f t="shared" si="7"/>
        <v>0</v>
      </c>
      <c r="M35" s="60">
        <f t="shared" si="1"/>
        <v>0</v>
      </c>
      <c r="N35" s="56">
        <f t="shared" si="25"/>
        <v>0</v>
      </c>
      <c r="O35" s="57">
        <f t="shared" si="2"/>
        <v>0</v>
      </c>
      <c r="P35" s="57"/>
      <c r="Q35" s="57" t="e">
        <f t="shared" si="11"/>
        <v>#DIV/0!</v>
      </c>
      <c r="R35" s="115"/>
      <c r="S35" s="115">
        <f t="shared" si="12"/>
        <v>0</v>
      </c>
      <c r="T35" s="115">
        <f>sumif!E102</f>
        <v>0</v>
      </c>
      <c r="U35" s="115">
        <f>sumif!F102</f>
        <v>0</v>
      </c>
      <c r="V35" s="57"/>
      <c r="W35" s="57"/>
      <c r="X35" s="39"/>
      <c r="Y35" s="37">
        <v>31</v>
      </c>
      <c r="Z35" s="38">
        <f t="shared" si="28"/>
        <v>-0.57894736842105265</v>
      </c>
      <c r="AA35" s="38">
        <f t="shared" si="3"/>
        <v>-0.57894736842105265</v>
      </c>
      <c r="AB35" s="39">
        <v>12</v>
      </c>
      <c r="AC35" s="39">
        <v>31</v>
      </c>
      <c r="AD35" s="37">
        <f t="shared" si="15"/>
        <v>0</v>
      </c>
      <c r="AE35" s="37">
        <v>26</v>
      </c>
      <c r="AF35" s="37"/>
      <c r="AG35" s="37"/>
      <c r="AH35" s="25"/>
      <c r="AI35" s="40"/>
      <c r="AJ35" s="40"/>
      <c r="AK35" s="41"/>
      <c r="AL35" s="41"/>
      <c r="AM35" s="42"/>
      <c r="AN35" s="42"/>
      <c r="AO35" s="74"/>
      <c r="AP35" s="74" t="e">
        <f t="shared" si="30"/>
        <v>#DIV/0!</v>
      </c>
      <c r="AQ35" s="75">
        <f>AVERAGE(AR35:AV35)</f>
        <v>0</v>
      </c>
      <c r="AR35" s="37">
        <v>0</v>
      </c>
    </row>
    <row r="36" spans="1:44" ht="15" x14ac:dyDescent="0.25">
      <c r="A36" s="52" t="s">
        <v>56</v>
      </c>
      <c r="B36" s="80">
        <v>110</v>
      </c>
      <c r="C36" s="80">
        <v>110</v>
      </c>
      <c r="D36" s="119">
        <f>sumif!C23</f>
        <v>2.415</v>
      </c>
      <c r="E36" s="54">
        <f t="shared" si="0"/>
        <v>2.1954545454545456E-2</v>
      </c>
      <c r="F36" s="41">
        <f t="shared" si="26"/>
        <v>5.5</v>
      </c>
      <c r="G36" s="41">
        <f t="shared" si="29"/>
        <v>3.5861666666666663</v>
      </c>
      <c r="H36" s="55">
        <f t="shared" si="16"/>
        <v>2.415</v>
      </c>
      <c r="I36" s="55">
        <f>sumif!B23</f>
        <v>2.415</v>
      </c>
      <c r="J36" s="55"/>
      <c r="K36" s="41">
        <f t="shared" si="27"/>
        <v>4.1378846153846149</v>
      </c>
      <c r="L36" s="41">
        <f t="shared" si="7"/>
        <v>4.1378846153846149</v>
      </c>
      <c r="M36" s="60">
        <f t="shared" si="1"/>
        <v>2.415</v>
      </c>
      <c r="N36" s="56">
        <f t="shared" si="25"/>
        <v>-3.7921487603305784E-2</v>
      </c>
      <c r="O36" s="57">
        <f t="shared" si="2"/>
        <v>-3.7921487603305784E-2</v>
      </c>
      <c r="P36" s="57"/>
      <c r="Q36" s="57">
        <f t="shared" si="11"/>
        <v>2.195454545454556E-2</v>
      </c>
      <c r="R36" s="115"/>
      <c r="S36" s="115">
        <f t="shared" si="12"/>
        <v>-4.1713636363636359</v>
      </c>
      <c r="T36" s="115">
        <f>sumif!E180/1000</f>
        <v>0</v>
      </c>
      <c r="U36" s="115">
        <f>sumif!F180/1000</f>
        <v>0</v>
      </c>
      <c r="V36" s="57"/>
      <c r="W36" s="57"/>
      <c r="X36" s="36" t="s">
        <v>2112</v>
      </c>
      <c r="Y36" s="37">
        <v>31</v>
      </c>
      <c r="Z36" s="38">
        <f t="shared" si="28"/>
        <v>-0.57894736842105265</v>
      </c>
      <c r="AA36" s="38">
        <f t="shared" si="3"/>
        <v>-0.57894736842105265</v>
      </c>
      <c r="AB36" s="39">
        <v>12</v>
      </c>
      <c r="AC36" s="39">
        <v>31</v>
      </c>
      <c r="AD36" s="37">
        <f t="shared" si="15"/>
        <v>-1075.8499999999999</v>
      </c>
      <c r="AE36" s="37">
        <v>26</v>
      </c>
      <c r="AF36" s="37"/>
      <c r="AG36" s="37"/>
      <c r="AH36" s="25"/>
      <c r="AI36" s="40">
        <v>286</v>
      </c>
      <c r="AJ36" s="40">
        <f>D36</f>
        <v>2.415</v>
      </c>
      <c r="AK36" s="41">
        <v>103</v>
      </c>
      <c r="AL36" s="41">
        <f t="shared" si="13"/>
        <v>183</v>
      </c>
      <c r="AM36" s="42">
        <f>SUM(AK36+AJ36)/AI36</f>
        <v>0.36858391608391611</v>
      </c>
      <c r="AN36" s="42"/>
      <c r="AO36" s="74"/>
      <c r="AP36" s="74">
        <f t="shared" si="30"/>
        <v>0.67342101594088399</v>
      </c>
      <c r="AQ36" s="75">
        <f>AVERAGE(AR36:AV36)</f>
        <v>2.415</v>
      </c>
      <c r="AR36" s="37">
        <v>2.415</v>
      </c>
    </row>
    <row r="37" spans="1:44" ht="15" hidden="1" x14ac:dyDescent="0.25">
      <c r="A37" s="52" t="s">
        <v>1972</v>
      </c>
      <c r="B37" s="80">
        <v>4</v>
      </c>
      <c r="C37" s="80">
        <v>0</v>
      </c>
      <c r="D37" s="119">
        <f>sumif!C24</f>
        <v>0</v>
      </c>
      <c r="E37" s="54">
        <f>IFERROR(D37/C37,0)</f>
        <v>0</v>
      </c>
      <c r="F37" s="41">
        <f t="shared" si="26"/>
        <v>0</v>
      </c>
      <c r="G37" s="41">
        <f t="shared" si="29"/>
        <v>0</v>
      </c>
      <c r="H37" s="55">
        <f>I37</f>
        <v>0</v>
      </c>
      <c r="I37" s="55">
        <f>sumif!B24</f>
        <v>0</v>
      </c>
      <c r="J37" s="55"/>
      <c r="K37" s="41">
        <f t="shared" si="27"/>
        <v>0</v>
      </c>
      <c r="L37" s="41">
        <f t="shared" si="7"/>
        <v>0</v>
      </c>
      <c r="M37" s="60">
        <f>D37/$A$2</f>
        <v>0</v>
      </c>
      <c r="N37" s="56">
        <f>O37</f>
        <v>0</v>
      </c>
      <c r="O37" s="57">
        <f t="shared" si="2"/>
        <v>0</v>
      </c>
      <c r="P37" s="57"/>
      <c r="Q37" s="57" t="e">
        <f t="shared" si="11"/>
        <v>#DIV/0!</v>
      </c>
      <c r="R37" s="115"/>
      <c r="S37" s="115">
        <f t="shared" si="12"/>
        <v>0</v>
      </c>
      <c r="T37" s="115"/>
      <c r="U37" s="115"/>
      <c r="V37" s="57"/>
      <c r="W37" s="57"/>
      <c r="X37" s="36" t="s">
        <v>1971</v>
      </c>
      <c r="Y37" s="37">
        <v>31</v>
      </c>
      <c r="Z37" s="38">
        <f>AA37</f>
        <v>-0.57894736842105265</v>
      </c>
      <c r="AA37" s="38">
        <f t="shared" si="3"/>
        <v>-0.57894736842105265</v>
      </c>
      <c r="AB37" s="39">
        <v>12</v>
      </c>
      <c r="AC37" s="39">
        <v>31</v>
      </c>
      <c r="AD37" s="37">
        <f t="shared" si="15"/>
        <v>0</v>
      </c>
      <c r="AE37" s="37">
        <v>26</v>
      </c>
      <c r="AF37" s="37"/>
      <c r="AG37" s="37"/>
      <c r="AH37" s="25"/>
      <c r="AI37" s="40"/>
      <c r="AJ37" s="40"/>
      <c r="AK37" s="41"/>
      <c r="AL37" s="41"/>
      <c r="AM37" s="42"/>
      <c r="AN37" s="42"/>
      <c r="AO37" s="74"/>
      <c r="AP37" s="74" t="e">
        <f t="shared" si="30"/>
        <v>#DIV/0!</v>
      </c>
      <c r="AQ37" s="75">
        <f>AVERAGE(AR37:AV37)</f>
        <v>0</v>
      </c>
      <c r="AR37" s="37">
        <v>0</v>
      </c>
    </row>
    <row r="38" spans="1:44" ht="15" x14ac:dyDescent="0.25">
      <c r="A38" s="52" t="s">
        <v>96</v>
      </c>
      <c r="B38" s="80">
        <v>40</v>
      </c>
      <c r="C38" s="80">
        <v>41</v>
      </c>
      <c r="D38" s="119">
        <f>sumif!C8</f>
        <v>1.7</v>
      </c>
      <c r="E38" s="54">
        <f t="shared" si="0"/>
        <v>4.1463414634146344E-2</v>
      </c>
      <c r="F38" s="41">
        <f t="shared" si="26"/>
        <v>2.0499999999999998</v>
      </c>
      <c r="G38" s="41">
        <f t="shared" si="29"/>
        <v>1.3099999999999998</v>
      </c>
      <c r="H38" s="55">
        <f t="shared" si="16"/>
        <v>1.7</v>
      </c>
      <c r="I38" s="55">
        <f>sumif!B8</f>
        <v>1.7</v>
      </c>
      <c r="J38" s="55"/>
      <c r="K38" s="41">
        <f t="shared" si="27"/>
        <v>1.5115384615384615</v>
      </c>
      <c r="L38" s="41">
        <f t="shared" si="7"/>
        <v>1.5115384615384615</v>
      </c>
      <c r="M38" s="60">
        <f t="shared" si="1"/>
        <v>1.7</v>
      </c>
      <c r="N38" s="56">
        <f t="shared" si="25"/>
        <v>-7.1618625277161868E-2</v>
      </c>
      <c r="O38" s="57">
        <f t="shared" si="2"/>
        <v>-7.1618625277161868E-2</v>
      </c>
      <c r="P38" s="57"/>
      <c r="Q38" s="57">
        <f t="shared" si="11"/>
        <v>4.1463414634146378E-2</v>
      </c>
      <c r="R38" s="133"/>
      <c r="S38" s="115">
        <f t="shared" si="12"/>
        <v>-2.9363636363636365</v>
      </c>
      <c r="T38" s="115">
        <f>sumif!E100/1000</f>
        <v>0</v>
      </c>
      <c r="U38" s="115">
        <f>sumif!F100/1000</f>
        <v>0</v>
      </c>
      <c r="V38" s="57"/>
      <c r="W38" s="57"/>
      <c r="X38" s="36"/>
      <c r="Y38" s="37">
        <v>31</v>
      </c>
      <c r="Z38" s="38">
        <f t="shared" si="28"/>
        <v>-0.57894736842105265</v>
      </c>
      <c r="AA38" s="38">
        <f t="shared" si="3"/>
        <v>-0.57894736842105265</v>
      </c>
      <c r="AB38" s="39">
        <v>12</v>
      </c>
      <c r="AC38" s="39">
        <v>31</v>
      </c>
      <c r="AD38" s="37">
        <f t="shared" si="15"/>
        <v>-393</v>
      </c>
      <c r="AE38" s="37">
        <v>26</v>
      </c>
      <c r="AF38" s="37"/>
      <c r="AG38" s="37"/>
      <c r="AH38" s="25"/>
      <c r="AI38" s="40">
        <v>96</v>
      </c>
      <c r="AJ38" s="40">
        <f>D38</f>
        <v>1.7</v>
      </c>
      <c r="AK38" s="41">
        <v>32</v>
      </c>
      <c r="AL38" s="41">
        <f t="shared" si="13"/>
        <v>64</v>
      </c>
      <c r="AM38" s="42">
        <f>SUM(AK38+AJ38)/AI38</f>
        <v>0.3510416666666667</v>
      </c>
      <c r="AN38" s="42"/>
      <c r="AO38" s="74"/>
      <c r="AP38" s="74">
        <f t="shared" si="30"/>
        <v>1.2977099236641223</v>
      </c>
      <c r="AQ38" s="75">
        <f>AVERAGE(AR38:AV38)</f>
        <v>1.7</v>
      </c>
      <c r="AR38" s="37">
        <v>1.7</v>
      </c>
    </row>
    <row r="39" spans="1:44" ht="15" hidden="1" x14ac:dyDescent="0.25">
      <c r="A39" s="52" t="s">
        <v>97</v>
      </c>
      <c r="B39" s="80">
        <v>120</v>
      </c>
      <c r="C39" s="80">
        <v>0</v>
      </c>
      <c r="D39" s="119">
        <f>sumif!C26</f>
        <v>0</v>
      </c>
      <c r="E39" s="54">
        <f t="shared" si="0"/>
        <v>0</v>
      </c>
      <c r="F39" s="41">
        <f t="shared" si="26"/>
        <v>0</v>
      </c>
      <c r="G39" s="41">
        <f t="shared" si="29"/>
        <v>0</v>
      </c>
      <c r="H39" s="55">
        <f t="shared" si="16"/>
        <v>0</v>
      </c>
      <c r="I39" s="55">
        <f>sumif!B26</f>
        <v>0</v>
      </c>
      <c r="J39" s="55"/>
      <c r="K39" s="41">
        <f t="shared" si="27"/>
        <v>0</v>
      </c>
      <c r="L39" s="41">
        <f t="shared" si="7"/>
        <v>0</v>
      </c>
      <c r="M39" s="60">
        <f t="shared" si="1"/>
        <v>0</v>
      </c>
      <c r="N39" s="56">
        <f t="shared" si="25"/>
        <v>0</v>
      </c>
      <c r="O39" s="57">
        <f t="shared" si="2"/>
        <v>0</v>
      </c>
      <c r="P39" s="57"/>
      <c r="Q39" s="57" t="e">
        <f t="shared" si="11"/>
        <v>#DIV/0!</v>
      </c>
      <c r="R39" s="115"/>
      <c r="S39" s="115">
        <f t="shared" si="12"/>
        <v>0</v>
      </c>
      <c r="T39" s="115">
        <f>sumif!E105</f>
        <v>0</v>
      </c>
      <c r="U39" s="115">
        <f>sumif!F105</f>
        <v>0</v>
      </c>
      <c r="V39" s="57"/>
      <c r="W39" s="57"/>
      <c r="X39" s="72"/>
      <c r="Y39" s="37">
        <v>31</v>
      </c>
      <c r="Z39" s="38">
        <f t="shared" si="28"/>
        <v>-0.57894736842105265</v>
      </c>
      <c r="AA39" s="38">
        <f t="shared" si="3"/>
        <v>-0.57894736842105265</v>
      </c>
      <c r="AB39" s="39">
        <v>12</v>
      </c>
      <c r="AC39" s="39">
        <v>31</v>
      </c>
      <c r="AD39" s="37">
        <f t="shared" si="15"/>
        <v>0</v>
      </c>
      <c r="AE39" s="37">
        <v>26</v>
      </c>
      <c r="AF39" s="37"/>
      <c r="AG39" s="37"/>
      <c r="AH39" s="25"/>
      <c r="AI39" s="40"/>
      <c r="AJ39" s="40"/>
      <c r="AK39" s="41"/>
      <c r="AL39" s="41"/>
      <c r="AM39" s="42"/>
      <c r="AN39" s="42"/>
      <c r="AO39" s="74"/>
      <c r="AP39" s="74" t="e">
        <f t="shared" si="30"/>
        <v>#DIV/0!</v>
      </c>
      <c r="AQ39" s="75">
        <f>AVERAGE(AR39:AV39)</f>
        <v>0</v>
      </c>
      <c r="AR39" s="37">
        <v>0</v>
      </c>
    </row>
    <row r="40" spans="1:44" ht="15" hidden="1" x14ac:dyDescent="0.25">
      <c r="A40" s="52" t="s">
        <v>57</v>
      </c>
      <c r="B40" s="80"/>
      <c r="C40" s="80">
        <v>0</v>
      </c>
      <c r="D40" s="119"/>
      <c r="E40" s="54">
        <f t="shared" si="0"/>
        <v>0</v>
      </c>
      <c r="F40" s="41">
        <f t="shared" si="26"/>
        <v>0</v>
      </c>
      <c r="G40" s="41">
        <f t="shared" si="29"/>
        <v>0</v>
      </c>
      <c r="H40" s="55">
        <f t="shared" si="16"/>
        <v>0</v>
      </c>
      <c r="I40" s="55"/>
      <c r="J40" s="55"/>
      <c r="K40" s="41">
        <f>IFERROR((C40-D40)/AE40,0)</f>
        <v>0</v>
      </c>
      <c r="L40" s="41">
        <f t="shared" si="7"/>
        <v>0</v>
      </c>
      <c r="M40" s="60">
        <f t="shared" si="1"/>
        <v>0</v>
      </c>
      <c r="N40" s="56">
        <f t="shared" si="25"/>
        <v>0</v>
      </c>
      <c r="O40" s="57">
        <f t="shared" si="2"/>
        <v>0</v>
      </c>
      <c r="P40" s="57"/>
      <c r="Q40" s="57" t="e">
        <f t="shared" si="11"/>
        <v>#DIV/0!</v>
      </c>
      <c r="R40" s="115"/>
      <c r="S40" s="115">
        <f t="shared" si="12"/>
        <v>0</v>
      </c>
      <c r="T40" s="115">
        <f>sumif!E106</f>
        <v>0</v>
      </c>
      <c r="U40" s="115">
        <f>sumif!F106</f>
        <v>0</v>
      </c>
      <c r="V40" s="57"/>
      <c r="W40" s="57"/>
      <c r="X40" s="36"/>
      <c r="Y40" s="37">
        <v>31</v>
      </c>
      <c r="Z40" s="38">
        <f t="shared" si="28"/>
        <v>-0.57894736842105265</v>
      </c>
      <c r="AA40" s="38">
        <f t="shared" si="3"/>
        <v>-0.57894736842105265</v>
      </c>
      <c r="AB40" s="39">
        <v>12</v>
      </c>
      <c r="AC40" s="39">
        <v>31</v>
      </c>
      <c r="AD40" s="37">
        <f t="shared" si="15"/>
        <v>0</v>
      </c>
      <c r="AE40" s="37">
        <v>26</v>
      </c>
      <c r="AF40" s="37"/>
      <c r="AG40" s="37"/>
      <c r="AH40" s="25"/>
      <c r="AI40" s="40"/>
      <c r="AJ40" s="40"/>
      <c r="AK40" s="41"/>
      <c r="AL40" s="41"/>
      <c r="AM40" s="42"/>
      <c r="AN40" s="42"/>
      <c r="AO40" s="74"/>
      <c r="AP40" s="74" t="e">
        <f t="shared" si="30"/>
        <v>#DIV/0!</v>
      </c>
      <c r="AQ40" s="75" t="e">
        <f>AVERAGE(AR40:AV40)</f>
        <v>#DIV/0!</v>
      </c>
      <c r="AR40" s="37"/>
    </row>
    <row r="41" spans="1:44" ht="15" x14ac:dyDescent="0.25">
      <c r="A41" s="52" t="s">
        <v>167</v>
      </c>
      <c r="B41" s="80">
        <v>150</v>
      </c>
      <c r="C41" s="80">
        <v>30</v>
      </c>
      <c r="D41" s="119">
        <v>0</v>
      </c>
      <c r="E41" s="54">
        <f t="shared" si="0"/>
        <v>0</v>
      </c>
      <c r="F41" s="41">
        <f t="shared" si="26"/>
        <v>1.5</v>
      </c>
      <c r="G41" s="41">
        <f t="shared" si="29"/>
        <v>1</v>
      </c>
      <c r="H41" s="55">
        <f t="shared" si="16"/>
        <v>0</v>
      </c>
      <c r="I41" s="55">
        <f>sumif!B16</f>
        <v>0</v>
      </c>
      <c r="J41" s="55"/>
      <c r="K41" s="41">
        <f>(C41-D41)/AE41</f>
        <v>1.1538461538461537</v>
      </c>
      <c r="L41" s="41">
        <f t="shared" si="7"/>
        <v>1.1538461538461537</v>
      </c>
      <c r="M41" s="60">
        <f t="shared" si="1"/>
        <v>0</v>
      </c>
      <c r="N41" s="56">
        <f t="shared" si="25"/>
        <v>0</v>
      </c>
      <c r="O41" s="57">
        <f t="shared" si="2"/>
        <v>0</v>
      </c>
      <c r="P41" s="57"/>
      <c r="Q41" s="57">
        <f t="shared" si="11"/>
        <v>0</v>
      </c>
      <c r="R41" s="115"/>
      <c r="S41" s="115">
        <f t="shared" si="12"/>
        <v>0</v>
      </c>
      <c r="T41" s="115">
        <f>sumif!E186/1000</f>
        <v>0</v>
      </c>
      <c r="U41" s="115">
        <f>sumif!F186/1000</f>
        <v>0</v>
      </c>
      <c r="V41" s="57"/>
      <c r="W41" s="57"/>
      <c r="X41" s="39" t="s">
        <v>2121</v>
      </c>
      <c r="Y41" s="37">
        <v>31</v>
      </c>
      <c r="Z41" s="38">
        <f t="shared" si="28"/>
        <v>-0.57894736842105265</v>
      </c>
      <c r="AA41" s="38">
        <f t="shared" si="3"/>
        <v>-0.57894736842105265</v>
      </c>
      <c r="AB41" s="39">
        <v>12</v>
      </c>
      <c r="AC41" s="39">
        <v>31</v>
      </c>
      <c r="AD41" s="37">
        <f t="shared" si="15"/>
        <v>-300</v>
      </c>
      <c r="AE41" s="37">
        <v>26</v>
      </c>
      <c r="AF41" s="37"/>
      <c r="AG41" s="37"/>
      <c r="AH41" s="25"/>
      <c r="AI41" s="40">
        <v>299</v>
      </c>
      <c r="AJ41" s="40">
        <f>D41</f>
        <v>0</v>
      </c>
      <c r="AK41" s="41">
        <v>140</v>
      </c>
      <c r="AL41" s="41">
        <f t="shared" si="13"/>
        <v>159</v>
      </c>
      <c r="AM41" s="42">
        <f>SUM(AK41+AJ41)/AI41</f>
        <v>0.4682274247491639</v>
      </c>
      <c r="AN41" s="42"/>
      <c r="AO41" s="74"/>
      <c r="AP41" s="74">
        <f t="shared" si="30"/>
        <v>0</v>
      </c>
      <c r="AQ41" s="75">
        <f>AVERAGE(AR41:AV41)</f>
        <v>0</v>
      </c>
      <c r="AR41" s="37">
        <v>0</v>
      </c>
    </row>
    <row r="42" spans="1:44" ht="15" hidden="1" x14ac:dyDescent="0.25">
      <c r="A42" s="52" t="s">
        <v>58</v>
      </c>
      <c r="B42" s="80"/>
      <c r="C42" s="80"/>
      <c r="D42" s="119"/>
      <c r="E42" s="54">
        <f t="shared" si="0"/>
        <v>0</v>
      </c>
      <c r="F42" s="41">
        <f t="shared" si="26"/>
        <v>0</v>
      </c>
      <c r="G42" s="41">
        <f t="shared" si="29"/>
        <v>0</v>
      </c>
      <c r="H42" s="55">
        <f t="shared" si="16"/>
        <v>0</v>
      </c>
      <c r="I42" s="55"/>
      <c r="J42" s="55"/>
      <c r="K42" s="41">
        <f>(C42-D42)/AE42</f>
        <v>0</v>
      </c>
      <c r="L42" s="41">
        <f t="shared" si="7"/>
        <v>0</v>
      </c>
      <c r="M42" s="60">
        <f t="shared" si="1"/>
        <v>0</v>
      </c>
      <c r="N42" s="56">
        <f t="shared" si="25"/>
        <v>0</v>
      </c>
      <c r="O42" s="57">
        <f t="shared" si="2"/>
        <v>0</v>
      </c>
      <c r="P42" s="57"/>
      <c r="Q42" s="57" t="e">
        <f t="shared" si="11"/>
        <v>#DIV/0!</v>
      </c>
      <c r="R42" s="115"/>
      <c r="S42" s="115">
        <f t="shared" si="12"/>
        <v>0</v>
      </c>
      <c r="T42" s="115">
        <f>sumif!E108</f>
        <v>0</v>
      </c>
      <c r="U42" s="115">
        <f>sumif!F108</f>
        <v>0</v>
      </c>
      <c r="V42" s="57"/>
      <c r="W42" s="57"/>
      <c r="X42" s="39"/>
      <c r="Y42" s="37">
        <v>31</v>
      </c>
      <c r="Z42" s="38">
        <f t="shared" si="28"/>
        <v>-0.57894736842105265</v>
      </c>
      <c r="AA42" s="38">
        <f t="shared" si="3"/>
        <v>-0.57894736842105265</v>
      </c>
      <c r="AB42" s="39">
        <v>12</v>
      </c>
      <c r="AC42" s="39">
        <v>31</v>
      </c>
      <c r="AD42" s="37">
        <f t="shared" si="15"/>
        <v>0</v>
      </c>
      <c r="AE42" s="37">
        <v>26</v>
      </c>
      <c r="AF42" s="37"/>
      <c r="AG42" s="37"/>
      <c r="AH42" s="25"/>
      <c r="AI42" s="40"/>
      <c r="AJ42" s="40"/>
      <c r="AK42" s="41"/>
      <c r="AL42" s="41"/>
      <c r="AM42" s="42"/>
      <c r="AN42" s="42"/>
      <c r="AO42" s="74"/>
      <c r="AP42" s="74" t="e">
        <f t="shared" si="30"/>
        <v>#DIV/0!</v>
      </c>
      <c r="AQ42" s="75" t="e">
        <f>AVERAGE(AR42:AV42)</f>
        <v>#DIV/0!</v>
      </c>
      <c r="AR42" s="37"/>
    </row>
    <row r="43" spans="1:44" ht="15" hidden="1" x14ac:dyDescent="0.25">
      <c r="A43" s="52" t="s">
        <v>59</v>
      </c>
      <c r="B43" s="80"/>
      <c r="C43" s="121"/>
      <c r="D43" s="119"/>
      <c r="E43" s="54">
        <f t="shared" si="0"/>
        <v>0</v>
      </c>
      <c r="F43" s="41">
        <f t="shared" si="26"/>
        <v>0</v>
      </c>
      <c r="G43" s="41">
        <f t="shared" si="29"/>
        <v>0</v>
      </c>
      <c r="H43" s="55">
        <f t="shared" si="16"/>
        <v>0</v>
      </c>
      <c r="I43" s="55"/>
      <c r="J43" s="55"/>
      <c r="K43" s="41">
        <f>(C43-D43)/AE43</f>
        <v>0</v>
      </c>
      <c r="L43" s="41">
        <f t="shared" si="7"/>
        <v>0</v>
      </c>
      <c r="M43" s="60">
        <f t="shared" si="1"/>
        <v>0</v>
      </c>
      <c r="N43" s="56">
        <f t="shared" si="25"/>
        <v>0</v>
      </c>
      <c r="O43" s="57">
        <f t="shared" si="2"/>
        <v>0</v>
      </c>
      <c r="P43" s="57"/>
      <c r="Q43" s="57" t="e">
        <f t="shared" si="11"/>
        <v>#DIV/0!</v>
      </c>
      <c r="R43" s="115"/>
      <c r="S43" s="115">
        <f t="shared" si="12"/>
        <v>0</v>
      </c>
      <c r="T43" s="115">
        <f>sumif!E109</f>
        <v>0</v>
      </c>
      <c r="U43" s="115">
        <f>sumif!F109</f>
        <v>0</v>
      </c>
      <c r="V43" s="57"/>
      <c r="W43" s="57"/>
      <c r="X43" s="39"/>
      <c r="Y43" s="37">
        <v>31</v>
      </c>
      <c r="Z43" s="38">
        <f t="shared" si="28"/>
        <v>-0.57894736842105265</v>
      </c>
      <c r="AA43" s="38">
        <f t="shared" si="3"/>
        <v>-0.57894736842105265</v>
      </c>
      <c r="AB43" s="39">
        <v>12</v>
      </c>
      <c r="AC43" s="39">
        <v>31</v>
      </c>
      <c r="AD43" s="37">
        <f t="shared" si="15"/>
        <v>0</v>
      </c>
      <c r="AE43" s="37">
        <v>26</v>
      </c>
      <c r="AF43" s="37"/>
      <c r="AG43" s="37"/>
      <c r="AH43" s="25"/>
      <c r="AI43" s="40"/>
      <c r="AJ43" s="40"/>
      <c r="AK43" s="41"/>
      <c r="AL43" s="41">
        <f t="shared" si="13"/>
        <v>0</v>
      </c>
      <c r="AM43" s="42"/>
      <c r="AN43" s="42"/>
      <c r="AO43" s="74"/>
      <c r="AP43" s="74" t="e">
        <f t="shared" si="30"/>
        <v>#DIV/0!</v>
      </c>
      <c r="AQ43" s="75" t="e">
        <f>AVERAGE(AR43:AV43)</f>
        <v>#DIV/0!</v>
      </c>
      <c r="AR43" s="37"/>
    </row>
    <row r="44" spans="1:44" ht="15" hidden="1" x14ac:dyDescent="0.25">
      <c r="A44" s="52" t="s">
        <v>60</v>
      </c>
      <c r="B44" s="80"/>
      <c r="C44" s="121"/>
      <c r="D44" s="119"/>
      <c r="E44" s="54">
        <f t="shared" si="0"/>
        <v>0</v>
      </c>
      <c r="F44" s="41">
        <f>C44/(AC44-AB44+1)</f>
        <v>0</v>
      </c>
      <c r="G44" s="41">
        <f>(C44-D44)/(AC44-$A$2)</f>
        <v>0</v>
      </c>
      <c r="H44" s="55">
        <f t="shared" si="16"/>
        <v>0</v>
      </c>
      <c r="I44" s="55"/>
      <c r="J44" s="55"/>
      <c r="K44" s="41">
        <f>(C44-D44)/AE44</f>
        <v>0</v>
      </c>
      <c r="L44" s="41">
        <f t="shared" si="7"/>
        <v>0</v>
      </c>
      <c r="M44" s="60">
        <f t="shared" si="1"/>
        <v>0</v>
      </c>
      <c r="N44" s="56">
        <f t="shared" si="25"/>
        <v>0</v>
      </c>
      <c r="O44" s="57">
        <f t="shared" si="2"/>
        <v>0</v>
      </c>
      <c r="P44" s="57"/>
      <c r="Q44" s="57" t="e">
        <f t="shared" si="11"/>
        <v>#DIV/0!</v>
      </c>
      <c r="R44" s="115"/>
      <c r="S44" s="115">
        <f t="shared" si="12"/>
        <v>0</v>
      </c>
      <c r="T44" s="115">
        <f>sumif!E110</f>
        <v>0</v>
      </c>
      <c r="U44" s="115">
        <f>sumif!F110</f>
        <v>0</v>
      </c>
      <c r="V44" s="57"/>
      <c r="W44" s="57"/>
      <c r="X44" s="39"/>
      <c r="Y44" s="37">
        <v>31</v>
      </c>
      <c r="Z44" s="38">
        <f t="shared" si="28"/>
        <v>-0.57894736842105265</v>
      </c>
      <c r="AA44" s="38">
        <f t="shared" si="3"/>
        <v>-0.57894736842105265</v>
      </c>
      <c r="AB44" s="39">
        <v>12</v>
      </c>
      <c r="AC44" s="39">
        <v>31</v>
      </c>
      <c r="AD44" s="37">
        <f t="shared" si="15"/>
        <v>0</v>
      </c>
      <c r="AE44" s="37">
        <v>26</v>
      </c>
      <c r="AF44" s="37"/>
      <c r="AG44" s="37"/>
      <c r="AH44" s="25"/>
      <c r="AI44" s="40"/>
      <c r="AJ44" s="40"/>
      <c r="AK44" s="41"/>
      <c r="AL44" s="41">
        <f t="shared" si="13"/>
        <v>0</v>
      </c>
      <c r="AM44" s="42"/>
      <c r="AN44" s="42"/>
      <c r="AO44" s="74"/>
      <c r="AP44" s="74" t="e">
        <f t="shared" ref="AP44:AP59" si="31">IF(AQ44/G44,AQ44/G44,0)</f>
        <v>#DIV/0!</v>
      </c>
      <c r="AQ44" s="75" t="e">
        <f>AVERAGE(AR44:AV44)</f>
        <v>#DIV/0!</v>
      </c>
      <c r="AR44" s="37"/>
    </row>
    <row r="45" spans="1:44" ht="15" x14ac:dyDescent="0.25">
      <c r="A45" s="52" t="s">
        <v>61</v>
      </c>
      <c r="B45" s="80">
        <f>40</f>
        <v>40</v>
      </c>
      <c r="C45" s="80">
        <v>48</v>
      </c>
      <c r="D45" s="119">
        <f>sumif!C3</f>
        <v>0</v>
      </c>
      <c r="E45" s="54">
        <f t="shared" si="0"/>
        <v>0</v>
      </c>
      <c r="F45" s="41">
        <f>C45/(AC45-AB45+1)</f>
        <v>2.4</v>
      </c>
      <c r="G45" s="41">
        <f>(C45-D45)/(AC45-$A$2)</f>
        <v>1.6</v>
      </c>
      <c r="H45" s="55">
        <f t="shared" si="16"/>
        <v>0</v>
      </c>
      <c r="I45" s="55">
        <f>sumif!B3</f>
        <v>0</v>
      </c>
      <c r="J45" s="55"/>
      <c r="K45" s="41">
        <f>(C45-D45)/AE45</f>
        <v>1.8461538461538463</v>
      </c>
      <c r="L45" s="41">
        <f t="shared" si="7"/>
        <v>1.8461538461538463</v>
      </c>
      <c r="M45" s="60">
        <f t="shared" si="1"/>
        <v>0</v>
      </c>
      <c r="N45" s="56">
        <f t="shared" si="25"/>
        <v>0</v>
      </c>
      <c r="O45" s="57">
        <f t="shared" si="2"/>
        <v>0</v>
      </c>
      <c r="P45" s="57"/>
      <c r="Q45" s="57">
        <f t="shared" si="11"/>
        <v>0</v>
      </c>
      <c r="R45" s="115"/>
      <c r="S45" s="115">
        <f t="shared" si="12"/>
        <v>0</v>
      </c>
      <c r="T45" s="115">
        <f>sumif!E120/1000</f>
        <v>0</v>
      </c>
      <c r="U45" s="115">
        <f>sumif!F120/1000</f>
        <v>0</v>
      </c>
      <c r="V45" s="57"/>
      <c r="W45" s="57"/>
      <c r="X45" s="36"/>
      <c r="Y45" s="37">
        <v>31</v>
      </c>
      <c r="Z45" s="38">
        <f t="shared" si="28"/>
        <v>-0.57894736842105265</v>
      </c>
      <c r="AA45" s="38">
        <f t="shared" si="3"/>
        <v>-0.57894736842105265</v>
      </c>
      <c r="AB45" s="39">
        <v>12</v>
      </c>
      <c r="AC45" s="39">
        <v>31</v>
      </c>
      <c r="AD45" s="37">
        <f t="shared" si="15"/>
        <v>-480</v>
      </c>
      <c r="AE45" s="37">
        <v>26</v>
      </c>
      <c r="AF45" s="37"/>
      <c r="AG45" s="37"/>
      <c r="AH45" s="25"/>
      <c r="AI45" s="40">
        <v>111</v>
      </c>
      <c r="AJ45" s="61">
        <f t="shared" ref="AJ45:AJ50" si="32">D45</f>
        <v>0</v>
      </c>
      <c r="AK45" s="41">
        <v>33</v>
      </c>
      <c r="AL45" s="41">
        <f t="shared" si="13"/>
        <v>78</v>
      </c>
      <c r="AM45" s="42">
        <f t="shared" ref="AM45:AM50" si="33">SUM(AK45+AJ45)/AI45</f>
        <v>0.29729729729729731</v>
      </c>
      <c r="AN45" s="42"/>
      <c r="AO45" s="74"/>
      <c r="AP45" s="74">
        <f t="shared" si="31"/>
        <v>0</v>
      </c>
      <c r="AQ45" s="75">
        <f>AVERAGE(AR45:AV45)</f>
        <v>0</v>
      </c>
      <c r="AR45" s="37">
        <v>0</v>
      </c>
    </row>
    <row r="46" spans="1:44" ht="15" hidden="1" x14ac:dyDescent="0.25">
      <c r="A46" s="62" t="s">
        <v>62</v>
      </c>
      <c r="B46" s="62"/>
      <c r="C46" s="25"/>
      <c r="D46" s="55"/>
      <c r="E46" s="54">
        <f t="shared" si="0"/>
        <v>0</v>
      </c>
      <c r="F46" s="54"/>
      <c r="G46" s="41">
        <f t="shared" ref="G46:G51" si="34">C46/(AC46-AB46+1)</f>
        <v>0</v>
      </c>
      <c r="H46" s="41"/>
      <c r="I46" s="55"/>
      <c r="J46" s="55"/>
      <c r="K46" s="55"/>
      <c r="L46" s="41">
        <f>(C46-D46)/$AE$4</f>
        <v>0</v>
      </c>
      <c r="M46" s="60">
        <f t="shared" si="1"/>
        <v>0</v>
      </c>
      <c r="N46" s="56" t="e">
        <f>E46/#REF!</f>
        <v>#REF!</v>
      </c>
      <c r="O46" s="57">
        <f t="shared" si="2"/>
        <v>0</v>
      </c>
      <c r="P46" s="57"/>
      <c r="Q46" s="57" t="e">
        <f t="shared" si="11"/>
        <v>#DIV/0!</v>
      </c>
      <c r="R46" s="57"/>
      <c r="S46" s="57"/>
      <c r="T46" s="57"/>
      <c r="U46" s="57"/>
      <c r="V46" s="57"/>
      <c r="W46" s="57"/>
      <c r="X46" s="39"/>
      <c r="Y46" s="37">
        <v>31</v>
      </c>
      <c r="Z46" s="38">
        <f t="shared" ref="Z46:Z59" si="35">AA46</f>
        <v>3.2258064516129031E-2</v>
      </c>
      <c r="AA46" s="38">
        <f t="shared" ref="AA46:AA59" si="36">IF(AB46=1,$A$2/Y46,($A$2-AB46)/(Y46-AB46))</f>
        <v>3.2258064516129031E-2</v>
      </c>
      <c r="AB46" s="39">
        <v>1</v>
      </c>
      <c r="AC46" s="39">
        <v>28</v>
      </c>
      <c r="AD46" s="37">
        <f t="shared" ref="AD46:AD59" si="37">($A$2-(AB46-1))*(C46-D46)</f>
        <v>0</v>
      </c>
      <c r="AE46" s="37">
        <v>31</v>
      </c>
      <c r="AF46" s="37"/>
      <c r="AG46" s="37"/>
      <c r="AH46" s="25"/>
      <c r="AI46" s="40">
        <v>112</v>
      </c>
      <c r="AJ46" s="61">
        <f t="shared" si="32"/>
        <v>0</v>
      </c>
      <c r="AK46" s="41">
        <v>34</v>
      </c>
      <c r="AL46" s="41">
        <f>AI46-AK46</f>
        <v>78</v>
      </c>
      <c r="AM46" s="42">
        <f t="shared" si="33"/>
        <v>0.30357142857142855</v>
      </c>
      <c r="AN46" s="25"/>
      <c r="AO46" s="25"/>
      <c r="AP46" s="74" t="e">
        <f t="shared" si="31"/>
        <v>#DIV/0!</v>
      </c>
      <c r="AQ46" s="75" t="e">
        <f>AVERAGE(AR46:AR46)</f>
        <v>#DIV/0!</v>
      </c>
    </row>
    <row r="47" spans="1:44" ht="15" hidden="1" x14ac:dyDescent="0.25">
      <c r="A47" s="62" t="s">
        <v>63</v>
      </c>
      <c r="B47" s="62"/>
      <c r="C47" s="25"/>
      <c r="D47" s="55"/>
      <c r="E47" s="54">
        <f t="shared" si="0"/>
        <v>0</v>
      </c>
      <c r="F47" s="54"/>
      <c r="G47" s="41">
        <f t="shared" si="34"/>
        <v>0</v>
      </c>
      <c r="H47" s="41"/>
      <c r="I47" s="55"/>
      <c r="J47" s="55"/>
      <c r="K47" s="55"/>
      <c r="L47" s="41">
        <f>(C47-D47)/$AE$4</f>
        <v>0</v>
      </c>
      <c r="M47" s="60">
        <f t="shared" si="1"/>
        <v>0</v>
      </c>
      <c r="N47" s="56" t="e">
        <f>E47/#REF!</f>
        <v>#REF!</v>
      </c>
      <c r="O47" s="57">
        <f t="shared" si="2"/>
        <v>0</v>
      </c>
      <c r="P47" s="57"/>
      <c r="Q47" s="57" t="e">
        <f t="shared" si="11"/>
        <v>#DIV/0!</v>
      </c>
      <c r="R47" s="57"/>
      <c r="S47" s="57"/>
      <c r="T47" s="57"/>
      <c r="U47" s="57"/>
      <c r="V47" s="57"/>
      <c r="W47" s="57"/>
      <c r="X47" s="39"/>
      <c r="Y47" s="37">
        <v>31</v>
      </c>
      <c r="Z47" s="38">
        <f t="shared" si="35"/>
        <v>3.2258064516129031E-2</v>
      </c>
      <c r="AA47" s="38">
        <f t="shared" si="36"/>
        <v>3.2258064516129031E-2</v>
      </c>
      <c r="AB47" s="39">
        <v>1</v>
      </c>
      <c r="AC47" s="39">
        <v>28</v>
      </c>
      <c r="AD47" s="37">
        <f t="shared" si="37"/>
        <v>0</v>
      </c>
      <c r="AE47" s="37">
        <v>31</v>
      </c>
      <c r="AF47" s="37"/>
      <c r="AG47" s="37"/>
      <c r="AH47" s="25"/>
      <c r="AI47" s="40">
        <v>113</v>
      </c>
      <c r="AJ47" s="61">
        <f t="shared" si="32"/>
        <v>0</v>
      </c>
      <c r="AK47" s="41">
        <v>35</v>
      </c>
      <c r="AL47" s="41">
        <f>AI47-AK47</f>
        <v>78</v>
      </c>
      <c r="AM47" s="42">
        <f t="shared" si="33"/>
        <v>0.30973451327433627</v>
      </c>
      <c r="AN47" s="25"/>
      <c r="AO47" s="25"/>
      <c r="AP47" s="74" t="e">
        <f t="shared" si="31"/>
        <v>#DIV/0!</v>
      </c>
      <c r="AQ47" s="75" t="e">
        <f>AVERAGE(AR47:AR47)</f>
        <v>#DIV/0!</v>
      </c>
    </row>
    <row r="48" spans="1:44" ht="15" hidden="1" x14ac:dyDescent="0.25">
      <c r="A48" s="62" t="s">
        <v>64</v>
      </c>
      <c r="B48" s="62"/>
      <c r="C48" s="25"/>
      <c r="D48" s="55"/>
      <c r="E48" s="54">
        <f t="shared" si="0"/>
        <v>0</v>
      </c>
      <c r="F48" s="54"/>
      <c r="G48" s="41">
        <f t="shared" si="34"/>
        <v>0</v>
      </c>
      <c r="H48" s="41"/>
      <c r="I48" s="55"/>
      <c r="J48" s="55"/>
      <c r="K48" s="55"/>
      <c r="L48" s="41">
        <f>(C48-D48)/$AE$4</f>
        <v>0</v>
      </c>
      <c r="M48" s="60">
        <f t="shared" si="1"/>
        <v>0</v>
      </c>
      <c r="N48" s="56" t="e">
        <f>E48/#REF!</f>
        <v>#REF!</v>
      </c>
      <c r="O48" s="57">
        <f t="shared" si="2"/>
        <v>0</v>
      </c>
      <c r="P48" s="57"/>
      <c r="Q48" s="57" t="e">
        <f t="shared" si="11"/>
        <v>#DIV/0!</v>
      </c>
      <c r="R48" s="57"/>
      <c r="S48" s="57"/>
      <c r="T48" s="57"/>
      <c r="U48" s="57"/>
      <c r="V48" s="57"/>
      <c r="W48" s="57"/>
      <c r="X48" s="39"/>
      <c r="Y48" s="37">
        <v>31</v>
      </c>
      <c r="Z48" s="38">
        <f t="shared" si="35"/>
        <v>3.2258064516129031E-2</v>
      </c>
      <c r="AA48" s="38">
        <f t="shared" si="36"/>
        <v>3.2258064516129031E-2</v>
      </c>
      <c r="AB48" s="39">
        <v>1</v>
      </c>
      <c r="AC48" s="39">
        <v>28</v>
      </c>
      <c r="AD48" s="37">
        <f t="shared" si="37"/>
        <v>0</v>
      </c>
      <c r="AE48" s="37">
        <v>31</v>
      </c>
      <c r="AF48" s="37"/>
      <c r="AG48" s="37"/>
      <c r="AH48" s="25"/>
      <c r="AI48" s="40">
        <v>114</v>
      </c>
      <c r="AJ48" s="61">
        <f t="shared" si="32"/>
        <v>0</v>
      </c>
      <c r="AK48" s="41">
        <v>36</v>
      </c>
      <c r="AL48" s="41">
        <f>AI48-AK48</f>
        <v>78</v>
      </c>
      <c r="AM48" s="42">
        <f t="shared" si="33"/>
        <v>0.31578947368421051</v>
      </c>
      <c r="AN48" s="25"/>
      <c r="AO48" s="25"/>
      <c r="AP48" s="74" t="e">
        <f t="shared" si="31"/>
        <v>#DIV/0!</v>
      </c>
      <c r="AQ48" s="75" t="e">
        <f>AVERAGE(AR48:AR48)</f>
        <v>#DIV/0!</v>
      </c>
    </row>
    <row r="49" spans="1:44" ht="15" hidden="1" x14ac:dyDescent="0.25">
      <c r="A49" s="52" t="s">
        <v>65</v>
      </c>
      <c r="B49" s="81"/>
      <c r="C49" s="63"/>
      <c r="D49" s="55"/>
      <c r="E49" s="54">
        <f t="shared" si="0"/>
        <v>0</v>
      </c>
      <c r="F49" s="54"/>
      <c r="G49" s="41">
        <f t="shared" si="34"/>
        <v>0</v>
      </c>
      <c r="H49" s="41"/>
      <c r="I49" s="55"/>
      <c r="J49" s="55"/>
      <c r="K49" s="55"/>
      <c r="L49" s="41">
        <f>(C49-D49)/$AE$4</f>
        <v>0</v>
      </c>
      <c r="M49" s="60">
        <f t="shared" si="1"/>
        <v>0</v>
      </c>
      <c r="N49" s="56" t="e">
        <f>E49/#REF!</f>
        <v>#REF!</v>
      </c>
      <c r="O49" s="57">
        <f t="shared" si="2"/>
        <v>0</v>
      </c>
      <c r="P49" s="57"/>
      <c r="Q49" s="57" t="e">
        <f t="shared" si="11"/>
        <v>#DIV/0!</v>
      </c>
      <c r="R49" s="57"/>
      <c r="S49" s="57"/>
      <c r="T49" s="57"/>
      <c r="U49" s="57"/>
      <c r="V49" s="57"/>
      <c r="W49" s="57"/>
      <c r="X49" s="36"/>
      <c r="Y49" s="37">
        <v>31</v>
      </c>
      <c r="Z49" s="38">
        <f t="shared" si="35"/>
        <v>3.2258064516129031E-2</v>
      </c>
      <c r="AA49" s="38">
        <f t="shared" si="36"/>
        <v>3.2258064516129031E-2</v>
      </c>
      <c r="AB49" s="39">
        <v>1</v>
      </c>
      <c r="AC49" s="39">
        <v>28</v>
      </c>
      <c r="AD49" s="37">
        <f t="shared" si="37"/>
        <v>0</v>
      </c>
      <c r="AE49" s="37">
        <v>31</v>
      </c>
      <c r="AF49" s="37"/>
      <c r="AG49" s="37"/>
      <c r="AH49" s="25"/>
      <c r="AI49" s="40">
        <v>115</v>
      </c>
      <c r="AJ49" s="61">
        <f t="shared" si="32"/>
        <v>0</v>
      </c>
      <c r="AK49" s="41">
        <v>37</v>
      </c>
      <c r="AL49" s="41">
        <f>AI49-AK49</f>
        <v>78</v>
      </c>
      <c r="AM49" s="42">
        <f t="shared" si="33"/>
        <v>0.32173913043478258</v>
      </c>
      <c r="AN49" s="42"/>
      <c r="AO49" s="42"/>
      <c r="AP49" s="74" t="e">
        <f t="shared" si="31"/>
        <v>#DIV/0!</v>
      </c>
      <c r="AQ49" s="75" t="e">
        <f>AVERAGE(AR49:AR49)</f>
        <v>#DIV/0!</v>
      </c>
    </row>
    <row r="50" spans="1:44" ht="15" hidden="1" x14ac:dyDescent="0.25">
      <c r="A50" s="52" t="s">
        <v>77</v>
      </c>
      <c r="B50" s="81"/>
      <c r="C50" s="63">
        <v>30</v>
      </c>
      <c r="D50" s="53">
        <f>sumif!C27</f>
        <v>4.8</v>
      </c>
      <c r="E50" s="54">
        <f t="shared" si="0"/>
        <v>0.16</v>
      </c>
      <c r="F50" s="54"/>
      <c r="G50" s="41">
        <f t="shared" si="34"/>
        <v>1.0714285714285714</v>
      </c>
      <c r="H50" s="41"/>
      <c r="I50" s="55">
        <f>sumif!B27</f>
        <v>4.8</v>
      </c>
      <c r="J50" s="55"/>
      <c r="K50" s="55"/>
      <c r="L50" s="41">
        <f>IFERROR((C50-D50)/AE50,0)</f>
        <v>0.81290322580645158</v>
      </c>
      <c r="M50" s="60">
        <f t="shared" si="1"/>
        <v>4.8</v>
      </c>
      <c r="N50" s="56"/>
      <c r="O50" s="57">
        <f t="shared" si="2"/>
        <v>4.96</v>
      </c>
      <c r="P50" s="57"/>
      <c r="Q50" s="57">
        <f t="shared" si="11"/>
        <v>0.16000000000000003</v>
      </c>
      <c r="R50" s="57"/>
      <c r="S50" s="57"/>
      <c r="T50" s="57"/>
      <c r="U50" s="57"/>
      <c r="V50" s="57"/>
      <c r="W50" s="57"/>
      <c r="X50" s="36"/>
      <c r="Y50" s="37">
        <v>31</v>
      </c>
      <c r="Z50" s="38">
        <f t="shared" si="35"/>
        <v>3.2258064516129031E-2</v>
      </c>
      <c r="AA50" s="38">
        <f t="shared" si="36"/>
        <v>3.2258064516129031E-2</v>
      </c>
      <c r="AB50" s="39">
        <v>1</v>
      </c>
      <c r="AC50" s="39">
        <v>28</v>
      </c>
      <c r="AD50" s="37">
        <f t="shared" si="37"/>
        <v>25.2</v>
      </c>
      <c r="AE50" s="37">
        <v>31</v>
      </c>
      <c r="AF50" s="37"/>
      <c r="AG50" s="37"/>
      <c r="AH50" s="25"/>
      <c r="AI50" s="40">
        <v>116</v>
      </c>
      <c r="AJ50" s="61">
        <f t="shared" si="32"/>
        <v>4.8</v>
      </c>
      <c r="AK50" s="41">
        <v>38</v>
      </c>
      <c r="AL50" s="41">
        <f>AI50-AK50</f>
        <v>78</v>
      </c>
      <c r="AM50" s="42">
        <f t="shared" si="33"/>
        <v>0.36896551724137927</v>
      </c>
      <c r="AN50" s="42"/>
      <c r="AO50" s="42"/>
      <c r="AP50" s="74" t="e">
        <f t="shared" si="31"/>
        <v>#DIV/0!</v>
      </c>
      <c r="AQ50" s="75" t="e">
        <f>AVERAGE(AR50:AR50)</f>
        <v>#DIV/0!</v>
      </c>
    </row>
    <row r="51" spans="1:44" ht="15" hidden="1" x14ac:dyDescent="0.25">
      <c r="A51" s="64" t="s">
        <v>146</v>
      </c>
      <c r="B51" s="82"/>
      <c r="C51" s="65"/>
      <c r="D51" s="66">
        <f>sumif!C20</f>
        <v>0</v>
      </c>
      <c r="E51" s="54">
        <f t="shared" si="0"/>
        <v>0</v>
      </c>
      <c r="F51" s="54"/>
      <c r="G51" s="67">
        <f t="shared" si="34"/>
        <v>0</v>
      </c>
      <c r="H51" s="67"/>
      <c r="I51" s="55">
        <f>sumif!B20</f>
        <v>0</v>
      </c>
      <c r="J51" s="66"/>
      <c r="K51" s="66"/>
      <c r="L51" s="67">
        <f>(C51-D51)/$AE$4</f>
        <v>0</v>
      </c>
      <c r="M51" s="68">
        <f t="shared" si="1"/>
        <v>0</v>
      </c>
      <c r="N51" s="56" t="e">
        <f>E51/#REF!</f>
        <v>#REF!</v>
      </c>
      <c r="O51" s="57">
        <f t="shared" si="2"/>
        <v>0</v>
      </c>
      <c r="P51" s="57"/>
      <c r="Q51" s="57" t="e">
        <f t="shared" si="11"/>
        <v>#DIV/0!</v>
      </c>
      <c r="R51" s="57"/>
      <c r="S51" s="57"/>
      <c r="T51" s="57"/>
      <c r="U51" s="57"/>
      <c r="V51" s="57"/>
      <c r="W51" s="57"/>
      <c r="X51" s="36"/>
      <c r="Y51" s="37">
        <v>31</v>
      </c>
      <c r="Z51" s="38">
        <f t="shared" si="35"/>
        <v>3.2258064516129031E-2</v>
      </c>
      <c r="AA51" s="38">
        <f t="shared" si="36"/>
        <v>3.2258064516129031E-2</v>
      </c>
      <c r="AB51" s="39">
        <v>1</v>
      </c>
      <c r="AC51" s="39">
        <v>28</v>
      </c>
      <c r="AD51" s="37">
        <f t="shared" si="37"/>
        <v>0</v>
      </c>
      <c r="AE51" s="37">
        <v>31</v>
      </c>
      <c r="AF51" s="37"/>
      <c r="AG51" s="37"/>
      <c r="AH51" s="25"/>
      <c r="AI51" s="40"/>
      <c r="AJ51" s="40"/>
      <c r="AK51" s="41"/>
      <c r="AL51" s="41"/>
      <c r="AM51" s="42"/>
      <c r="AN51" s="42"/>
      <c r="AO51" s="42"/>
      <c r="AP51" s="74" t="e">
        <f t="shared" si="31"/>
        <v>#DIV/0!</v>
      </c>
      <c r="AQ51" s="75" t="e">
        <f>AVERAGE(AR51:AR51)</f>
        <v>#DIV/0!</v>
      </c>
    </row>
    <row r="52" spans="1:44" ht="15" hidden="1" x14ac:dyDescent="0.25">
      <c r="A52" s="138" t="s">
        <v>66</v>
      </c>
      <c r="B52" s="138"/>
      <c r="C52" s="138"/>
      <c r="D52" s="138"/>
      <c r="Q52" s="57" t="e">
        <f t="shared" si="11"/>
        <v>#DIV/0!</v>
      </c>
      <c r="Y52" s="37">
        <v>26.6666666666667</v>
      </c>
      <c r="Z52" s="38">
        <f t="shared" si="35"/>
        <v>3.749999999999995E-2</v>
      </c>
      <c r="AA52" s="38">
        <f t="shared" si="36"/>
        <v>3.749999999999995E-2</v>
      </c>
      <c r="AB52" s="39">
        <v>1</v>
      </c>
      <c r="AC52" s="39">
        <v>30</v>
      </c>
      <c r="AD52" s="37">
        <f t="shared" si="37"/>
        <v>0</v>
      </c>
      <c r="AE52" s="37">
        <v>30</v>
      </c>
      <c r="AP52" s="74" t="e">
        <f t="shared" si="31"/>
        <v>#DIV/0!</v>
      </c>
      <c r="AQ52" s="75" t="e">
        <f>AVERAGE(AR52:AR52)</f>
        <v>#DIV/0!</v>
      </c>
    </row>
    <row r="53" spans="1:44" ht="15" hidden="1" x14ac:dyDescent="0.25">
      <c r="A53" s="17">
        <v>50000000067</v>
      </c>
      <c r="C53" s="21" t="s">
        <v>57</v>
      </c>
      <c r="Q53" s="57" t="e">
        <f t="shared" si="11"/>
        <v>#VALUE!</v>
      </c>
      <c r="Y53" s="37">
        <v>26.6666666666667</v>
      </c>
      <c r="Z53" s="38">
        <f t="shared" si="35"/>
        <v>3.749999999999995E-2</v>
      </c>
      <c r="AA53" s="38">
        <f t="shared" si="36"/>
        <v>3.749999999999995E-2</v>
      </c>
      <c r="AB53" s="39">
        <v>1</v>
      </c>
      <c r="AC53" s="39">
        <v>30</v>
      </c>
      <c r="AD53" s="37" t="e">
        <f t="shared" si="37"/>
        <v>#VALUE!</v>
      </c>
      <c r="AE53" s="37">
        <v>30</v>
      </c>
      <c r="AP53" s="74" t="e">
        <f t="shared" si="31"/>
        <v>#DIV/0!</v>
      </c>
      <c r="AQ53" s="75" t="e">
        <f>AVERAGE(AR53:AR53)</f>
        <v>#DIV/0!</v>
      </c>
    </row>
    <row r="54" spans="1:44" ht="15" hidden="1" x14ac:dyDescent="0.25">
      <c r="A54" s="23">
        <v>30000000553</v>
      </c>
      <c r="C54" s="21" t="s">
        <v>54</v>
      </c>
      <c r="Q54" s="57" t="e">
        <f t="shared" si="11"/>
        <v>#VALUE!</v>
      </c>
      <c r="Y54" s="37">
        <v>26.6666666666667</v>
      </c>
      <c r="Z54" s="38">
        <f t="shared" si="35"/>
        <v>3.749999999999995E-2</v>
      </c>
      <c r="AA54" s="38">
        <f t="shared" si="36"/>
        <v>3.749999999999995E-2</v>
      </c>
      <c r="AB54" s="39">
        <v>1</v>
      </c>
      <c r="AC54" s="39">
        <v>30</v>
      </c>
      <c r="AD54" s="37" t="e">
        <f t="shared" si="37"/>
        <v>#VALUE!</v>
      </c>
      <c r="AE54" s="37">
        <v>30</v>
      </c>
      <c r="AP54" s="74" t="e">
        <f t="shared" si="31"/>
        <v>#DIV/0!</v>
      </c>
      <c r="AQ54" s="75" t="e">
        <f>AVERAGE(AR54:AR54)</f>
        <v>#DIV/0!</v>
      </c>
    </row>
    <row r="55" spans="1:44" ht="15" hidden="1" x14ac:dyDescent="0.25">
      <c r="A55" s="23">
        <v>30000004290</v>
      </c>
      <c r="C55" s="21" t="s">
        <v>54</v>
      </c>
      <c r="Q55" s="57" t="e">
        <f t="shared" si="11"/>
        <v>#VALUE!</v>
      </c>
      <c r="Y55" s="37">
        <v>26.6666666666667</v>
      </c>
      <c r="Z55" s="38">
        <f t="shared" si="35"/>
        <v>3.749999999999995E-2</v>
      </c>
      <c r="AA55" s="38">
        <f t="shared" si="36"/>
        <v>3.749999999999995E-2</v>
      </c>
      <c r="AB55" s="39">
        <v>1</v>
      </c>
      <c r="AC55" s="39">
        <v>30</v>
      </c>
      <c r="AD55" s="37" t="e">
        <f t="shared" si="37"/>
        <v>#VALUE!</v>
      </c>
      <c r="AE55" s="37">
        <v>30</v>
      </c>
      <c r="AP55" s="74" t="e">
        <f t="shared" si="31"/>
        <v>#DIV/0!</v>
      </c>
      <c r="AQ55" s="75" t="e">
        <f>AVERAGE(AR55:AR55)</f>
        <v>#DIV/0!</v>
      </c>
    </row>
    <row r="56" spans="1:44" ht="15" hidden="1" x14ac:dyDescent="0.25">
      <c r="A56" s="23">
        <v>30000004203</v>
      </c>
      <c r="C56" s="21" t="s">
        <v>65</v>
      </c>
      <c r="Q56" s="57" t="e">
        <f t="shared" si="11"/>
        <v>#VALUE!</v>
      </c>
      <c r="Y56" s="37">
        <v>26.6666666666667</v>
      </c>
      <c r="Z56" s="38">
        <f t="shared" si="35"/>
        <v>3.749999999999995E-2</v>
      </c>
      <c r="AA56" s="38">
        <f t="shared" si="36"/>
        <v>3.749999999999995E-2</v>
      </c>
      <c r="AB56" s="39">
        <v>1</v>
      </c>
      <c r="AC56" s="39">
        <v>30</v>
      </c>
      <c r="AD56" s="37" t="e">
        <f t="shared" si="37"/>
        <v>#VALUE!</v>
      </c>
      <c r="AE56" s="37">
        <v>30</v>
      </c>
      <c r="AP56" s="74" t="e">
        <f t="shared" si="31"/>
        <v>#DIV/0!</v>
      </c>
      <c r="AQ56" s="75" t="e">
        <f>AVERAGE(AR56:AR56)</f>
        <v>#DIV/0!</v>
      </c>
    </row>
    <row r="57" spans="1:44" ht="15" hidden="1" x14ac:dyDescent="0.25">
      <c r="A57" s="27" t="s">
        <v>67</v>
      </c>
      <c r="B57" s="27"/>
      <c r="C57" s="139" t="s">
        <v>68</v>
      </c>
      <c r="Q57" s="57" t="e">
        <f t="shared" si="11"/>
        <v>#VALUE!</v>
      </c>
      <c r="Y57" s="37">
        <v>26.6666666666667</v>
      </c>
      <c r="Z57" s="38">
        <f t="shared" si="35"/>
        <v>3.749999999999995E-2</v>
      </c>
      <c r="AA57" s="38">
        <f t="shared" si="36"/>
        <v>3.749999999999995E-2</v>
      </c>
      <c r="AB57" s="39">
        <v>1</v>
      </c>
      <c r="AC57" s="39">
        <v>30</v>
      </c>
      <c r="AD57" s="37" t="e">
        <f t="shared" si="37"/>
        <v>#VALUE!</v>
      </c>
      <c r="AE57" s="37">
        <v>30</v>
      </c>
      <c r="AP57" s="74" t="e">
        <f t="shared" si="31"/>
        <v>#DIV/0!</v>
      </c>
      <c r="AQ57" s="75" t="e">
        <f>AVERAGE(AR57:AR57)</f>
        <v>#DIV/0!</v>
      </c>
    </row>
    <row r="58" spans="1:44" ht="15" hidden="1" x14ac:dyDescent="0.25">
      <c r="A58" s="27" t="s">
        <v>69</v>
      </c>
      <c r="B58" s="27"/>
      <c r="C58" s="139"/>
      <c r="Q58" s="57" t="e">
        <f t="shared" si="11"/>
        <v>#DIV/0!</v>
      </c>
      <c r="Y58" s="37">
        <v>26.6666666666667</v>
      </c>
      <c r="Z58" s="38">
        <f t="shared" si="35"/>
        <v>3.749999999999995E-2</v>
      </c>
      <c r="AA58" s="38">
        <f t="shared" si="36"/>
        <v>3.749999999999995E-2</v>
      </c>
      <c r="AB58" s="39">
        <v>1</v>
      </c>
      <c r="AC58" s="39">
        <v>30</v>
      </c>
      <c r="AD58" s="37">
        <f t="shared" si="37"/>
        <v>0</v>
      </c>
      <c r="AE58" s="37">
        <v>30</v>
      </c>
      <c r="AP58" s="74" t="e">
        <f t="shared" si="31"/>
        <v>#DIV/0!</v>
      </c>
      <c r="AQ58" s="75" t="e">
        <f>AVERAGE(AR58:AR58)</f>
        <v>#DIV/0!</v>
      </c>
    </row>
    <row r="59" spans="1:44" ht="15" hidden="1" x14ac:dyDescent="0.25">
      <c r="A59" s="27" t="s">
        <v>70</v>
      </c>
      <c r="B59" s="27"/>
      <c r="C59" s="139"/>
      <c r="Q59" s="57" t="e">
        <f t="shared" si="11"/>
        <v>#DIV/0!</v>
      </c>
      <c r="Y59" s="37">
        <v>26.6666666666667</v>
      </c>
      <c r="Z59" s="38">
        <f t="shared" si="35"/>
        <v>3.749999999999995E-2</v>
      </c>
      <c r="AA59" s="38">
        <f t="shared" si="36"/>
        <v>3.749999999999995E-2</v>
      </c>
      <c r="AB59" s="39">
        <v>1</v>
      </c>
      <c r="AC59" s="39">
        <v>30</v>
      </c>
      <c r="AD59" s="37">
        <f t="shared" si="37"/>
        <v>0</v>
      </c>
      <c r="AE59" s="37">
        <v>30</v>
      </c>
      <c r="AP59" s="74" t="e">
        <f t="shared" si="31"/>
        <v>#DIV/0!</v>
      </c>
      <c r="AQ59" s="75" t="e">
        <f>AVERAGE(AR59:AR59)</f>
        <v>#DIV/0!</v>
      </c>
    </row>
    <row r="60" spans="1:44" hidden="1" x14ac:dyDescent="0.2">
      <c r="AE60" s="37">
        <v>30</v>
      </c>
      <c r="AQ60" s="75" t="e">
        <f>AVERAGE(AR60:AR60)</f>
        <v>#DIV/0!</v>
      </c>
    </row>
    <row r="61" spans="1:44" hidden="1" x14ac:dyDescent="0.2">
      <c r="AE61" s="37">
        <v>30</v>
      </c>
      <c r="AQ61" s="75" t="e">
        <f>AVERAGE(AR61:AR61)</f>
        <v>#DIV/0!</v>
      </c>
    </row>
    <row r="62" spans="1:44" hidden="1" x14ac:dyDescent="0.2">
      <c r="AE62" s="37">
        <v>30</v>
      </c>
      <c r="AQ62" s="75" t="e">
        <f>AVERAGE(AR62:AR62)</f>
        <v>#DIV/0!</v>
      </c>
    </row>
    <row r="63" spans="1:44" ht="15" x14ac:dyDescent="0.25">
      <c r="AR63" s="91">
        <f t="shared" ref="AR63" si="38">AR2</f>
        <v>46235</v>
      </c>
    </row>
    <row r="64" spans="1:44" ht="15" x14ac:dyDescent="0.25">
      <c r="A64" s="77" t="s">
        <v>2043</v>
      </c>
      <c r="B64" s="77"/>
      <c r="AR64" s="129">
        <f t="shared" ref="AR64" si="39">AR8+AR9+AR10</f>
        <v>0</v>
      </c>
    </row>
    <row r="65" spans="1:17" x14ac:dyDescent="0.2">
      <c r="O65" s="134"/>
      <c r="Q65" s="128"/>
    </row>
    <row r="66" spans="1:17" x14ac:dyDescent="0.2">
      <c r="O66" s="135"/>
    </row>
    <row r="74" spans="1:17" x14ac:dyDescent="0.2">
      <c r="A74" s="24"/>
      <c r="B74" s="24"/>
    </row>
  </sheetData>
  <mergeCells count="3">
    <mergeCell ref="A52:D52"/>
    <mergeCell ref="C57:C59"/>
    <mergeCell ref="B1:D1"/>
  </mergeCells>
  <conditionalFormatting sqref="H4:H14">
    <cfRule type="cellIs" dxfId="23" priority="53" operator="equal">
      <formula>F4</formula>
    </cfRule>
    <cfRule type="cellIs" dxfId="22" priority="54" operator="lessThan">
      <formula>F4</formula>
    </cfRule>
    <cfRule type="cellIs" dxfId="21" priority="55" operator="greaterThan">
      <formula>F4</formula>
    </cfRule>
  </conditionalFormatting>
  <conditionalFormatting sqref="H16:H45">
    <cfRule type="cellIs" dxfId="20" priority="31" operator="equal">
      <formula>F16</formula>
    </cfRule>
    <cfRule type="cellIs" dxfId="19" priority="32" operator="lessThan">
      <formula>F16</formula>
    </cfRule>
    <cfRule type="cellIs" dxfId="18" priority="33" operator="greaterThan">
      <formula>F16</formula>
    </cfRule>
  </conditionalFormatting>
  <conditionalFormatting sqref="I3:K3 I4:I51">
    <cfRule type="cellIs" dxfId="17" priority="74" operator="equal">
      <formula>G3</formula>
    </cfRule>
    <cfRule type="cellIs" dxfId="16" priority="75" operator="lessThan">
      <formula>G3</formula>
    </cfRule>
    <cfRule type="cellIs" dxfId="15" priority="76" operator="greaterThan">
      <formula>G3</formula>
    </cfRule>
  </conditionalFormatting>
  <conditionalFormatting sqref="J46:K51">
    <cfRule type="cellIs" dxfId="14" priority="25" operator="equal">
      <formula>H46</formula>
    </cfRule>
    <cfRule type="cellIs" dxfId="13" priority="26" operator="lessThan">
      <formula>H46</formula>
    </cfRule>
    <cfRule type="cellIs" dxfId="12" priority="27" operator="greaterThan">
      <formula>H46</formula>
    </cfRule>
  </conditionalFormatting>
  <conditionalFormatting sqref="K4:K7">
    <cfRule type="cellIs" dxfId="11" priority="52" operator="greaterThan">
      <formula>$AH$4</formula>
    </cfRule>
  </conditionalFormatting>
  <conditionalFormatting sqref="K8">
    <cfRule type="cellIs" dxfId="10" priority="48" operator="greaterThan">
      <formula>$AH$8</formula>
    </cfRule>
  </conditionalFormatting>
  <conditionalFormatting sqref="K9">
    <cfRule type="cellIs" dxfId="9" priority="47" operator="greaterThan">
      <formula>$AH$9</formula>
    </cfRule>
  </conditionalFormatting>
  <conditionalFormatting sqref="K10:K12">
    <cfRule type="cellIs" dxfId="8" priority="46" operator="greaterThan">
      <formula>$AH$10</formula>
    </cfRule>
  </conditionalFormatting>
  <conditionalFormatting sqref="N4:O51">
    <cfRule type="cellIs" dxfId="7" priority="19" operator="lessThan">
      <formula>70%</formula>
    </cfRule>
    <cfRule type="cellIs" dxfId="6" priority="20" operator="between">
      <formula>89.99%</formula>
      <formula>70%</formula>
    </cfRule>
    <cfRule type="cellIs" dxfId="5" priority="21" operator="greaterThanOrEqual">
      <formula>90%</formula>
    </cfRule>
  </conditionalFormatting>
  <conditionalFormatting sqref="P49:P51 S49:W51">
    <cfRule type="colorScale" priority="127">
      <colorScale>
        <cfvo type="num" val="0"/>
        <cfvo type="num" val="0.2"/>
        <cfvo type="num" val="1"/>
        <color rgb="FFF8696B"/>
        <color rgb="FFFFEB84"/>
        <color rgb="FF63BE7B"/>
      </colorScale>
    </cfRule>
    <cfRule type="colorScale" priority="128">
      <colorScale>
        <cfvo type="min"/>
        <cfvo type="max"/>
        <color rgb="FFFFEF9C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">
      <colorScale>
        <cfvo type="min"/>
        <cfvo type="percent" val="25"/>
        <cfvo type="max"/>
        <color rgb="FFFF0000"/>
        <color rgb="FFFFEB84"/>
        <color rgb="FF63BE7B"/>
      </colorScale>
    </cfRule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:Q59">
    <cfRule type="cellIs" dxfId="4" priority="10" operator="lessThan">
      <formula>70%</formula>
    </cfRule>
    <cfRule type="cellIs" dxfId="3" priority="11" operator="between">
      <formula>89.99%</formula>
      <formula>70%</formula>
    </cfRule>
    <cfRule type="cellIs" dxfId="2" priority="12" operator="greaterThanOrEqual">
      <formula>90%</formula>
    </cfRule>
  </conditionalFormatting>
  <conditionalFormatting sqref="R49:R51">
    <cfRule type="colorScale" priority="1">
      <colorScale>
        <cfvo type="num" val="0"/>
        <cfvo type="num" val="0.2"/>
        <cfvo type="num" val="1"/>
        <color rgb="FFF8696B"/>
        <color rgb="FFFFEB84"/>
        <color rgb="FF63BE7B"/>
      </colorScale>
    </cfRule>
    <cfRule type="colorScale" priority="2">
      <colorScale>
        <cfvo type="min"/>
        <cfvo type="max"/>
        <color rgb="FFFFEF9C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" val="25"/>
        <cfvo type="max"/>
        <color rgb="FFFF0000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:W15 P17:P48 V17:W45 P4:P15 O3:W3 R46:W48">
    <cfRule type="colorScale" priority="97">
      <colorScale>
        <cfvo type="num" val="0"/>
        <cfvo type="num" val="0.2"/>
        <cfvo type="num" val="1"/>
        <color rgb="FFF8696B"/>
        <color rgb="FFFFEB84"/>
        <color rgb="FF63BE7B"/>
      </colorScale>
    </cfRule>
    <cfRule type="colorScale" priority="98">
      <colorScale>
        <cfvo type="min"/>
        <cfvo type="max"/>
        <color rgb="FFFFEF9C"/>
        <color rgb="FF63BE7B"/>
      </colorScale>
    </cfRule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0">
      <colorScale>
        <cfvo type="min"/>
        <cfvo type="percent" val="25"/>
        <cfvo type="max"/>
        <color rgb="FFFF0000"/>
        <color rgb="FFFFEB84"/>
        <color rgb="FF63BE7B"/>
      </colorScale>
    </cfRule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6:W16 P16">
    <cfRule type="colorScale" priority="85">
      <colorScale>
        <cfvo type="num" val="0"/>
        <cfvo type="num" val="0.2"/>
        <cfvo type="num" val="1"/>
        <color rgb="FFF8696B"/>
        <color rgb="FFFFEB84"/>
        <color rgb="FF63BE7B"/>
      </colorScale>
    </cfRule>
    <cfRule type="colorScale" priority="86">
      <colorScale>
        <cfvo type="min"/>
        <cfvo type="max"/>
        <color rgb="FFFFEF9C"/>
        <color rgb="FF63BE7B"/>
      </colorScale>
    </cfRule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8">
      <colorScale>
        <cfvo type="min"/>
        <cfvo type="percent" val="25"/>
        <cfvo type="max"/>
        <color rgb="FFFF0000"/>
        <color rgb="FFFFEB84"/>
        <color rgb="FF63BE7B"/>
      </colorScale>
    </cfRule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4:AP59">
    <cfRule type="cellIs" dxfId="1" priority="13" operator="lessThan">
      <formula>1</formula>
    </cfRule>
    <cfRule type="cellIs" dxfId="0" priority="14" operator="greaterThan">
      <formula>1</formula>
    </cfRule>
  </conditionalFormatting>
  <pageMargins left="0.70866141732283472" right="0.70866141732283472" top="0.74803149606299213" bottom="0.74803149606299213" header="0.31496062992125984" footer="0.31496062992125984"/>
  <pageSetup paperSize="9" scale="67" orientation="landscape" r:id="rId1"/>
  <headerFooter>
    <oddHeader>&amp;L&amp;D&amp;C&amp;F</oddHead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7B07F-C021-45D4-8D28-7DF3F4CFDFAE}">
  <sheetPr codeName="גיליון9">
    <pageSetUpPr fitToPage="1"/>
  </sheetPr>
  <dimension ref="A1:U2898"/>
  <sheetViews>
    <sheetView zoomScale="80" zoomScaleNormal="80" workbookViewId="0">
      <pane ySplit="1" topLeftCell="A2" activePane="bottomLeft" state="frozen"/>
      <selection activeCell="D17" sqref="A17:R67"/>
      <selection pane="bottomLeft" activeCell="A2" sqref="A2:P35"/>
    </sheetView>
  </sheetViews>
  <sheetFormatPr defaultRowHeight="12.75" x14ac:dyDescent="0.2"/>
  <cols>
    <col min="1" max="1" width="17.140625" customWidth="1"/>
    <col min="2" max="2" width="48.140625" bestFit="1" customWidth="1"/>
    <col min="3" max="3" width="12" bestFit="1" customWidth="1"/>
    <col min="4" max="4" width="12.42578125" customWidth="1"/>
    <col min="5" max="5" width="9" bestFit="1" customWidth="1"/>
    <col min="6" max="6" width="13.7109375" bestFit="1" customWidth="1"/>
    <col min="7" max="7" width="7" bestFit="1" customWidth="1"/>
    <col min="8" max="8" width="11.140625" bestFit="1" customWidth="1"/>
    <col min="9" max="10" width="11.42578125" customWidth="1"/>
    <col min="11" max="11" width="9.28515625" customWidth="1"/>
    <col min="12" max="12" width="7" bestFit="1" customWidth="1"/>
    <col min="13" max="13" width="4" customWidth="1"/>
    <col min="14" max="14" width="5.140625" customWidth="1"/>
    <col min="15" max="15" width="6" bestFit="1" customWidth="1"/>
    <col min="16" max="16" width="42" bestFit="1" customWidth="1"/>
    <col min="17" max="17" width="18.42578125" customWidth="1"/>
  </cols>
  <sheetData>
    <row r="1" spans="1:21" ht="127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9" t="s">
        <v>6</v>
      </c>
      <c r="H1" s="89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03" t="s">
        <v>1736</v>
      </c>
      <c r="R1" s="32" t="s">
        <v>21</v>
      </c>
      <c r="S1" s="99" t="s">
        <v>1709</v>
      </c>
      <c r="T1" s="99" t="s">
        <v>1710</v>
      </c>
      <c r="U1" s="99" t="s">
        <v>1711</v>
      </c>
    </row>
    <row r="2" spans="1:21" x14ac:dyDescent="0.2">
      <c r="A2">
        <v>20000007617</v>
      </c>
      <c r="B2" t="s">
        <v>2103</v>
      </c>
      <c r="C2" t="s">
        <v>2144</v>
      </c>
      <c r="D2" s="4">
        <v>46237</v>
      </c>
      <c r="E2" t="s">
        <v>2151</v>
      </c>
      <c r="F2" t="s">
        <v>2105</v>
      </c>
      <c r="G2" s="5">
        <v>4000</v>
      </c>
      <c r="H2" s="5">
        <v>2820</v>
      </c>
      <c r="I2" s="4">
        <v>46233</v>
      </c>
      <c r="J2" s="4">
        <v>46235</v>
      </c>
      <c r="K2" s="5">
        <v>0</v>
      </c>
      <c r="L2" t="s">
        <v>2132</v>
      </c>
      <c r="M2" t="s">
        <v>2104</v>
      </c>
      <c r="N2" t="s">
        <v>2105</v>
      </c>
      <c r="O2" t="s">
        <v>2136</v>
      </c>
      <c r="P2" t="s">
        <v>2133</v>
      </c>
      <c r="Q2" t="str">
        <f>VLOOKUP(A2,'גיליון דאטה להכל'!A:E,5,0)</f>
        <v>24F</v>
      </c>
      <c r="R2" t="e">
        <f>VLOOKUP(A2,'לעדכן בסינתזה דאטה אריזה 42+24'!$A:$C,3,0)</f>
        <v>#N/A</v>
      </c>
      <c r="S2" t="e">
        <f>VLOOKUP(#REF!,'מלאי לא תקין'!A:N,17,0)</f>
        <v>#REF!</v>
      </c>
      <c r="T2" t="e">
        <f t="shared" ref="T2:T11" si="0">_xlfn.CONCAT(S2,Q2)</f>
        <v>#REF!</v>
      </c>
      <c r="U2" t="e">
        <f t="shared" ref="U2:U11" si="1">_xlfn.CONCAT(S2,O2)</f>
        <v>#REF!</v>
      </c>
    </row>
    <row r="3" spans="1:21" x14ac:dyDescent="0.2">
      <c r="A3">
        <v>20000007617</v>
      </c>
      <c r="B3" t="s">
        <v>2103</v>
      </c>
      <c r="C3" t="s">
        <v>2145</v>
      </c>
      <c r="D3" s="4">
        <v>46237</v>
      </c>
      <c r="E3" t="s">
        <v>2152</v>
      </c>
      <c r="F3" t="s">
        <v>2105</v>
      </c>
      <c r="G3" s="5">
        <v>4000</v>
      </c>
      <c r="H3" s="5">
        <v>2550</v>
      </c>
      <c r="I3" s="4">
        <v>46235</v>
      </c>
      <c r="J3" s="4">
        <v>46235</v>
      </c>
      <c r="K3" s="5">
        <v>0</v>
      </c>
      <c r="L3" t="s">
        <v>2132</v>
      </c>
      <c r="M3" t="s">
        <v>2104</v>
      </c>
      <c r="N3" t="s">
        <v>2105</v>
      </c>
      <c r="O3" t="s">
        <v>2136</v>
      </c>
      <c r="P3" t="s">
        <v>2146</v>
      </c>
      <c r="Q3" t="str">
        <f>VLOOKUP(A3,'גיליון דאטה להכל'!A:E,5,0)</f>
        <v>24F</v>
      </c>
      <c r="R3" t="e">
        <f>VLOOKUP(A3,'לעדכן בסינתזה דאטה אריזה 42+24'!$A:$C,3,0)</f>
        <v>#N/A</v>
      </c>
      <c r="S3" t="e">
        <f>VLOOKUP(#REF!,'מלאי לא תקין'!A:N,17,0)</f>
        <v>#REF!</v>
      </c>
      <c r="T3" t="e">
        <f t="shared" si="0"/>
        <v>#REF!</v>
      </c>
      <c r="U3" t="e">
        <f t="shared" si="1"/>
        <v>#REF!</v>
      </c>
    </row>
    <row r="4" spans="1:21" x14ac:dyDescent="0.2">
      <c r="A4">
        <v>20000007726</v>
      </c>
      <c r="B4" t="s">
        <v>1983</v>
      </c>
      <c r="C4" t="s">
        <v>2153</v>
      </c>
      <c r="D4" s="4">
        <v>46237</v>
      </c>
      <c r="E4" t="s">
        <v>2154</v>
      </c>
      <c r="F4" t="s">
        <v>2105</v>
      </c>
      <c r="G4" s="5">
        <v>7000</v>
      </c>
      <c r="H4" s="5">
        <v>7000</v>
      </c>
      <c r="I4" s="4">
        <v>46233</v>
      </c>
      <c r="J4" s="4">
        <v>46235</v>
      </c>
      <c r="K4" s="5">
        <v>0</v>
      </c>
      <c r="L4" t="s">
        <v>2132</v>
      </c>
      <c r="M4" t="s">
        <v>2104</v>
      </c>
      <c r="N4" t="s">
        <v>2105</v>
      </c>
      <c r="O4" t="s">
        <v>1990</v>
      </c>
      <c r="P4" t="s">
        <v>2138</v>
      </c>
      <c r="Q4">
        <f>VLOOKUP(A4,'גיליון דאטה להכל'!A:E,5,0)</f>
        <v>28</v>
      </c>
      <c r="R4" t="e">
        <f>VLOOKUP(A4,'לעדכן בסינתזה דאטה אריזה 42+24'!$A:$C,3,0)</f>
        <v>#N/A</v>
      </c>
      <c r="S4" t="e">
        <f>VLOOKUP(#REF!,'מלאי לא תקין'!A:N,17,0)</f>
        <v>#REF!</v>
      </c>
      <c r="T4" t="e">
        <f t="shared" si="0"/>
        <v>#REF!</v>
      </c>
      <c r="U4" t="e">
        <f t="shared" si="1"/>
        <v>#REF!</v>
      </c>
    </row>
    <row r="5" spans="1:21" x14ac:dyDescent="0.2">
      <c r="A5">
        <v>50000000053</v>
      </c>
      <c r="B5" t="s">
        <v>122</v>
      </c>
      <c r="C5" t="s">
        <v>2155</v>
      </c>
      <c r="D5" s="4">
        <v>46236</v>
      </c>
      <c r="E5" t="s">
        <v>2156</v>
      </c>
      <c r="F5" t="s">
        <v>2105</v>
      </c>
      <c r="G5" s="5">
        <v>6000</v>
      </c>
      <c r="H5" s="5">
        <v>6858</v>
      </c>
      <c r="I5" s="4">
        <v>46233</v>
      </c>
      <c r="J5" s="4">
        <v>46235</v>
      </c>
      <c r="K5" s="5">
        <v>0</v>
      </c>
      <c r="L5" t="s">
        <v>2132</v>
      </c>
      <c r="M5" t="s">
        <v>2106</v>
      </c>
      <c r="N5" t="s">
        <v>2105</v>
      </c>
      <c r="O5" t="s">
        <v>1993</v>
      </c>
      <c r="P5" t="s">
        <v>2139</v>
      </c>
      <c r="Q5" t="str">
        <f>VLOOKUP(A5,'גיליון דאטה להכל'!A:E,5,0)</f>
        <v>שלבי ביניים לא למדידה</v>
      </c>
      <c r="R5" t="e">
        <f>VLOOKUP(A5,'לעדכן בסינתזה דאטה אריזה 42+24'!$A:$C,3,0)</f>
        <v>#N/A</v>
      </c>
      <c r="S5" t="e">
        <f>VLOOKUP(#REF!,'מלאי לא תקין'!A:N,17,0)</f>
        <v>#REF!</v>
      </c>
      <c r="T5" t="e">
        <f t="shared" si="0"/>
        <v>#REF!</v>
      </c>
      <c r="U5" t="e">
        <f t="shared" si="1"/>
        <v>#REF!</v>
      </c>
    </row>
    <row r="6" spans="1:21" x14ac:dyDescent="0.2">
      <c r="A6">
        <v>30000000097</v>
      </c>
      <c r="B6" t="s">
        <v>104</v>
      </c>
      <c r="C6" t="s">
        <v>2157</v>
      </c>
      <c r="D6" s="4">
        <v>46235</v>
      </c>
      <c r="E6" t="s">
        <v>2158</v>
      </c>
      <c r="F6" t="s">
        <v>2105</v>
      </c>
      <c r="G6" s="5">
        <v>2800</v>
      </c>
      <c r="H6" s="7">
        <v>2415</v>
      </c>
      <c r="I6" s="4">
        <v>46227</v>
      </c>
      <c r="J6" s="4">
        <v>46235</v>
      </c>
      <c r="K6" s="5">
        <v>0</v>
      </c>
      <c r="L6" t="s">
        <v>2132</v>
      </c>
      <c r="M6" t="s">
        <v>2106</v>
      </c>
      <c r="N6" t="s">
        <v>2105</v>
      </c>
      <c r="O6" t="s">
        <v>1998</v>
      </c>
      <c r="P6" t="s">
        <v>2139</v>
      </c>
      <c r="Q6" t="str">
        <f>VLOOKUP(A6,'גיליון דאטה להכל'!A:E,5,0)</f>
        <v>METAZACHLOR</v>
      </c>
      <c r="R6" t="e">
        <f>VLOOKUP(A6,'לעדכן בסינתזה דאטה אריזה 42+24'!$A:$C,3,0)</f>
        <v>#N/A</v>
      </c>
      <c r="S6" t="e">
        <f>VLOOKUP(#REF!,'מלאי לא תקין'!A:N,17,0)</f>
        <v>#REF!</v>
      </c>
      <c r="T6" t="e">
        <f t="shared" si="0"/>
        <v>#REF!</v>
      </c>
      <c r="U6" t="e">
        <f t="shared" si="1"/>
        <v>#REF!</v>
      </c>
    </row>
    <row r="7" spans="1:21" x14ac:dyDescent="0.2">
      <c r="A7">
        <v>10000000253</v>
      </c>
      <c r="B7" t="s">
        <v>1177</v>
      </c>
      <c r="C7" t="s">
        <v>2159</v>
      </c>
      <c r="D7" s="4">
        <v>46235</v>
      </c>
      <c r="E7" t="s">
        <v>2160</v>
      </c>
      <c r="F7" t="s">
        <v>2105</v>
      </c>
      <c r="G7" s="5">
        <v>7200</v>
      </c>
      <c r="H7" s="5">
        <v>7200</v>
      </c>
      <c r="I7" s="4">
        <v>46230</v>
      </c>
      <c r="J7" s="4">
        <v>46235</v>
      </c>
      <c r="K7" s="5">
        <v>7200</v>
      </c>
      <c r="L7" t="s">
        <v>2132</v>
      </c>
      <c r="M7" t="s">
        <v>2104</v>
      </c>
      <c r="N7" t="s">
        <v>2105</v>
      </c>
      <c r="O7" t="s">
        <v>1995</v>
      </c>
      <c r="P7" t="s">
        <v>2134</v>
      </c>
      <c r="Q7">
        <f>VLOOKUP(A7,'גיליון דאטה להכל'!A:E,5,0)</f>
        <v>23</v>
      </c>
      <c r="R7">
        <f>VLOOKUP(A7,'לעדכן בסינתזה דאטה אריזה 42+24'!$A:$C,3,0)</f>
        <v>23</v>
      </c>
      <c r="S7" t="e">
        <f>VLOOKUP(#REF!,'מלאי לא תקין'!A:N,17,0)</f>
        <v>#REF!</v>
      </c>
      <c r="T7" t="e">
        <f t="shared" si="0"/>
        <v>#REF!</v>
      </c>
      <c r="U7" t="e">
        <f t="shared" si="1"/>
        <v>#REF!</v>
      </c>
    </row>
    <row r="8" spans="1:21" x14ac:dyDescent="0.2">
      <c r="A8">
        <v>20000000863</v>
      </c>
      <c r="B8" t="s">
        <v>183</v>
      </c>
      <c r="C8" t="s">
        <v>2161</v>
      </c>
      <c r="D8" s="4">
        <v>46235</v>
      </c>
      <c r="E8" t="s">
        <v>2162</v>
      </c>
      <c r="F8" t="s">
        <v>2105</v>
      </c>
      <c r="G8" s="5">
        <v>9600</v>
      </c>
      <c r="H8" s="5">
        <v>9600</v>
      </c>
      <c r="I8" s="4">
        <v>46232</v>
      </c>
      <c r="J8" s="4">
        <v>46235</v>
      </c>
      <c r="K8" s="5">
        <v>9600</v>
      </c>
      <c r="L8" t="s">
        <v>2132</v>
      </c>
      <c r="M8" t="s">
        <v>2104</v>
      </c>
      <c r="N8" t="s">
        <v>2105</v>
      </c>
      <c r="O8" t="s">
        <v>1995</v>
      </c>
      <c r="P8" t="s">
        <v>2135</v>
      </c>
      <c r="Q8">
        <f>VLOOKUP(A8,'גיליון דאטה להכל'!A:E,5,0)</f>
        <v>23</v>
      </c>
      <c r="R8">
        <f>VLOOKUP(A8,'לעדכן בסינתזה דאטה אריזה 42+24'!$A:$C,3,0)</f>
        <v>23</v>
      </c>
      <c r="S8" t="e">
        <f>VLOOKUP(#REF!,'מלאי לא תקין'!A:N,17,0)</f>
        <v>#REF!</v>
      </c>
      <c r="T8" t="e">
        <f t="shared" si="0"/>
        <v>#REF!</v>
      </c>
      <c r="U8" t="e">
        <f t="shared" si="1"/>
        <v>#REF!</v>
      </c>
    </row>
    <row r="9" spans="1:21" x14ac:dyDescent="0.2">
      <c r="A9">
        <v>20000007726</v>
      </c>
      <c r="B9" t="s">
        <v>1983</v>
      </c>
      <c r="C9" t="s">
        <v>2163</v>
      </c>
      <c r="D9" s="4">
        <v>46235</v>
      </c>
      <c r="E9" t="s">
        <v>2164</v>
      </c>
      <c r="F9" t="s">
        <v>2105</v>
      </c>
      <c r="G9" s="5">
        <v>8000</v>
      </c>
      <c r="H9" s="5">
        <v>8000</v>
      </c>
      <c r="I9" s="4">
        <v>46235</v>
      </c>
      <c r="J9" s="4">
        <v>46235</v>
      </c>
      <c r="K9" s="5">
        <v>8000</v>
      </c>
      <c r="L9" t="s">
        <v>2132</v>
      </c>
      <c r="M9" t="s">
        <v>2104</v>
      </c>
      <c r="N9" t="s">
        <v>2105</v>
      </c>
      <c r="O9" t="s">
        <v>1990</v>
      </c>
      <c r="P9" t="s">
        <v>2135</v>
      </c>
      <c r="Q9">
        <f>VLOOKUP(A9,'גיליון דאטה להכל'!A:E,5,0)</f>
        <v>28</v>
      </c>
      <c r="R9" t="e">
        <f>VLOOKUP(A9,'לעדכן בסינתזה דאטה אריזה 42+24'!$A:$C,3,0)</f>
        <v>#N/A</v>
      </c>
      <c r="S9" t="e">
        <f>VLOOKUP(#REF!,'מלאי לא תקין'!A:N,17,0)</f>
        <v>#REF!</v>
      </c>
      <c r="T9" t="e">
        <f t="shared" si="0"/>
        <v>#REF!</v>
      </c>
      <c r="U9" t="e">
        <f t="shared" si="1"/>
        <v>#REF!</v>
      </c>
    </row>
    <row r="10" spans="1:21" x14ac:dyDescent="0.2">
      <c r="A10">
        <v>20000000183</v>
      </c>
      <c r="B10" t="s">
        <v>271</v>
      </c>
      <c r="C10" t="s">
        <v>2165</v>
      </c>
      <c r="D10" s="4">
        <v>46235</v>
      </c>
      <c r="E10" t="s">
        <v>2166</v>
      </c>
      <c r="F10" t="s">
        <v>2105</v>
      </c>
      <c r="G10" s="5">
        <v>5000</v>
      </c>
      <c r="H10" s="5">
        <v>4456</v>
      </c>
      <c r="I10" s="4">
        <v>46235</v>
      </c>
      <c r="J10" s="4">
        <v>46235</v>
      </c>
      <c r="K10" s="5">
        <v>4456</v>
      </c>
      <c r="L10" t="s">
        <v>2132</v>
      </c>
      <c r="M10" t="s">
        <v>2104</v>
      </c>
      <c r="N10" t="s">
        <v>2105</v>
      </c>
      <c r="O10" t="s">
        <v>1995</v>
      </c>
      <c r="P10" t="s">
        <v>2142</v>
      </c>
      <c r="Q10">
        <f>VLOOKUP(A10,'גיליון דאטה להכל'!A:E,5,0)</f>
        <v>23</v>
      </c>
      <c r="R10">
        <f>VLOOKUP(A10,'לעדכן בסינתזה דאטה אריזה 42+24'!$A:$C,3,0)</f>
        <v>23</v>
      </c>
      <c r="S10" t="e">
        <f>VLOOKUP(#REF!,'מלאי לא תקין'!A:N,17,0)</f>
        <v>#REF!</v>
      </c>
      <c r="T10" t="e">
        <f t="shared" si="0"/>
        <v>#REF!</v>
      </c>
      <c r="U10" t="e">
        <f t="shared" si="1"/>
        <v>#REF!</v>
      </c>
    </row>
    <row r="11" spans="1:21" x14ac:dyDescent="0.2">
      <c r="A11">
        <v>20000005837</v>
      </c>
      <c r="B11" t="s">
        <v>1700</v>
      </c>
      <c r="C11" t="s">
        <v>2167</v>
      </c>
      <c r="D11" s="4">
        <v>46235</v>
      </c>
      <c r="E11" t="s">
        <v>2168</v>
      </c>
      <c r="F11" t="s">
        <v>2105</v>
      </c>
      <c r="G11" s="5">
        <v>7000</v>
      </c>
      <c r="H11" s="5">
        <v>7000</v>
      </c>
      <c r="I11" s="4">
        <v>46234</v>
      </c>
      <c r="J11" s="4">
        <v>46235</v>
      </c>
      <c r="K11" s="5">
        <v>7000</v>
      </c>
      <c r="L11" t="s">
        <v>2132</v>
      </c>
      <c r="M11" t="s">
        <v>2104</v>
      </c>
      <c r="N11" t="s">
        <v>2105</v>
      </c>
      <c r="O11" t="s">
        <v>1990</v>
      </c>
      <c r="P11" t="s">
        <v>2139</v>
      </c>
      <c r="Q11">
        <f>VLOOKUP(A11,'גיליון דאטה להכל'!A:E,5,0)</f>
        <v>28</v>
      </c>
      <c r="R11">
        <f>VLOOKUP(A11,'לעדכן בסינתזה דאטה אריזה 42+24'!$A:$C,3,0)</f>
        <v>28</v>
      </c>
      <c r="S11" t="e">
        <f>VLOOKUP(#REF!,'מלאי לא תקין'!A:N,17,0)</f>
        <v>#REF!</v>
      </c>
      <c r="T11" t="e">
        <f t="shared" si="0"/>
        <v>#REF!</v>
      </c>
      <c r="U11" t="e">
        <f t="shared" si="1"/>
        <v>#REF!</v>
      </c>
    </row>
    <row r="12" spans="1:21" x14ac:dyDescent="0.2">
      <c r="A12">
        <v>20000005837</v>
      </c>
      <c r="B12" t="s">
        <v>1700</v>
      </c>
      <c r="C12" t="s">
        <v>2169</v>
      </c>
      <c r="D12" s="4">
        <v>46235</v>
      </c>
      <c r="E12" t="s">
        <v>2170</v>
      </c>
      <c r="F12" t="s">
        <v>2105</v>
      </c>
      <c r="G12" s="5">
        <v>7000</v>
      </c>
      <c r="H12" s="7">
        <v>7000</v>
      </c>
      <c r="I12" s="4">
        <v>46234</v>
      </c>
      <c r="J12" s="4">
        <v>46235</v>
      </c>
      <c r="K12" s="5">
        <v>7000</v>
      </c>
      <c r="L12" t="s">
        <v>2132</v>
      </c>
      <c r="M12" t="s">
        <v>2104</v>
      </c>
      <c r="N12" t="s">
        <v>2105</v>
      </c>
      <c r="O12" t="s">
        <v>1990</v>
      </c>
      <c r="P12" t="s">
        <v>2139</v>
      </c>
      <c r="Q12">
        <f>VLOOKUP(A12,'גיליון דאטה להכל'!A:E,5,0)</f>
        <v>28</v>
      </c>
      <c r="R12">
        <f>VLOOKUP(A12,'לעדכן בסינתזה דאטה אריזה 42+24'!$A:$C,3,0)</f>
        <v>28</v>
      </c>
      <c r="S12" t="e">
        <f>VLOOKUP(#REF!,'מלאי לא תקין'!A:N,17,0)</f>
        <v>#REF!</v>
      </c>
      <c r="T12" t="e">
        <f t="shared" ref="T12:T74" si="2">_xlfn.CONCAT(S12,Q12)</f>
        <v>#REF!</v>
      </c>
      <c r="U12" t="e">
        <f t="shared" ref="U12:U74" si="3">_xlfn.CONCAT(S12,O12)</f>
        <v>#REF!</v>
      </c>
    </row>
    <row r="13" spans="1:21" x14ac:dyDescent="0.2">
      <c r="A13">
        <v>20000005837</v>
      </c>
      <c r="B13" t="s">
        <v>1700</v>
      </c>
      <c r="C13" t="s">
        <v>2171</v>
      </c>
      <c r="D13" s="4">
        <v>46235</v>
      </c>
      <c r="E13" t="s">
        <v>2172</v>
      </c>
      <c r="F13" t="s">
        <v>2105</v>
      </c>
      <c r="G13" s="5">
        <v>7000</v>
      </c>
      <c r="H13" s="5">
        <v>7000</v>
      </c>
      <c r="I13" s="4">
        <v>46235</v>
      </c>
      <c r="J13" s="4">
        <v>46235</v>
      </c>
      <c r="K13" s="5">
        <v>0</v>
      </c>
      <c r="L13" t="s">
        <v>2132</v>
      </c>
      <c r="M13" t="s">
        <v>2104</v>
      </c>
      <c r="N13" t="s">
        <v>2105</v>
      </c>
      <c r="O13" t="s">
        <v>1990</v>
      </c>
      <c r="P13" t="s">
        <v>2137</v>
      </c>
      <c r="Q13">
        <f>VLOOKUP(A13,'גיליון דאטה להכל'!A:E,5,0)</f>
        <v>28</v>
      </c>
      <c r="R13">
        <f>VLOOKUP(A13,'לעדכן בסינתזה דאטה אריזה 42+24'!$A:$C,3,0)</f>
        <v>28</v>
      </c>
      <c r="S13" t="e">
        <f>VLOOKUP(#REF!,'מלאי לא תקין'!A:N,17,0)</f>
        <v>#REF!</v>
      </c>
      <c r="T13" t="e">
        <f t="shared" si="2"/>
        <v>#REF!</v>
      </c>
      <c r="U13" t="e">
        <f t="shared" si="3"/>
        <v>#REF!</v>
      </c>
    </row>
    <row r="14" spans="1:21" x14ac:dyDescent="0.2">
      <c r="A14">
        <v>30000000076</v>
      </c>
      <c r="B14" t="s">
        <v>1349</v>
      </c>
      <c r="C14" t="s">
        <v>2173</v>
      </c>
      <c r="D14" s="4">
        <v>46234</v>
      </c>
      <c r="E14" t="s">
        <v>2174</v>
      </c>
      <c r="F14" t="s">
        <v>2105</v>
      </c>
      <c r="G14" s="5">
        <v>3300</v>
      </c>
      <c r="H14" s="5">
        <v>3300</v>
      </c>
      <c r="I14" s="4">
        <v>46235</v>
      </c>
      <c r="J14" s="4">
        <v>46235</v>
      </c>
      <c r="K14" s="5">
        <v>0</v>
      </c>
      <c r="L14" t="s">
        <v>2132</v>
      </c>
      <c r="M14" t="s">
        <v>2106</v>
      </c>
      <c r="N14" t="s">
        <v>2105</v>
      </c>
      <c r="O14" t="s">
        <v>1994</v>
      </c>
      <c r="P14" t="s">
        <v>2141</v>
      </c>
      <c r="Q14" t="str">
        <f>VLOOKUP(A14,'גיליון דאטה להכל'!A:E,5,0)</f>
        <v>DIURON</v>
      </c>
      <c r="R14" t="e">
        <f>VLOOKUP(A14,'לעדכן בסינתזה דאטה אריזה 42+24'!$A:$C,3,0)</f>
        <v>#N/A</v>
      </c>
      <c r="S14" t="e">
        <f>VLOOKUP(#REF!,'מלאי לא תקין'!A:N,17,0)</f>
        <v>#REF!</v>
      </c>
      <c r="T14" t="e">
        <f t="shared" si="2"/>
        <v>#REF!</v>
      </c>
      <c r="U14" t="e">
        <f t="shared" si="3"/>
        <v>#REF!</v>
      </c>
    </row>
    <row r="15" spans="1:21" x14ac:dyDescent="0.2">
      <c r="A15">
        <v>30000000076</v>
      </c>
      <c r="B15" t="s">
        <v>1349</v>
      </c>
      <c r="C15" t="s">
        <v>2175</v>
      </c>
      <c r="D15" s="4">
        <v>46234</v>
      </c>
      <c r="E15" t="s">
        <v>2176</v>
      </c>
      <c r="F15" t="s">
        <v>2105</v>
      </c>
      <c r="G15" s="5">
        <v>3300</v>
      </c>
      <c r="H15" s="5">
        <v>3300</v>
      </c>
      <c r="I15" s="4">
        <v>46234</v>
      </c>
      <c r="J15" s="4">
        <v>46235</v>
      </c>
      <c r="K15" s="5">
        <v>0</v>
      </c>
      <c r="L15" t="s">
        <v>2132</v>
      </c>
      <c r="M15" t="s">
        <v>2106</v>
      </c>
      <c r="N15" t="s">
        <v>2105</v>
      </c>
      <c r="O15" t="s">
        <v>1994</v>
      </c>
      <c r="P15" t="s">
        <v>2141</v>
      </c>
      <c r="Q15" t="str">
        <f>VLOOKUP(A15,'גיליון דאטה להכל'!A:E,5,0)</f>
        <v>DIURON</v>
      </c>
      <c r="R15" t="e">
        <f>VLOOKUP(A15,'לעדכן בסינתזה דאטה אריזה 42+24'!$A:$C,3,0)</f>
        <v>#N/A</v>
      </c>
      <c r="S15" t="e">
        <f>VLOOKUP(#REF!,'מלאי לא תקין'!A:N,17,0)</f>
        <v>#REF!</v>
      </c>
      <c r="T15" t="e">
        <f t="shared" si="2"/>
        <v>#REF!</v>
      </c>
      <c r="U15" t="e">
        <f t="shared" si="3"/>
        <v>#REF!</v>
      </c>
    </row>
    <row r="16" spans="1:21" x14ac:dyDescent="0.2">
      <c r="A16">
        <v>20000008007</v>
      </c>
      <c r="B16" t="s">
        <v>2049</v>
      </c>
      <c r="C16" t="s">
        <v>2177</v>
      </c>
      <c r="D16" s="4">
        <v>46234</v>
      </c>
      <c r="E16" t="s">
        <v>2178</v>
      </c>
      <c r="F16" t="s">
        <v>2105</v>
      </c>
      <c r="G16" s="5">
        <v>7000</v>
      </c>
      <c r="H16" s="5">
        <v>7000</v>
      </c>
      <c r="I16" s="4">
        <v>46234</v>
      </c>
      <c r="J16" s="4">
        <v>46235</v>
      </c>
      <c r="K16" s="5">
        <v>7000</v>
      </c>
      <c r="L16" t="s">
        <v>2132</v>
      </c>
      <c r="M16" t="s">
        <v>2104</v>
      </c>
      <c r="N16" t="s">
        <v>2105</v>
      </c>
      <c r="O16" t="s">
        <v>1990</v>
      </c>
      <c r="P16" t="s">
        <v>2135</v>
      </c>
      <c r="Q16">
        <f>VLOOKUP(A16,'גיליון דאטה להכל'!A:E,5,0)</f>
        <v>28</v>
      </c>
      <c r="R16" t="e">
        <f>VLOOKUP(A16,'לעדכן בסינתזה דאטה אריזה 42+24'!$A:$C,3,0)</f>
        <v>#N/A</v>
      </c>
      <c r="S16" t="e">
        <f>VLOOKUP(#REF!,'מלאי לא תקין'!A:N,17,0)</f>
        <v>#REF!</v>
      </c>
      <c r="T16" t="e">
        <f t="shared" si="2"/>
        <v>#REF!</v>
      </c>
      <c r="U16" t="e">
        <f t="shared" si="3"/>
        <v>#REF!</v>
      </c>
    </row>
    <row r="17" spans="1:21" x14ac:dyDescent="0.2">
      <c r="A17">
        <v>30000000076</v>
      </c>
      <c r="B17" t="s">
        <v>1349</v>
      </c>
      <c r="C17" t="s">
        <v>2179</v>
      </c>
      <c r="D17" s="4">
        <v>46233</v>
      </c>
      <c r="E17" t="s">
        <v>2180</v>
      </c>
      <c r="F17" t="s">
        <v>2105</v>
      </c>
      <c r="G17" s="5">
        <v>3300</v>
      </c>
      <c r="H17" s="5">
        <v>3300</v>
      </c>
      <c r="I17" s="4">
        <v>46234</v>
      </c>
      <c r="J17" s="4">
        <v>46235</v>
      </c>
      <c r="K17" s="5">
        <v>0</v>
      </c>
      <c r="L17" t="s">
        <v>2132</v>
      </c>
      <c r="M17" t="s">
        <v>2106</v>
      </c>
      <c r="N17" t="s">
        <v>2105</v>
      </c>
      <c r="O17" t="s">
        <v>1994</v>
      </c>
      <c r="P17" t="s">
        <v>2141</v>
      </c>
      <c r="Q17" t="str">
        <f>VLOOKUP(A17,'גיליון דאטה להכל'!A:E,5,0)</f>
        <v>DIURON</v>
      </c>
      <c r="R17" t="e">
        <f>VLOOKUP(A17,'לעדכן בסינתזה דאטה אריזה 42+24'!$A:$C,3,0)</f>
        <v>#N/A</v>
      </c>
      <c r="S17" t="e">
        <f>VLOOKUP(#REF!,'מלאי לא תקין'!A:N,17,0)</f>
        <v>#REF!</v>
      </c>
      <c r="T17" t="e">
        <f t="shared" si="2"/>
        <v>#REF!</v>
      </c>
      <c r="U17" t="e">
        <f t="shared" si="3"/>
        <v>#REF!</v>
      </c>
    </row>
    <row r="18" spans="1:21" x14ac:dyDescent="0.2">
      <c r="A18">
        <v>30000000076</v>
      </c>
      <c r="B18" t="s">
        <v>1349</v>
      </c>
      <c r="C18" t="s">
        <v>2181</v>
      </c>
      <c r="D18" s="4">
        <v>46233</v>
      </c>
      <c r="E18" t="s">
        <v>2182</v>
      </c>
      <c r="F18" t="s">
        <v>2105</v>
      </c>
      <c r="G18" s="5">
        <v>3300</v>
      </c>
      <c r="H18" s="7">
        <v>3300</v>
      </c>
      <c r="I18" s="4">
        <v>46234</v>
      </c>
      <c r="J18" s="4">
        <v>46235</v>
      </c>
      <c r="K18" s="5">
        <v>0</v>
      </c>
      <c r="L18" t="s">
        <v>2132</v>
      </c>
      <c r="M18" t="s">
        <v>2106</v>
      </c>
      <c r="N18" t="s">
        <v>2105</v>
      </c>
      <c r="O18" t="s">
        <v>1994</v>
      </c>
      <c r="P18" t="s">
        <v>2141</v>
      </c>
      <c r="Q18" t="str">
        <f>VLOOKUP(A18,'גיליון דאטה להכל'!A:E,5,0)</f>
        <v>DIURON</v>
      </c>
      <c r="R18" t="e">
        <f>VLOOKUP(A18,'לעדכן בסינתזה דאטה אריזה 42+24'!$A:$C,3,0)</f>
        <v>#N/A</v>
      </c>
      <c r="S18" t="e">
        <f>VLOOKUP(#REF!,'מלאי לא תקין'!A:N,17,0)</f>
        <v>#REF!</v>
      </c>
      <c r="T18" t="e">
        <f t="shared" si="2"/>
        <v>#REF!</v>
      </c>
      <c r="U18" t="e">
        <f t="shared" si="3"/>
        <v>#REF!</v>
      </c>
    </row>
    <row r="19" spans="1:21" x14ac:dyDescent="0.2">
      <c r="A19">
        <v>30000000076</v>
      </c>
      <c r="B19" t="s">
        <v>1349</v>
      </c>
      <c r="C19" t="s">
        <v>2183</v>
      </c>
      <c r="D19" s="4">
        <v>46233</v>
      </c>
      <c r="E19" t="s">
        <v>2184</v>
      </c>
      <c r="F19" t="s">
        <v>2105</v>
      </c>
      <c r="G19" s="5">
        <v>3300</v>
      </c>
      <c r="H19" s="5">
        <v>3300</v>
      </c>
      <c r="I19" s="4">
        <v>46235</v>
      </c>
      <c r="J19" s="4">
        <v>46235</v>
      </c>
      <c r="K19" s="5">
        <v>0</v>
      </c>
      <c r="L19" t="s">
        <v>2132</v>
      </c>
      <c r="M19" t="s">
        <v>2106</v>
      </c>
      <c r="N19" t="s">
        <v>2105</v>
      </c>
      <c r="O19" t="s">
        <v>1994</v>
      </c>
      <c r="P19" t="s">
        <v>2141</v>
      </c>
      <c r="Q19" t="str">
        <f>VLOOKUP(A19,'גיליון דאטה להכל'!A:E,5,0)</f>
        <v>DIURON</v>
      </c>
      <c r="R19" t="e">
        <f>VLOOKUP(A19,'לעדכן בסינתזה דאטה אריזה 42+24'!$A:$C,3,0)</f>
        <v>#N/A</v>
      </c>
      <c r="S19" t="e">
        <f>VLOOKUP(#REF!,'מלאי לא תקין'!A:N,17,0)</f>
        <v>#REF!</v>
      </c>
      <c r="T19" t="e">
        <f t="shared" si="2"/>
        <v>#REF!</v>
      </c>
      <c r="U19" t="e">
        <f t="shared" si="3"/>
        <v>#REF!</v>
      </c>
    </row>
    <row r="20" spans="1:21" x14ac:dyDescent="0.2">
      <c r="A20">
        <v>30000000076</v>
      </c>
      <c r="B20" t="s">
        <v>1349</v>
      </c>
      <c r="C20" t="s">
        <v>2185</v>
      </c>
      <c r="D20" s="4">
        <v>46233</v>
      </c>
      <c r="E20" t="s">
        <v>2186</v>
      </c>
      <c r="F20" t="s">
        <v>2105</v>
      </c>
      <c r="G20" s="5">
        <v>3300</v>
      </c>
      <c r="H20" s="5">
        <v>3300</v>
      </c>
      <c r="I20" s="4">
        <v>46235</v>
      </c>
      <c r="J20" s="4">
        <v>46235</v>
      </c>
      <c r="K20" s="5">
        <v>0</v>
      </c>
      <c r="L20" t="s">
        <v>2132</v>
      </c>
      <c r="M20" t="s">
        <v>2106</v>
      </c>
      <c r="N20" t="s">
        <v>2105</v>
      </c>
      <c r="O20" t="s">
        <v>1994</v>
      </c>
      <c r="P20" t="s">
        <v>2141</v>
      </c>
      <c r="Q20" t="str">
        <f>VLOOKUP(A20,'גיליון דאטה להכל'!A:E,5,0)</f>
        <v>DIURON</v>
      </c>
      <c r="R20" t="e">
        <f>VLOOKUP(A20,'לעדכן בסינתזה דאטה אריזה 42+24'!$A:$C,3,0)</f>
        <v>#N/A</v>
      </c>
      <c r="S20" t="e">
        <f>VLOOKUP(#REF!,'מלאי לא תקין'!A:N,17,0)</f>
        <v>#REF!</v>
      </c>
      <c r="T20" t="e">
        <f t="shared" si="2"/>
        <v>#REF!</v>
      </c>
      <c r="U20" t="e">
        <f t="shared" si="3"/>
        <v>#REF!</v>
      </c>
    </row>
    <row r="21" spans="1:21" x14ac:dyDescent="0.2">
      <c r="A21">
        <v>20000008007</v>
      </c>
      <c r="B21" t="s">
        <v>2049</v>
      </c>
      <c r="C21" t="s">
        <v>2187</v>
      </c>
      <c r="D21" s="4">
        <v>46233</v>
      </c>
      <c r="E21" t="s">
        <v>2188</v>
      </c>
      <c r="F21" t="s">
        <v>2105</v>
      </c>
      <c r="G21" s="5">
        <v>8000</v>
      </c>
      <c r="H21" s="5">
        <v>8000</v>
      </c>
      <c r="I21" s="4">
        <v>46234</v>
      </c>
      <c r="J21" s="4">
        <v>46235</v>
      </c>
      <c r="K21" s="5">
        <v>8000</v>
      </c>
      <c r="L21" t="s">
        <v>2132</v>
      </c>
      <c r="M21" t="s">
        <v>2104</v>
      </c>
      <c r="N21" t="s">
        <v>2105</v>
      </c>
      <c r="O21" t="s">
        <v>1990</v>
      </c>
      <c r="P21" t="s">
        <v>2135</v>
      </c>
      <c r="Q21">
        <f>VLOOKUP(A21,'גיליון דאטה להכל'!A:E,5,0)</f>
        <v>28</v>
      </c>
      <c r="R21" t="e">
        <f>VLOOKUP(A21,'לעדכן בסינתזה דאטה אריזה 42+24'!$A:$C,3,0)</f>
        <v>#N/A</v>
      </c>
      <c r="S21" t="e">
        <f>VLOOKUP(#REF!,'מלאי לא תקין'!A:N,17,0)</f>
        <v>#REF!</v>
      </c>
      <c r="T21" t="e">
        <f t="shared" si="2"/>
        <v>#REF!</v>
      </c>
      <c r="U21" t="e">
        <f t="shared" si="3"/>
        <v>#REF!</v>
      </c>
    </row>
    <row r="22" spans="1:21" x14ac:dyDescent="0.2">
      <c r="A22">
        <v>10000001131</v>
      </c>
      <c r="B22" t="s">
        <v>2036</v>
      </c>
      <c r="C22" t="s">
        <v>2189</v>
      </c>
      <c r="D22" s="4">
        <v>46232</v>
      </c>
      <c r="E22" t="s">
        <v>2190</v>
      </c>
      <c r="F22" t="s">
        <v>2105</v>
      </c>
      <c r="G22" s="5">
        <v>6000</v>
      </c>
      <c r="H22" s="5">
        <v>7200</v>
      </c>
      <c r="I22" s="4">
        <v>46231</v>
      </c>
      <c r="J22" s="4">
        <v>46235</v>
      </c>
      <c r="K22" s="5">
        <v>0</v>
      </c>
      <c r="L22" t="s">
        <v>2132</v>
      </c>
      <c r="M22" t="s">
        <v>2104</v>
      </c>
      <c r="N22" t="s">
        <v>2105</v>
      </c>
      <c r="O22" t="s">
        <v>1995</v>
      </c>
      <c r="P22" t="s">
        <v>2141</v>
      </c>
      <c r="Q22">
        <f>VLOOKUP(A22,'גיליון דאטה להכל'!A:E,5,0)</f>
        <v>23</v>
      </c>
      <c r="R22" t="e">
        <f>VLOOKUP(A22,'לעדכן בסינתזה דאטה אריזה 42+24'!$A:$C,3,0)</f>
        <v>#N/A</v>
      </c>
      <c r="S22" t="e">
        <f>VLOOKUP(#REF!,'מלאי לא תקין'!A:N,17,0)</f>
        <v>#REF!</v>
      </c>
      <c r="T22" t="e">
        <f t="shared" si="2"/>
        <v>#REF!</v>
      </c>
      <c r="U22" t="e">
        <f t="shared" si="3"/>
        <v>#REF!</v>
      </c>
    </row>
    <row r="23" spans="1:21" x14ac:dyDescent="0.2">
      <c r="A23">
        <v>20000007734</v>
      </c>
      <c r="B23" t="s">
        <v>2000</v>
      </c>
      <c r="C23" t="s">
        <v>2191</v>
      </c>
      <c r="D23" s="4">
        <v>46232</v>
      </c>
      <c r="E23" t="s">
        <v>2192</v>
      </c>
      <c r="F23" t="s">
        <v>2105</v>
      </c>
      <c r="G23" s="5">
        <v>7000</v>
      </c>
      <c r="H23" s="5">
        <v>7000</v>
      </c>
      <c r="I23" s="4">
        <v>46234</v>
      </c>
      <c r="J23" s="4">
        <v>46235</v>
      </c>
      <c r="K23" s="5">
        <v>0</v>
      </c>
      <c r="L23" t="s">
        <v>2132</v>
      </c>
      <c r="M23" t="s">
        <v>2104</v>
      </c>
      <c r="N23" t="s">
        <v>2105</v>
      </c>
      <c r="O23" t="s">
        <v>1990</v>
      </c>
      <c r="P23" t="s">
        <v>2138</v>
      </c>
      <c r="Q23">
        <f>VLOOKUP(A23,'גיליון דאטה להכל'!A:E,5,0)</f>
        <v>28</v>
      </c>
      <c r="R23" t="e">
        <f>VLOOKUP(A23,'לעדכן בסינתזה דאטה אריזה 42+24'!$A:$C,3,0)</f>
        <v>#N/A</v>
      </c>
      <c r="S23" t="e">
        <f>VLOOKUP(#REF!,'מלאי לא תקין'!A:N,17,0)</f>
        <v>#REF!</v>
      </c>
      <c r="T23" t="e">
        <f t="shared" si="2"/>
        <v>#REF!</v>
      </c>
      <c r="U23" t="e">
        <f t="shared" si="3"/>
        <v>#REF!</v>
      </c>
    </row>
    <row r="24" spans="1:21" x14ac:dyDescent="0.2">
      <c r="A24">
        <v>20000007734</v>
      </c>
      <c r="B24" t="s">
        <v>2000</v>
      </c>
      <c r="C24" t="s">
        <v>2193</v>
      </c>
      <c r="D24" s="4">
        <v>46232</v>
      </c>
      <c r="E24" t="s">
        <v>2194</v>
      </c>
      <c r="F24" t="s">
        <v>2105</v>
      </c>
      <c r="G24" s="5">
        <v>7000</v>
      </c>
      <c r="H24" s="5">
        <v>7000</v>
      </c>
      <c r="I24" s="4">
        <v>46234</v>
      </c>
      <c r="J24" s="4">
        <v>46235</v>
      </c>
      <c r="K24" s="5">
        <v>0</v>
      </c>
      <c r="L24" t="s">
        <v>2132</v>
      </c>
      <c r="M24" t="s">
        <v>2104</v>
      </c>
      <c r="N24" t="s">
        <v>2105</v>
      </c>
      <c r="O24" t="s">
        <v>1990</v>
      </c>
      <c r="P24" t="s">
        <v>2134</v>
      </c>
      <c r="Q24">
        <f>VLOOKUP(A24,'גיליון דאטה להכל'!A:E,5,0)</f>
        <v>28</v>
      </c>
      <c r="R24" t="e">
        <f>VLOOKUP(A24,'לעדכן בסינתזה דאטה אריזה 42+24'!$A:$C,3,0)</f>
        <v>#N/A</v>
      </c>
      <c r="S24" t="e">
        <f>VLOOKUP(#REF!,'מלאי לא תקין'!A:N,17,0)</f>
        <v>#REF!</v>
      </c>
      <c r="T24" t="e">
        <f t="shared" si="2"/>
        <v>#REF!</v>
      </c>
      <c r="U24" t="e">
        <f t="shared" si="3"/>
        <v>#REF!</v>
      </c>
    </row>
    <row r="25" spans="1:21" x14ac:dyDescent="0.2">
      <c r="A25">
        <v>30000000076</v>
      </c>
      <c r="B25" t="s">
        <v>1349</v>
      </c>
      <c r="C25" t="s">
        <v>2195</v>
      </c>
      <c r="D25" s="4">
        <v>46231</v>
      </c>
      <c r="E25" t="s">
        <v>2196</v>
      </c>
      <c r="F25" t="s">
        <v>2105</v>
      </c>
      <c r="G25" s="5">
        <v>3300</v>
      </c>
      <c r="H25" s="5">
        <v>3300</v>
      </c>
      <c r="I25" s="4">
        <v>46234</v>
      </c>
      <c r="J25" s="4">
        <v>46235</v>
      </c>
      <c r="K25" s="5">
        <v>0</v>
      </c>
      <c r="L25" t="s">
        <v>2132</v>
      </c>
      <c r="M25" t="s">
        <v>2106</v>
      </c>
      <c r="N25" t="s">
        <v>2105</v>
      </c>
      <c r="O25" t="s">
        <v>1994</v>
      </c>
      <c r="P25" t="s">
        <v>2141</v>
      </c>
      <c r="Q25" t="str">
        <f>VLOOKUP(A25,'גיליון דאטה להכל'!A:E,5,0)</f>
        <v>DIURON</v>
      </c>
      <c r="R25" t="e">
        <f>VLOOKUP(A25,'לעדכן בסינתזה דאטה אריזה 42+24'!$A:$C,3,0)</f>
        <v>#N/A</v>
      </c>
      <c r="S25" t="e">
        <f>VLOOKUP(#REF!,'מלאי לא תקין'!A:N,17,0)</f>
        <v>#REF!</v>
      </c>
      <c r="T25" t="e">
        <f t="shared" si="2"/>
        <v>#REF!</v>
      </c>
      <c r="U25" t="e">
        <f t="shared" si="3"/>
        <v>#REF!</v>
      </c>
    </row>
    <row r="26" spans="1:21" x14ac:dyDescent="0.2">
      <c r="A26">
        <v>30000000076</v>
      </c>
      <c r="B26" t="s">
        <v>1349</v>
      </c>
      <c r="C26" t="s">
        <v>2197</v>
      </c>
      <c r="D26" s="4">
        <v>46231</v>
      </c>
      <c r="E26" t="s">
        <v>2198</v>
      </c>
      <c r="F26" t="s">
        <v>2105</v>
      </c>
      <c r="G26" s="5">
        <v>3300</v>
      </c>
      <c r="H26" s="5">
        <v>3300</v>
      </c>
      <c r="I26" s="4">
        <v>46234</v>
      </c>
      <c r="J26" s="4">
        <v>46235</v>
      </c>
      <c r="K26" s="5">
        <v>0</v>
      </c>
      <c r="L26" t="s">
        <v>2132</v>
      </c>
      <c r="M26" t="s">
        <v>2106</v>
      </c>
      <c r="N26" t="s">
        <v>2105</v>
      </c>
      <c r="O26" t="s">
        <v>1994</v>
      </c>
      <c r="P26" t="s">
        <v>2141</v>
      </c>
      <c r="Q26" t="str">
        <f>VLOOKUP(A26,'גיליון דאטה להכל'!A:E,5,0)</f>
        <v>DIURON</v>
      </c>
      <c r="R26" t="e">
        <f>VLOOKUP(A26,'לעדכן בסינתזה דאטה אריזה 42+24'!$A:$C,3,0)</f>
        <v>#N/A</v>
      </c>
      <c r="S26" t="e">
        <f>VLOOKUP(#REF!,'מלאי לא תקין'!A:N,17,0)</f>
        <v>#REF!</v>
      </c>
      <c r="T26" t="e">
        <f t="shared" si="2"/>
        <v>#REF!</v>
      </c>
      <c r="U26" t="e">
        <f t="shared" si="3"/>
        <v>#REF!</v>
      </c>
    </row>
    <row r="27" spans="1:21" x14ac:dyDescent="0.2">
      <c r="A27">
        <v>30000000113</v>
      </c>
      <c r="B27" t="s">
        <v>2140</v>
      </c>
      <c r="C27" t="s">
        <v>2199</v>
      </c>
      <c r="D27" s="4">
        <v>46224</v>
      </c>
      <c r="E27" t="s">
        <v>2200</v>
      </c>
      <c r="F27" t="s">
        <v>2105</v>
      </c>
      <c r="G27" s="5">
        <v>3300</v>
      </c>
      <c r="H27" s="5">
        <v>3300</v>
      </c>
      <c r="I27" s="4">
        <v>46234</v>
      </c>
      <c r="J27" s="4">
        <v>46235</v>
      </c>
      <c r="K27" s="5">
        <v>0</v>
      </c>
      <c r="L27" t="s">
        <v>2132</v>
      </c>
      <c r="M27" t="s">
        <v>2106</v>
      </c>
      <c r="N27" t="s">
        <v>2105</v>
      </c>
      <c r="O27" t="s">
        <v>1994</v>
      </c>
      <c r="P27" t="s">
        <v>2141</v>
      </c>
      <c r="Q27" t="str">
        <f>VLOOKUP(A27,'גיליון דאטה להכל'!A:E,5,0)</f>
        <v>CHLOROTOLURON TOLUREX</v>
      </c>
      <c r="R27" t="e">
        <f>VLOOKUP(A27,'לעדכן בסינתזה דאטה אריזה 42+24'!$A:$C,3,0)</f>
        <v>#N/A</v>
      </c>
      <c r="S27" t="e">
        <f>VLOOKUP(#REF!,'מלאי לא תקין'!A:N,17,0)</f>
        <v>#REF!</v>
      </c>
      <c r="T27" t="e">
        <f t="shared" si="2"/>
        <v>#REF!</v>
      </c>
      <c r="U27" t="e">
        <f t="shared" si="3"/>
        <v>#REF!</v>
      </c>
    </row>
    <row r="28" spans="1:21" x14ac:dyDescent="0.2">
      <c r="A28">
        <v>30000000113</v>
      </c>
      <c r="B28" t="s">
        <v>2140</v>
      </c>
      <c r="C28" t="s">
        <v>2201</v>
      </c>
      <c r="D28" s="4">
        <v>46224</v>
      </c>
      <c r="E28" t="s">
        <v>2202</v>
      </c>
      <c r="F28" t="s">
        <v>2105</v>
      </c>
      <c r="G28" s="5">
        <v>3300</v>
      </c>
      <c r="H28" s="7">
        <v>3300</v>
      </c>
      <c r="I28" s="4">
        <v>46234</v>
      </c>
      <c r="J28" s="4">
        <v>46235</v>
      </c>
      <c r="K28" s="5">
        <v>0</v>
      </c>
      <c r="L28" t="s">
        <v>2132</v>
      </c>
      <c r="M28" t="s">
        <v>2106</v>
      </c>
      <c r="N28" t="s">
        <v>2105</v>
      </c>
      <c r="O28" t="s">
        <v>1994</v>
      </c>
      <c r="P28" t="s">
        <v>2141</v>
      </c>
      <c r="Q28" t="str">
        <f>VLOOKUP(A28,'גיליון דאטה להכל'!A:E,5,0)</f>
        <v>CHLOROTOLURON TOLUREX</v>
      </c>
      <c r="R28" t="e">
        <f>VLOOKUP(A28,'לעדכן בסינתזה דאטה אריזה 42+24'!$A:$C,3,0)</f>
        <v>#N/A</v>
      </c>
      <c r="S28" t="e">
        <f>VLOOKUP(#REF!,'מלאי לא תקין'!A:N,17,0)</f>
        <v>#REF!</v>
      </c>
      <c r="T28" t="e">
        <f t="shared" si="2"/>
        <v>#REF!</v>
      </c>
      <c r="U28" t="e">
        <f t="shared" si="3"/>
        <v>#REF!</v>
      </c>
    </row>
    <row r="29" spans="1:21" x14ac:dyDescent="0.2">
      <c r="A29">
        <v>30000000113</v>
      </c>
      <c r="B29" t="s">
        <v>2140</v>
      </c>
      <c r="C29" t="s">
        <v>2203</v>
      </c>
      <c r="D29" s="4">
        <v>46224</v>
      </c>
      <c r="E29" t="s">
        <v>2204</v>
      </c>
      <c r="F29" t="s">
        <v>2105</v>
      </c>
      <c r="G29" s="5">
        <v>3300</v>
      </c>
      <c r="H29" s="5">
        <v>3300</v>
      </c>
      <c r="I29" s="4">
        <v>46235</v>
      </c>
      <c r="J29" s="4">
        <v>46235</v>
      </c>
      <c r="K29" s="5">
        <v>0</v>
      </c>
      <c r="L29" t="s">
        <v>2132</v>
      </c>
      <c r="M29" t="s">
        <v>2106</v>
      </c>
      <c r="N29" t="s">
        <v>2105</v>
      </c>
      <c r="O29" t="s">
        <v>1994</v>
      </c>
      <c r="P29" t="s">
        <v>2141</v>
      </c>
      <c r="Q29" t="str">
        <f>VLOOKUP(A29,'גיליון דאטה להכל'!A:E,5,0)</f>
        <v>CHLOROTOLURON TOLUREX</v>
      </c>
      <c r="R29" t="e">
        <f>VLOOKUP(A29,'לעדכן בסינתזה דאטה אריזה 42+24'!$A:$C,3,0)</f>
        <v>#N/A</v>
      </c>
      <c r="S29" t="e">
        <f>VLOOKUP(#REF!,'מלאי לא תקין'!A:N,17,0)</f>
        <v>#REF!</v>
      </c>
      <c r="T29" t="e">
        <f t="shared" si="2"/>
        <v>#REF!</v>
      </c>
      <c r="U29" t="e">
        <f t="shared" si="3"/>
        <v>#REF!</v>
      </c>
    </row>
    <row r="30" spans="1:21" x14ac:dyDescent="0.2">
      <c r="A30">
        <v>30000000095</v>
      </c>
      <c r="B30" t="s">
        <v>1454</v>
      </c>
      <c r="C30" t="s">
        <v>2205</v>
      </c>
      <c r="D30" s="4">
        <v>46221</v>
      </c>
      <c r="E30" t="s">
        <v>2206</v>
      </c>
      <c r="F30" t="s">
        <v>2105</v>
      </c>
      <c r="G30" s="5">
        <v>4800</v>
      </c>
      <c r="H30" s="5">
        <v>4800</v>
      </c>
      <c r="I30" s="4">
        <v>46234</v>
      </c>
      <c r="J30" s="4">
        <v>46235</v>
      </c>
      <c r="K30" s="5">
        <v>0</v>
      </c>
      <c r="L30" t="s">
        <v>2132</v>
      </c>
      <c r="M30" t="s">
        <v>2106</v>
      </c>
      <c r="N30" t="s">
        <v>2105</v>
      </c>
      <c r="O30" t="s">
        <v>1994</v>
      </c>
      <c r="P30" t="s">
        <v>2143</v>
      </c>
      <c r="Q30" t="str">
        <f>VLOOKUP(A30,'גיליון דאטה להכל'!A:E,5,0)</f>
        <v>LINURON</v>
      </c>
      <c r="R30" t="e">
        <f>VLOOKUP(A30,'לעדכן בסינתזה דאטה אריזה 42+24'!$A:$C,3,0)</f>
        <v>#N/A</v>
      </c>
      <c r="S30" t="e">
        <f>VLOOKUP(#REF!,'מלאי לא תקין'!A:N,17,0)</f>
        <v>#REF!</v>
      </c>
      <c r="T30" t="e">
        <f t="shared" si="2"/>
        <v>#REF!</v>
      </c>
      <c r="U30" t="e">
        <f t="shared" si="3"/>
        <v>#REF!</v>
      </c>
    </row>
    <row r="31" spans="1:21" x14ac:dyDescent="0.2">
      <c r="A31">
        <v>10000010430</v>
      </c>
      <c r="B31" t="s">
        <v>1523</v>
      </c>
      <c r="C31" t="s">
        <v>2207</v>
      </c>
      <c r="D31" s="4">
        <v>46204</v>
      </c>
      <c r="E31" t="s">
        <v>2208</v>
      </c>
      <c r="F31" t="s">
        <v>2105</v>
      </c>
      <c r="G31" s="5">
        <v>1800</v>
      </c>
      <c r="H31" s="5">
        <v>1700</v>
      </c>
      <c r="I31" s="4">
        <v>46229</v>
      </c>
      <c r="J31" s="4">
        <v>46235</v>
      </c>
      <c r="K31" s="5">
        <v>0</v>
      </c>
      <c r="L31" t="s">
        <v>2132</v>
      </c>
      <c r="M31" t="s">
        <v>2106</v>
      </c>
      <c r="N31" t="s">
        <v>2105</v>
      </c>
      <c r="O31" t="s">
        <v>1998</v>
      </c>
      <c r="P31" t="s">
        <v>2133</v>
      </c>
      <c r="Q31" t="str">
        <f>VLOOKUP(A31,'גיליון דאטה להכל'!A:E,5,0)</f>
        <v>ATRALONE</v>
      </c>
      <c r="R31" t="e">
        <f>VLOOKUP(A31,'לעדכן בסינתזה דאטה אריזה 42+24'!$A:$C,3,0)</f>
        <v>#N/A</v>
      </c>
      <c r="S31" t="e">
        <f>VLOOKUP(#REF!,'מלאי לא תקין'!A:N,17,0)</f>
        <v>#REF!</v>
      </c>
      <c r="T31" t="e">
        <f t="shared" si="2"/>
        <v>#REF!</v>
      </c>
      <c r="U31" t="e">
        <f t="shared" si="3"/>
        <v>#REF!</v>
      </c>
    </row>
    <row r="32" spans="1:21" x14ac:dyDescent="0.2">
      <c r="A32">
        <v>30000005393</v>
      </c>
      <c r="B32" t="s">
        <v>1552</v>
      </c>
      <c r="C32" t="s">
        <v>2209</v>
      </c>
      <c r="D32" s="4">
        <v>46204</v>
      </c>
      <c r="E32" t="s">
        <v>2210</v>
      </c>
      <c r="F32" t="s">
        <v>2105</v>
      </c>
      <c r="G32" s="5">
        <v>2100</v>
      </c>
      <c r="H32" s="5">
        <v>2100</v>
      </c>
      <c r="I32" s="4">
        <v>46234</v>
      </c>
      <c r="J32" s="4">
        <v>46235</v>
      </c>
      <c r="K32" s="5">
        <v>0</v>
      </c>
      <c r="L32" t="s">
        <v>2132</v>
      </c>
      <c r="M32" t="s">
        <v>2106</v>
      </c>
      <c r="N32" t="s">
        <v>2105</v>
      </c>
      <c r="O32" t="s">
        <v>1994</v>
      </c>
      <c r="P32" t="s">
        <v>2141</v>
      </c>
      <c r="Q32" t="str">
        <f>VLOOKUP(A32,'גיליון דאטה להכל'!A:E,5,0)</f>
        <v>BROMACIL</v>
      </c>
      <c r="R32" t="e">
        <f>VLOOKUP(A32,'לעדכן בסינתזה דאטה אריזה 42+24'!$A:$C,3,0)</f>
        <v>#N/A</v>
      </c>
      <c r="S32" t="e">
        <f>VLOOKUP(#REF!,'מלאי לא תקין'!A:N,17,0)</f>
        <v>#REF!</v>
      </c>
      <c r="T32" t="e">
        <f t="shared" si="2"/>
        <v>#REF!</v>
      </c>
      <c r="U32" t="e">
        <f t="shared" si="3"/>
        <v>#REF!</v>
      </c>
    </row>
    <row r="33" spans="1:21" x14ac:dyDescent="0.2">
      <c r="A33">
        <v>10000011957</v>
      </c>
      <c r="B33" t="s">
        <v>2150</v>
      </c>
      <c r="C33" t="s">
        <v>2211</v>
      </c>
      <c r="D33" s="4">
        <v>46204</v>
      </c>
      <c r="E33" t="s">
        <v>2212</v>
      </c>
      <c r="F33" t="s">
        <v>2105</v>
      </c>
      <c r="G33" s="5">
        <v>8000</v>
      </c>
      <c r="H33" s="5">
        <v>8000</v>
      </c>
      <c r="I33" s="4">
        <v>46230</v>
      </c>
      <c r="J33" s="4">
        <v>46235</v>
      </c>
      <c r="K33" s="5">
        <v>8000</v>
      </c>
      <c r="L33" t="s">
        <v>2132</v>
      </c>
      <c r="M33" t="s">
        <v>2104</v>
      </c>
      <c r="N33" t="s">
        <v>2105</v>
      </c>
      <c r="O33" t="s">
        <v>1995</v>
      </c>
      <c r="P33" t="s">
        <v>2134</v>
      </c>
      <c r="Q33">
        <f>VLOOKUP(A33,'גיליון דאטה להכל'!A:E,5,0)</f>
        <v>23</v>
      </c>
      <c r="R33" t="e">
        <f>VLOOKUP(A33,'לעדכן בסינתזה דאטה אריזה 42+24'!$A:$C,3,0)</f>
        <v>#N/A</v>
      </c>
      <c r="S33" t="e">
        <f>VLOOKUP(#REF!,'מלאי לא תקין'!A:N,17,0)</f>
        <v>#REF!</v>
      </c>
      <c r="T33" t="e">
        <f t="shared" si="2"/>
        <v>#REF!</v>
      </c>
      <c r="U33" t="e">
        <f t="shared" si="3"/>
        <v>#REF!</v>
      </c>
    </row>
    <row r="34" spans="1:21" x14ac:dyDescent="0.2">
      <c r="A34">
        <v>10000011957</v>
      </c>
      <c r="B34" t="s">
        <v>2150</v>
      </c>
      <c r="C34" t="s">
        <v>2213</v>
      </c>
      <c r="D34" s="4">
        <v>46204</v>
      </c>
      <c r="E34" t="s">
        <v>2214</v>
      </c>
      <c r="F34" t="s">
        <v>2105</v>
      </c>
      <c r="G34" s="5">
        <v>8000</v>
      </c>
      <c r="H34" s="5">
        <v>8000</v>
      </c>
      <c r="I34" s="4">
        <v>46230</v>
      </c>
      <c r="J34" s="4">
        <v>46235</v>
      </c>
      <c r="K34" s="5">
        <v>8000</v>
      </c>
      <c r="L34" t="s">
        <v>2132</v>
      </c>
      <c r="M34" t="s">
        <v>2104</v>
      </c>
      <c r="N34" t="s">
        <v>2105</v>
      </c>
      <c r="O34" t="s">
        <v>1995</v>
      </c>
      <c r="P34" t="s">
        <v>2134</v>
      </c>
      <c r="Q34">
        <f>VLOOKUP(A34,'גיליון דאטה להכל'!A:E,5,0)</f>
        <v>23</v>
      </c>
      <c r="R34" t="e">
        <f>VLOOKUP(A34,'לעדכן בסינתזה דאטה אריזה 42+24'!$A:$C,3,0)</f>
        <v>#N/A</v>
      </c>
      <c r="S34" t="e">
        <f>VLOOKUP(#REF!,'מלאי לא תקין'!A:N,17,0)</f>
        <v>#REF!</v>
      </c>
      <c r="T34" t="e">
        <f t="shared" si="2"/>
        <v>#REF!</v>
      </c>
      <c r="U34" t="e">
        <f t="shared" si="3"/>
        <v>#REF!</v>
      </c>
    </row>
    <row r="35" spans="1:21" x14ac:dyDescent="0.2">
      <c r="D35" s="4"/>
      <c r="G35" s="5"/>
      <c r="H35" s="7"/>
      <c r="I35" s="4"/>
      <c r="J35" s="4"/>
      <c r="K35" s="5"/>
      <c r="Q35" t="e">
        <f>VLOOKUP(A35,'גיליון דאטה להכל'!A:E,5,0)</f>
        <v>#N/A</v>
      </c>
      <c r="R35" t="e">
        <f>VLOOKUP(A35,'לעדכן בסינתזה דאטה אריזה 42+24'!$A:$C,3,0)</f>
        <v>#N/A</v>
      </c>
      <c r="S35" t="e">
        <f>VLOOKUP(#REF!,'מלאי לא תקין'!A:N,17,0)</f>
        <v>#REF!</v>
      </c>
      <c r="T35" t="e">
        <f t="shared" si="2"/>
        <v>#REF!</v>
      </c>
      <c r="U35" t="e">
        <f t="shared" si="3"/>
        <v>#REF!</v>
      </c>
    </row>
    <row r="36" spans="1:21" x14ac:dyDescent="0.2">
      <c r="D36" s="4"/>
      <c r="G36" s="5"/>
      <c r="H36" s="5"/>
      <c r="I36" s="4"/>
      <c r="J36" s="4"/>
      <c r="K36" s="5"/>
      <c r="Q36" t="e">
        <f>VLOOKUP(A36,'גיליון דאטה להכל'!A:E,5,0)</f>
        <v>#N/A</v>
      </c>
      <c r="R36" t="e">
        <f>VLOOKUP(A36,'לעדכן בסינתזה דאטה אריזה 42+24'!$A:$C,3,0)</f>
        <v>#N/A</v>
      </c>
      <c r="S36" t="e">
        <f>VLOOKUP(#REF!,'מלאי לא תקין'!A:N,17,0)</f>
        <v>#REF!</v>
      </c>
      <c r="T36" t="e">
        <f t="shared" si="2"/>
        <v>#REF!</v>
      </c>
      <c r="U36" t="e">
        <f t="shared" si="3"/>
        <v>#REF!</v>
      </c>
    </row>
    <row r="37" spans="1:21" x14ac:dyDescent="0.2">
      <c r="D37" s="4"/>
      <c r="G37" s="5"/>
      <c r="H37" s="5"/>
      <c r="I37" s="4"/>
      <c r="J37" s="4"/>
      <c r="K37" s="5"/>
      <c r="Q37" t="e">
        <f>VLOOKUP(A37,'גיליון דאטה להכל'!A:E,5,0)</f>
        <v>#N/A</v>
      </c>
      <c r="R37" t="e">
        <f>VLOOKUP(A37,'לעדכן בסינתזה דאטה אריזה 42+24'!$A:$C,3,0)</f>
        <v>#N/A</v>
      </c>
      <c r="S37" t="e">
        <f>VLOOKUP(#REF!,'מלאי לא תקין'!A:N,17,0)</f>
        <v>#REF!</v>
      </c>
      <c r="T37" t="e">
        <f t="shared" si="2"/>
        <v>#REF!</v>
      </c>
      <c r="U37" t="e">
        <f t="shared" si="3"/>
        <v>#REF!</v>
      </c>
    </row>
    <row r="38" spans="1:21" x14ac:dyDescent="0.2">
      <c r="D38" s="4"/>
      <c r="G38" s="5"/>
      <c r="H38" s="5"/>
      <c r="I38" s="4"/>
      <c r="J38" s="4"/>
      <c r="K38" s="5"/>
      <c r="Q38" t="e">
        <f>VLOOKUP(A38,'גיליון דאטה להכל'!A:E,5,0)</f>
        <v>#N/A</v>
      </c>
      <c r="R38" t="e">
        <f>VLOOKUP(A38,'לעדכן בסינתזה דאטה אריזה 42+24'!$A:$C,3,0)</f>
        <v>#N/A</v>
      </c>
      <c r="S38" t="e">
        <f>VLOOKUP(#REF!,'מלאי לא תקין'!A:N,17,0)</f>
        <v>#REF!</v>
      </c>
      <c r="T38" t="e">
        <f t="shared" si="2"/>
        <v>#REF!</v>
      </c>
      <c r="U38" t="e">
        <f t="shared" si="3"/>
        <v>#REF!</v>
      </c>
    </row>
    <row r="39" spans="1:21" x14ac:dyDescent="0.2">
      <c r="D39" s="4"/>
      <c r="G39" s="5"/>
      <c r="H39" s="5"/>
      <c r="I39" s="4"/>
      <c r="J39" s="4"/>
      <c r="K39" s="5"/>
      <c r="Q39" t="e">
        <f>VLOOKUP(A39,'גיליון דאטה להכל'!A:E,5,0)</f>
        <v>#N/A</v>
      </c>
      <c r="R39" t="e">
        <f>VLOOKUP(A39,'לעדכן בסינתזה דאטה אריזה 42+24'!$A:$C,3,0)</f>
        <v>#N/A</v>
      </c>
      <c r="S39" t="e">
        <f>VLOOKUP(#REF!,'מלאי לא תקין'!A:N,17,0)</f>
        <v>#REF!</v>
      </c>
      <c r="T39" t="e">
        <f t="shared" si="2"/>
        <v>#REF!</v>
      </c>
      <c r="U39" t="e">
        <f t="shared" si="3"/>
        <v>#REF!</v>
      </c>
    </row>
    <row r="40" spans="1:21" x14ac:dyDescent="0.2">
      <c r="D40" s="4"/>
      <c r="G40" s="5"/>
      <c r="H40" s="5"/>
      <c r="I40" s="4"/>
      <c r="J40" s="4"/>
      <c r="K40" s="5"/>
      <c r="Q40" t="e">
        <f>VLOOKUP(A40,'גיליון דאטה להכל'!A:E,5,0)</f>
        <v>#N/A</v>
      </c>
      <c r="R40" t="e">
        <f>VLOOKUP(A40,'לעדכן בסינתזה דאטה אריזה 42+24'!$A:$C,3,0)</f>
        <v>#N/A</v>
      </c>
      <c r="S40" t="e">
        <f>VLOOKUP(#REF!,'מלאי לא תקין'!A:N,17,0)</f>
        <v>#REF!</v>
      </c>
      <c r="T40" t="e">
        <f t="shared" si="2"/>
        <v>#REF!</v>
      </c>
      <c r="U40" t="e">
        <f t="shared" si="3"/>
        <v>#REF!</v>
      </c>
    </row>
    <row r="41" spans="1:21" x14ac:dyDescent="0.2">
      <c r="D41" s="4"/>
      <c r="G41" s="5"/>
      <c r="H41" s="7"/>
      <c r="I41" s="4"/>
      <c r="J41" s="4"/>
      <c r="K41" s="5"/>
      <c r="Q41" t="e">
        <f>VLOOKUP(A41,'גיליון דאטה להכל'!A:E,5,0)</f>
        <v>#N/A</v>
      </c>
      <c r="R41" t="e">
        <f>VLOOKUP(A41,'לעדכן בסינתזה דאטה אריזה 42+24'!$A:$C,3,0)</f>
        <v>#N/A</v>
      </c>
      <c r="S41" t="e">
        <f>VLOOKUP(#REF!,'מלאי לא תקין'!A:N,17,0)</f>
        <v>#REF!</v>
      </c>
      <c r="T41" t="e">
        <f t="shared" si="2"/>
        <v>#REF!</v>
      </c>
      <c r="U41" t="e">
        <f t="shared" si="3"/>
        <v>#REF!</v>
      </c>
    </row>
    <row r="42" spans="1:21" x14ac:dyDescent="0.2">
      <c r="D42" s="4"/>
      <c r="G42" s="5"/>
      <c r="H42" s="5"/>
      <c r="I42" s="4"/>
      <c r="J42" s="4"/>
      <c r="K42" s="5"/>
      <c r="Q42" t="e">
        <f>VLOOKUP(A42,'גיליון דאטה להכל'!A:E,5,0)</f>
        <v>#N/A</v>
      </c>
      <c r="R42" t="e">
        <f>VLOOKUP(A42,'לעדכן בסינתזה דאטה אריזה 42+24'!$A:$C,3,0)</f>
        <v>#N/A</v>
      </c>
      <c r="S42" t="e">
        <f>VLOOKUP(#REF!,'מלאי לא תקין'!A:N,17,0)</f>
        <v>#REF!</v>
      </c>
      <c r="T42" t="e">
        <f t="shared" si="2"/>
        <v>#REF!</v>
      </c>
      <c r="U42" t="e">
        <f t="shared" si="3"/>
        <v>#REF!</v>
      </c>
    </row>
    <row r="43" spans="1:21" x14ac:dyDescent="0.2">
      <c r="D43" s="4"/>
      <c r="G43" s="5"/>
      <c r="H43" s="5"/>
      <c r="I43" s="4"/>
      <c r="J43" s="4"/>
      <c r="K43" s="5"/>
      <c r="Q43" t="e">
        <f>VLOOKUP(A43,'גיליון דאטה להכל'!A:E,5,0)</f>
        <v>#N/A</v>
      </c>
      <c r="R43" t="e">
        <f>VLOOKUP(A43,'לעדכן בסינתזה דאטה אריזה 42+24'!$A:$C,3,0)</f>
        <v>#N/A</v>
      </c>
      <c r="S43" t="e">
        <f>VLOOKUP(#REF!,'מלאי לא תקין'!A:N,17,0)</f>
        <v>#REF!</v>
      </c>
      <c r="T43" t="e">
        <f t="shared" si="2"/>
        <v>#REF!</v>
      </c>
      <c r="U43" t="e">
        <f t="shared" si="3"/>
        <v>#REF!</v>
      </c>
    </row>
    <row r="44" spans="1:21" x14ac:dyDescent="0.2">
      <c r="D44" s="4"/>
      <c r="G44" s="5"/>
      <c r="H44" s="5"/>
      <c r="I44" s="4"/>
      <c r="J44" s="4"/>
      <c r="K44" s="5"/>
      <c r="Q44" t="e">
        <f>VLOOKUP(A44,'גיליון דאטה להכל'!A:E,5,0)</f>
        <v>#N/A</v>
      </c>
      <c r="R44" t="e">
        <f>VLOOKUP(A44,'לעדכן בסינתזה דאטה אריזה 42+24'!$A:$C,3,0)</f>
        <v>#N/A</v>
      </c>
      <c r="S44" t="e">
        <f>VLOOKUP(#REF!,'מלאי לא תקין'!A:N,17,0)</f>
        <v>#REF!</v>
      </c>
      <c r="T44" t="e">
        <f t="shared" si="2"/>
        <v>#REF!</v>
      </c>
      <c r="U44" t="e">
        <f t="shared" si="3"/>
        <v>#REF!</v>
      </c>
    </row>
    <row r="45" spans="1:21" x14ac:dyDescent="0.2">
      <c r="D45" s="4"/>
      <c r="G45" s="5"/>
      <c r="H45" s="5"/>
      <c r="I45" s="4"/>
      <c r="J45" s="4"/>
      <c r="K45" s="5"/>
      <c r="Q45" t="e">
        <f>VLOOKUP(A45,'גיליון דאטה להכל'!A:E,5,0)</f>
        <v>#N/A</v>
      </c>
      <c r="R45" t="e">
        <f>VLOOKUP(A45,'לעדכן בסינתזה דאטה אריזה 42+24'!$A:$C,3,0)</f>
        <v>#N/A</v>
      </c>
      <c r="S45" t="e">
        <f>VLOOKUP(#REF!,'מלאי לא תקין'!A:N,17,0)</f>
        <v>#REF!</v>
      </c>
      <c r="T45" t="e">
        <f t="shared" si="2"/>
        <v>#REF!</v>
      </c>
      <c r="U45" t="e">
        <f t="shared" si="3"/>
        <v>#REF!</v>
      </c>
    </row>
    <row r="46" spans="1:21" x14ac:dyDescent="0.2">
      <c r="D46" s="4"/>
      <c r="G46" s="5"/>
      <c r="H46" s="7"/>
      <c r="I46" s="4"/>
      <c r="J46" s="4"/>
      <c r="K46" s="5"/>
      <c r="Q46" t="e">
        <f>VLOOKUP(A46,'גיליון דאטה להכל'!A:E,5,0)</f>
        <v>#N/A</v>
      </c>
      <c r="R46" t="e">
        <f>VLOOKUP(A46,'לעדכן בסינתזה דאטה אריזה 42+24'!$A:$C,3,0)</f>
        <v>#N/A</v>
      </c>
      <c r="S46" t="e">
        <f>VLOOKUP(#REF!,'מלאי לא תקין'!A:N,17,0)</f>
        <v>#REF!</v>
      </c>
      <c r="T46" t="e">
        <f t="shared" si="2"/>
        <v>#REF!</v>
      </c>
      <c r="U46" t="e">
        <f t="shared" si="3"/>
        <v>#REF!</v>
      </c>
    </row>
    <row r="47" spans="1:21" x14ac:dyDescent="0.2">
      <c r="D47" s="4"/>
      <c r="G47" s="5"/>
      <c r="H47" s="5"/>
      <c r="I47" s="4"/>
      <c r="J47" s="4"/>
      <c r="K47" s="5"/>
      <c r="Q47" t="e">
        <f>VLOOKUP(A47,'גיליון דאטה להכל'!A:E,5,0)</f>
        <v>#N/A</v>
      </c>
      <c r="R47" t="e">
        <f>VLOOKUP(A47,'לעדכן בסינתזה דאטה אריזה 42+24'!$A:$C,3,0)</f>
        <v>#N/A</v>
      </c>
      <c r="S47" t="e">
        <f>VLOOKUP(#REF!,'מלאי לא תקין'!A:N,17,0)</f>
        <v>#REF!</v>
      </c>
      <c r="T47" t="e">
        <f t="shared" si="2"/>
        <v>#REF!</v>
      </c>
      <c r="U47" t="e">
        <f t="shared" si="3"/>
        <v>#REF!</v>
      </c>
    </row>
    <row r="48" spans="1:21" x14ac:dyDescent="0.2">
      <c r="D48" s="4"/>
      <c r="G48" s="5"/>
      <c r="H48" s="7"/>
      <c r="I48" s="4"/>
      <c r="J48" s="4"/>
      <c r="K48" s="5"/>
      <c r="Q48" t="e">
        <f>VLOOKUP(A48,'גיליון דאטה להכל'!A:E,5,0)</f>
        <v>#N/A</v>
      </c>
      <c r="R48" t="e">
        <f>VLOOKUP(A48,'לעדכן בסינתזה דאטה אריזה 42+24'!$A:$C,3,0)</f>
        <v>#N/A</v>
      </c>
      <c r="S48" t="e">
        <f>VLOOKUP(#REF!,'מלאי לא תקין'!A:N,17,0)</f>
        <v>#REF!</v>
      </c>
      <c r="T48" t="e">
        <f t="shared" si="2"/>
        <v>#REF!</v>
      </c>
      <c r="U48" t="e">
        <f t="shared" si="3"/>
        <v>#REF!</v>
      </c>
    </row>
    <row r="49" spans="4:21" x14ac:dyDescent="0.2">
      <c r="D49" s="4"/>
      <c r="G49" s="5"/>
      <c r="H49" s="5"/>
      <c r="I49" s="4"/>
      <c r="J49" s="4"/>
      <c r="K49" s="5"/>
      <c r="Q49" t="e">
        <f>VLOOKUP(A49,'גיליון דאטה להכל'!A:E,5,0)</f>
        <v>#N/A</v>
      </c>
      <c r="R49" t="e">
        <f>VLOOKUP(A49,'לעדכן בסינתזה דאטה אריזה 42+24'!$A:$C,3,0)</f>
        <v>#N/A</v>
      </c>
      <c r="S49" t="e">
        <f>VLOOKUP(#REF!,'מלאי לא תקין'!A:N,17,0)</f>
        <v>#REF!</v>
      </c>
      <c r="T49" t="e">
        <f t="shared" si="2"/>
        <v>#REF!</v>
      </c>
      <c r="U49" t="e">
        <f t="shared" si="3"/>
        <v>#REF!</v>
      </c>
    </row>
    <row r="50" spans="4:21" x14ac:dyDescent="0.2">
      <c r="D50" s="4"/>
      <c r="G50" s="5"/>
      <c r="H50" s="5"/>
      <c r="I50" s="4"/>
      <c r="J50" s="4"/>
      <c r="K50" s="5"/>
      <c r="Q50" t="e">
        <f>VLOOKUP(A50,'גיליון דאטה להכל'!A:E,5,0)</f>
        <v>#N/A</v>
      </c>
      <c r="R50" t="e">
        <f>VLOOKUP(A50,'לעדכן בסינתזה דאטה אריזה 42+24'!$A:$C,3,0)</f>
        <v>#N/A</v>
      </c>
      <c r="S50" t="e">
        <f>VLOOKUP(#REF!,'מלאי לא תקין'!A:N,17,0)</f>
        <v>#REF!</v>
      </c>
      <c r="T50" t="e">
        <f t="shared" si="2"/>
        <v>#REF!</v>
      </c>
      <c r="U50" t="e">
        <f t="shared" si="3"/>
        <v>#REF!</v>
      </c>
    </row>
    <row r="51" spans="4:21" x14ac:dyDescent="0.2">
      <c r="D51" s="4"/>
      <c r="G51" s="5"/>
      <c r="H51" s="5"/>
      <c r="I51" s="4"/>
      <c r="J51" s="4"/>
      <c r="K51" s="5"/>
      <c r="Q51" t="e">
        <f>VLOOKUP(A51,'גיליון דאטה להכל'!A:E,5,0)</f>
        <v>#N/A</v>
      </c>
      <c r="R51" t="e">
        <f>VLOOKUP(A51,'לעדכן בסינתזה דאטה אריזה 42+24'!$A:$C,3,0)</f>
        <v>#N/A</v>
      </c>
      <c r="S51" t="e">
        <f>VLOOKUP(#REF!,'מלאי לא תקין'!A:N,17,0)</f>
        <v>#REF!</v>
      </c>
      <c r="T51" t="e">
        <f t="shared" si="2"/>
        <v>#REF!</v>
      </c>
      <c r="U51" t="e">
        <f t="shared" si="3"/>
        <v>#REF!</v>
      </c>
    </row>
    <row r="52" spans="4:21" x14ac:dyDescent="0.2">
      <c r="D52" s="4"/>
      <c r="G52" s="5"/>
      <c r="H52" s="7"/>
      <c r="I52" s="4"/>
      <c r="J52" s="4"/>
      <c r="K52" s="5"/>
      <c r="Q52" t="e">
        <f>VLOOKUP(A52,'גיליון דאטה להכל'!A:E,5,0)</f>
        <v>#N/A</v>
      </c>
      <c r="R52" t="e">
        <f>VLOOKUP(A52,'לעדכן בסינתזה דאטה אריזה 42+24'!$A:$C,3,0)</f>
        <v>#N/A</v>
      </c>
      <c r="S52" t="e">
        <f>VLOOKUP(#REF!,'מלאי לא תקין'!A:N,17,0)</f>
        <v>#REF!</v>
      </c>
      <c r="T52" t="e">
        <f t="shared" si="2"/>
        <v>#REF!</v>
      </c>
      <c r="U52" t="e">
        <f t="shared" si="3"/>
        <v>#REF!</v>
      </c>
    </row>
    <row r="53" spans="4:21" x14ac:dyDescent="0.2">
      <c r="D53" s="4"/>
      <c r="G53" s="5"/>
      <c r="H53" s="5"/>
      <c r="I53" s="4"/>
      <c r="J53" s="4"/>
      <c r="K53" s="5"/>
      <c r="Q53" t="e">
        <f>VLOOKUP(A53,'גיליון דאטה להכל'!A:E,5,0)</f>
        <v>#N/A</v>
      </c>
      <c r="R53" t="e">
        <f>VLOOKUP(A53,'לעדכן בסינתזה דאטה אריזה 42+24'!$A:$C,3,0)</f>
        <v>#N/A</v>
      </c>
      <c r="S53" t="e">
        <f>VLOOKUP(#REF!,'מלאי לא תקין'!A:N,17,0)</f>
        <v>#REF!</v>
      </c>
      <c r="T53" t="e">
        <f t="shared" si="2"/>
        <v>#REF!</v>
      </c>
      <c r="U53" t="e">
        <f t="shared" si="3"/>
        <v>#REF!</v>
      </c>
    </row>
    <row r="54" spans="4:21" x14ac:dyDescent="0.2">
      <c r="D54" s="4"/>
      <c r="G54" s="5"/>
      <c r="H54" s="5"/>
      <c r="I54" s="4"/>
      <c r="J54" s="4"/>
      <c r="K54" s="5"/>
      <c r="Q54" t="e">
        <f>VLOOKUP(A54,'גיליון דאטה להכל'!A:E,5,0)</f>
        <v>#N/A</v>
      </c>
      <c r="R54" t="e">
        <f>VLOOKUP(A54,'לעדכן בסינתזה דאטה אריזה 42+24'!$A:$C,3,0)</f>
        <v>#N/A</v>
      </c>
      <c r="S54" t="e">
        <f>VLOOKUP(#REF!,'מלאי לא תקין'!A:N,17,0)</f>
        <v>#REF!</v>
      </c>
      <c r="T54" t="e">
        <f t="shared" si="2"/>
        <v>#REF!</v>
      </c>
      <c r="U54" t="e">
        <f t="shared" si="3"/>
        <v>#REF!</v>
      </c>
    </row>
    <row r="55" spans="4:21" x14ac:dyDescent="0.2">
      <c r="D55" s="4"/>
      <c r="G55" s="5"/>
      <c r="H55" s="5"/>
      <c r="I55" s="4"/>
      <c r="J55" s="4"/>
      <c r="K55" s="5"/>
      <c r="Q55" t="e">
        <f>VLOOKUP(A55,'גיליון דאטה להכל'!A:E,5,0)</f>
        <v>#N/A</v>
      </c>
      <c r="R55" t="e">
        <f>VLOOKUP(A55,'לעדכן בסינתזה דאטה אריזה 42+24'!$A:$C,3,0)</f>
        <v>#N/A</v>
      </c>
      <c r="S55" t="e">
        <f>VLOOKUP(#REF!,'מלאי לא תקין'!A:N,17,0)</f>
        <v>#REF!</v>
      </c>
      <c r="T55" t="e">
        <f t="shared" si="2"/>
        <v>#REF!</v>
      </c>
      <c r="U55" t="e">
        <f t="shared" si="3"/>
        <v>#REF!</v>
      </c>
    </row>
    <row r="56" spans="4:21" x14ac:dyDescent="0.2">
      <c r="D56" s="4"/>
      <c r="G56" s="5"/>
      <c r="H56" s="5"/>
      <c r="I56" s="4"/>
      <c r="J56" s="4"/>
      <c r="K56" s="5"/>
      <c r="Q56" t="e">
        <f>VLOOKUP(A56,'גיליון דאטה להכל'!A:E,5,0)</f>
        <v>#N/A</v>
      </c>
      <c r="R56" t="e">
        <f>VLOOKUP(A56,'לעדכן בסינתזה דאטה אריזה 42+24'!$A:$C,3,0)</f>
        <v>#N/A</v>
      </c>
      <c r="S56" t="e">
        <f>VLOOKUP(#REF!,'מלאי לא תקין'!A:N,17,0)</f>
        <v>#REF!</v>
      </c>
      <c r="T56" t="e">
        <f t="shared" si="2"/>
        <v>#REF!</v>
      </c>
      <c r="U56" t="e">
        <f t="shared" si="3"/>
        <v>#REF!</v>
      </c>
    </row>
    <row r="57" spans="4:21" x14ac:dyDescent="0.2">
      <c r="D57" s="4"/>
      <c r="G57" s="5"/>
      <c r="H57" s="5"/>
      <c r="I57" s="4"/>
      <c r="J57" s="4"/>
      <c r="K57" s="5"/>
      <c r="Q57" t="e">
        <f>VLOOKUP(A57,'גיליון דאטה להכל'!A:E,5,0)</f>
        <v>#N/A</v>
      </c>
      <c r="R57" t="e">
        <f>VLOOKUP(A57,'לעדכן בסינתזה דאטה אריזה 42+24'!$A:$C,3,0)</f>
        <v>#N/A</v>
      </c>
      <c r="S57" t="e">
        <f>VLOOKUP(#REF!,'מלאי לא תקין'!A:N,17,0)</f>
        <v>#REF!</v>
      </c>
      <c r="T57" t="e">
        <f t="shared" si="2"/>
        <v>#REF!</v>
      </c>
      <c r="U57" t="e">
        <f t="shared" si="3"/>
        <v>#REF!</v>
      </c>
    </row>
    <row r="58" spans="4:21" x14ac:dyDescent="0.2">
      <c r="D58" s="4"/>
      <c r="G58" s="5"/>
      <c r="H58" s="7"/>
      <c r="I58" s="4"/>
      <c r="J58" s="4"/>
      <c r="K58" s="5"/>
      <c r="Q58" t="e">
        <f>VLOOKUP(A58,'גיליון דאטה להכל'!A:E,5,0)</f>
        <v>#N/A</v>
      </c>
      <c r="R58" t="e">
        <f>VLOOKUP(A58,'לעדכן בסינתזה דאטה אריזה 42+24'!$A:$C,3,0)</f>
        <v>#N/A</v>
      </c>
      <c r="S58" t="e">
        <f>VLOOKUP(#REF!,'מלאי לא תקין'!A:N,17,0)</f>
        <v>#REF!</v>
      </c>
      <c r="T58" t="e">
        <f t="shared" si="2"/>
        <v>#REF!</v>
      </c>
      <c r="U58" t="e">
        <f t="shared" si="3"/>
        <v>#REF!</v>
      </c>
    </row>
    <row r="59" spans="4:21" x14ac:dyDescent="0.2">
      <c r="D59" s="4"/>
      <c r="G59" s="5"/>
      <c r="H59" s="5"/>
      <c r="I59" s="4"/>
      <c r="J59" s="4"/>
      <c r="K59" s="5"/>
      <c r="Q59" t="e">
        <f>VLOOKUP(A59,'גיליון דאטה להכל'!A:E,5,0)</f>
        <v>#N/A</v>
      </c>
      <c r="R59" t="e">
        <f>VLOOKUP(A59,'לעדכן בסינתזה דאטה אריזה 42+24'!$A:$C,3,0)</f>
        <v>#N/A</v>
      </c>
      <c r="S59" t="e">
        <f>VLOOKUP(#REF!,'מלאי לא תקין'!A:N,17,0)</f>
        <v>#REF!</v>
      </c>
      <c r="T59" t="e">
        <f t="shared" si="2"/>
        <v>#REF!</v>
      </c>
      <c r="U59" t="e">
        <f t="shared" si="3"/>
        <v>#REF!</v>
      </c>
    </row>
    <row r="60" spans="4:21" x14ac:dyDescent="0.2">
      <c r="D60" s="4"/>
      <c r="G60" s="5"/>
      <c r="H60" s="5"/>
      <c r="I60" s="4"/>
      <c r="J60" s="4"/>
      <c r="K60" s="5"/>
      <c r="Q60" t="e">
        <f>VLOOKUP(A60,'גיליון דאטה להכל'!A:E,5,0)</f>
        <v>#N/A</v>
      </c>
      <c r="R60" t="e">
        <f>VLOOKUP(A60,'לעדכן בסינתזה דאטה אריזה 42+24'!$A:$C,3,0)</f>
        <v>#N/A</v>
      </c>
      <c r="S60" t="e">
        <f>VLOOKUP(#REF!,'מלאי לא תקין'!A:N,17,0)</f>
        <v>#REF!</v>
      </c>
      <c r="T60" t="e">
        <f t="shared" si="2"/>
        <v>#REF!</v>
      </c>
      <c r="U60" t="e">
        <f t="shared" si="3"/>
        <v>#REF!</v>
      </c>
    </row>
    <row r="61" spans="4:21" x14ac:dyDescent="0.2">
      <c r="D61" s="4"/>
      <c r="G61" s="5"/>
      <c r="H61" s="5"/>
      <c r="I61" s="4"/>
      <c r="J61" s="4"/>
      <c r="K61" s="5"/>
      <c r="Q61" t="e">
        <f>VLOOKUP(A61,'גיליון דאטה להכל'!A:E,5,0)</f>
        <v>#N/A</v>
      </c>
      <c r="R61" t="e">
        <f>VLOOKUP(A61,'לעדכן בסינתזה דאטה אריזה 42+24'!$A:$C,3,0)</f>
        <v>#N/A</v>
      </c>
      <c r="S61" t="e">
        <f>VLOOKUP(#REF!,'מלאי לא תקין'!A:N,17,0)</f>
        <v>#REF!</v>
      </c>
      <c r="T61" t="e">
        <f t="shared" si="2"/>
        <v>#REF!</v>
      </c>
      <c r="U61" t="e">
        <f t="shared" si="3"/>
        <v>#REF!</v>
      </c>
    </row>
    <row r="62" spans="4:21" x14ac:dyDescent="0.2">
      <c r="D62" s="4"/>
      <c r="G62" s="5"/>
      <c r="H62" s="5"/>
      <c r="I62" s="4"/>
      <c r="J62" s="4"/>
      <c r="K62" s="5"/>
      <c r="Q62" t="e">
        <f>VLOOKUP(A62,'גיליון דאטה להכל'!A:E,5,0)</f>
        <v>#N/A</v>
      </c>
      <c r="R62" t="e">
        <f>VLOOKUP(A62,'לעדכן בסינתזה דאטה אריזה 42+24'!$A:$C,3,0)</f>
        <v>#N/A</v>
      </c>
      <c r="S62" t="e">
        <f>VLOOKUP(#REF!,'מלאי לא תקין'!A:N,17,0)</f>
        <v>#REF!</v>
      </c>
      <c r="T62" t="e">
        <f t="shared" si="2"/>
        <v>#REF!</v>
      </c>
      <c r="U62" t="e">
        <f t="shared" si="3"/>
        <v>#REF!</v>
      </c>
    </row>
    <row r="63" spans="4:21" x14ac:dyDescent="0.2">
      <c r="D63" s="4"/>
      <c r="G63" s="5"/>
      <c r="H63" s="5"/>
      <c r="I63" s="4"/>
      <c r="J63" s="4"/>
      <c r="K63" s="5"/>
      <c r="Q63" t="e">
        <f>VLOOKUP(A63,'גיליון דאטה להכל'!A:E,5,0)</f>
        <v>#N/A</v>
      </c>
      <c r="R63" t="e">
        <f>VLOOKUP(A63,'לעדכן בסינתזה דאטה אריזה 42+24'!$A:$C,3,0)</f>
        <v>#N/A</v>
      </c>
      <c r="S63" t="e">
        <f>VLOOKUP(#REF!,'מלאי לא תקין'!A:N,17,0)</f>
        <v>#REF!</v>
      </c>
      <c r="T63" t="e">
        <f t="shared" si="2"/>
        <v>#REF!</v>
      </c>
      <c r="U63" t="e">
        <f t="shared" si="3"/>
        <v>#REF!</v>
      </c>
    </row>
    <row r="64" spans="4:21" x14ac:dyDescent="0.2">
      <c r="D64" s="4"/>
      <c r="G64" s="5"/>
      <c r="H64" s="7"/>
      <c r="I64" s="4"/>
      <c r="J64" s="4"/>
      <c r="K64" s="5"/>
      <c r="Q64" t="e">
        <f>VLOOKUP(A64,'גיליון דאטה להכל'!A:E,5,0)</f>
        <v>#N/A</v>
      </c>
      <c r="R64" t="e">
        <f>VLOOKUP(A64,'לעדכן בסינתזה דאטה אריזה 42+24'!$A:$C,3,0)</f>
        <v>#N/A</v>
      </c>
      <c r="S64" t="e">
        <f>VLOOKUP(#REF!,'מלאי לא תקין'!A:N,17,0)</f>
        <v>#REF!</v>
      </c>
      <c r="T64" t="e">
        <f t="shared" si="2"/>
        <v>#REF!</v>
      </c>
      <c r="U64" t="e">
        <f t="shared" si="3"/>
        <v>#REF!</v>
      </c>
    </row>
    <row r="65" spans="4:21" x14ac:dyDescent="0.2">
      <c r="D65" s="4"/>
      <c r="G65" s="5"/>
      <c r="H65" s="5"/>
      <c r="I65" s="4"/>
      <c r="J65" s="4"/>
      <c r="K65" s="5"/>
      <c r="Q65" t="e">
        <f>VLOOKUP(A65,'גיליון דאטה להכל'!A:E,5,0)</f>
        <v>#N/A</v>
      </c>
      <c r="R65" t="e">
        <f>VLOOKUP(A65,'לעדכן בסינתזה דאטה אריזה 42+24'!$A:$C,3,0)</f>
        <v>#N/A</v>
      </c>
      <c r="S65" t="e">
        <f>VLOOKUP(#REF!,'מלאי לא תקין'!A:N,17,0)</f>
        <v>#REF!</v>
      </c>
      <c r="T65" t="e">
        <f t="shared" si="2"/>
        <v>#REF!</v>
      </c>
      <c r="U65" t="e">
        <f t="shared" si="3"/>
        <v>#REF!</v>
      </c>
    </row>
    <row r="66" spans="4:21" x14ac:dyDescent="0.2">
      <c r="D66" s="4"/>
      <c r="G66" s="5"/>
      <c r="H66" s="5"/>
      <c r="I66" s="4"/>
      <c r="J66" s="4"/>
      <c r="K66" s="5"/>
      <c r="Q66" t="e">
        <f>VLOOKUP(A66,'גיליון דאטה להכל'!A:E,5,0)</f>
        <v>#N/A</v>
      </c>
      <c r="R66" t="e">
        <f>VLOOKUP(A66,'לעדכן בסינתזה דאטה אריזה 42+24'!$A:$C,3,0)</f>
        <v>#N/A</v>
      </c>
      <c r="S66" t="e">
        <f>VLOOKUP(#REF!,'מלאי לא תקין'!A:N,17,0)</f>
        <v>#REF!</v>
      </c>
      <c r="T66" t="e">
        <f t="shared" si="2"/>
        <v>#REF!</v>
      </c>
      <c r="U66" t="e">
        <f t="shared" si="3"/>
        <v>#REF!</v>
      </c>
    </row>
    <row r="67" spans="4:21" x14ac:dyDescent="0.2">
      <c r="D67" s="4"/>
      <c r="G67" s="5"/>
      <c r="H67" s="5"/>
      <c r="I67" s="4"/>
      <c r="J67" s="4"/>
      <c r="K67" s="5"/>
      <c r="Q67" t="e">
        <f>VLOOKUP(A67,'גיליון דאטה להכל'!A:E,5,0)</f>
        <v>#N/A</v>
      </c>
      <c r="R67" t="e">
        <f>VLOOKUP(A67,'לעדכן בסינתזה דאטה אריזה 42+24'!$A:$C,3,0)</f>
        <v>#N/A</v>
      </c>
      <c r="S67" t="e">
        <f>VLOOKUP(#REF!,'מלאי לא תקין'!A:N,17,0)</f>
        <v>#REF!</v>
      </c>
      <c r="T67" t="e">
        <f t="shared" si="2"/>
        <v>#REF!</v>
      </c>
      <c r="U67" t="e">
        <f t="shared" si="3"/>
        <v>#REF!</v>
      </c>
    </row>
    <row r="68" spans="4:21" x14ac:dyDescent="0.2">
      <c r="D68" s="4"/>
      <c r="G68" s="5"/>
      <c r="H68" s="5"/>
      <c r="I68" s="4"/>
      <c r="J68" s="4"/>
      <c r="K68" s="5"/>
      <c r="Q68" t="e">
        <f>VLOOKUP(A68,'גיליון דאטה להכל'!A:E,5,0)</f>
        <v>#N/A</v>
      </c>
      <c r="R68" t="e">
        <f>VLOOKUP(A68,'לעדכן בסינתזה דאטה אריזה 42+24'!$A:$C,3,0)</f>
        <v>#N/A</v>
      </c>
      <c r="S68" t="e">
        <f>VLOOKUP(#REF!,'מלאי לא תקין'!A:N,17,0)</f>
        <v>#REF!</v>
      </c>
      <c r="T68" t="e">
        <f t="shared" si="2"/>
        <v>#REF!</v>
      </c>
      <c r="U68" t="e">
        <f t="shared" si="3"/>
        <v>#REF!</v>
      </c>
    </row>
    <row r="69" spans="4:21" x14ac:dyDescent="0.2">
      <c r="D69" s="4"/>
      <c r="G69" s="5"/>
      <c r="H69" s="5"/>
      <c r="I69" s="4"/>
      <c r="J69" s="4"/>
      <c r="K69" s="5"/>
      <c r="Q69" t="e">
        <f>VLOOKUP(A69,'גיליון דאטה להכל'!A:E,5,0)</f>
        <v>#N/A</v>
      </c>
      <c r="R69" t="e">
        <f>VLOOKUP(A69,'לעדכן בסינתזה דאטה אריזה 42+24'!$A:$C,3,0)</f>
        <v>#N/A</v>
      </c>
      <c r="S69" t="e">
        <f>VLOOKUP(#REF!,'מלאי לא תקין'!A:N,17,0)</f>
        <v>#REF!</v>
      </c>
      <c r="T69" t="e">
        <f t="shared" si="2"/>
        <v>#REF!</v>
      </c>
      <c r="U69" t="e">
        <f t="shared" si="3"/>
        <v>#REF!</v>
      </c>
    </row>
    <row r="70" spans="4:21" x14ac:dyDescent="0.2">
      <c r="D70" s="4"/>
      <c r="G70" s="5"/>
      <c r="H70" s="7"/>
      <c r="I70" s="4"/>
      <c r="J70" s="4"/>
      <c r="K70" s="5"/>
      <c r="Q70" t="e">
        <f>VLOOKUP(A70,'גיליון דאטה להכל'!A:E,5,0)</f>
        <v>#N/A</v>
      </c>
      <c r="R70" t="e">
        <f>VLOOKUP(A70,'לעדכן בסינתזה דאטה אריזה 42+24'!$A:$C,3,0)</f>
        <v>#N/A</v>
      </c>
      <c r="S70" t="e">
        <f>VLOOKUP(#REF!,'מלאי לא תקין'!A:N,17,0)</f>
        <v>#REF!</v>
      </c>
      <c r="T70" t="e">
        <f t="shared" si="2"/>
        <v>#REF!</v>
      </c>
      <c r="U70" t="e">
        <f t="shared" si="3"/>
        <v>#REF!</v>
      </c>
    </row>
    <row r="71" spans="4:21" x14ac:dyDescent="0.2">
      <c r="D71" s="4"/>
      <c r="G71" s="5"/>
      <c r="H71" s="5"/>
      <c r="I71" s="4"/>
      <c r="J71" s="4"/>
      <c r="K71" s="5"/>
      <c r="Q71" t="e">
        <f>VLOOKUP(A71,'גיליון דאטה להכל'!A:E,5,0)</f>
        <v>#N/A</v>
      </c>
      <c r="R71" t="e">
        <f>VLOOKUP(A71,'לעדכן בסינתזה דאטה אריזה 42+24'!$A:$C,3,0)</f>
        <v>#N/A</v>
      </c>
      <c r="S71" t="e">
        <f>VLOOKUP(#REF!,'מלאי לא תקין'!A:N,17,0)</f>
        <v>#REF!</v>
      </c>
      <c r="T71" t="e">
        <f t="shared" si="2"/>
        <v>#REF!</v>
      </c>
      <c r="U71" t="e">
        <f t="shared" si="3"/>
        <v>#REF!</v>
      </c>
    </row>
    <row r="72" spans="4:21" x14ac:dyDescent="0.2">
      <c r="D72" s="4"/>
      <c r="G72" s="5"/>
      <c r="H72" s="5"/>
      <c r="I72" s="4"/>
      <c r="J72" s="4"/>
      <c r="K72" s="5"/>
      <c r="Q72" t="e">
        <f>VLOOKUP(A72,'גיליון דאטה להכל'!A:E,5,0)</f>
        <v>#N/A</v>
      </c>
      <c r="R72" t="e">
        <f>VLOOKUP(A72,'לעדכן בסינתזה דאטה אריזה 42+24'!$A:$C,3,0)</f>
        <v>#N/A</v>
      </c>
      <c r="S72" t="e">
        <f>VLOOKUP(#REF!,'מלאי לא תקין'!A:N,17,0)</f>
        <v>#REF!</v>
      </c>
      <c r="T72" t="e">
        <f t="shared" si="2"/>
        <v>#REF!</v>
      </c>
      <c r="U72" t="e">
        <f t="shared" si="3"/>
        <v>#REF!</v>
      </c>
    </row>
    <row r="73" spans="4:21" x14ac:dyDescent="0.2">
      <c r="D73" s="4"/>
      <c r="G73" s="5"/>
      <c r="H73" s="5"/>
      <c r="I73" s="4"/>
      <c r="J73" s="4"/>
      <c r="K73" s="5"/>
      <c r="Q73" t="e">
        <f>VLOOKUP(A73,'גיליון דאטה להכל'!A:E,5,0)</f>
        <v>#N/A</v>
      </c>
      <c r="R73" t="e">
        <f>VLOOKUP(A73,'לעדכן בסינתזה דאטה אריזה 42+24'!$A:$C,3,0)</f>
        <v>#N/A</v>
      </c>
      <c r="S73" t="e">
        <f>VLOOKUP(#REF!,'מלאי לא תקין'!A:N,17,0)</f>
        <v>#REF!</v>
      </c>
      <c r="T73" t="e">
        <f t="shared" si="2"/>
        <v>#REF!</v>
      </c>
      <c r="U73" t="e">
        <f t="shared" si="3"/>
        <v>#REF!</v>
      </c>
    </row>
    <row r="74" spans="4:21" x14ac:dyDescent="0.2">
      <c r="D74" s="4"/>
      <c r="G74" s="5"/>
      <c r="H74" s="5"/>
      <c r="I74" s="4"/>
      <c r="J74" s="4"/>
      <c r="K74" s="5"/>
      <c r="Q74" t="e">
        <f>VLOOKUP(A74,'גיליון דאטה להכל'!A:E,5,0)</f>
        <v>#N/A</v>
      </c>
      <c r="R74" t="e">
        <f>VLOOKUP(A74,'לעדכן בסינתזה דאטה אריזה 42+24'!$A:$C,3,0)</f>
        <v>#N/A</v>
      </c>
      <c r="S74" t="e">
        <f>VLOOKUP(#REF!,'מלאי לא תקין'!A:N,17,0)</f>
        <v>#REF!</v>
      </c>
      <c r="T74" t="e">
        <f t="shared" si="2"/>
        <v>#REF!</v>
      </c>
      <c r="U74" t="e">
        <f t="shared" si="3"/>
        <v>#REF!</v>
      </c>
    </row>
    <row r="75" spans="4:21" x14ac:dyDescent="0.2">
      <c r="D75" s="4"/>
      <c r="G75" s="5"/>
      <c r="H75" s="5"/>
      <c r="I75" s="4"/>
      <c r="J75" s="4"/>
      <c r="K75" s="5"/>
      <c r="Q75" t="e">
        <f>VLOOKUP(A75,'גיליון דאטה להכל'!A:E,5,0)</f>
        <v>#N/A</v>
      </c>
      <c r="R75" t="e">
        <f>VLOOKUP(A75,'לעדכן בסינתזה דאטה אריזה 42+24'!$A:$C,3,0)</f>
        <v>#N/A</v>
      </c>
      <c r="S75" t="e">
        <f>VLOOKUP(#REF!,'מלאי לא תקין'!A:N,17,0)</f>
        <v>#REF!</v>
      </c>
      <c r="T75" t="e">
        <f t="shared" ref="T75:T117" si="4">_xlfn.CONCAT(S75,Q75)</f>
        <v>#REF!</v>
      </c>
      <c r="U75" t="e">
        <f t="shared" ref="U75:U117" si="5">_xlfn.CONCAT(S75,O75)</f>
        <v>#REF!</v>
      </c>
    </row>
    <row r="76" spans="4:21" x14ac:dyDescent="0.2">
      <c r="D76" s="4"/>
      <c r="G76" s="5"/>
      <c r="H76" s="7"/>
      <c r="I76" s="4"/>
      <c r="J76" s="4"/>
      <c r="K76" s="5"/>
      <c r="Q76" t="e">
        <f>VLOOKUP(A76,'גיליון דאטה להכל'!A:E,5,0)</f>
        <v>#N/A</v>
      </c>
      <c r="R76" t="e">
        <f>VLOOKUP(A76,'לעדכן בסינתזה דאטה אריזה 42+24'!$A:$C,3,0)</f>
        <v>#N/A</v>
      </c>
      <c r="S76" t="e">
        <f>VLOOKUP(#REF!,'מלאי לא תקין'!A:N,17,0)</f>
        <v>#REF!</v>
      </c>
      <c r="T76" t="e">
        <f t="shared" si="4"/>
        <v>#REF!</v>
      </c>
      <c r="U76" t="e">
        <f t="shared" si="5"/>
        <v>#REF!</v>
      </c>
    </row>
    <row r="77" spans="4:21" x14ac:dyDescent="0.2">
      <c r="D77" s="4"/>
      <c r="G77" s="5"/>
      <c r="H77" s="5"/>
      <c r="I77" s="4"/>
      <c r="J77" s="4"/>
      <c r="K77" s="5"/>
      <c r="Q77" t="e">
        <f>VLOOKUP(A77,'גיליון דאטה להכל'!A:E,5,0)</f>
        <v>#N/A</v>
      </c>
      <c r="R77" t="e">
        <f>VLOOKUP(A77,'לעדכן בסינתזה דאטה אריזה 42+24'!$A:$C,3,0)</f>
        <v>#N/A</v>
      </c>
      <c r="S77" t="e">
        <f>VLOOKUP(#REF!,'מלאי לא תקין'!A:N,17,0)</f>
        <v>#REF!</v>
      </c>
      <c r="T77" t="e">
        <f t="shared" si="4"/>
        <v>#REF!</v>
      </c>
      <c r="U77" t="e">
        <f t="shared" si="5"/>
        <v>#REF!</v>
      </c>
    </row>
    <row r="78" spans="4:21" x14ac:dyDescent="0.2">
      <c r="D78" s="4"/>
      <c r="G78" s="5"/>
      <c r="H78" s="5"/>
      <c r="I78" s="4"/>
      <c r="J78" s="4"/>
      <c r="K78" s="5"/>
      <c r="Q78" t="e">
        <f>VLOOKUP(A78,'גיליון דאטה להכל'!A:E,5,0)</f>
        <v>#N/A</v>
      </c>
      <c r="R78" t="e">
        <f>VLOOKUP(A78,'לעדכן בסינתזה דאטה אריזה 42+24'!$A:$C,3,0)</f>
        <v>#N/A</v>
      </c>
      <c r="S78" t="e">
        <f>VLOOKUP(#REF!,'מלאי לא תקין'!A:N,17,0)</f>
        <v>#REF!</v>
      </c>
      <c r="T78" t="e">
        <f t="shared" si="4"/>
        <v>#REF!</v>
      </c>
      <c r="U78" t="e">
        <f t="shared" si="5"/>
        <v>#REF!</v>
      </c>
    </row>
    <row r="79" spans="4:21" x14ac:dyDescent="0.2">
      <c r="D79" s="4"/>
      <c r="G79" s="5"/>
      <c r="H79" s="5"/>
      <c r="I79" s="4"/>
      <c r="J79" s="4"/>
      <c r="K79" s="5"/>
      <c r="Q79" t="e">
        <f>VLOOKUP(A79,'גיליון דאטה להכל'!A:E,5,0)</f>
        <v>#N/A</v>
      </c>
      <c r="R79" t="e">
        <f>VLOOKUP(A79,'לעדכן בסינתזה דאטה אריזה 42+24'!$A:$C,3,0)</f>
        <v>#N/A</v>
      </c>
      <c r="S79" t="e">
        <f>VLOOKUP(#REF!,'מלאי לא תקין'!A:N,17,0)</f>
        <v>#REF!</v>
      </c>
      <c r="T79" t="e">
        <f t="shared" si="4"/>
        <v>#REF!</v>
      </c>
      <c r="U79" t="e">
        <f t="shared" si="5"/>
        <v>#REF!</v>
      </c>
    </row>
    <row r="80" spans="4:21" x14ac:dyDescent="0.2">
      <c r="D80" s="4"/>
      <c r="G80" s="5"/>
      <c r="H80" s="5"/>
      <c r="I80" s="4"/>
      <c r="J80" s="4"/>
      <c r="K80" s="5"/>
      <c r="Q80" t="e">
        <f>VLOOKUP(A80,'גיליון דאטה להכל'!A:E,5,0)</f>
        <v>#N/A</v>
      </c>
      <c r="R80" t="e">
        <f>VLOOKUP(A80,'לעדכן בסינתזה דאטה אריזה 42+24'!$A:$C,3,0)</f>
        <v>#N/A</v>
      </c>
      <c r="S80" t="e">
        <f>VLOOKUP(#REF!,'מלאי לא תקין'!A:N,17,0)</f>
        <v>#REF!</v>
      </c>
      <c r="T80" t="e">
        <f t="shared" si="4"/>
        <v>#REF!</v>
      </c>
      <c r="U80" t="e">
        <f t="shared" si="5"/>
        <v>#REF!</v>
      </c>
    </row>
    <row r="81" spans="4:21" x14ac:dyDescent="0.2">
      <c r="D81" s="4"/>
      <c r="G81" s="5"/>
      <c r="H81" s="5"/>
      <c r="I81" s="4"/>
      <c r="J81" s="4"/>
      <c r="K81" s="5"/>
      <c r="Q81" t="e">
        <f>VLOOKUP(A81,'גיליון דאטה להכל'!A:E,5,0)</f>
        <v>#N/A</v>
      </c>
      <c r="R81" t="e">
        <f>VLOOKUP(A81,'לעדכן בסינתזה דאטה אריזה 42+24'!$A:$C,3,0)</f>
        <v>#N/A</v>
      </c>
      <c r="S81" t="e">
        <f>VLOOKUP(#REF!,'מלאי לא תקין'!A:N,17,0)</f>
        <v>#REF!</v>
      </c>
      <c r="T81" t="e">
        <f t="shared" si="4"/>
        <v>#REF!</v>
      </c>
      <c r="U81" t="e">
        <f t="shared" si="5"/>
        <v>#REF!</v>
      </c>
    </row>
    <row r="82" spans="4:21" x14ac:dyDescent="0.2">
      <c r="D82" s="4"/>
      <c r="G82" s="5"/>
      <c r="H82" s="7"/>
      <c r="I82" s="4"/>
      <c r="J82" s="4"/>
      <c r="K82" s="5"/>
      <c r="Q82" t="e">
        <f>VLOOKUP(A82,'גיליון דאטה להכל'!A:E,5,0)</f>
        <v>#N/A</v>
      </c>
      <c r="R82" t="e">
        <f>VLOOKUP(A82,'לעדכן בסינתזה דאטה אריזה 42+24'!$A:$C,3,0)</f>
        <v>#N/A</v>
      </c>
      <c r="S82" t="e">
        <f>VLOOKUP(#REF!,'מלאי לא תקין'!A:N,17,0)</f>
        <v>#REF!</v>
      </c>
      <c r="T82" t="e">
        <f t="shared" si="4"/>
        <v>#REF!</v>
      </c>
      <c r="U82" t="e">
        <f t="shared" si="5"/>
        <v>#REF!</v>
      </c>
    </row>
    <row r="83" spans="4:21" x14ac:dyDescent="0.2">
      <c r="D83" s="4"/>
      <c r="G83" s="5"/>
      <c r="H83" s="5"/>
      <c r="I83" s="4"/>
      <c r="J83" s="4"/>
      <c r="K83" s="5"/>
      <c r="Q83" t="e">
        <f>VLOOKUP(A83,'גיליון דאטה להכל'!A:E,5,0)</f>
        <v>#N/A</v>
      </c>
      <c r="R83" t="e">
        <f>VLOOKUP(A83,'לעדכן בסינתזה דאטה אריזה 42+24'!$A:$C,3,0)</f>
        <v>#N/A</v>
      </c>
      <c r="S83" t="e">
        <f>VLOOKUP(#REF!,'מלאי לא תקין'!A:N,17,0)</f>
        <v>#REF!</v>
      </c>
      <c r="T83" t="e">
        <f t="shared" si="4"/>
        <v>#REF!</v>
      </c>
      <c r="U83" t="e">
        <f t="shared" si="5"/>
        <v>#REF!</v>
      </c>
    </row>
    <row r="84" spans="4:21" x14ac:dyDescent="0.2">
      <c r="D84" s="4"/>
      <c r="G84" s="5"/>
      <c r="H84" s="7"/>
      <c r="I84" s="4"/>
      <c r="J84" s="4"/>
      <c r="K84" s="5"/>
      <c r="Q84" t="e">
        <f>VLOOKUP(A84,'גיליון דאטה להכל'!A:E,5,0)</f>
        <v>#N/A</v>
      </c>
      <c r="R84" t="e">
        <f>VLOOKUP(A84,'לעדכן בסינתזה דאטה אריזה 42+24'!$A:$C,3,0)</f>
        <v>#N/A</v>
      </c>
      <c r="S84" t="e">
        <f>VLOOKUP(#REF!,'מלאי לא תקין'!A:N,17,0)</f>
        <v>#REF!</v>
      </c>
      <c r="T84" t="e">
        <f t="shared" si="4"/>
        <v>#REF!</v>
      </c>
      <c r="U84" t="e">
        <f t="shared" si="5"/>
        <v>#REF!</v>
      </c>
    </row>
    <row r="85" spans="4:21" x14ac:dyDescent="0.2">
      <c r="D85" s="4"/>
      <c r="G85" s="5"/>
      <c r="H85" s="5"/>
      <c r="I85" s="4"/>
      <c r="J85" s="4"/>
      <c r="K85" s="5"/>
      <c r="Q85" t="e">
        <f>VLOOKUP(A85,'גיליון דאטה להכל'!A:E,5,0)</f>
        <v>#N/A</v>
      </c>
      <c r="R85" t="e">
        <f>VLOOKUP(A85,'לעדכן בסינתזה דאטה אריזה 42+24'!$A:$C,3,0)</f>
        <v>#N/A</v>
      </c>
      <c r="S85" t="e">
        <f>VLOOKUP(#REF!,'מלאי לא תקין'!A:N,17,0)</f>
        <v>#REF!</v>
      </c>
      <c r="T85" t="e">
        <f t="shared" si="4"/>
        <v>#REF!</v>
      </c>
      <c r="U85" t="e">
        <f t="shared" si="5"/>
        <v>#REF!</v>
      </c>
    </row>
    <row r="86" spans="4:21" x14ac:dyDescent="0.2">
      <c r="D86" s="4"/>
      <c r="G86" s="5"/>
      <c r="H86" s="5"/>
      <c r="I86" s="4"/>
      <c r="J86" s="4"/>
      <c r="K86" s="5"/>
      <c r="Q86" t="e">
        <f>VLOOKUP(A86,'גיליון דאטה להכל'!A:E,5,0)</f>
        <v>#N/A</v>
      </c>
      <c r="R86" t="e">
        <f>VLOOKUP(A86,'לעדכן בסינתזה דאטה אריזה 42+24'!$A:$C,3,0)</f>
        <v>#N/A</v>
      </c>
      <c r="S86" t="e">
        <f>VLOOKUP(#REF!,'מלאי לא תקין'!A:N,17,0)</f>
        <v>#REF!</v>
      </c>
      <c r="T86" t="e">
        <f t="shared" si="4"/>
        <v>#REF!</v>
      </c>
      <c r="U86" t="e">
        <f t="shared" si="5"/>
        <v>#REF!</v>
      </c>
    </row>
    <row r="87" spans="4:21" x14ac:dyDescent="0.2">
      <c r="D87" s="4"/>
      <c r="G87" s="5"/>
      <c r="H87" s="5"/>
      <c r="I87" s="4"/>
      <c r="J87" s="4"/>
      <c r="K87" s="5"/>
      <c r="Q87" t="e">
        <f>VLOOKUP(A87,'גיליון דאטה להכל'!A:E,5,0)</f>
        <v>#N/A</v>
      </c>
      <c r="R87" t="e">
        <f>VLOOKUP(A87,'לעדכן בסינתזה דאטה אריזה 42+24'!$A:$C,3,0)</f>
        <v>#N/A</v>
      </c>
      <c r="S87" t="e">
        <f>VLOOKUP(#REF!,'מלאי לא תקין'!A:N,17,0)</f>
        <v>#REF!</v>
      </c>
      <c r="T87" t="e">
        <f t="shared" si="4"/>
        <v>#REF!</v>
      </c>
      <c r="U87" t="e">
        <f t="shared" si="5"/>
        <v>#REF!</v>
      </c>
    </row>
    <row r="88" spans="4:21" x14ac:dyDescent="0.2">
      <c r="D88" s="4"/>
      <c r="G88" s="5"/>
      <c r="H88" s="5"/>
      <c r="I88" s="4"/>
      <c r="J88" s="4"/>
      <c r="K88" s="5"/>
      <c r="Q88" t="e">
        <f>VLOOKUP(A88,'גיליון דאטה להכל'!A:E,5,0)</f>
        <v>#N/A</v>
      </c>
      <c r="R88" t="e">
        <f>VLOOKUP(A88,'לעדכן בסינתזה דאטה אריזה 42+24'!$A:$C,3,0)</f>
        <v>#N/A</v>
      </c>
      <c r="S88" t="e">
        <f>VLOOKUP(#REF!,'מלאי לא תקין'!A:N,17,0)</f>
        <v>#REF!</v>
      </c>
      <c r="T88" t="e">
        <f t="shared" si="4"/>
        <v>#REF!</v>
      </c>
      <c r="U88" t="e">
        <f t="shared" si="5"/>
        <v>#REF!</v>
      </c>
    </row>
    <row r="89" spans="4:21" x14ac:dyDescent="0.2">
      <c r="D89" s="4"/>
      <c r="G89" s="5"/>
      <c r="H89" s="7"/>
      <c r="I89" s="4"/>
      <c r="J89" s="4"/>
      <c r="K89" s="5"/>
      <c r="Q89" t="e">
        <f>VLOOKUP(A89,'גיליון דאטה להכל'!A:E,5,0)</f>
        <v>#N/A</v>
      </c>
      <c r="R89" t="e">
        <f>VLOOKUP(A89,'לעדכן בסינתזה דאטה אריזה 42+24'!$A:$C,3,0)</f>
        <v>#N/A</v>
      </c>
      <c r="S89" t="e">
        <f>VLOOKUP(#REF!,'מלאי לא תקין'!A:N,17,0)</f>
        <v>#REF!</v>
      </c>
      <c r="T89" t="e">
        <f t="shared" si="4"/>
        <v>#REF!</v>
      </c>
      <c r="U89" t="e">
        <f t="shared" si="5"/>
        <v>#REF!</v>
      </c>
    </row>
    <row r="90" spans="4:21" x14ac:dyDescent="0.2">
      <c r="D90" s="4"/>
      <c r="G90" s="5"/>
      <c r="H90" s="5"/>
      <c r="I90" s="4"/>
      <c r="J90" s="4"/>
      <c r="K90" s="5"/>
      <c r="Q90" t="e">
        <f>VLOOKUP(A90,'גיליון דאטה להכל'!A:E,5,0)</f>
        <v>#N/A</v>
      </c>
      <c r="R90" t="e">
        <f>VLOOKUP(A90,'לעדכן בסינתזה דאטה אריזה 42+24'!$A:$C,3,0)</f>
        <v>#N/A</v>
      </c>
      <c r="S90" t="e">
        <f>VLOOKUP(#REF!,'מלאי לא תקין'!A:N,17,0)</f>
        <v>#REF!</v>
      </c>
      <c r="T90" t="e">
        <f t="shared" si="4"/>
        <v>#REF!</v>
      </c>
      <c r="U90" t="e">
        <f t="shared" si="5"/>
        <v>#REF!</v>
      </c>
    </row>
    <row r="91" spans="4:21" x14ac:dyDescent="0.2">
      <c r="D91" s="4"/>
      <c r="G91" s="5"/>
      <c r="H91" s="5"/>
      <c r="I91" s="4"/>
      <c r="J91" s="4"/>
      <c r="K91" s="5"/>
      <c r="Q91" t="e">
        <f>VLOOKUP(A91,'גיליון דאטה להכל'!A:E,5,0)</f>
        <v>#N/A</v>
      </c>
      <c r="R91" t="e">
        <f>VLOOKUP(A91,'לעדכן בסינתזה דאטה אריזה 42+24'!$A:$C,3,0)</f>
        <v>#N/A</v>
      </c>
      <c r="S91" t="e">
        <f>VLOOKUP(#REF!,'מלאי לא תקין'!A:N,17,0)</f>
        <v>#REF!</v>
      </c>
      <c r="T91" t="e">
        <f t="shared" si="4"/>
        <v>#REF!</v>
      </c>
      <c r="U91" t="e">
        <f t="shared" si="5"/>
        <v>#REF!</v>
      </c>
    </row>
    <row r="92" spans="4:21" x14ac:dyDescent="0.2">
      <c r="D92" s="4"/>
      <c r="G92" s="5"/>
      <c r="H92" s="5"/>
      <c r="I92" s="4"/>
      <c r="J92" s="4"/>
      <c r="K92" s="5"/>
      <c r="Q92" t="e">
        <f>VLOOKUP(A92,'גיליון דאטה להכל'!A:E,5,0)</f>
        <v>#N/A</v>
      </c>
      <c r="R92" t="e">
        <f>VLOOKUP(A92,'לעדכן בסינתזה דאטה אריזה 42+24'!$A:$C,3,0)</f>
        <v>#N/A</v>
      </c>
      <c r="S92" t="e">
        <f>VLOOKUP(#REF!,'מלאי לא תקין'!A:N,17,0)</f>
        <v>#REF!</v>
      </c>
      <c r="T92" t="e">
        <f t="shared" si="4"/>
        <v>#REF!</v>
      </c>
      <c r="U92" t="e">
        <f t="shared" si="5"/>
        <v>#REF!</v>
      </c>
    </row>
    <row r="93" spans="4:21" x14ac:dyDescent="0.2">
      <c r="D93" s="4"/>
      <c r="G93" s="5"/>
      <c r="H93" s="5"/>
      <c r="I93" s="4"/>
      <c r="J93" s="4"/>
      <c r="K93" s="5"/>
      <c r="Q93" t="e">
        <f>VLOOKUP(A93,'גיליון דאטה להכל'!A:E,5,0)</f>
        <v>#N/A</v>
      </c>
      <c r="R93" t="e">
        <f>VLOOKUP(A93,'לעדכן בסינתזה דאטה אריזה 42+24'!$A:$C,3,0)</f>
        <v>#N/A</v>
      </c>
      <c r="S93" t="e">
        <f>VLOOKUP(#REF!,'מלאי לא תקין'!A:N,17,0)</f>
        <v>#REF!</v>
      </c>
      <c r="T93" t="e">
        <f t="shared" si="4"/>
        <v>#REF!</v>
      </c>
      <c r="U93" t="e">
        <f t="shared" si="5"/>
        <v>#REF!</v>
      </c>
    </row>
    <row r="94" spans="4:21" x14ac:dyDescent="0.2">
      <c r="D94" s="4"/>
      <c r="G94" s="5"/>
      <c r="H94" s="5"/>
      <c r="I94" s="4"/>
      <c r="J94" s="4"/>
      <c r="K94" s="5"/>
      <c r="Q94" t="e">
        <f>VLOOKUP(A94,'גיליון דאטה להכל'!A:E,5,0)</f>
        <v>#N/A</v>
      </c>
      <c r="R94" t="e">
        <f>VLOOKUP(A94,'לעדכן בסינתזה דאטה אריזה 42+24'!$A:$C,3,0)</f>
        <v>#N/A</v>
      </c>
      <c r="S94" t="e">
        <f>VLOOKUP(#REF!,'מלאי לא תקין'!A:N,17,0)</f>
        <v>#REF!</v>
      </c>
      <c r="T94" t="e">
        <f t="shared" si="4"/>
        <v>#REF!</v>
      </c>
      <c r="U94" t="e">
        <f t="shared" si="5"/>
        <v>#REF!</v>
      </c>
    </row>
    <row r="95" spans="4:21" x14ac:dyDescent="0.2">
      <c r="D95" s="4"/>
      <c r="G95" s="5"/>
      <c r="H95" s="7"/>
      <c r="I95" s="4"/>
      <c r="J95" s="4"/>
      <c r="K95" s="5"/>
      <c r="Q95" t="e">
        <f>VLOOKUP(A95,'גיליון דאטה להכל'!A:E,5,0)</f>
        <v>#N/A</v>
      </c>
      <c r="R95" t="e">
        <f>VLOOKUP(A95,'לעדכן בסינתזה דאטה אריזה 42+24'!$A:$C,3,0)</f>
        <v>#N/A</v>
      </c>
      <c r="S95" t="e">
        <f>VLOOKUP(#REF!,'מלאי לא תקין'!A:N,17,0)</f>
        <v>#REF!</v>
      </c>
      <c r="T95" t="e">
        <f t="shared" si="4"/>
        <v>#REF!</v>
      </c>
      <c r="U95" t="e">
        <f t="shared" si="5"/>
        <v>#REF!</v>
      </c>
    </row>
    <row r="96" spans="4:21" x14ac:dyDescent="0.2">
      <c r="D96" s="4"/>
      <c r="G96" s="5"/>
      <c r="H96" s="5"/>
      <c r="I96" s="4"/>
      <c r="J96" s="4"/>
      <c r="K96" s="5"/>
      <c r="Q96" t="e">
        <f>VLOOKUP(A96,'גיליון דאטה להכל'!A:E,5,0)</f>
        <v>#N/A</v>
      </c>
      <c r="R96" t="e">
        <f>VLOOKUP(A96,'לעדכן בסינתזה דאטה אריזה 42+24'!$A:$C,3,0)</f>
        <v>#N/A</v>
      </c>
      <c r="S96" t="e">
        <f>VLOOKUP(#REF!,'מלאי לא תקין'!A:N,17,0)</f>
        <v>#REF!</v>
      </c>
      <c r="T96" t="e">
        <f t="shared" si="4"/>
        <v>#REF!</v>
      </c>
      <c r="U96" t="e">
        <f t="shared" si="5"/>
        <v>#REF!</v>
      </c>
    </row>
    <row r="97" spans="4:21" x14ac:dyDescent="0.2">
      <c r="D97" s="4"/>
      <c r="G97" s="5"/>
      <c r="H97" s="5"/>
      <c r="I97" s="4"/>
      <c r="J97" s="4"/>
      <c r="K97" s="5"/>
      <c r="Q97" t="e">
        <f>VLOOKUP(A97,'גיליון דאטה להכל'!A:E,5,0)</f>
        <v>#N/A</v>
      </c>
      <c r="R97" t="e">
        <f>VLOOKUP(A97,'לעדכן בסינתזה דאטה אריזה 42+24'!$A:$C,3,0)</f>
        <v>#N/A</v>
      </c>
      <c r="S97" t="e">
        <f>VLOOKUP(#REF!,'מלאי לא תקין'!A:N,17,0)</f>
        <v>#REF!</v>
      </c>
      <c r="T97" t="e">
        <f t="shared" si="4"/>
        <v>#REF!</v>
      </c>
      <c r="U97" t="e">
        <f t="shared" si="5"/>
        <v>#REF!</v>
      </c>
    </row>
    <row r="98" spans="4:21" x14ac:dyDescent="0.2">
      <c r="D98" s="4"/>
      <c r="G98" s="5"/>
      <c r="H98" s="5"/>
      <c r="I98" s="4"/>
      <c r="J98" s="4"/>
      <c r="K98" s="5"/>
      <c r="Q98" t="e">
        <f>VLOOKUP(A98,'גיליון דאטה להכל'!A:E,5,0)</f>
        <v>#N/A</v>
      </c>
      <c r="R98" t="e">
        <f>VLOOKUP(A98,'לעדכן בסינתזה דאטה אריזה 42+24'!$A:$C,3,0)</f>
        <v>#N/A</v>
      </c>
      <c r="S98" t="e">
        <f>VLOOKUP(#REF!,'מלאי לא תקין'!A:N,17,0)</f>
        <v>#REF!</v>
      </c>
      <c r="T98" t="e">
        <f t="shared" si="4"/>
        <v>#REF!</v>
      </c>
      <c r="U98" t="e">
        <f t="shared" si="5"/>
        <v>#REF!</v>
      </c>
    </row>
    <row r="99" spans="4:21" x14ac:dyDescent="0.2">
      <c r="D99" s="4"/>
      <c r="G99" s="5"/>
      <c r="H99" s="5"/>
      <c r="I99" s="4"/>
      <c r="J99" s="4"/>
      <c r="K99" s="5"/>
      <c r="Q99" t="e">
        <f>VLOOKUP(A99,'גיליון דאטה להכל'!A:E,5,0)</f>
        <v>#N/A</v>
      </c>
      <c r="R99" t="e">
        <f>VLOOKUP(A99,'לעדכן בסינתזה דאטה אריזה 42+24'!$A:$C,3,0)</f>
        <v>#N/A</v>
      </c>
      <c r="S99" t="e">
        <f>VLOOKUP(#REF!,'מלאי לא תקין'!A:N,17,0)</f>
        <v>#REF!</v>
      </c>
      <c r="T99" t="e">
        <f t="shared" si="4"/>
        <v>#REF!</v>
      </c>
      <c r="U99" t="e">
        <f t="shared" si="5"/>
        <v>#REF!</v>
      </c>
    </row>
    <row r="100" spans="4:21" x14ac:dyDescent="0.2">
      <c r="D100" s="4"/>
      <c r="G100" s="5"/>
      <c r="H100" s="5"/>
      <c r="I100" s="4"/>
      <c r="J100" s="4"/>
      <c r="K100" s="5"/>
      <c r="Q100" t="e">
        <f>VLOOKUP(A100,'גיליון דאטה להכל'!A:E,5,0)</f>
        <v>#N/A</v>
      </c>
      <c r="R100" t="e">
        <f>VLOOKUP(A100,'לעדכן בסינתזה דאטה אריזה 42+24'!$A:$C,3,0)</f>
        <v>#N/A</v>
      </c>
      <c r="S100" t="e">
        <f>VLOOKUP(#REF!,'מלאי לא תקין'!A:N,17,0)</f>
        <v>#REF!</v>
      </c>
      <c r="T100" t="e">
        <f t="shared" si="4"/>
        <v>#REF!</v>
      </c>
      <c r="U100" t="e">
        <f t="shared" si="5"/>
        <v>#REF!</v>
      </c>
    </row>
    <row r="101" spans="4:21" x14ac:dyDescent="0.2">
      <c r="D101" s="4"/>
      <c r="G101" s="5"/>
      <c r="H101" s="7"/>
      <c r="I101" s="4"/>
      <c r="J101" s="4"/>
      <c r="K101" s="5"/>
      <c r="Q101" t="e">
        <f>VLOOKUP(A101,'גיליון דאטה להכל'!A:E,5,0)</f>
        <v>#N/A</v>
      </c>
      <c r="R101" t="e">
        <f>VLOOKUP(A101,'לעדכן בסינתזה דאטה אריזה 42+24'!$A:$C,3,0)</f>
        <v>#N/A</v>
      </c>
      <c r="S101" t="e">
        <f>VLOOKUP(#REF!,'מלאי לא תקין'!A:N,17,0)</f>
        <v>#REF!</v>
      </c>
      <c r="T101" t="e">
        <f t="shared" si="4"/>
        <v>#REF!</v>
      </c>
      <c r="U101" t="e">
        <f t="shared" si="5"/>
        <v>#REF!</v>
      </c>
    </row>
    <row r="102" spans="4:21" x14ac:dyDescent="0.2">
      <c r="D102" s="4"/>
      <c r="G102" s="5"/>
      <c r="H102" s="5"/>
      <c r="I102" s="4"/>
      <c r="J102" s="4"/>
      <c r="K102" s="5"/>
      <c r="Q102" t="e">
        <f>VLOOKUP(A102,'גיליון דאטה להכל'!A:E,5,0)</f>
        <v>#N/A</v>
      </c>
      <c r="R102" t="e">
        <f>VLOOKUP(A102,'לעדכן בסינתזה דאטה אריזה 42+24'!$A:$C,3,0)</f>
        <v>#N/A</v>
      </c>
      <c r="S102" t="e">
        <f>VLOOKUP(#REF!,'מלאי לא תקין'!A:N,17,0)</f>
        <v>#REF!</v>
      </c>
      <c r="T102" t="e">
        <f t="shared" si="4"/>
        <v>#REF!</v>
      </c>
      <c r="U102" t="e">
        <f t="shared" si="5"/>
        <v>#REF!</v>
      </c>
    </row>
    <row r="103" spans="4:21" x14ac:dyDescent="0.2">
      <c r="D103" s="4"/>
      <c r="G103" s="5"/>
      <c r="H103" s="5"/>
      <c r="I103" s="4"/>
      <c r="J103" s="4"/>
      <c r="K103" s="5"/>
      <c r="Q103" t="e">
        <f>VLOOKUP(A103,'גיליון דאטה להכל'!A:E,5,0)</f>
        <v>#N/A</v>
      </c>
      <c r="R103" t="e">
        <f>VLOOKUP(A103,'לעדכן בסינתזה דאטה אריזה 42+24'!$A:$C,3,0)</f>
        <v>#N/A</v>
      </c>
      <c r="S103" t="e">
        <f>VLOOKUP(#REF!,'מלאי לא תקין'!A:N,17,0)</f>
        <v>#REF!</v>
      </c>
      <c r="T103" t="e">
        <f t="shared" si="4"/>
        <v>#REF!</v>
      </c>
      <c r="U103" t="e">
        <f t="shared" si="5"/>
        <v>#REF!</v>
      </c>
    </row>
    <row r="104" spans="4:21" x14ac:dyDescent="0.2">
      <c r="D104" s="4"/>
      <c r="G104" s="5"/>
      <c r="H104" s="5"/>
      <c r="I104" s="4"/>
      <c r="J104" s="4"/>
      <c r="K104" s="5"/>
      <c r="Q104" t="e">
        <f>VLOOKUP(A104,'גיליון דאטה להכל'!A:E,5,0)</f>
        <v>#N/A</v>
      </c>
      <c r="R104" t="e">
        <f>VLOOKUP(A104,'לעדכן בסינתזה דאטה אריזה 42+24'!$A:$C,3,0)</f>
        <v>#N/A</v>
      </c>
      <c r="S104" t="e">
        <f>VLOOKUP(#REF!,'מלאי לא תקין'!A:N,17,0)</f>
        <v>#REF!</v>
      </c>
      <c r="T104" t="e">
        <f t="shared" si="4"/>
        <v>#REF!</v>
      </c>
      <c r="U104" t="e">
        <f t="shared" si="5"/>
        <v>#REF!</v>
      </c>
    </row>
    <row r="105" spans="4:21" x14ac:dyDescent="0.2">
      <c r="D105" s="4"/>
      <c r="G105" s="5"/>
      <c r="H105" s="5"/>
      <c r="I105" s="4"/>
      <c r="J105" s="4"/>
      <c r="K105" s="5"/>
      <c r="Q105" t="e">
        <f>VLOOKUP(A105,'גיליון דאטה להכל'!A:E,5,0)</f>
        <v>#N/A</v>
      </c>
      <c r="R105" t="e">
        <f>VLOOKUP(A105,'לעדכן בסינתזה דאטה אריזה 42+24'!$A:$C,3,0)</f>
        <v>#N/A</v>
      </c>
      <c r="S105" t="e">
        <f>VLOOKUP(#REF!,'מלאי לא תקין'!A:N,17,0)</f>
        <v>#REF!</v>
      </c>
      <c r="T105" t="e">
        <f t="shared" si="4"/>
        <v>#REF!</v>
      </c>
      <c r="U105" t="e">
        <f t="shared" si="5"/>
        <v>#REF!</v>
      </c>
    </row>
    <row r="106" spans="4:21" x14ac:dyDescent="0.2">
      <c r="D106" s="4"/>
      <c r="G106" s="5"/>
      <c r="H106" s="7"/>
      <c r="I106" s="4"/>
      <c r="J106" s="4"/>
      <c r="K106" s="5"/>
      <c r="Q106" t="e">
        <f>VLOOKUP(A106,'גיליון דאטה להכל'!A:E,5,0)</f>
        <v>#N/A</v>
      </c>
      <c r="R106" t="e">
        <f>VLOOKUP(A106,'לעדכן בסינתזה דאטה אריזה 42+24'!$A:$C,3,0)</f>
        <v>#N/A</v>
      </c>
      <c r="S106" t="e">
        <f>VLOOKUP(#REF!,'מלאי לא תקין'!A:N,17,0)</f>
        <v>#REF!</v>
      </c>
      <c r="T106" t="e">
        <f t="shared" si="4"/>
        <v>#REF!</v>
      </c>
      <c r="U106" t="e">
        <f t="shared" si="5"/>
        <v>#REF!</v>
      </c>
    </row>
    <row r="107" spans="4:21" x14ac:dyDescent="0.2">
      <c r="D107" s="4"/>
      <c r="G107" s="5"/>
      <c r="H107" s="5"/>
      <c r="I107" s="4"/>
      <c r="J107" s="4"/>
      <c r="K107" s="5"/>
      <c r="Q107" t="e">
        <f>VLOOKUP(A107,'גיליון דאטה להכל'!A:E,5,0)</f>
        <v>#N/A</v>
      </c>
      <c r="R107" t="e">
        <f>VLOOKUP(A107,'לעדכן בסינתזה דאטה אריזה 42+24'!$A:$C,3,0)</f>
        <v>#N/A</v>
      </c>
      <c r="S107" t="e">
        <f>VLOOKUP(#REF!,'מלאי לא תקין'!A:N,17,0)</f>
        <v>#REF!</v>
      </c>
      <c r="T107" t="e">
        <f t="shared" si="4"/>
        <v>#REF!</v>
      </c>
      <c r="U107" t="e">
        <f t="shared" si="5"/>
        <v>#REF!</v>
      </c>
    </row>
    <row r="108" spans="4:21" x14ac:dyDescent="0.2">
      <c r="D108" s="4"/>
      <c r="G108" s="5"/>
      <c r="H108" s="5"/>
      <c r="I108" s="4"/>
      <c r="J108" s="4"/>
      <c r="K108" s="5"/>
      <c r="Q108" t="e">
        <f>VLOOKUP(A108,'גיליון דאטה להכל'!A:E,5,0)</f>
        <v>#N/A</v>
      </c>
      <c r="R108" t="e">
        <f>VLOOKUP(A108,'לעדכן בסינתזה דאטה אריזה 42+24'!$A:$C,3,0)</f>
        <v>#N/A</v>
      </c>
      <c r="S108" t="e">
        <f>VLOOKUP(#REF!,'מלאי לא תקין'!A:N,17,0)</f>
        <v>#REF!</v>
      </c>
      <c r="T108" t="e">
        <f t="shared" si="4"/>
        <v>#REF!</v>
      </c>
      <c r="U108" t="e">
        <f t="shared" si="5"/>
        <v>#REF!</v>
      </c>
    </row>
    <row r="109" spans="4:21" x14ac:dyDescent="0.2">
      <c r="D109" s="4"/>
      <c r="G109" s="5"/>
      <c r="H109" s="5"/>
      <c r="I109" s="4"/>
      <c r="J109" s="4"/>
      <c r="K109" s="5"/>
      <c r="Q109" t="e">
        <f>VLOOKUP(A109,'גיליון דאטה להכל'!A:E,5,0)</f>
        <v>#N/A</v>
      </c>
      <c r="R109" t="e">
        <f>VLOOKUP(A109,'לעדכן בסינתזה דאטה אריזה 42+24'!$A:$C,3,0)</f>
        <v>#N/A</v>
      </c>
      <c r="S109" t="e">
        <f>VLOOKUP(#REF!,'מלאי לא תקין'!A:N,17,0)</f>
        <v>#REF!</v>
      </c>
      <c r="T109" t="e">
        <f t="shared" si="4"/>
        <v>#REF!</v>
      </c>
      <c r="U109" t="e">
        <f t="shared" si="5"/>
        <v>#REF!</v>
      </c>
    </row>
    <row r="110" spans="4:21" x14ac:dyDescent="0.2">
      <c r="D110" s="4"/>
      <c r="G110" s="5"/>
      <c r="H110" s="5"/>
      <c r="I110" s="4"/>
      <c r="J110" s="4"/>
      <c r="K110" s="5"/>
      <c r="Q110" t="e">
        <f>VLOOKUP(A110,'גיליון דאטה להכל'!A:E,5,0)</f>
        <v>#N/A</v>
      </c>
      <c r="R110" t="e">
        <f>VLOOKUP(A110,'לעדכן בסינתזה דאטה אריזה 42+24'!$A:$C,3,0)</f>
        <v>#N/A</v>
      </c>
      <c r="S110" t="e">
        <f>VLOOKUP(#REF!,'מלאי לא תקין'!A:N,17,0)</f>
        <v>#REF!</v>
      </c>
      <c r="T110" t="e">
        <f t="shared" si="4"/>
        <v>#REF!</v>
      </c>
      <c r="U110" t="e">
        <f t="shared" si="5"/>
        <v>#REF!</v>
      </c>
    </row>
    <row r="111" spans="4:21" x14ac:dyDescent="0.2">
      <c r="D111" s="4"/>
      <c r="G111" s="5"/>
      <c r="H111" s="5"/>
      <c r="I111" s="4"/>
      <c r="J111" s="4"/>
      <c r="K111" s="5"/>
      <c r="Q111" t="e">
        <f>VLOOKUP(A111,'גיליון דאטה להכל'!A:E,5,0)</f>
        <v>#N/A</v>
      </c>
      <c r="R111" t="e">
        <f>VLOOKUP(A111,'לעדכן בסינתזה דאטה אריזה 42+24'!$A:$C,3,0)</f>
        <v>#N/A</v>
      </c>
      <c r="S111" t="e">
        <f>VLOOKUP(#REF!,'מלאי לא תקין'!A:N,17,0)</f>
        <v>#REF!</v>
      </c>
      <c r="T111" t="e">
        <f t="shared" si="4"/>
        <v>#REF!</v>
      </c>
      <c r="U111" t="e">
        <f t="shared" si="5"/>
        <v>#REF!</v>
      </c>
    </row>
    <row r="112" spans="4:21" x14ac:dyDescent="0.2">
      <c r="D112" s="4"/>
      <c r="G112" s="5"/>
      <c r="H112" s="7"/>
      <c r="I112" s="4"/>
      <c r="J112" s="4"/>
      <c r="K112" s="5"/>
      <c r="Q112" t="e">
        <f>VLOOKUP(A112,'גיליון דאטה להכל'!A:E,5,0)</f>
        <v>#N/A</v>
      </c>
      <c r="R112" t="e">
        <f>VLOOKUP(A112,'לעדכן בסינתזה דאטה אריזה 42+24'!$A:$C,3,0)</f>
        <v>#N/A</v>
      </c>
      <c r="S112" t="e">
        <f>VLOOKUP(#REF!,'מלאי לא תקין'!A:N,17,0)</f>
        <v>#REF!</v>
      </c>
      <c r="T112" t="e">
        <f t="shared" si="4"/>
        <v>#REF!</v>
      </c>
      <c r="U112" t="e">
        <f t="shared" si="5"/>
        <v>#REF!</v>
      </c>
    </row>
    <row r="113" spans="4:21" x14ac:dyDescent="0.2">
      <c r="D113" s="4"/>
      <c r="G113" s="5"/>
      <c r="H113" s="5"/>
      <c r="I113" s="4"/>
      <c r="J113" s="4"/>
      <c r="K113" s="5"/>
      <c r="Q113" t="e">
        <f>VLOOKUP(A113,'גיליון דאטה להכל'!A:E,5,0)</f>
        <v>#N/A</v>
      </c>
      <c r="R113" t="e">
        <f>VLOOKUP(A113,'לעדכן בסינתזה דאטה אריזה 42+24'!$A:$C,3,0)</f>
        <v>#N/A</v>
      </c>
      <c r="S113" t="e">
        <f>VLOOKUP(#REF!,'מלאי לא תקין'!A:N,17,0)</f>
        <v>#REF!</v>
      </c>
      <c r="T113" t="e">
        <f t="shared" si="4"/>
        <v>#REF!</v>
      </c>
      <c r="U113" t="e">
        <f t="shared" si="5"/>
        <v>#REF!</v>
      </c>
    </row>
    <row r="114" spans="4:21" x14ac:dyDescent="0.2">
      <c r="D114" s="4"/>
      <c r="G114" s="5"/>
      <c r="H114" s="5"/>
      <c r="I114" s="4"/>
      <c r="J114" s="4"/>
      <c r="K114" s="5"/>
      <c r="Q114" t="e">
        <f>VLOOKUP(A114,'גיליון דאטה להכל'!A:E,5,0)</f>
        <v>#N/A</v>
      </c>
      <c r="R114" t="e">
        <f>VLOOKUP(A114,'לעדכן בסינתזה דאטה אריזה 42+24'!$A:$C,3,0)</f>
        <v>#N/A</v>
      </c>
      <c r="S114" t="e">
        <f>VLOOKUP(#REF!,'מלאי לא תקין'!A:N,17,0)</f>
        <v>#REF!</v>
      </c>
      <c r="T114" t="e">
        <f t="shared" si="4"/>
        <v>#REF!</v>
      </c>
      <c r="U114" t="e">
        <f t="shared" si="5"/>
        <v>#REF!</v>
      </c>
    </row>
    <row r="115" spans="4:21" x14ac:dyDescent="0.2">
      <c r="D115" s="4"/>
      <c r="G115" s="5"/>
      <c r="H115" s="5"/>
      <c r="I115" s="4"/>
      <c r="J115" s="4"/>
      <c r="K115" s="5"/>
      <c r="Q115" t="e">
        <f>VLOOKUP(A115,'גיליון דאטה להכל'!A:E,5,0)</f>
        <v>#N/A</v>
      </c>
      <c r="R115" t="e">
        <f>VLOOKUP(A115,'לעדכן בסינתזה דאטה אריזה 42+24'!$A:$C,3,0)</f>
        <v>#N/A</v>
      </c>
      <c r="S115" t="e">
        <f>VLOOKUP(#REF!,'מלאי לא תקין'!A:N,17,0)</f>
        <v>#REF!</v>
      </c>
      <c r="T115" t="e">
        <f t="shared" si="4"/>
        <v>#REF!</v>
      </c>
      <c r="U115" t="e">
        <f t="shared" si="5"/>
        <v>#REF!</v>
      </c>
    </row>
    <row r="116" spans="4:21" x14ac:dyDescent="0.2">
      <c r="D116" s="4"/>
      <c r="G116" s="5"/>
      <c r="H116" s="5"/>
      <c r="I116" s="4"/>
      <c r="J116" s="4"/>
      <c r="K116" s="5"/>
      <c r="Q116" t="e">
        <f>VLOOKUP(A116,'גיליון דאטה להכל'!A:E,5,0)</f>
        <v>#N/A</v>
      </c>
      <c r="R116" t="e">
        <f>VLOOKUP(A116,'לעדכן בסינתזה דאטה אריזה 42+24'!$A:$C,3,0)</f>
        <v>#N/A</v>
      </c>
      <c r="S116" t="e">
        <f>VLOOKUP(#REF!,'מלאי לא תקין'!A:N,17,0)</f>
        <v>#REF!</v>
      </c>
      <c r="T116" t="e">
        <f t="shared" si="4"/>
        <v>#REF!</v>
      </c>
      <c r="U116" t="e">
        <f t="shared" si="5"/>
        <v>#REF!</v>
      </c>
    </row>
    <row r="117" spans="4:21" x14ac:dyDescent="0.2">
      <c r="D117" s="4"/>
      <c r="G117" s="5"/>
      <c r="H117" s="5"/>
      <c r="I117" s="4"/>
      <c r="J117" s="4"/>
      <c r="K117" s="5"/>
      <c r="Q117" t="e">
        <f>VLOOKUP(A117,'גיליון דאטה להכל'!A:E,5,0)</f>
        <v>#N/A</v>
      </c>
      <c r="R117" t="e">
        <f>VLOOKUP(A117,'לעדכן בסינתזה דאטה אריזה 42+24'!$A:$C,3,0)</f>
        <v>#N/A</v>
      </c>
      <c r="S117" t="e">
        <f>VLOOKUP(#REF!,'מלאי לא תקין'!A:N,17,0)</f>
        <v>#REF!</v>
      </c>
      <c r="T117" t="e">
        <f t="shared" si="4"/>
        <v>#REF!</v>
      </c>
      <c r="U117" t="e">
        <f t="shared" si="5"/>
        <v>#REF!</v>
      </c>
    </row>
    <row r="118" spans="4:21" x14ac:dyDescent="0.2">
      <c r="D118" s="4"/>
      <c r="G118" s="5"/>
      <c r="H118" s="5"/>
      <c r="I118" s="4"/>
      <c r="J118" s="4"/>
      <c r="K118" s="5"/>
      <c r="Q118" t="e">
        <f>VLOOKUP(A118,'גיליון דאטה להכל'!A:E,5,0)</f>
        <v>#N/A</v>
      </c>
      <c r="R118" t="e">
        <f>VLOOKUP(A118,'לעדכן בסינתזה דאטה אריזה 42+24'!$A:$C,3,0)</f>
        <v>#N/A</v>
      </c>
      <c r="S118" t="e">
        <f>VLOOKUP(#REF!,'מלאי לא תקין'!A:N,17,0)</f>
        <v>#REF!</v>
      </c>
      <c r="T118" t="e">
        <f t="shared" ref="T118:T181" si="6">_xlfn.CONCAT(S118,Q118)</f>
        <v>#REF!</v>
      </c>
      <c r="U118" t="e">
        <f t="shared" ref="U118:U181" si="7">_xlfn.CONCAT(S118,O118)</f>
        <v>#REF!</v>
      </c>
    </row>
    <row r="119" spans="4:21" x14ac:dyDescent="0.2">
      <c r="D119" s="4"/>
      <c r="G119" s="5"/>
      <c r="H119" s="5"/>
      <c r="I119" s="4"/>
      <c r="J119" s="4"/>
      <c r="K119" s="5"/>
      <c r="Q119" t="e">
        <f>VLOOKUP(A119,'גיליון דאטה להכל'!A:E,5,0)</f>
        <v>#N/A</v>
      </c>
      <c r="R119" t="e">
        <f>VLOOKUP(A119,'לעדכן בסינתזה דאטה אריזה 42+24'!$A:$C,3,0)</f>
        <v>#N/A</v>
      </c>
      <c r="S119" t="e">
        <f>VLOOKUP(#REF!,'מלאי לא תקין'!A:N,17,0)</f>
        <v>#REF!</v>
      </c>
      <c r="T119" t="e">
        <f t="shared" si="6"/>
        <v>#REF!</v>
      </c>
      <c r="U119" t="e">
        <f t="shared" si="7"/>
        <v>#REF!</v>
      </c>
    </row>
    <row r="120" spans="4:21" x14ac:dyDescent="0.2">
      <c r="D120" s="4"/>
      <c r="G120" s="5"/>
      <c r="H120" s="5"/>
      <c r="I120" s="4"/>
      <c r="J120" s="4"/>
      <c r="K120" s="5"/>
      <c r="Q120" t="e">
        <f>VLOOKUP(A120,'גיליון דאטה להכל'!A:E,5,0)</f>
        <v>#N/A</v>
      </c>
      <c r="R120" t="e">
        <f>VLOOKUP(A120,'לעדכן בסינתזה דאטה אריזה 42+24'!$A:$C,3,0)</f>
        <v>#N/A</v>
      </c>
      <c r="S120" t="e">
        <f>VLOOKUP(#REF!,'מלאי לא תקין'!A:N,17,0)</f>
        <v>#REF!</v>
      </c>
      <c r="T120" t="e">
        <f t="shared" si="6"/>
        <v>#REF!</v>
      </c>
      <c r="U120" t="e">
        <f t="shared" si="7"/>
        <v>#REF!</v>
      </c>
    </row>
    <row r="121" spans="4:21" x14ac:dyDescent="0.2">
      <c r="D121" s="4"/>
      <c r="G121" s="5"/>
      <c r="H121" s="5"/>
      <c r="I121" s="4"/>
      <c r="J121" s="4"/>
      <c r="K121" s="5"/>
      <c r="Q121" t="e">
        <f>VLOOKUP(A121,'גיליון דאטה להכל'!A:E,5,0)</f>
        <v>#N/A</v>
      </c>
      <c r="R121" t="e">
        <f>VLOOKUP(A121,'לעדכן בסינתזה דאטה אריזה 42+24'!$A:$C,3,0)</f>
        <v>#N/A</v>
      </c>
      <c r="S121" t="e">
        <f>VLOOKUP(#REF!,'מלאי לא תקין'!A:N,17,0)</f>
        <v>#REF!</v>
      </c>
      <c r="T121" t="e">
        <f t="shared" si="6"/>
        <v>#REF!</v>
      </c>
      <c r="U121" t="e">
        <f t="shared" si="7"/>
        <v>#REF!</v>
      </c>
    </row>
    <row r="122" spans="4:21" x14ac:dyDescent="0.2">
      <c r="D122" s="4"/>
      <c r="G122" s="5"/>
      <c r="H122" s="5"/>
      <c r="I122" s="4"/>
      <c r="J122" s="4"/>
      <c r="K122" s="5"/>
      <c r="Q122" t="e">
        <f>VLOOKUP(A122,'גיליון דאטה להכל'!A:E,5,0)</f>
        <v>#N/A</v>
      </c>
      <c r="R122" t="e">
        <f>VLOOKUP(A122,'לעדכן בסינתזה דאטה אריזה 42+24'!$A:$C,3,0)</f>
        <v>#N/A</v>
      </c>
      <c r="S122" t="e">
        <f>VLOOKUP(#REF!,'מלאי לא תקין'!A:N,17,0)</f>
        <v>#REF!</v>
      </c>
      <c r="T122" t="e">
        <f t="shared" si="6"/>
        <v>#REF!</v>
      </c>
      <c r="U122" t="e">
        <f t="shared" si="7"/>
        <v>#REF!</v>
      </c>
    </row>
    <row r="123" spans="4:21" x14ac:dyDescent="0.2">
      <c r="D123" s="4"/>
      <c r="G123" s="5"/>
      <c r="H123" s="5"/>
      <c r="I123" s="4"/>
      <c r="J123" s="4"/>
      <c r="K123" s="5"/>
      <c r="Q123" t="e">
        <f>VLOOKUP(A123,'גיליון דאטה להכל'!A:E,5,0)</f>
        <v>#N/A</v>
      </c>
      <c r="R123" t="e">
        <f>VLOOKUP(A123,'לעדכן בסינתזה דאטה אריזה 42+24'!$A:$C,3,0)</f>
        <v>#N/A</v>
      </c>
      <c r="S123" t="e">
        <f>VLOOKUP(#REF!,'מלאי לא תקין'!A:N,17,0)</f>
        <v>#REF!</v>
      </c>
      <c r="T123" t="e">
        <f t="shared" si="6"/>
        <v>#REF!</v>
      </c>
      <c r="U123" t="e">
        <f t="shared" si="7"/>
        <v>#REF!</v>
      </c>
    </row>
    <row r="124" spans="4:21" x14ac:dyDescent="0.2">
      <c r="D124" s="4"/>
      <c r="G124" s="5"/>
      <c r="H124" s="5"/>
      <c r="I124" s="4"/>
      <c r="J124" s="4"/>
      <c r="K124" s="5"/>
      <c r="Q124" t="e">
        <f>VLOOKUP(A124,'גיליון דאטה להכל'!A:E,5,0)</f>
        <v>#N/A</v>
      </c>
      <c r="R124" t="e">
        <f>VLOOKUP(A124,'לעדכן בסינתזה דאטה אריזה 42+24'!$A:$C,3,0)</f>
        <v>#N/A</v>
      </c>
      <c r="S124" t="e">
        <f>VLOOKUP(#REF!,'מלאי לא תקין'!A:N,17,0)</f>
        <v>#REF!</v>
      </c>
      <c r="T124" t="e">
        <f t="shared" si="6"/>
        <v>#REF!</v>
      </c>
      <c r="U124" t="e">
        <f t="shared" si="7"/>
        <v>#REF!</v>
      </c>
    </row>
    <row r="125" spans="4:21" x14ac:dyDescent="0.2">
      <c r="D125" s="4"/>
      <c r="G125" s="5"/>
      <c r="H125" s="5"/>
      <c r="I125" s="4"/>
      <c r="J125" s="4"/>
      <c r="K125" s="5"/>
      <c r="Q125" t="e">
        <f>VLOOKUP(A125,'גיליון דאטה להכל'!A:E,5,0)</f>
        <v>#N/A</v>
      </c>
      <c r="R125" t="e">
        <f>VLOOKUP(A125,'לעדכן בסינתזה דאטה אריזה 42+24'!$A:$C,3,0)</f>
        <v>#N/A</v>
      </c>
      <c r="S125" t="e">
        <f>VLOOKUP(#REF!,'מלאי לא תקין'!A:N,17,0)</f>
        <v>#REF!</v>
      </c>
      <c r="T125" t="e">
        <f t="shared" si="6"/>
        <v>#REF!</v>
      </c>
      <c r="U125" t="e">
        <f t="shared" si="7"/>
        <v>#REF!</v>
      </c>
    </row>
    <row r="126" spans="4:21" x14ac:dyDescent="0.2">
      <c r="D126" s="4"/>
      <c r="G126" s="5"/>
      <c r="H126" s="5"/>
      <c r="I126" s="4"/>
      <c r="J126" s="4"/>
      <c r="K126" s="5"/>
      <c r="Q126" t="e">
        <f>VLOOKUP(A126,'גיליון דאטה להכל'!A:E,5,0)</f>
        <v>#N/A</v>
      </c>
      <c r="R126" t="e">
        <f>VLOOKUP(A126,'לעדכן בסינתזה דאטה אריזה 42+24'!$A:$C,3,0)</f>
        <v>#N/A</v>
      </c>
      <c r="S126" t="e">
        <f>VLOOKUP(#REF!,'מלאי לא תקין'!A:N,17,0)</f>
        <v>#REF!</v>
      </c>
      <c r="T126" t="e">
        <f t="shared" si="6"/>
        <v>#REF!</v>
      </c>
      <c r="U126" t="e">
        <f t="shared" si="7"/>
        <v>#REF!</v>
      </c>
    </row>
    <row r="127" spans="4:21" x14ac:dyDescent="0.2">
      <c r="D127" s="4"/>
      <c r="G127" s="5"/>
      <c r="H127" s="5"/>
      <c r="I127" s="4"/>
      <c r="J127" s="4"/>
      <c r="K127" s="5"/>
      <c r="Q127" t="e">
        <f>VLOOKUP(A127,'גיליון דאטה להכל'!A:E,5,0)</f>
        <v>#N/A</v>
      </c>
      <c r="R127" t="e">
        <f>VLOOKUP(A127,'לעדכן בסינתזה דאטה אריזה 42+24'!$A:$C,3,0)</f>
        <v>#N/A</v>
      </c>
      <c r="S127" t="e">
        <f>VLOOKUP(#REF!,'מלאי לא תקין'!A:N,17,0)</f>
        <v>#REF!</v>
      </c>
      <c r="T127" t="e">
        <f t="shared" si="6"/>
        <v>#REF!</v>
      </c>
      <c r="U127" t="e">
        <f t="shared" si="7"/>
        <v>#REF!</v>
      </c>
    </row>
    <row r="128" spans="4:21" x14ac:dyDescent="0.2">
      <c r="D128" s="4"/>
      <c r="G128" s="5"/>
      <c r="H128" s="5"/>
      <c r="I128" s="4"/>
      <c r="J128" s="4"/>
      <c r="K128" s="5"/>
      <c r="Q128" t="e">
        <f>VLOOKUP(A128,'גיליון דאטה להכל'!A:E,5,0)</f>
        <v>#N/A</v>
      </c>
      <c r="R128" t="e">
        <f>VLOOKUP(A128,'לעדכן בסינתזה דאטה אריזה 42+24'!$A:$C,3,0)</f>
        <v>#N/A</v>
      </c>
      <c r="S128" t="e">
        <f>VLOOKUP(#REF!,'מלאי לא תקין'!A:N,17,0)</f>
        <v>#REF!</v>
      </c>
      <c r="T128" t="e">
        <f t="shared" si="6"/>
        <v>#REF!</v>
      </c>
      <c r="U128" t="e">
        <f t="shared" si="7"/>
        <v>#REF!</v>
      </c>
    </row>
    <row r="129" spans="4:21" x14ac:dyDescent="0.2">
      <c r="D129" s="4"/>
      <c r="G129" s="5"/>
      <c r="H129" s="5"/>
      <c r="I129" s="4"/>
      <c r="J129" s="4"/>
      <c r="K129" s="5"/>
      <c r="Q129" t="e">
        <f>VLOOKUP(A129,'גיליון דאטה להכל'!A:E,5,0)</f>
        <v>#N/A</v>
      </c>
      <c r="R129" t="e">
        <f>VLOOKUP(A129,'לעדכן בסינתזה דאטה אריזה 42+24'!$A:$C,3,0)</f>
        <v>#N/A</v>
      </c>
      <c r="S129" t="e">
        <f>VLOOKUP(#REF!,'מלאי לא תקין'!A:N,17,0)</f>
        <v>#REF!</v>
      </c>
      <c r="T129" t="e">
        <f t="shared" si="6"/>
        <v>#REF!</v>
      </c>
      <c r="U129" t="e">
        <f t="shared" si="7"/>
        <v>#REF!</v>
      </c>
    </row>
    <row r="130" spans="4:21" x14ac:dyDescent="0.2">
      <c r="D130" s="4"/>
      <c r="G130" s="5"/>
      <c r="H130" s="5"/>
      <c r="I130" s="4"/>
      <c r="J130" s="4"/>
      <c r="K130" s="5"/>
      <c r="Q130" t="e">
        <f>VLOOKUP(A130,'גיליון דאטה להכל'!A:E,5,0)</f>
        <v>#N/A</v>
      </c>
      <c r="R130" t="e">
        <f>VLOOKUP(A130,'לעדכן בסינתזה דאטה אריזה 42+24'!$A:$C,3,0)</f>
        <v>#N/A</v>
      </c>
      <c r="S130" t="e">
        <f>VLOOKUP(#REF!,'מלאי לא תקין'!A:N,17,0)</f>
        <v>#REF!</v>
      </c>
      <c r="T130" t="e">
        <f t="shared" si="6"/>
        <v>#REF!</v>
      </c>
      <c r="U130" t="e">
        <f t="shared" si="7"/>
        <v>#REF!</v>
      </c>
    </row>
    <row r="131" spans="4:21" x14ac:dyDescent="0.2">
      <c r="D131" s="4"/>
      <c r="G131" s="5"/>
      <c r="H131" s="5"/>
      <c r="I131" s="4"/>
      <c r="J131" s="4"/>
      <c r="K131" s="5"/>
      <c r="Q131" t="e">
        <f>VLOOKUP(A131,'גיליון דאטה להכל'!A:E,5,0)</f>
        <v>#N/A</v>
      </c>
      <c r="R131" t="e">
        <f>VLOOKUP(A131,'לעדכן בסינתזה דאטה אריזה 42+24'!$A:$C,3,0)</f>
        <v>#N/A</v>
      </c>
      <c r="S131" t="e">
        <f>VLOOKUP(#REF!,'מלאי לא תקין'!A:N,17,0)</f>
        <v>#REF!</v>
      </c>
      <c r="T131" t="e">
        <f t="shared" si="6"/>
        <v>#REF!</v>
      </c>
      <c r="U131" t="e">
        <f t="shared" si="7"/>
        <v>#REF!</v>
      </c>
    </row>
    <row r="132" spans="4:21" x14ac:dyDescent="0.2">
      <c r="D132" s="4"/>
      <c r="G132" s="5"/>
      <c r="H132" s="5"/>
      <c r="I132" s="4"/>
      <c r="J132" s="4"/>
      <c r="K132" s="5"/>
      <c r="Q132" t="e">
        <f>VLOOKUP(A132,'גיליון דאטה להכל'!A:E,5,0)</f>
        <v>#N/A</v>
      </c>
      <c r="R132" t="e">
        <f>VLOOKUP(A132,'לעדכן בסינתזה דאטה אריזה 42+24'!$A:$C,3,0)</f>
        <v>#N/A</v>
      </c>
      <c r="S132" t="e">
        <f>VLOOKUP(#REF!,'מלאי לא תקין'!A:N,17,0)</f>
        <v>#REF!</v>
      </c>
      <c r="T132" t="e">
        <f t="shared" si="6"/>
        <v>#REF!</v>
      </c>
      <c r="U132" t="e">
        <f t="shared" si="7"/>
        <v>#REF!</v>
      </c>
    </row>
    <row r="133" spans="4:21" x14ac:dyDescent="0.2">
      <c r="D133" s="4"/>
      <c r="G133" s="5"/>
      <c r="H133" s="5"/>
      <c r="I133" s="4"/>
      <c r="J133" s="4"/>
      <c r="K133" s="5"/>
      <c r="Q133" t="e">
        <f>VLOOKUP(A133,'גיליון דאטה להכל'!A:E,5,0)</f>
        <v>#N/A</v>
      </c>
      <c r="R133" t="e">
        <f>VLOOKUP(A133,'לעדכן בסינתזה דאטה אריזה 42+24'!$A:$C,3,0)</f>
        <v>#N/A</v>
      </c>
      <c r="S133" t="e">
        <f>VLOOKUP(#REF!,'מלאי לא תקין'!A:N,17,0)</f>
        <v>#REF!</v>
      </c>
      <c r="T133" t="e">
        <f t="shared" si="6"/>
        <v>#REF!</v>
      </c>
      <c r="U133" t="e">
        <f t="shared" si="7"/>
        <v>#REF!</v>
      </c>
    </row>
    <row r="134" spans="4:21" x14ac:dyDescent="0.2">
      <c r="D134" s="4"/>
      <c r="G134" s="5"/>
      <c r="H134" s="5"/>
      <c r="I134" s="4"/>
      <c r="J134" s="4"/>
      <c r="K134" s="5"/>
      <c r="Q134" t="e">
        <f>VLOOKUP(A134,'גיליון דאטה להכל'!A:E,5,0)</f>
        <v>#N/A</v>
      </c>
      <c r="R134" t="e">
        <f>VLOOKUP(A134,'לעדכן בסינתזה דאטה אריזה 42+24'!$A:$C,3,0)</f>
        <v>#N/A</v>
      </c>
      <c r="S134" t="e">
        <f>VLOOKUP(#REF!,'מלאי לא תקין'!A:N,17,0)</f>
        <v>#REF!</v>
      </c>
      <c r="T134" t="e">
        <f t="shared" si="6"/>
        <v>#REF!</v>
      </c>
      <c r="U134" t="e">
        <f t="shared" si="7"/>
        <v>#REF!</v>
      </c>
    </row>
    <row r="135" spans="4:21" x14ac:dyDescent="0.2">
      <c r="D135" s="4"/>
      <c r="G135" s="5"/>
      <c r="H135" s="5"/>
      <c r="I135" s="4"/>
      <c r="J135" s="4"/>
      <c r="K135" s="5"/>
      <c r="Q135" t="e">
        <f>VLOOKUP(A135,'גיליון דאטה להכל'!A:E,5,0)</f>
        <v>#N/A</v>
      </c>
      <c r="R135" t="e">
        <f>VLOOKUP(A135,'לעדכן בסינתזה דאטה אריזה 42+24'!$A:$C,3,0)</f>
        <v>#N/A</v>
      </c>
      <c r="S135" t="e">
        <f>VLOOKUP(#REF!,'מלאי לא תקין'!A:N,17,0)</f>
        <v>#REF!</v>
      </c>
      <c r="T135" t="e">
        <f t="shared" si="6"/>
        <v>#REF!</v>
      </c>
      <c r="U135" t="e">
        <f t="shared" si="7"/>
        <v>#REF!</v>
      </c>
    </row>
    <row r="136" spans="4:21" x14ac:dyDescent="0.2">
      <c r="D136" s="4"/>
      <c r="G136" s="5"/>
      <c r="H136" s="5"/>
      <c r="I136" s="4"/>
      <c r="J136" s="4"/>
      <c r="K136" s="5"/>
      <c r="Q136" t="e">
        <f>VLOOKUP(A136,'גיליון דאטה להכל'!A:E,5,0)</f>
        <v>#N/A</v>
      </c>
      <c r="R136" t="e">
        <f>VLOOKUP(A136,'לעדכן בסינתזה דאטה אריזה 42+24'!$A:$C,3,0)</f>
        <v>#N/A</v>
      </c>
      <c r="S136" t="e">
        <f>VLOOKUP(#REF!,'מלאי לא תקין'!A:N,17,0)</f>
        <v>#REF!</v>
      </c>
      <c r="T136" t="e">
        <f t="shared" si="6"/>
        <v>#REF!</v>
      </c>
      <c r="U136" t="e">
        <f t="shared" si="7"/>
        <v>#REF!</v>
      </c>
    </row>
    <row r="137" spans="4:21" x14ac:dyDescent="0.2">
      <c r="D137" s="4"/>
      <c r="G137" s="5"/>
      <c r="H137" s="5"/>
      <c r="I137" s="4"/>
      <c r="J137" s="4"/>
      <c r="K137" s="5"/>
      <c r="Q137" t="e">
        <f>VLOOKUP(A137,'גיליון דאטה להכל'!A:E,5,0)</f>
        <v>#N/A</v>
      </c>
      <c r="R137" t="e">
        <f>VLOOKUP(A137,'לעדכן בסינתזה דאטה אריזה 42+24'!$A:$C,3,0)</f>
        <v>#N/A</v>
      </c>
      <c r="S137" t="e">
        <f>VLOOKUP(#REF!,'מלאי לא תקין'!A:N,17,0)</f>
        <v>#REF!</v>
      </c>
      <c r="T137" t="e">
        <f t="shared" si="6"/>
        <v>#REF!</v>
      </c>
      <c r="U137" t="e">
        <f t="shared" si="7"/>
        <v>#REF!</v>
      </c>
    </row>
    <row r="138" spans="4:21" x14ac:dyDescent="0.2">
      <c r="D138" s="4"/>
      <c r="G138" s="5"/>
      <c r="H138" s="5"/>
      <c r="I138" s="4"/>
      <c r="J138" s="4"/>
      <c r="K138" s="5"/>
      <c r="Q138" t="e">
        <f>VLOOKUP(A138,'גיליון דאטה להכל'!A:E,5,0)</f>
        <v>#N/A</v>
      </c>
      <c r="R138" t="e">
        <f>VLOOKUP(A138,'לעדכן בסינתזה דאטה אריזה 42+24'!$A:$C,3,0)</f>
        <v>#N/A</v>
      </c>
      <c r="S138" t="e">
        <f>VLOOKUP(#REF!,'מלאי לא תקין'!A:N,17,0)</f>
        <v>#REF!</v>
      </c>
      <c r="T138" t="e">
        <f t="shared" si="6"/>
        <v>#REF!</v>
      </c>
      <c r="U138" t="e">
        <f t="shared" si="7"/>
        <v>#REF!</v>
      </c>
    </row>
    <row r="139" spans="4:21" x14ac:dyDescent="0.2">
      <c r="D139" s="4"/>
      <c r="G139" s="5"/>
      <c r="H139" s="5"/>
      <c r="I139" s="4"/>
      <c r="J139" s="4"/>
      <c r="K139" s="5"/>
      <c r="Q139" t="e">
        <f>VLOOKUP(A139,'גיליון דאטה להכל'!A:E,5,0)</f>
        <v>#N/A</v>
      </c>
      <c r="R139" t="e">
        <f>VLOOKUP(A139,'לעדכן בסינתזה דאטה אריזה 42+24'!$A:$C,3,0)</f>
        <v>#N/A</v>
      </c>
      <c r="S139" t="e">
        <f>VLOOKUP(#REF!,'מלאי לא תקין'!A:N,17,0)</f>
        <v>#REF!</v>
      </c>
      <c r="T139" t="e">
        <f t="shared" si="6"/>
        <v>#REF!</v>
      </c>
      <c r="U139" t="e">
        <f t="shared" si="7"/>
        <v>#REF!</v>
      </c>
    </row>
    <row r="140" spans="4:21" x14ac:dyDescent="0.2">
      <c r="D140" s="4"/>
      <c r="G140" s="5"/>
      <c r="H140" s="5"/>
      <c r="I140" s="4"/>
      <c r="J140" s="4"/>
      <c r="K140" s="5"/>
      <c r="Q140" t="e">
        <f>VLOOKUP(A140,'גיליון דאטה להכל'!A:E,5,0)</f>
        <v>#N/A</v>
      </c>
      <c r="R140" t="e">
        <f>VLOOKUP(A140,'לעדכן בסינתזה דאטה אריזה 42+24'!$A:$C,3,0)</f>
        <v>#N/A</v>
      </c>
      <c r="S140" t="e">
        <f>VLOOKUP(#REF!,'מלאי לא תקין'!A:N,17,0)</f>
        <v>#REF!</v>
      </c>
      <c r="T140" t="e">
        <f t="shared" si="6"/>
        <v>#REF!</v>
      </c>
      <c r="U140" t="e">
        <f t="shared" si="7"/>
        <v>#REF!</v>
      </c>
    </row>
    <row r="141" spans="4:21" x14ac:dyDescent="0.2">
      <c r="D141" s="4"/>
      <c r="G141" s="5"/>
      <c r="H141" s="5"/>
      <c r="I141" s="4"/>
      <c r="J141" s="4"/>
      <c r="K141" s="5"/>
      <c r="Q141" t="e">
        <f>VLOOKUP(A141,'גיליון דאטה להכל'!A:E,5,0)</f>
        <v>#N/A</v>
      </c>
      <c r="R141" t="e">
        <f>VLOOKUP(A141,'לעדכן בסינתזה דאטה אריזה 42+24'!$A:$C,3,0)</f>
        <v>#N/A</v>
      </c>
      <c r="S141" t="e">
        <f>VLOOKUP(#REF!,'מלאי לא תקין'!A:N,17,0)</f>
        <v>#REF!</v>
      </c>
      <c r="T141" t="e">
        <f t="shared" si="6"/>
        <v>#REF!</v>
      </c>
      <c r="U141" t="e">
        <f t="shared" si="7"/>
        <v>#REF!</v>
      </c>
    </row>
    <row r="142" spans="4:21" x14ac:dyDescent="0.2">
      <c r="D142" s="4"/>
      <c r="G142" s="5"/>
      <c r="H142" s="5"/>
      <c r="I142" s="4"/>
      <c r="J142" s="4"/>
      <c r="K142" s="5"/>
      <c r="Q142" t="e">
        <f>VLOOKUP(A142,'גיליון דאטה להכל'!A:E,5,0)</f>
        <v>#N/A</v>
      </c>
      <c r="R142" t="e">
        <f>VLOOKUP(A142,'לעדכן בסינתזה דאטה אריזה 42+24'!$A:$C,3,0)</f>
        <v>#N/A</v>
      </c>
      <c r="S142" t="e">
        <f>VLOOKUP(#REF!,'מלאי לא תקין'!A:N,17,0)</f>
        <v>#REF!</v>
      </c>
      <c r="T142" t="e">
        <f t="shared" si="6"/>
        <v>#REF!</v>
      </c>
      <c r="U142" t="e">
        <f t="shared" si="7"/>
        <v>#REF!</v>
      </c>
    </row>
    <row r="143" spans="4:21" x14ac:dyDescent="0.2">
      <c r="D143" s="4"/>
      <c r="G143" s="5"/>
      <c r="H143" s="5"/>
      <c r="I143" s="4"/>
      <c r="J143" s="4"/>
      <c r="K143" s="5"/>
      <c r="Q143" t="e">
        <f>VLOOKUP(A143,'גיליון דאטה להכל'!A:E,5,0)</f>
        <v>#N/A</v>
      </c>
      <c r="R143" t="e">
        <f>VLOOKUP(A143,'לעדכן בסינתזה דאטה אריזה 42+24'!$A:$C,3,0)</f>
        <v>#N/A</v>
      </c>
      <c r="S143" t="e">
        <f>VLOOKUP(#REF!,'מלאי לא תקין'!A:N,17,0)</f>
        <v>#REF!</v>
      </c>
      <c r="T143" t="e">
        <f t="shared" si="6"/>
        <v>#REF!</v>
      </c>
      <c r="U143" t="e">
        <f t="shared" si="7"/>
        <v>#REF!</v>
      </c>
    </row>
    <row r="144" spans="4:21" x14ac:dyDescent="0.2">
      <c r="D144" s="4"/>
      <c r="G144" s="5"/>
      <c r="H144" s="5"/>
      <c r="I144" s="4"/>
      <c r="J144" s="4"/>
      <c r="K144" s="5"/>
      <c r="Q144" t="e">
        <f>VLOOKUP(A144,'גיליון דאטה להכל'!A:E,5,0)</f>
        <v>#N/A</v>
      </c>
      <c r="R144" t="e">
        <f>VLOOKUP(A144,'לעדכן בסינתזה דאטה אריזה 42+24'!$A:$C,3,0)</f>
        <v>#N/A</v>
      </c>
      <c r="S144" t="e">
        <f>VLOOKUP(#REF!,'מלאי לא תקין'!A:N,17,0)</f>
        <v>#REF!</v>
      </c>
      <c r="T144" t="e">
        <f t="shared" si="6"/>
        <v>#REF!</v>
      </c>
      <c r="U144" t="e">
        <f t="shared" si="7"/>
        <v>#REF!</v>
      </c>
    </row>
    <row r="145" spans="4:21" x14ac:dyDescent="0.2">
      <c r="D145" s="4"/>
      <c r="G145" s="5"/>
      <c r="H145" s="5"/>
      <c r="I145" s="4"/>
      <c r="J145" s="4"/>
      <c r="K145" s="5"/>
      <c r="Q145" t="e">
        <f>VLOOKUP(A145,'גיליון דאטה להכל'!A:E,5,0)</f>
        <v>#N/A</v>
      </c>
      <c r="R145" t="e">
        <f>VLOOKUP(A145,'לעדכן בסינתזה דאטה אריזה 42+24'!$A:$C,3,0)</f>
        <v>#N/A</v>
      </c>
      <c r="S145" t="e">
        <f>VLOOKUP(#REF!,'מלאי לא תקין'!A:N,17,0)</f>
        <v>#REF!</v>
      </c>
      <c r="T145" t="e">
        <f t="shared" si="6"/>
        <v>#REF!</v>
      </c>
      <c r="U145" t="e">
        <f t="shared" si="7"/>
        <v>#REF!</v>
      </c>
    </row>
    <row r="146" spans="4:21" x14ac:dyDescent="0.2">
      <c r="D146" s="4"/>
      <c r="G146" s="5"/>
      <c r="H146" s="5"/>
      <c r="I146" s="4"/>
      <c r="J146" s="4"/>
      <c r="K146" s="5"/>
      <c r="Q146" t="e">
        <f>VLOOKUP(A146,'גיליון דאטה להכל'!A:E,5,0)</f>
        <v>#N/A</v>
      </c>
      <c r="R146" t="e">
        <f>VLOOKUP(A146,'לעדכן בסינתזה דאטה אריזה 42+24'!$A:$C,3,0)</f>
        <v>#N/A</v>
      </c>
      <c r="S146" t="e">
        <f>VLOOKUP(#REF!,'מלאי לא תקין'!A:N,17,0)</f>
        <v>#REF!</v>
      </c>
      <c r="T146" t="e">
        <f t="shared" si="6"/>
        <v>#REF!</v>
      </c>
      <c r="U146" t="e">
        <f t="shared" si="7"/>
        <v>#REF!</v>
      </c>
    </row>
    <row r="147" spans="4:21" x14ac:dyDescent="0.2">
      <c r="D147" s="4"/>
      <c r="G147" s="5"/>
      <c r="H147" s="5"/>
      <c r="I147" s="4"/>
      <c r="J147" s="4"/>
      <c r="K147" s="5"/>
      <c r="Q147" t="e">
        <f>VLOOKUP(A147,'גיליון דאטה להכל'!A:E,5,0)</f>
        <v>#N/A</v>
      </c>
      <c r="R147" t="e">
        <f>VLOOKUP(A147,'לעדכן בסינתזה דאטה אריזה 42+24'!$A:$C,3,0)</f>
        <v>#N/A</v>
      </c>
      <c r="S147" t="e">
        <f>VLOOKUP(#REF!,'מלאי לא תקין'!A:N,17,0)</f>
        <v>#REF!</v>
      </c>
      <c r="T147" t="e">
        <f t="shared" si="6"/>
        <v>#REF!</v>
      </c>
      <c r="U147" t="e">
        <f t="shared" si="7"/>
        <v>#REF!</v>
      </c>
    </row>
    <row r="148" spans="4:21" x14ac:dyDescent="0.2">
      <c r="D148" s="4"/>
      <c r="G148" s="5"/>
      <c r="H148" s="5"/>
      <c r="I148" s="4"/>
      <c r="J148" s="4"/>
      <c r="K148" s="5"/>
      <c r="Q148" t="e">
        <f>VLOOKUP(A148,'גיליון דאטה להכל'!A:E,5,0)</f>
        <v>#N/A</v>
      </c>
      <c r="R148" t="e">
        <f>VLOOKUP(A148,'לעדכן בסינתזה דאטה אריזה 42+24'!$A:$C,3,0)</f>
        <v>#N/A</v>
      </c>
      <c r="S148" t="e">
        <f>VLOOKUP(#REF!,'מלאי לא תקין'!A:N,17,0)</f>
        <v>#REF!</v>
      </c>
      <c r="T148" t="e">
        <f t="shared" si="6"/>
        <v>#REF!</v>
      </c>
      <c r="U148" t="e">
        <f t="shared" si="7"/>
        <v>#REF!</v>
      </c>
    </row>
    <row r="149" spans="4:21" x14ac:dyDescent="0.2">
      <c r="D149" s="4"/>
      <c r="G149" s="5"/>
      <c r="H149" s="5"/>
      <c r="I149" s="4"/>
      <c r="J149" s="4"/>
      <c r="K149" s="5"/>
      <c r="Q149" t="e">
        <f>VLOOKUP(A149,'גיליון דאטה להכל'!A:E,5,0)</f>
        <v>#N/A</v>
      </c>
      <c r="R149" t="e">
        <f>VLOOKUP(A149,'לעדכן בסינתזה דאטה אריזה 42+24'!$A:$C,3,0)</f>
        <v>#N/A</v>
      </c>
      <c r="S149" t="e">
        <f>VLOOKUP(#REF!,'מלאי לא תקין'!A:N,17,0)</f>
        <v>#REF!</v>
      </c>
      <c r="T149" t="e">
        <f t="shared" si="6"/>
        <v>#REF!</v>
      </c>
      <c r="U149" t="e">
        <f t="shared" si="7"/>
        <v>#REF!</v>
      </c>
    </row>
    <row r="150" spans="4:21" x14ac:dyDescent="0.2">
      <c r="D150" s="4"/>
      <c r="G150" s="5"/>
      <c r="H150" s="5"/>
      <c r="I150" s="4"/>
      <c r="J150" s="4"/>
      <c r="K150" s="5"/>
      <c r="Q150" t="e">
        <f>VLOOKUP(A150,'גיליון דאטה להכל'!A:E,5,0)</f>
        <v>#N/A</v>
      </c>
      <c r="R150" t="e">
        <f>VLOOKUP(A150,'לעדכן בסינתזה דאטה אריזה 42+24'!$A:$C,3,0)</f>
        <v>#N/A</v>
      </c>
      <c r="S150" t="e">
        <f>VLOOKUP(#REF!,'מלאי לא תקין'!A:N,17,0)</f>
        <v>#REF!</v>
      </c>
      <c r="T150" t="e">
        <f t="shared" si="6"/>
        <v>#REF!</v>
      </c>
      <c r="U150" t="e">
        <f t="shared" si="7"/>
        <v>#REF!</v>
      </c>
    </row>
    <row r="151" spans="4:21" x14ac:dyDescent="0.2">
      <c r="D151" s="4"/>
      <c r="G151" s="5"/>
      <c r="H151" s="5"/>
      <c r="I151" s="4"/>
      <c r="J151" s="4"/>
      <c r="K151" s="5"/>
      <c r="Q151" t="e">
        <f>VLOOKUP(A151,'גיליון דאטה להכל'!A:E,5,0)</f>
        <v>#N/A</v>
      </c>
      <c r="R151" t="e">
        <f>VLOOKUP(A151,'לעדכן בסינתזה דאטה אריזה 42+24'!$A:$C,3,0)</f>
        <v>#N/A</v>
      </c>
      <c r="S151" t="e">
        <f>VLOOKUP(#REF!,'מלאי לא תקין'!A:N,17,0)</f>
        <v>#REF!</v>
      </c>
      <c r="T151" t="e">
        <f t="shared" si="6"/>
        <v>#REF!</v>
      </c>
      <c r="U151" t="e">
        <f t="shared" si="7"/>
        <v>#REF!</v>
      </c>
    </row>
    <row r="152" spans="4:21" x14ac:dyDescent="0.2">
      <c r="D152" s="4"/>
      <c r="G152" s="5"/>
      <c r="H152" s="5"/>
      <c r="I152" s="4"/>
      <c r="J152" s="4"/>
      <c r="K152" s="5"/>
      <c r="Q152" t="e">
        <f>VLOOKUP(A152,'גיליון דאטה להכל'!A:E,5,0)</f>
        <v>#N/A</v>
      </c>
      <c r="R152" t="e">
        <f>VLOOKUP(A152,'לעדכן בסינתזה דאטה אריזה 42+24'!$A:$C,3,0)</f>
        <v>#N/A</v>
      </c>
      <c r="S152" t="e">
        <f>VLOOKUP(#REF!,'מלאי לא תקין'!A:N,17,0)</f>
        <v>#REF!</v>
      </c>
      <c r="T152" t="e">
        <f t="shared" si="6"/>
        <v>#REF!</v>
      </c>
      <c r="U152" t="e">
        <f t="shared" si="7"/>
        <v>#REF!</v>
      </c>
    </row>
    <row r="153" spans="4:21" x14ac:dyDescent="0.2">
      <c r="D153" s="4"/>
      <c r="G153" s="5"/>
      <c r="H153" s="5"/>
      <c r="I153" s="4"/>
      <c r="J153" s="4"/>
      <c r="K153" s="5"/>
      <c r="Q153" t="e">
        <f>VLOOKUP(A153,'גיליון דאטה להכל'!A:E,5,0)</f>
        <v>#N/A</v>
      </c>
      <c r="R153" t="e">
        <f>VLOOKUP(A153,'לעדכן בסינתזה דאטה אריזה 42+24'!$A:$C,3,0)</f>
        <v>#N/A</v>
      </c>
      <c r="S153" t="e">
        <f>VLOOKUP(#REF!,'מלאי לא תקין'!A:N,17,0)</f>
        <v>#REF!</v>
      </c>
      <c r="T153" t="e">
        <f t="shared" si="6"/>
        <v>#REF!</v>
      </c>
      <c r="U153" t="e">
        <f t="shared" si="7"/>
        <v>#REF!</v>
      </c>
    </row>
    <row r="154" spans="4:21" x14ac:dyDescent="0.2">
      <c r="D154" s="4"/>
      <c r="G154" s="5"/>
      <c r="H154" s="5"/>
      <c r="I154" s="4"/>
      <c r="J154" s="4"/>
      <c r="K154" s="5"/>
      <c r="Q154" t="e">
        <f>VLOOKUP(A154,'גיליון דאטה להכל'!A:E,5,0)</f>
        <v>#N/A</v>
      </c>
      <c r="R154" t="e">
        <f>VLOOKUP(A154,'לעדכן בסינתזה דאטה אריזה 42+24'!$A:$C,3,0)</f>
        <v>#N/A</v>
      </c>
      <c r="S154" t="e">
        <f>VLOOKUP(#REF!,'מלאי לא תקין'!A:N,17,0)</f>
        <v>#REF!</v>
      </c>
      <c r="T154" t="e">
        <f t="shared" si="6"/>
        <v>#REF!</v>
      </c>
      <c r="U154" t="e">
        <f t="shared" si="7"/>
        <v>#REF!</v>
      </c>
    </row>
    <row r="155" spans="4:21" x14ac:dyDescent="0.2">
      <c r="D155" s="4"/>
      <c r="G155" s="5"/>
      <c r="H155" s="7"/>
      <c r="I155" s="4"/>
      <c r="J155" s="4"/>
      <c r="K155" s="5"/>
      <c r="Q155" t="e">
        <f>VLOOKUP(A155,'גיליון דאטה להכל'!A:E,5,0)</f>
        <v>#N/A</v>
      </c>
      <c r="R155" t="e">
        <f>VLOOKUP(A155,'לעדכן בסינתזה דאטה אריזה 42+24'!$A:$C,3,0)</f>
        <v>#N/A</v>
      </c>
      <c r="S155" t="e">
        <f>VLOOKUP(#REF!,'מלאי לא תקין'!A:N,17,0)</f>
        <v>#REF!</v>
      </c>
      <c r="T155" t="e">
        <f t="shared" si="6"/>
        <v>#REF!</v>
      </c>
      <c r="U155" t="e">
        <f t="shared" si="7"/>
        <v>#REF!</v>
      </c>
    </row>
    <row r="156" spans="4:21" x14ac:dyDescent="0.2">
      <c r="D156" s="4"/>
      <c r="G156" s="5"/>
      <c r="H156" s="5"/>
      <c r="I156" s="4"/>
      <c r="J156" s="4"/>
      <c r="K156" s="5"/>
      <c r="Q156" t="e">
        <f>VLOOKUP(A156,'גיליון דאטה להכל'!A:E,5,0)</f>
        <v>#N/A</v>
      </c>
      <c r="R156" t="e">
        <f>VLOOKUP(A156,'לעדכן בסינתזה דאטה אריזה 42+24'!$A:$C,3,0)</f>
        <v>#N/A</v>
      </c>
      <c r="S156" t="e">
        <f>VLOOKUP(#REF!,'מלאי לא תקין'!A:N,17,0)</f>
        <v>#REF!</v>
      </c>
      <c r="T156" t="e">
        <f t="shared" si="6"/>
        <v>#REF!</v>
      </c>
      <c r="U156" t="e">
        <f t="shared" si="7"/>
        <v>#REF!</v>
      </c>
    </row>
    <row r="157" spans="4:21" x14ac:dyDescent="0.2">
      <c r="D157" s="4"/>
      <c r="G157" s="5"/>
      <c r="H157" s="5"/>
      <c r="I157" s="4"/>
      <c r="J157" s="4"/>
      <c r="K157" s="5"/>
      <c r="Q157" t="e">
        <f>VLOOKUP(A157,'גיליון דאטה להכל'!A:E,5,0)</f>
        <v>#N/A</v>
      </c>
      <c r="R157" t="e">
        <f>VLOOKUP(A157,'לעדכן בסינתזה דאטה אריזה 42+24'!$A:$C,3,0)</f>
        <v>#N/A</v>
      </c>
      <c r="S157" t="e">
        <f>VLOOKUP(#REF!,'מלאי לא תקין'!A:N,17,0)</f>
        <v>#REF!</v>
      </c>
      <c r="T157" t="e">
        <f t="shared" si="6"/>
        <v>#REF!</v>
      </c>
      <c r="U157" t="e">
        <f t="shared" si="7"/>
        <v>#REF!</v>
      </c>
    </row>
    <row r="158" spans="4:21" x14ac:dyDescent="0.2">
      <c r="D158" s="4"/>
      <c r="G158" s="5"/>
      <c r="H158" s="5"/>
      <c r="I158" s="4"/>
      <c r="J158" s="4"/>
      <c r="K158" s="5"/>
      <c r="Q158" t="e">
        <f>VLOOKUP(A158,'גיליון דאטה להכל'!A:E,5,0)</f>
        <v>#N/A</v>
      </c>
      <c r="R158" t="e">
        <f>VLOOKUP(A158,'לעדכן בסינתזה דאטה אריזה 42+24'!$A:$C,3,0)</f>
        <v>#N/A</v>
      </c>
      <c r="S158" t="e">
        <f>VLOOKUP(#REF!,'מלאי לא תקין'!A:N,17,0)</f>
        <v>#REF!</v>
      </c>
      <c r="T158" t="e">
        <f t="shared" si="6"/>
        <v>#REF!</v>
      </c>
      <c r="U158" t="e">
        <f t="shared" si="7"/>
        <v>#REF!</v>
      </c>
    </row>
    <row r="159" spans="4:21" x14ac:dyDescent="0.2">
      <c r="D159" s="4"/>
      <c r="G159" s="5"/>
      <c r="H159" s="5"/>
      <c r="I159" s="4"/>
      <c r="J159" s="4"/>
      <c r="K159" s="5"/>
      <c r="Q159" t="e">
        <f>VLOOKUP(A159,'גיליון דאטה להכל'!A:E,5,0)</f>
        <v>#N/A</v>
      </c>
      <c r="R159" t="e">
        <f>VLOOKUP(A159,'לעדכן בסינתזה דאטה אריזה 42+24'!$A:$C,3,0)</f>
        <v>#N/A</v>
      </c>
      <c r="S159" t="e">
        <f>VLOOKUP(#REF!,'מלאי לא תקין'!A:N,17,0)</f>
        <v>#REF!</v>
      </c>
      <c r="T159" t="e">
        <f t="shared" si="6"/>
        <v>#REF!</v>
      </c>
      <c r="U159" t="e">
        <f t="shared" si="7"/>
        <v>#REF!</v>
      </c>
    </row>
    <row r="160" spans="4:21" x14ac:dyDescent="0.2">
      <c r="D160" s="4"/>
      <c r="G160" s="5"/>
      <c r="H160" s="5"/>
      <c r="I160" s="4"/>
      <c r="J160" s="4"/>
      <c r="K160" s="5"/>
      <c r="Q160" t="e">
        <f>VLOOKUP(A160,'גיליון דאטה להכל'!A:E,5,0)</f>
        <v>#N/A</v>
      </c>
      <c r="R160" t="e">
        <f>VLOOKUP(A160,'לעדכן בסינתזה דאטה אריזה 42+24'!$A:$C,3,0)</f>
        <v>#N/A</v>
      </c>
      <c r="S160" t="e">
        <f>VLOOKUP(#REF!,'מלאי לא תקין'!A:N,17,0)</f>
        <v>#REF!</v>
      </c>
      <c r="T160" t="e">
        <f t="shared" si="6"/>
        <v>#REF!</v>
      </c>
      <c r="U160" t="e">
        <f t="shared" si="7"/>
        <v>#REF!</v>
      </c>
    </row>
    <row r="161" spans="4:21" x14ac:dyDescent="0.2">
      <c r="D161" s="4"/>
      <c r="G161" s="5"/>
      <c r="H161" s="7"/>
      <c r="I161" s="4"/>
      <c r="J161" s="4"/>
      <c r="K161" s="5"/>
      <c r="Q161" t="e">
        <f>VLOOKUP(A161,'גיליון דאטה להכל'!A:E,5,0)</f>
        <v>#N/A</v>
      </c>
      <c r="R161" t="e">
        <f>VLOOKUP(A161,'לעדכן בסינתזה דאטה אריזה 42+24'!$A:$C,3,0)</f>
        <v>#N/A</v>
      </c>
      <c r="S161" t="e">
        <f>VLOOKUP(#REF!,'מלאי לא תקין'!A:N,17,0)</f>
        <v>#REF!</v>
      </c>
      <c r="T161" t="e">
        <f t="shared" si="6"/>
        <v>#REF!</v>
      </c>
      <c r="U161" t="e">
        <f t="shared" si="7"/>
        <v>#REF!</v>
      </c>
    </row>
    <row r="162" spans="4:21" x14ac:dyDescent="0.2">
      <c r="D162" s="4"/>
      <c r="G162" s="5"/>
      <c r="H162" s="5"/>
      <c r="I162" s="4"/>
      <c r="J162" s="4"/>
      <c r="K162" s="5"/>
      <c r="Q162" t="e">
        <f>VLOOKUP(A162,'גיליון דאטה להכל'!A:E,5,0)</f>
        <v>#N/A</v>
      </c>
      <c r="R162" t="e">
        <f>VLOOKUP(A162,'לעדכן בסינתזה דאטה אריזה 42+24'!$A:$C,3,0)</f>
        <v>#N/A</v>
      </c>
      <c r="S162" t="e">
        <f>VLOOKUP(#REF!,'מלאי לא תקין'!A:N,17,0)</f>
        <v>#REF!</v>
      </c>
      <c r="T162" t="e">
        <f t="shared" si="6"/>
        <v>#REF!</v>
      </c>
      <c r="U162" t="e">
        <f t="shared" si="7"/>
        <v>#REF!</v>
      </c>
    </row>
    <row r="163" spans="4:21" x14ac:dyDescent="0.2">
      <c r="D163" s="4"/>
      <c r="G163" s="5"/>
      <c r="H163" s="5"/>
      <c r="I163" s="4"/>
      <c r="J163" s="4"/>
      <c r="K163" s="5"/>
      <c r="Q163" t="e">
        <f>VLOOKUP(A163,'גיליון דאטה להכל'!A:E,5,0)</f>
        <v>#N/A</v>
      </c>
      <c r="R163" t="e">
        <f>VLOOKUP(A163,'לעדכן בסינתזה דאטה אריזה 42+24'!$A:$C,3,0)</f>
        <v>#N/A</v>
      </c>
      <c r="S163" t="e">
        <f>VLOOKUP(#REF!,'מלאי לא תקין'!A:N,17,0)</f>
        <v>#REF!</v>
      </c>
      <c r="T163" t="e">
        <f t="shared" si="6"/>
        <v>#REF!</v>
      </c>
      <c r="U163" t="e">
        <f t="shared" si="7"/>
        <v>#REF!</v>
      </c>
    </row>
    <row r="164" spans="4:21" x14ac:dyDescent="0.2">
      <c r="D164" s="4"/>
      <c r="G164" s="5"/>
      <c r="H164" s="5"/>
      <c r="I164" s="4"/>
      <c r="J164" s="4"/>
      <c r="K164" s="5"/>
      <c r="Q164" t="e">
        <f>VLOOKUP(A164,'גיליון דאטה להכל'!A:E,5,0)</f>
        <v>#N/A</v>
      </c>
      <c r="R164" t="e">
        <f>VLOOKUP(A164,'לעדכן בסינתזה דאטה אריזה 42+24'!$A:$C,3,0)</f>
        <v>#N/A</v>
      </c>
      <c r="S164" t="e">
        <f>VLOOKUP(#REF!,'מלאי לא תקין'!A:N,17,0)</f>
        <v>#REF!</v>
      </c>
      <c r="T164" t="e">
        <f t="shared" si="6"/>
        <v>#REF!</v>
      </c>
      <c r="U164" t="e">
        <f t="shared" si="7"/>
        <v>#REF!</v>
      </c>
    </row>
    <row r="165" spans="4:21" x14ac:dyDescent="0.2">
      <c r="D165" s="4"/>
      <c r="G165" s="5"/>
      <c r="H165" s="5"/>
      <c r="I165" s="4"/>
      <c r="J165" s="4"/>
      <c r="K165" s="5"/>
      <c r="Q165" t="e">
        <f>VLOOKUP(A165,'גיליון דאטה להכל'!A:E,5,0)</f>
        <v>#N/A</v>
      </c>
      <c r="R165" t="e">
        <f>VLOOKUP(A165,'לעדכן בסינתזה דאטה אריזה 42+24'!$A:$C,3,0)</f>
        <v>#N/A</v>
      </c>
      <c r="S165" t="e">
        <f>VLOOKUP(#REF!,'מלאי לא תקין'!A:N,17,0)</f>
        <v>#REF!</v>
      </c>
      <c r="T165" t="e">
        <f t="shared" si="6"/>
        <v>#REF!</v>
      </c>
      <c r="U165" t="e">
        <f t="shared" si="7"/>
        <v>#REF!</v>
      </c>
    </row>
    <row r="166" spans="4:21" x14ac:dyDescent="0.2">
      <c r="D166" s="4"/>
      <c r="G166" s="5"/>
      <c r="H166" s="5"/>
      <c r="I166" s="4"/>
      <c r="J166" s="4"/>
      <c r="K166" s="5"/>
      <c r="Q166" t="e">
        <f>VLOOKUP(A166,'גיליון דאטה להכל'!A:E,5,0)</f>
        <v>#N/A</v>
      </c>
      <c r="R166" t="e">
        <f>VLOOKUP(A166,'לעדכן בסינתזה דאטה אריזה 42+24'!$A:$C,3,0)</f>
        <v>#N/A</v>
      </c>
      <c r="S166" t="e">
        <f>VLOOKUP(#REF!,'מלאי לא תקין'!A:N,17,0)</f>
        <v>#REF!</v>
      </c>
      <c r="T166" t="e">
        <f t="shared" si="6"/>
        <v>#REF!</v>
      </c>
      <c r="U166" t="e">
        <f t="shared" si="7"/>
        <v>#REF!</v>
      </c>
    </row>
    <row r="167" spans="4:21" x14ac:dyDescent="0.2">
      <c r="D167" s="4"/>
      <c r="G167" s="5"/>
      <c r="H167" s="7"/>
      <c r="I167" s="4"/>
      <c r="J167" s="4"/>
      <c r="K167" s="5"/>
      <c r="Q167" t="e">
        <f>VLOOKUP(A167,'גיליון דאטה להכל'!A:E,5,0)</f>
        <v>#N/A</v>
      </c>
      <c r="R167" t="e">
        <f>VLOOKUP(A167,'לעדכן בסינתזה דאטה אריזה 42+24'!$A:$C,3,0)</f>
        <v>#N/A</v>
      </c>
      <c r="S167" t="e">
        <f>VLOOKUP(#REF!,'מלאי לא תקין'!A:N,17,0)</f>
        <v>#REF!</v>
      </c>
      <c r="T167" t="e">
        <f t="shared" si="6"/>
        <v>#REF!</v>
      </c>
      <c r="U167" t="e">
        <f t="shared" si="7"/>
        <v>#REF!</v>
      </c>
    </row>
    <row r="168" spans="4:21" x14ac:dyDescent="0.2">
      <c r="D168" s="4"/>
      <c r="G168" s="5"/>
      <c r="H168" s="5"/>
      <c r="I168" s="4"/>
      <c r="J168" s="4"/>
      <c r="K168" s="5"/>
      <c r="Q168" t="e">
        <f>VLOOKUP(A168,'גיליון דאטה להכל'!A:E,5,0)</f>
        <v>#N/A</v>
      </c>
      <c r="R168" t="e">
        <f>VLOOKUP(A168,'לעדכן בסינתזה דאטה אריזה 42+24'!$A:$C,3,0)</f>
        <v>#N/A</v>
      </c>
      <c r="S168" t="e">
        <f>VLOOKUP(#REF!,'מלאי לא תקין'!A:N,17,0)</f>
        <v>#REF!</v>
      </c>
      <c r="T168" t="e">
        <f t="shared" si="6"/>
        <v>#REF!</v>
      </c>
      <c r="U168" t="e">
        <f t="shared" si="7"/>
        <v>#REF!</v>
      </c>
    </row>
    <row r="169" spans="4:21" x14ac:dyDescent="0.2">
      <c r="D169" s="4"/>
      <c r="G169" s="5"/>
      <c r="H169" s="5"/>
      <c r="I169" s="4"/>
      <c r="J169" s="4"/>
      <c r="K169" s="5"/>
      <c r="Q169" t="e">
        <f>VLOOKUP(A169,'גיליון דאטה להכל'!A:E,5,0)</f>
        <v>#N/A</v>
      </c>
      <c r="R169" t="e">
        <f>VLOOKUP(A169,'לעדכן בסינתזה דאטה אריזה 42+24'!$A:$C,3,0)</f>
        <v>#N/A</v>
      </c>
      <c r="S169" t="e">
        <f>VLOOKUP(#REF!,'מלאי לא תקין'!A:N,17,0)</f>
        <v>#REF!</v>
      </c>
      <c r="T169" t="e">
        <f t="shared" si="6"/>
        <v>#REF!</v>
      </c>
      <c r="U169" t="e">
        <f t="shared" si="7"/>
        <v>#REF!</v>
      </c>
    </row>
    <row r="170" spans="4:21" x14ac:dyDescent="0.2">
      <c r="D170" s="4"/>
      <c r="G170" s="5"/>
      <c r="H170" s="5"/>
      <c r="I170" s="4"/>
      <c r="J170" s="4"/>
      <c r="K170" s="5"/>
      <c r="Q170" t="e">
        <f>VLOOKUP(A170,'גיליון דאטה להכל'!A:E,5,0)</f>
        <v>#N/A</v>
      </c>
      <c r="R170" t="e">
        <f>VLOOKUP(A170,'לעדכן בסינתזה דאטה אריזה 42+24'!$A:$C,3,0)</f>
        <v>#N/A</v>
      </c>
      <c r="S170" t="e">
        <f>VLOOKUP(#REF!,'מלאי לא תקין'!A:N,17,0)</f>
        <v>#REF!</v>
      </c>
      <c r="T170" t="e">
        <f t="shared" si="6"/>
        <v>#REF!</v>
      </c>
      <c r="U170" t="e">
        <f t="shared" si="7"/>
        <v>#REF!</v>
      </c>
    </row>
    <row r="171" spans="4:21" x14ac:dyDescent="0.2">
      <c r="D171" s="4"/>
      <c r="G171" s="5"/>
      <c r="H171" s="5"/>
      <c r="I171" s="4"/>
      <c r="J171" s="4"/>
      <c r="K171" s="5"/>
      <c r="Q171" t="e">
        <f>VLOOKUP(A171,'גיליון דאטה להכל'!A:E,5,0)</f>
        <v>#N/A</v>
      </c>
      <c r="R171" t="e">
        <f>VLOOKUP(A171,'לעדכן בסינתזה דאטה אריזה 42+24'!$A:$C,3,0)</f>
        <v>#N/A</v>
      </c>
      <c r="S171" t="e">
        <f>VLOOKUP(#REF!,'מלאי לא תקין'!A:N,17,0)</f>
        <v>#REF!</v>
      </c>
      <c r="T171" t="e">
        <f t="shared" si="6"/>
        <v>#REF!</v>
      </c>
      <c r="U171" t="e">
        <f t="shared" si="7"/>
        <v>#REF!</v>
      </c>
    </row>
    <row r="172" spans="4:21" x14ac:dyDescent="0.2">
      <c r="D172" s="4"/>
      <c r="G172" s="5"/>
      <c r="H172" s="5"/>
      <c r="I172" s="4"/>
      <c r="J172" s="4"/>
      <c r="K172" s="5"/>
      <c r="Q172" t="e">
        <f>VLOOKUP(A172,'גיליון דאטה להכל'!A:E,5,0)</f>
        <v>#N/A</v>
      </c>
      <c r="R172" t="e">
        <f>VLOOKUP(A172,'לעדכן בסינתזה דאטה אריזה 42+24'!$A:$C,3,0)</f>
        <v>#N/A</v>
      </c>
      <c r="S172" t="e">
        <f>VLOOKUP(#REF!,'מלאי לא תקין'!A:N,17,0)</f>
        <v>#REF!</v>
      </c>
      <c r="T172" t="e">
        <f t="shared" si="6"/>
        <v>#REF!</v>
      </c>
      <c r="U172" t="e">
        <f t="shared" si="7"/>
        <v>#REF!</v>
      </c>
    </row>
    <row r="173" spans="4:21" x14ac:dyDescent="0.2">
      <c r="D173" s="4"/>
      <c r="G173" s="5"/>
      <c r="H173" s="7"/>
      <c r="I173" s="4"/>
      <c r="J173" s="4"/>
      <c r="K173" s="5"/>
      <c r="Q173" t="e">
        <f>VLOOKUP(A173,'גיליון דאטה להכל'!A:E,5,0)</f>
        <v>#N/A</v>
      </c>
      <c r="R173" t="e">
        <f>VLOOKUP(A173,'לעדכן בסינתזה דאטה אריזה 42+24'!$A:$C,3,0)</f>
        <v>#N/A</v>
      </c>
      <c r="S173" t="e">
        <f>VLOOKUP(#REF!,'מלאי לא תקין'!A:N,17,0)</f>
        <v>#REF!</v>
      </c>
      <c r="T173" t="e">
        <f t="shared" si="6"/>
        <v>#REF!</v>
      </c>
      <c r="U173" t="e">
        <f t="shared" si="7"/>
        <v>#REF!</v>
      </c>
    </row>
    <row r="174" spans="4:21" x14ac:dyDescent="0.2">
      <c r="D174" s="4"/>
      <c r="G174" s="5"/>
      <c r="H174" s="5"/>
      <c r="I174" s="4"/>
      <c r="J174" s="4"/>
      <c r="K174" s="5"/>
      <c r="Q174" t="e">
        <f>VLOOKUP(A174,'גיליון דאטה להכל'!A:E,5,0)</f>
        <v>#N/A</v>
      </c>
      <c r="R174" t="e">
        <f>VLOOKUP(A174,'לעדכן בסינתזה דאטה אריזה 42+24'!$A:$C,3,0)</f>
        <v>#N/A</v>
      </c>
      <c r="S174" t="e">
        <f>VLOOKUP(#REF!,'מלאי לא תקין'!A:N,17,0)</f>
        <v>#REF!</v>
      </c>
      <c r="T174" t="e">
        <f t="shared" si="6"/>
        <v>#REF!</v>
      </c>
      <c r="U174" t="e">
        <f t="shared" si="7"/>
        <v>#REF!</v>
      </c>
    </row>
    <row r="175" spans="4:21" x14ac:dyDescent="0.2">
      <c r="D175" s="4"/>
      <c r="G175" s="5"/>
      <c r="H175" s="5"/>
      <c r="I175" s="4"/>
      <c r="J175" s="4"/>
      <c r="K175" s="5"/>
      <c r="Q175" t="e">
        <f>VLOOKUP(A175,'גיליון דאטה להכל'!A:E,5,0)</f>
        <v>#N/A</v>
      </c>
      <c r="R175" t="e">
        <f>VLOOKUP(A175,'לעדכן בסינתזה דאטה אריזה 42+24'!$A:$C,3,0)</f>
        <v>#N/A</v>
      </c>
      <c r="S175" t="e">
        <f>VLOOKUP(#REF!,'מלאי לא תקין'!A:N,17,0)</f>
        <v>#REF!</v>
      </c>
      <c r="T175" t="e">
        <f t="shared" si="6"/>
        <v>#REF!</v>
      </c>
      <c r="U175" t="e">
        <f t="shared" si="7"/>
        <v>#REF!</v>
      </c>
    </row>
    <row r="176" spans="4:21" x14ac:dyDescent="0.2">
      <c r="D176" s="4"/>
      <c r="G176" s="5"/>
      <c r="H176" s="5"/>
      <c r="I176" s="4"/>
      <c r="J176" s="4"/>
      <c r="K176" s="5"/>
      <c r="Q176" t="e">
        <f>VLOOKUP(A176,'גיליון דאטה להכל'!A:E,5,0)</f>
        <v>#N/A</v>
      </c>
      <c r="R176" t="e">
        <f>VLOOKUP(A176,'לעדכן בסינתזה דאטה אריזה 42+24'!$A:$C,3,0)</f>
        <v>#N/A</v>
      </c>
      <c r="S176" t="e">
        <f>VLOOKUP(#REF!,'מלאי לא תקין'!A:N,17,0)</f>
        <v>#REF!</v>
      </c>
      <c r="T176" t="e">
        <f t="shared" si="6"/>
        <v>#REF!</v>
      </c>
      <c r="U176" t="e">
        <f t="shared" si="7"/>
        <v>#REF!</v>
      </c>
    </row>
    <row r="177" spans="4:21" x14ac:dyDescent="0.2">
      <c r="D177" s="4"/>
      <c r="G177" s="5"/>
      <c r="H177" s="5"/>
      <c r="I177" s="4"/>
      <c r="J177" s="4"/>
      <c r="K177" s="5"/>
      <c r="Q177" t="e">
        <f>VLOOKUP(A177,'גיליון דאטה להכל'!A:E,5,0)</f>
        <v>#N/A</v>
      </c>
      <c r="R177" t="e">
        <f>VLOOKUP(A177,'לעדכן בסינתזה דאטה אריזה 42+24'!$A:$C,3,0)</f>
        <v>#N/A</v>
      </c>
      <c r="S177" t="e">
        <f>VLOOKUP(#REF!,'מלאי לא תקין'!A:N,17,0)</f>
        <v>#REF!</v>
      </c>
      <c r="T177" t="e">
        <f t="shared" si="6"/>
        <v>#REF!</v>
      </c>
      <c r="U177" t="e">
        <f t="shared" si="7"/>
        <v>#REF!</v>
      </c>
    </row>
    <row r="178" spans="4:21" x14ac:dyDescent="0.2">
      <c r="D178" s="4"/>
      <c r="G178" s="5"/>
      <c r="H178" s="7"/>
      <c r="I178" s="4"/>
      <c r="J178" s="4"/>
      <c r="K178" s="5"/>
      <c r="Q178" t="e">
        <f>VLOOKUP(A178,'גיליון דאטה להכל'!A:E,5,0)</f>
        <v>#N/A</v>
      </c>
      <c r="R178" t="e">
        <f>VLOOKUP(A178,'לעדכן בסינתזה דאטה אריזה 42+24'!$A:$C,3,0)</f>
        <v>#N/A</v>
      </c>
      <c r="S178" t="e">
        <f>VLOOKUP(#REF!,'מלאי לא תקין'!A:N,17,0)</f>
        <v>#REF!</v>
      </c>
      <c r="T178" t="e">
        <f t="shared" si="6"/>
        <v>#REF!</v>
      </c>
      <c r="U178" t="e">
        <f t="shared" si="7"/>
        <v>#REF!</v>
      </c>
    </row>
    <row r="179" spans="4:21" x14ac:dyDescent="0.2">
      <c r="D179" s="4"/>
      <c r="G179" s="5"/>
      <c r="H179" s="5"/>
      <c r="I179" s="4"/>
      <c r="J179" s="4"/>
      <c r="K179" s="5"/>
      <c r="Q179" t="e">
        <f>VLOOKUP(A179,'גיליון דאטה להכל'!A:E,5,0)</f>
        <v>#N/A</v>
      </c>
      <c r="R179" t="e">
        <f>VLOOKUP(A179,'לעדכן בסינתזה דאטה אריזה 42+24'!$A:$C,3,0)</f>
        <v>#N/A</v>
      </c>
      <c r="S179" t="e">
        <f>VLOOKUP(#REF!,'מלאי לא תקין'!A:N,17,0)</f>
        <v>#REF!</v>
      </c>
      <c r="T179" t="e">
        <f t="shared" si="6"/>
        <v>#REF!</v>
      </c>
      <c r="U179" t="e">
        <f t="shared" si="7"/>
        <v>#REF!</v>
      </c>
    </row>
    <row r="180" spans="4:21" x14ac:dyDescent="0.2">
      <c r="D180" s="4"/>
      <c r="G180" s="5"/>
      <c r="H180" s="5"/>
      <c r="I180" s="4"/>
      <c r="J180" s="4"/>
      <c r="K180" s="5"/>
      <c r="Q180" t="e">
        <f>VLOOKUP(A180,'גיליון דאטה להכל'!A:E,5,0)</f>
        <v>#N/A</v>
      </c>
      <c r="R180" t="e">
        <f>VLOOKUP(A180,'לעדכן בסינתזה דאטה אריזה 42+24'!$A:$C,3,0)</f>
        <v>#N/A</v>
      </c>
      <c r="S180" t="e">
        <f>VLOOKUP(#REF!,'מלאי לא תקין'!A:N,17,0)</f>
        <v>#REF!</v>
      </c>
      <c r="T180" t="e">
        <f t="shared" si="6"/>
        <v>#REF!</v>
      </c>
      <c r="U180" t="e">
        <f t="shared" si="7"/>
        <v>#REF!</v>
      </c>
    </row>
    <row r="181" spans="4:21" x14ac:dyDescent="0.2">
      <c r="D181" s="4"/>
      <c r="G181" s="5"/>
      <c r="H181" s="5"/>
      <c r="I181" s="4"/>
      <c r="J181" s="4"/>
      <c r="K181" s="5"/>
      <c r="Q181" t="e">
        <f>VLOOKUP(A181,'גיליון דאטה להכל'!A:E,5,0)</f>
        <v>#N/A</v>
      </c>
      <c r="R181" t="e">
        <f>VLOOKUP(A181,'לעדכן בסינתזה דאטה אריזה 42+24'!$A:$C,3,0)</f>
        <v>#N/A</v>
      </c>
      <c r="S181" t="e">
        <f>VLOOKUP(#REF!,'מלאי לא תקין'!A:N,17,0)</f>
        <v>#REF!</v>
      </c>
      <c r="T181" t="e">
        <f t="shared" si="6"/>
        <v>#REF!</v>
      </c>
      <c r="U181" t="e">
        <f t="shared" si="7"/>
        <v>#REF!</v>
      </c>
    </row>
    <row r="182" spans="4:21" x14ac:dyDescent="0.2">
      <c r="D182" s="4"/>
      <c r="G182" s="5"/>
      <c r="H182" s="5"/>
      <c r="I182" s="4"/>
      <c r="J182" s="4"/>
      <c r="K182" s="5"/>
      <c r="Q182" t="e">
        <f>VLOOKUP(A182,'גיליון דאטה להכל'!A:E,5,0)</f>
        <v>#N/A</v>
      </c>
      <c r="R182" t="e">
        <f>VLOOKUP(A182,'לעדכן בסינתזה דאטה אריזה 42+24'!$A:$C,3,0)</f>
        <v>#N/A</v>
      </c>
      <c r="S182" t="e">
        <f>VLOOKUP(#REF!,'מלאי לא תקין'!A:N,17,0)</f>
        <v>#REF!</v>
      </c>
      <c r="T182" t="e">
        <f t="shared" ref="T182:T245" si="8">_xlfn.CONCAT(S182,Q182)</f>
        <v>#REF!</v>
      </c>
      <c r="U182" t="e">
        <f t="shared" ref="U182:U245" si="9">_xlfn.CONCAT(S182,O182)</f>
        <v>#REF!</v>
      </c>
    </row>
    <row r="183" spans="4:21" x14ac:dyDescent="0.2">
      <c r="D183" s="4"/>
      <c r="G183" s="5"/>
      <c r="H183" s="7"/>
      <c r="I183" s="4"/>
      <c r="J183" s="4"/>
      <c r="K183" s="5"/>
      <c r="Q183" t="e">
        <f>VLOOKUP(A183,'גיליון דאטה להכל'!A:E,5,0)</f>
        <v>#N/A</v>
      </c>
      <c r="R183" t="e">
        <f>VLOOKUP(A183,'לעדכן בסינתזה דאטה אריזה 42+24'!$A:$C,3,0)</f>
        <v>#N/A</v>
      </c>
      <c r="S183" t="e">
        <f>VLOOKUP(#REF!,'מלאי לא תקין'!A:N,17,0)</f>
        <v>#REF!</v>
      </c>
      <c r="T183" t="e">
        <f t="shared" si="8"/>
        <v>#REF!</v>
      </c>
      <c r="U183" t="e">
        <f t="shared" si="9"/>
        <v>#REF!</v>
      </c>
    </row>
    <row r="184" spans="4:21" x14ac:dyDescent="0.2">
      <c r="D184" s="4"/>
      <c r="G184" s="5"/>
      <c r="H184" s="5"/>
      <c r="I184" s="4"/>
      <c r="J184" s="4"/>
      <c r="K184" s="5"/>
      <c r="Q184" t="e">
        <f>VLOOKUP(A184,'גיליון דאטה להכל'!A:E,5,0)</f>
        <v>#N/A</v>
      </c>
      <c r="R184" t="e">
        <f>VLOOKUP(A184,'לעדכן בסינתזה דאטה אריזה 42+24'!$A:$C,3,0)</f>
        <v>#N/A</v>
      </c>
      <c r="S184" t="e">
        <f>VLOOKUP(#REF!,'מלאי לא תקין'!A:N,17,0)</f>
        <v>#REF!</v>
      </c>
      <c r="T184" t="e">
        <f t="shared" si="8"/>
        <v>#REF!</v>
      </c>
      <c r="U184" t="e">
        <f t="shared" si="9"/>
        <v>#REF!</v>
      </c>
    </row>
    <row r="185" spans="4:21" x14ac:dyDescent="0.2">
      <c r="D185" s="4"/>
      <c r="G185" s="5"/>
      <c r="H185" s="5"/>
      <c r="I185" s="4"/>
      <c r="J185" s="4"/>
      <c r="K185" s="5"/>
      <c r="Q185" t="e">
        <f>VLOOKUP(A185,'גיליון דאטה להכל'!A:E,5,0)</f>
        <v>#N/A</v>
      </c>
      <c r="R185" t="e">
        <f>VLOOKUP(A185,'לעדכן בסינתזה דאטה אריזה 42+24'!$A:$C,3,0)</f>
        <v>#N/A</v>
      </c>
      <c r="S185" t="e">
        <f>VLOOKUP(#REF!,'מלאי לא תקין'!A:N,17,0)</f>
        <v>#REF!</v>
      </c>
      <c r="T185" t="e">
        <f t="shared" si="8"/>
        <v>#REF!</v>
      </c>
      <c r="U185" t="e">
        <f t="shared" si="9"/>
        <v>#REF!</v>
      </c>
    </row>
    <row r="186" spans="4:21" x14ac:dyDescent="0.2">
      <c r="D186" s="4"/>
      <c r="G186" s="5"/>
      <c r="H186" s="5"/>
      <c r="I186" s="4"/>
      <c r="J186" s="4"/>
      <c r="K186" s="5"/>
      <c r="Q186" t="e">
        <f>VLOOKUP(A186,'גיליון דאטה להכל'!A:E,5,0)</f>
        <v>#N/A</v>
      </c>
      <c r="R186" t="e">
        <f>VLOOKUP(A186,'לעדכן בסינתזה דאטה אריזה 42+24'!$A:$C,3,0)</f>
        <v>#N/A</v>
      </c>
      <c r="S186" t="e">
        <f>VLOOKUP(#REF!,'מלאי לא תקין'!A:N,17,0)</f>
        <v>#REF!</v>
      </c>
      <c r="T186" t="e">
        <f t="shared" si="8"/>
        <v>#REF!</v>
      </c>
      <c r="U186" t="e">
        <f t="shared" si="9"/>
        <v>#REF!</v>
      </c>
    </row>
    <row r="187" spans="4:21" x14ac:dyDescent="0.2">
      <c r="D187" s="4"/>
      <c r="G187" s="5"/>
      <c r="H187" s="5"/>
      <c r="I187" s="4"/>
      <c r="J187" s="4"/>
      <c r="K187" s="5"/>
      <c r="Q187" t="e">
        <f>VLOOKUP(A187,'גיליון דאטה להכל'!A:E,5,0)</f>
        <v>#N/A</v>
      </c>
      <c r="R187" t="e">
        <f>VLOOKUP(A187,'לעדכן בסינתזה דאטה אריזה 42+24'!$A:$C,3,0)</f>
        <v>#N/A</v>
      </c>
      <c r="S187" t="e">
        <f>VLOOKUP(#REF!,'מלאי לא תקין'!A:N,17,0)</f>
        <v>#REF!</v>
      </c>
      <c r="T187" t="e">
        <f t="shared" si="8"/>
        <v>#REF!</v>
      </c>
      <c r="U187" t="e">
        <f t="shared" si="9"/>
        <v>#REF!</v>
      </c>
    </row>
    <row r="188" spans="4:21" x14ac:dyDescent="0.2">
      <c r="D188" s="4"/>
      <c r="G188" s="5"/>
      <c r="H188" s="5"/>
      <c r="I188" s="4"/>
      <c r="J188" s="4"/>
      <c r="K188" s="5"/>
      <c r="Q188" t="e">
        <f>VLOOKUP(A188,'גיליון דאטה להכל'!A:E,5,0)</f>
        <v>#N/A</v>
      </c>
      <c r="R188" t="e">
        <f>VLOOKUP(A188,'לעדכן בסינתזה דאטה אריזה 42+24'!$A:$C,3,0)</f>
        <v>#N/A</v>
      </c>
      <c r="S188" t="e">
        <f>VLOOKUP(#REF!,'מלאי לא תקין'!A:N,17,0)</f>
        <v>#REF!</v>
      </c>
      <c r="T188" t="e">
        <f t="shared" si="8"/>
        <v>#REF!</v>
      </c>
      <c r="U188" t="e">
        <f t="shared" si="9"/>
        <v>#REF!</v>
      </c>
    </row>
    <row r="189" spans="4:21" x14ac:dyDescent="0.2">
      <c r="D189" s="4"/>
      <c r="G189" s="5"/>
      <c r="H189" s="7"/>
      <c r="I189" s="4"/>
      <c r="J189" s="4"/>
      <c r="K189" s="5"/>
      <c r="Q189" t="e">
        <f>VLOOKUP(A189,'גיליון דאטה להכל'!A:E,5,0)</f>
        <v>#N/A</v>
      </c>
      <c r="R189" t="e">
        <f>VLOOKUP(A189,'לעדכן בסינתזה דאטה אריזה 42+24'!$A:$C,3,0)</f>
        <v>#N/A</v>
      </c>
      <c r="S189" t="e">
        <f>VLOOKUP(#REF!,'מלאי לא תקין'!A:N,17,0)</f>
        <v>#REF!</v>
      </c>
      <c r="T189" t="e">
        <f t="shared" si="8"/>
        <v>#REF!</v>
      </c>
      <c r="U189" t="e">
        <f t="shared" si="9"/>
        <v>#REF!</v>
      </c>
    </row>
    <row r="190" spans="4:21" x14ac:dyDescent="0.2">
      <c r="D190" s="4"/>
      <c r="G190" s="5"/>
      <c r="H190" s="5"/>
      <c r="I190" s="4"/>
      <c r="J190" s="4"/>
      <c r="K190" s="5"/>
      <c r="Q190" t="e">
        <f>VLOOKUP(A190,'גיליון דאטה להכל'!A:E,5,0)</f>
        <v>#N/A</v>
      </c>
      <c r="R190" t="e">
        <f>VLOOKUP(A190,'לעדכן בסינתזה דאטה אריזה 42+24'!$A:$C,3,0)</f>
        <v>#N/A</v>
      </c>
      <c r="S190" t="e">
        <f>VLOOKUP(#REF!,'מלאי לא תקין'!A:N,17,0)</f>
        <v>#REF!</v>
      </c>
      <c r="T190" t="e">
        <f t="shared" si="8"/>
        <v>#REF!</v>
      </c>
      <c r="U190" t="e">
        <f t="shared" si="9"/>
        <v>#REF!</v>
      </c>
    </row>
    <row r="191" spans="4:21" x14ac:dyDescent="0.2">
      <c r="D191" s="4"/>
      <c r="G191" s="5"/>
      <c r="H191" s="5"/>
      <c r="I191" s="4"/>
      <c r="J191" s="4"/>
      <c r="K191" s="5"/>
      <c r="Q191" t="e">
        <f>VLOOKUP(A191,'גיליון דאטה להכל'!A:E,5,0)</f>
        <v>#N/A</v>
      </c>
      <c r="R191" t="e">
        <f>VLOOKUP(A191,'לעדכן בסינתזה דאטה אריזה 42+24'!$A:$C,3,0)</f>
        <v>#N/A</v>
      </c>
      <c r="S191" t="e">
        <f>VLOOKUP(#REF!,'מלאי לא תקין'!A:N,17,0)</f>
        <v>#REF!</v>
      </c>
      <c r="T191" t="e">
        <f t="shared" si="8"/>
        <v>#REF!</v>
      </c>
      <c r="U191" t="e">
        <f t="shared" si="9"/>
        <v>#REF!</v>
      </c>
    </row>
    <row r="192" spans="4:21" x14ac:dyDescent="0.2">
      <c r="D192" s="4"/>
      <c r="G192" s="5"/>
      <c r="H192" s="5"/>
      <c r="I192" s="4"/>
      <c r="J192" s="4"/>
      <c r="K192" s="5"/>
      <c r="Q192" t="e">
        <f>VLOOKUP(A192,'גיליון דאטה להכל'!A:E,5,0)</f>
        <v>#N/A</v>
      </c>
      <c r="R192" t="e">
        <f>VLOOKUP(A192,'לעדכן בסינתזה דאטה אריזה 42+24'!$A:$C,3,0)</f>
        <v>#N/A</v>
      </c>
      <c r="S192" t="e">
        <f>VLOOKUP(#REF!,'מלאי לא תקין'!A:N,17,0)</f>
        <v>#REF!</v>
      </c>
      <c r="T192" t="e">
        <f t="shared" si="8"/>
        <v>#REF!</v>
      </c>
      <c r="U192" t="e">
        <f t="shared" si="9"/>
        <v>#REF!</v>
      </c>
    </row>
    <row r="193" spans="4:21" x14ac:dyDescent="0.2">
      <c r="D193" s="4"/>
      <c r="G193" s="5"/>
      <c r="H193" s="5"/>
      <c r="I193" s="4"/>
      <c r="J193" s="4"/>
      <c r="K193" s="5"/>
      <c r="Q193" t="e">
        <f>VLOOKUP(A193,'גיליון דאטה להכל'!A:E,5,0)</f>
        <v>#N/A</v>
      </c>
      <c r="R193" t="e">
        <f>VLOOKUP(A193,'לעדכן בסינתזה דאטה אריזה 42+24'!$A:$C,3,0)</f>
        <v>#N/A</v>
      </c>
      <c r="S193" t="e">
        <f>VLOOKUP(#REF!,'מלאי לא תקין'!A:N,17,0)</f>
        <v>#REF!</v>
      </c>
      <c r="T193" t="e">
        <f t="shared" si="8"/>
        <v>#REF!</v>
      </c>
      <c r="U193" t="e">
        <f t="shared" si="9"/>
        <v>#REF!</v>
      </c>
    </row>
    <row r="194" spans="4:21" x14ac:dyDescent="0.2">
      <c r="D194" s="4"/>
      <c r="G194" s="5"/>
      <c r="H194" s="5"/>
      <c r="I194" s="4"/>
      <c r="J194" s="4"/>
      <c r="K194" s="5"/>
      <c r="Q194" t="e">
        <f>VLOOKUP(A194,'גיליון דאטה להכל'!A:E,5,0)</f>
        <v>#N/A</v>
      </c>
      <c r="R194" t="e">
        <f>VLOOKUP(A194,'לעדכן בסינתזה דאטה אריזה 42+24'!$A:$C,3,0)</f>
        <v>#N/A</v>
      </c>
      <c r="S194" t="e">
        <f>VLOOKUP(#REF!,'מלאי לא תקין'!A:N,17,0)</f>
        <v>#REF!</v>
      </c>
      <c r="T194" t="e">
        <f t="shared" si="8"/>
        <v>#REF!</v>
      </c>
      <c r="U194" t="e">
        <f t="shared" si="9"/>
        <v>#REF!</v>
      </c>
    </row>
    <row r="195" spans="4:21" x14ac:dyDescent="0.2">
      <c r="D195" s="4"/>
      <c r="G195" s="5"/>
      <c r="H195" s="7"/>
      <c r="I195" s="4"/>
      <c r="J195" s="4"/>
      <c r="K195" s="5"/>
      <c r="Q195" t="e">
        <f>VLOOKUP(A195,'גיליון דאטה להכל'!A:E,5,0)</f>
        <v>#N/A</v>
      </c>
      <c r="R195" t="e">
        <f>VLOOKUP(A195,'לעדכן בסינתזה דאטה אריזה 42+24'!$A:$C,3,0)</f>
        <v>#N/A</v>
      </c>
      <c r="S195" t="e">
        <f>VLOOKUP(#REF!,'מלאי לא תקין'!A:N,17,0)</f>
        <v>#REF!</v>
      </c>
      <c r="T195" t="e">
        <f t="shared" si="8"/>
        <v>#REF!</v>
      </c>
      <c r="U195" t="e">
        <f t="shared" si="9"/>
        <v>#REF!</v>
      </c>
    </row>
    <row r="196" spans="4:21" x14ac:dyDescent="0.2">
      <c r="D196" s="4"/>
      <c r="G196" s="5"/>
      <c r="H196" s="5"/>
      <c r="I196" s="4"/>
      <c r="J196" s="4"/>
      <c r="K196" s="5"/>
      <c r="Q196" t="e">
        <f>VLOOKUP(A196,'גיליון דאטה להכל'!A:E,5,0)</f>
        <v>#N/A</v>
      </c>
      <c r="R196" t="e">
        <f>VLOOKUP(A196,'לעדכן בסינתזה דאטה אריזה 42+24'!$A:$C,3,0)</f>
        <v>#N/A</v>
      </c>
      <c r="S196" t="e">
        <f>VLOOKUP(#REF!,'מלאי לא תקין'!A:N,17,0)</f>
        <v>#REF!</v>
      </c>
      <c r="T196" t="e">
        <f t="shared" si="8"/>
        <v>#REF!</v>
      </c>
      <c r="U196" t="e">
        <f t="shared" si="9"/>
        <v>#REF!</v>
      </c>
    </row>
    <row r="197" spans="4:21" x14ac:dyDescent="0.2">
      <c r="D197" s="4"/>
      <c r="G197" s="5"/>
      <c r="H197" s="5"/>
      <c r="I197" s="4"/>
      <c r="J197" s="4"/>
      <c r="K197" s="5"/>
      <c r="Q197" t="e">
        <f>VLOOKUP(A197,'גיליון דאטה להכל'!A:E,5,0)</f>
        <v>#N/A</v>
      </c>
      <c r="R197" t="e">
        <f>VLOOKUP(A197,'לעדכן בסינתזה דאטה אריזה 42+24'!$A:$C,3,0)</f>
        <v>#N/A</v>
      </c>
      <c r="S197" t="e">
        <f>VLOOKUP(#REF!,'מלאי לא תקין'!A:N,17,0)</f>
        <v>#REF!</v>
      </c>
      <c r="T197" t="e">
        <f t="shared" si="8"/>
        <v>#REF!</v>
      </c>
      <c r="U197" t="e">
        <f t="shared" si="9"/>
        <v>#REF!</v>
      </c>
    </row>
    <row r="198" spans="4:21" x14ac:dyDescent="0.2">
      <c r="D198" s="4"/>
      <c r="G198" s="5"/>
      <c r="H198" s="5"/>
      <c r="I198" s="4"/>
      <c r="J198" s="4"/>
      <c r="K198" s="5"/>
      <c r="Q198" t="e">
        <f>VLOOKUP(A198,'גיליון דאטה להכל'!A:E,5,0)</f>
        <v>#N/A</v>
      </c>
      <c r="R198" t="e">
        <f>VLOOKUP(A198,'לעדכן בסינתזה דאטה אריזה 42+24'!$A:$C,3,0)</f>
        <v>#N/A</v>
      </c>
      <c r="S198" t="e">
        <f>VLOOKUP(#REF!,'מלאי לא תקין'!A:N,17,0)</f>
        <v>#REF!</v>
      </c>
      <c r="T198" t="e">
        <f t="shared" si="8"/>
        <v>#REF!</v>
      </c>
      <c r="U198" t="e">
        <f t="shared" si="9"/>
        <v>#REF!</v>
      </c>
    </row>
    <row r="199" spans="4:21" x14ac:dyDescent="0.2">
      <c r="D199" s="4"/>
      <c r="G199" s="5"/>
      <c r="H199" s="5"/>
      <c r="I199" s="4"/>
      <c r="J199" s="4"/>
      <c r="K199" s="5"/>
      <c r="Q199" t="e">
        <f>VLOOKUP(A199,'גיליון דאטה להכל'!A:E,5,0)</f>
        <v>#N/A</v>
      </c>
      <c r="R199" t="e">
        <f>VLOOKUP(A199,'לעדכן בסינתזה דאטה אריזה 42+24'!$A:$C,3,0)</f>
        <v>#N/A</v>
      </c>
      <c r="S199" t="e">
        <f>VLOOKUP(#REF!,'מלאי לא תקין'!A:N,17,0)</f>
        <v>#REF!</v>
      </c>
      <c r="T199" t="e">
        <f t="shared" si="8"/>
        <v>#REF!</v>
      </c>
      <c r="U199" t="e">
        <f t="shared" si="9"/>
        <v>#REF!</v>
      </c>
    </row>
    <row r="200" spans="4:21" x14ac:dyDescent="0.2">
      <c r="D200" s="4"/>
      <c r="G200" s="5"/>
      <c r="H200" s="5"/>
      <c r="I200" s="4"/>
      <c r="J200" s="4"/>
      <c r="K200" s="5"/>
      <c r="Q200" t="e">
        <f>VLOOKUP(A200,'גיליון דאטה להכל'!A:E,5,0)</f>
        <v>#N/A</v>
      </c>
      <c r="R200" t="e">
        <f>VLOOKUP(A200,'לעדכן בסינתזה דאטה אריזה 42+24'!$A:$C,3,0)</f>
        <v>#N/A</v>
      </c>
      <c r="S200" t="e">
        <f>VLOOKUP(#REF!,'מלאי לא תקין'!A:N,17,0)</f>
        <v>#REF!</v>
      </c>
      <c r="T200" t="e">
        <f t="shared" si="8"/>
        <v>#REF!</v>
      </c>
      <c r="U200" t="e">
        <f t="shared" si="9"/>
        <v>#REF!</v>
      </c>
    </row>
    <row r="201" spans="4:21" x14ac:dyDescent="0.2">
      <c r="D201" s="4"/>
      <c r="G201" s="5"/>
      <c r="H201" s="7"/>
      <c r="I201" s="4"/>
      <c r="J201" s="4"/>
      <c r="K201" s="5"/>
      <c r="Q201" t="e">
        <f>VLOOKUP(A201,'גיליון דאטה להכל'!A:E,5,0)</f>
        <v>#N/A</v>
      </c>
      <c r="R201" t="e">
        <f>VLOOKUP(A201,'לעדכן בסינתזה דאטה אריזה 42+24'!$A:$C,3,0)</f>
        <v>#N/A</v>
      </c>
      <c r="S201" t="e">
        <f>VLOOKUP(#REF!,'מלאי לא תקין'!A:N,17,0)</f>
        <v>#REF!</v>
      </c>
      <c r="T201" t="e">
        <f t="shared" si="8"/>
        <v>#REF!</v>
      </c>
      <c r="U201" t="e">
        <f t="shared" si="9"/>
        <v>#REF!</v>
      </c>
    </row>
    <row r="202" spans="4:21" x14ac:dyDescent="0.2">
      <c r="D202" s="4"/>
      <c r="G202" s="5"/>
      <c r="H202" s="5"/>
      <c r="I202" s="4"/>
      <c r="J202" s="4"/>
      <c r="K202" s="5"/>
      <c r="Q202" t="e">
        <f>VLOOKUP(A202,'גיליון דאטה להכל'!A:E,5,0)</f>
        <v>#N/A</v>
      </c>
      <c r="R202" t="e">
        <f>VLOOKUP(A202,'לעדכן בסינתזה דאטה אריזה 42+24'!$A:$C,3,0)</f>
        <v>#N/A</v>
      </c>
      <c r="S202" t="e">
        <f>VLOOKUP(#REF!,'מלאי לא תקין'!A:N,17,0)</f>
        <v>#REF!</v>
      </c>
      <c r="T202" t="e">
        <f t="shared" si="8"/>
        <v>#REF!</v>
      </c>
      <c r="U202" t="e">
        <f t="shared" si="9"/>
        <v>#REF!</v>
      </c>
    </row>
    <row r="203" spans="4:21" x14ac:dyDescent="0.2">
      <c r="D203" s="4"/>
      <c r="G203" s="5"/>
      <c r="H203" s="5"/>
      <c r="I203" s="4"/>
      <c r="J203" s="4"/>
      <c r="K203" s="5"/>
      <c r="Q203" t="e">
        <f>VLOOKUP(A203,'גיליון דאטה להכל'!A:E,5,0)</f>
        <v>#N/A</v>
      </c>
      <c r="R203" t="e">
        <f>VLOOKUP(A203,'לעדכן בסינתזה דאטה אריזה 42+24'!$A:$C,3,0)</f>
        <v>#N/A</v>
      </c>
      <c r="S203" t="e">
        <f>VLOOKUP(#REF!,'מלאי לא תקין'!A:N,17,0)</f>
        <v>#REF!</v>
      </c>
      <c r="T203" t="e">
        <f t="shared" si="8"/>
        <v>#REF!</v>
      </c>
      <c r="U203" t="e">
        <f t="shared" si="9"/>
        <v>#REF!</v>
      </c>
    </row>
    <row r="204" spans="4:21" x14ac:dyDescent="0.2">
      <c r="D204" s="4"/>
      <c r="G204" s="5"/>
      <c r="H204" s="5"/>
      <c r="I204" s="4"/>
      <c r="J204" s="4"/>
      <c r="K204" s="5"/>
      <c r="Q204" t="e">
        <f>VLOOKUP(A204,'גיליון דאטה להכל'!A:E,5,0)</f>
        <v>#N/A</v>
      </c>
      <c r="R204" t="e">
        <f>VLOOKUP(A204,'לעדכן בסינתזה דאטה אריזה 42+24'!$A:$C,3,0)</f>
        <v>#N/A</v>
      </c>
      <c r="S204" t="e">
        <f>VLOOKUP(#REF!,'מלאי לא תקין'!A:N,17,0)</f>
        <v>#REF!</v>
      </c>
      <c r="T204" t="e">
        <f t="shared" si="8"/>
        <v>#REF!</v>
      </c>
      <c r="U204" t="e">
        <f t="shared" si="9"/>
        <v>#REF!</v>
      </c>
    </row>
    <row r="205" spans="4:21" x14ac:dyDescent="0.2">
      <c r="D205" s="4"/>
      <c r="G205" s="5"/>
      <c r="H205" s="5"/>
      <c r="I205" s="4"/>
      <c r="J205" s="4"/>
      <c r="K205" s="5"/>
      <c r="Q205" t="e">
        <f>VLOOKUP(A205,'גיליון דאטה להכל'!A:E,5,0)</f>
        <v>#N/A</v>
      </c>
      <c r="R205" t="e">
        <f>VLOOKUP(A205,'לעדכן בסינתזה דאטה אריזה 42+24'!$A:$C,3,0)</f>
        <v>#N/A</v>
      </c>
      <c r="S205" t="e">
        <f>VLOOKUP(#REF!,'מלאי לא תקין'!A:N,17,0)</f>
        <v>#REF!</v>
      </c>
      <c r="T205" t="e">
        <f t="shared" si="8"/>
        <v>#REF!</v>
      </c>
      <c r="U205" t="e">
        <f t="shared" si="9"/>
        <v>#REF!</v>
      </c>
    </row>
    <row r="206" spans="4:21" x14ac:dyDescent="0.2">
      <c r="D206" s="4"/>
      <c r="G206" s="5"/>
      <c r="H206" s="5"/>
      <c r="I206" s="4"/>
      <c r="J206" s="4"/>
      <c r="K206" s="5"/>
      <c r="Q206" t="e">
        <f>VLOOKUP(A206,'גיליון דאטה להכל'!A:E,5,0)</f>
        <v>#N/A</v>
      </c>
      <c r="R206" t="e">
        <f>VLOOKUP(A206,'לעדכן בסינתזה דאטה אריזה 42+24'!$A:$C,3,0)</f>
        <v>#N/A</v>
      </c>
      <c r="S206" t="e">
        <f>VLOOKUP(#REF!,'מלאי לא תקין'!A:N,17,0)</f>
        <v>#REF!</v>
      </c>
      <c r="T206" t="e">
        <f t="shared" si="8"/>
        <v>#REF!</v>
      </c>
      <c r="U206" t="e">
        <f t="shared" si="9"/>
        <v>#REF!</v>
      </c>
    </row>
    <row r="207" spans="4:21" x14ac:dyDescent="0.2">
      <c r="D207" s="4"/>
      <c r="G207" s="5"/>
      <c r="H207" s="7"/>
      <c r="I207" s="4"/>
      <c r="J207" s="4"/>
      <c r="K207" s="5"/>
      <c r="Q207" t="e">
        <f>VLOOKUP(A207,'גיליון דאטה להכל'!A:E,5,0)</f>
        <v>#N/A</v>
      </c>
      <c r="R207" t="e">
        <f>VLOOKUP(A207,'לעדכן בסינתזה דאטה אריזה 42+24'!$A:$C,3,0)</f>
        <v>#N/A</v>
      </c>
      <c r="S207" t="e">
        <f>VLOOKUP(#REF!,'מלאי לא תקין'!A:N,17,0)</f>
        <v>#REF!</v>
      </c>
      <c r="T207" t="e">
        <f t="shared" si="8"/>
        <v>#REF!</v>
      </c>
      <c r="U207" t="e">
        <f t="shared" si="9"/>
        <v>#REF!</v>
      </c>
    </row>
    <row r="208" spans="4:21" x14ac:dyDescent="0.2">
      <c r="D208" s="4"/>
      <c r="G208" s="5"/>
      <c r="H208" s="5"/>
      <c r="I208" s="4"/>
      <c r="J208" s="4"/>
      <c r="K208" s="5"/>
      <c r="Q208" t="e">
        <f>VLOOKUP(A208,'גיליון דאטה להכל'!A:E,5,0)</f>
        <v>#N/A</v>
      </c>
      <c r="R208" t="e">
        <f>VLOOKUP(A208,'לעדכן בסינתזה דאטה אריזה 42+24'!$A:$C,3,0)</f>
        <v>#N/A</v>
      </c>
      <c r="S208" t="e">
        <f>VLOOKUP(#REF!,'מלאי לא תקין'!A:N,17,0)</f>
        <v>#REF!</v>
      </c>
      <c r="T208" t="e">
        <f t="shared" si="8"/>
        <v>#REF!</v>
      </c>
      <c r="U208" t="e">
        <f t="shared" si="9"/>
        <v>#REF!</v>
      </c>
    </row>
    <row r="209" spans="4:21" x14ac:dyDescent="0.2">
      <c r="D209" s="4"/>
      <c r="G209" s="5"/>
      <c r="H209" s="5"/>
      <c r="I209" s="4"/>
      <c r="J209" s="4"/>
      <c r="K209" s="5"/>
      <c r="Q209" t="e">
        <f>VLOOKUP(A209,'גיליון דאטה להכל'!A:E,5,0)</f>
        <v>#N/A</v>
      </c>
      <c r="R209" t="e">
        <f>VLOOKUP(A209,'לעדכן בסינתזה דאטה אריזה 42+24'!$A:$C,3,0)</f>
        <v>#N/A</v>
      </c>
      <c r="S209" t="e">
        <f>VLOOKUP(#REF!,'מלאי לא תקין'!A:N,17,0)</f>
        <v>#REF!</v>
      </c>
      <c r="T209" t="e">
        <f t="shared" si="8"/>
        <v>#REF!</v>
      </c>
      <c r="U209" t="e">
        <f t="shared" si="9"/>
        <v>#REF!</v>
      </c>
    </row>
    <row r="210" spans="4:21" x14ac:dyDescent="0.2">
      <c r="D210" s="4"/>
      <c r="G210" s="5"/>
      <c r="H210" s="5"/>
      <c r="I210" s="4"/>
      <c r="J210" s="4"/>
      <c r="K210" s="5"/>
      <c r="Q210" t="e">
        <f>VLOOKUP(A210,'גיליון דאטה להכל'!A:E,5,0)</f>
        <v>#N/A</v>
      </c>
      <c r="R210" t="e">
        <f>VLOOKUP(A210,'לעדכן בסינתזה דאטה אריזה 42+24'!$A:$C,3,0)</f>
        <v>#N/A</v>
      </c>
      <c r="S210" t="e">
        <f>VLOOKUP(#REF!,'מלאי לא תקין'!A:N,17,0)</f>
        <v>#REF!</v>
      </c>
      <c r="T210" t="e">
        <f t="shared" si="8"/>
        <v>#REF!</v>
      </c>
      <c r="U210" t="e">
        <f t="shared" si="9"/>
        <v>#REF!</v>
      </c>
    </row>
    <row r="211" spans="4:21" x14ac:dyDescent="0.2">
      <c r="D211" s="4"/>
      <c r="G211" s="5"/>
      <c r="H211" s="5"/>
      <c r="I211" s="4"/>
      <c r="J211" s="4"/>
      <c r="K211" s="5"/>
      <c r="Q211" t="e">
        <f>VLOOKUP(A211,'גיליון דאטה להכל'!A:E,5,0)</f>
        <v>#N/A</v>
      </c>
      <c r="R211" t="e">
        <f>VLOOKUP(A211,'לעדכן בסינתזה דאטה אריזה 42+24'!$A:$C,3,0)</f>
        <v>#N/A</v>
      </c>
      <c r="S211" t="e">
        <f>VLOOKUP(#REF!,'מלאי לא תקין'!A:N,17,0)</f>
        <v>#REF!</v>
      </c>
      <c r="T211" t="e">
        <f t="shared" si="8"/>
        <v>#REF!</v>
      </c>
      <c r="U211" t="e">
        <f t="shared" si="9"/>
        <v>#REF!</v>
      </c>
    </row>
    <row r="212" spans="4:21" x14ac:dyDescent="0.2">
      <c r="D212" s="4"/>
      <c r="G212" s="5"/>
      <c r="H212" s="5"/>
      <c r="I212" s="4"/>
      <c r="J212" s="4"/>
      <c r="K212" s="5"/>
      <c r="Q212" t="e">
        <f>VLOOKUP(A212,'גיליון דאטה להכל'!A:E,5,0)</f>
        <v>#N/A</v>
      </c>
      <c r="R212" t="e">
        <f>VLOOKUP(A212,'לעדכן בסינתזה דאטה אריזה 42+24'!$A:$C,3,0)</f>
        <v>#N/A</v>
      </c>
      <c r="S212" t="e">
        <f>VLOOKUP(#REF!,'מלאי לא תקין'!A:N,17,0)</f>
        <v>#REF!</v>
      </c>
      <c r="T212" t="e">
        <f t="shared" si="8"/>
        <v>#REF!</v>
      </c>
      <c r="U212" t="e">
        <f t="shared" si="9"/>
        <v>#REF!</v>
      </c>
    </row>
    <row r="213" spans="4:21" x14ac:dyDescent="0.2">
      <c r="D213" s="4"/>
      <c r="G213" s="5"/>
      <c r="H213" s="7"/>
      <c r="I213" s="4"/>
      <c r="J213" s="4"/>
      <c r="K213" s="5"/>
      <c r="Q213" t="e">
        <f>VLOOKUP(A213,'גיליון דאטה להכל'!A:E,5,0)</f>
        <v>#N/A</v>
      </c>
      <c r="R213" t="e">
        <f>VLOOKUP(A213,'לעדכן בסינתזה דאטה אריזה 42+24'!$A:$C,3,0)</f>
        <v>#N/A</v>
      </c>
      <c r="S213" t="e">
        <f>VLOOKUP(#REF!,'מלאי לא תקין'!A:N,17,0)</f>
        <v>#REF!</v>
      </c>
      <c r="T213" t="e">
        <f t="shared" si="8"/>
        <v>#REF!</v>
      </c>
      <c r="U213" t="e">
        <f t="shared" si="9"/>
        <v>#REF!</v>
      </c>
    </row>
    <row r="214" spans="4:21" x14ac:dyDescent="0.2">
      <c r="D214" s="4"/>
      <c r="G214" s="5"/>
      <c r="H214" s="5"/>
      <c r="I214" s="4"/>
      <c r="J214" s="4"/>
      <c r="K214" s="5"/>
      <c r="Q214" t="e">
        <f>VLOOKUP(A214,'גיליון דאטה להכל'!A:E,5,0)</f>
        <v>#N/A</v>
      </c>
      <c r="R214" t="e">
        <f>VLOOKUP(A214,'לעדכן בסינתזה דאטה אריזה 42+24'!$A:$C,3,0)</f>
        <v>#N/A</v>
      </c>
      <c r="S214" t="e">
        <f>VLOOKUP(#REF!,'מלאי לא תקין'!A:N,17,0)</f>
        <v>#REF!</v>
      </c>
      <c r="T214" t="e">
        <f t="shared" si="8"/>
        <v>#REF!</v>
      </c>
      <c r="U214" t="e">
        <f t="shared" si="9"/>
        <v>#REF!</v>
      </c>
    </row>
    <row r="215" spans="4:21" x14ac:dyDescent="0.2">
      <c r="D215" s="4"/>
      <c r="G215" s="5"/>
      <c r="H215" s="5"/>
      <c r="I215" s="4"/>
      <c r="J215" s="4"/>
      <c r="K215" s="5"/>
      <c r="Q215" t="e">
        <f>VLOOKUP(A215,'גיליון דאטה להכל'!A:E,5,0)</f>
        <v>#N/A</v>
      </c>
      <c r="R215" t="e">
        <f>VLOOKUP(A215,'לעדכן בסינתזה דאטה אריזה 42+24'!$A:$C,3,0)</f>
        <v>#N/A</v>
      </c>
      <c r="S215" t="e">
        <f>VLOOKUP(#REF!,'מלאי לא תקין'!A:N,17,0)</f>
        <v>#REF!</v>
      </c>
      <c r="T215" t="e">
        <f t="shared" si="8"/>
        <v>#REF!</v>
      </c>
      <c r="U215" t="e">
        <f t="shared" si="9"/>
        <v>#REF!</v>
      </c>
    </row>
    <row r="216" spans="4:21" x14ac:dyDescent="0.2">
      <c r="D216" s="4"/>
      <c r="G216" s="5"/>
      <c r="H216" s="5"/>
      <c r="I216" s="4"/>
      <c r="J216" s="4"/>
      <c r="K216" s="5"/>
      <c r="Q216" t="e">
        <f>VLOOKUP(A216,'גיליון דאטה להכל'!A:E,5,0)</f>
        <v>#N/A</v>
      </c>
      <c r="R216" t="e">
        <f>VLOOKUP(A216,'לעדכן בסינתזה דאטה אריזה 42+24'!$A:$C,3,0)</f>
        <v>#N/A</v>
      </c>
      <c r="S216" t="e">
        <f>VLOOKUP(#REF!,'מלאי לא תקין'!A:N,17,0)</f>
        <v>#REF!</v>
      </c>
      <c r="T216" t="e">
        <f t="shared" si="8"/>
        <v>#REF!</v>
      </c>
      <c r="U216" t="e">
        <f t="shared" si="9"/>
        <v>#REF!</v>
      </c>
    </row>
    <row r="217" spans="4:21" x14ac:dyDescent="0.2">
      <c r="D217" s="4"/>
      <c r="G217" s="5"/>
      <c r="H217" s="5"/>
      <c r="I217" s="4"/>
      <c r="J217" s="4"/>
      <c r="K217" s="5"/>
      <c r="Q217" t="e">
        <f>VLOOKUP(A217,'גיליון דאטה להכל'!A:E,5,0)</f>
        <v>#N/A</v>
      </c>
      <c r="R217" t="e">
        <f>VLOOKUP(A217,'לעדכן בסינתזה דאטה אריזה 42+24'!$A:$C,3,0)</f>
        <v>#N/A</v>
      </c>
      <c r="S217" t="e">
        <f>VLOOKUP(#REF!,'מלאי לא תקין'!A:N,17,0)</f>
        <v>#REF!</v>
      </c>
      <c r="T217" t="e">
        <f t="shared" si="8"/>
        <v>#REF!</v>
      </c>
      <c r="U217" t="e">
        <f t="shared" si="9"/>
        <v>#REF!</v>
      </c>
    </row>
    <row r="218" spans="4:21" x14ac:dyDescent="0.2">
      <c r="D218" s="4"/>
      <c r="G218" s="5"/>
      <c r="H218" s="5"/>
      <c r="I218" s="4"/>
      <c r="J218" s="4"/>
      <c r="K218" s="5"/>
      <c r="Q218" t="e">
        <f>VLOOKUP(A218,'גיליון דאטה להכל'!A:E,5,0)</f>
        <v>#N/A</v>
      </c>
      <c r="R218" t="e">
        <f>VLOOKUP(A218,'לעדכן בסינתזה דאטה אריזה 42+24'!$A:$C,3,0)</f>
        <v>#N/A</v>
      </c>
      <c r="S218" t="e">
        <f>VLOOKUP(#REF!,'מלאי לא תקין'!A:N,17,0)</f>
        <v>#REF!</v>
      </c>
      <c r="T218" t="e">
        <f t="shared" si="8"/>
        <v>#REF!</v>
      </c>
      <c r="U218" t="e">
        <f t="shared" si="9"/>
        <v>#REF!</v>
      </c>
    </row>
    <row r="219" spans="4:21" x14ac:dyDescent="0.2">
      <c r="D219" s="4"/>
      <c r="G219" s="5"/>
      <c r="H219" s="5"/>
      <c r="I219" s="4"/>
      <c r="J219" s="4"/>
      <c r="K219" s="5"/>
      <c r="Q219" t="e">
        <f>VLOOKUP(A219,'גיליון דאטה להכל'!A:E,5,0)</f>
        <v>#N/A</v>
      </c>
      <c r="R219" t="e">
        <f>VLOOKUP(A219,'לעדכן בסינתזה דאטה אריזה 42+24'!$A:$C,3,0)</f>
        <v>#N/A</v>
      </c>
      <c r="S219" t="e">
        <f>VLOOKUP(#REF!,'מלאי לא תקין'!A:N,17,0)</f>
        <v>#REF!</v>
      </c>
      <c r="T219" t="e">
        <f t="shared" si="8"/>
        <v>#REF!</v>
      </c>
      <c r="U219" t="e">
        <f t="shared" si="9"/>
        <v>#REF!</v>
      </c>
    </row>
    <row r="220" spans="4:21" x14ac:dyDescent="0.2">
      <c r="D220" s="4"/>
      <c r="G220" s="5"/>
      <c r="H220" s="5"/>
      <c r="I220" s="4"/>
      <c r="J220" s="4"/>
      <c r="K220" s="5"/>
      <c r="Q220" t="e">
        <f>VLOOKUP(A220,'גיליון דאטה להכל'!A:E,5,0)</f>
        <v>#N/A</v>
      </c>
      <c r="R220" t="e">
        <f>VLOOKUP(A220,'לעדכן בסינתזה דאטה אריזה 42+24'!$A:$C,3,0)</f>
        <v>#N/A</v>
      </c>
      <c r="S220" t="e">
        <f>VLOOKUP(#REF!,'מלאי לא תקין'!A:N,17,0)</f>
        <v>#REF!</v>
      </c>
      <c r="T220" t="e">
        <f t="shared" si="8"/>
        <v>#REF!</v>
      </c>
      <c r="U220" t="e">
        <f t="shared" si="9"/>
        <v>#REF!</v>
      </c>
    </row>
    <row r="221" spans="4:21" x14ac:dyDescent="0.2">
      <c r="D221" s="4"/>
      <c r="G221" s="5"/>
      <c r="H221" s="5"/>
      <c r="I221" s="4"/>
      <c r="J221" s="4"/>
      <c r="K221" s="5"/>
      <c r="Q221" t="e">
        <f>VLOOKUP(A221,'גיליון דאטה להכל'!A:E,5,0)</f>
        <v>#N/A</v>
      </c>
      <c r="R221" t="e">
        <f>VLOOKUP(A221,'לעדכן בסינתזה דאטה אריזה 42+24'!$A:$C,3,0)</f>
        <v>#N/A</v>
      </c>
      <c r="S221" t="e">
        <f>VLOOKUP(#REF!,'מלאי לא תקין'!A:N,17,0)</f>
        <v>#REF!</v>
      </c>
      <c r="T221" t="e">
        <f t="shared" si="8"/>
        <v>#REF!</v>
      </c>
      <c r="U221" t="e">
        <f t="shared" si="9"/>
        <v>#REF!</v>
      </c>
    </row>
    <row r="222" spans="4:21" x14ac:dyDescent="0.2">
      <c r="D222" s="4"/>
      <c r="G222" s="5"/>
      <c r="H222" s="5"/>
      <c r="I222" s="4"/>
      <c r="J222" s="4"/>
      <c r="K222" s="5"/>
      <c r="Q222" t="e">
        <f>VLOOKUP(A222,'גיליון דאטה להכל'!A:E,5,0)</f>
        <v>#N/A</v>
      </c>
      <c r="R222" t="e">
        <f>VLOOKUP(A222,'לעדכן בסינתזה דאטה אריזה 42+24'!$A:$C,3,0)</f>
        <v>#N/A</v>
      </c>
      <c r="S222" t="e">
        <f>VLOOKUP(#REF!,'מלאי לא תקין'!A:N,17,0)</f>
        <v>#REF!</v>
      </c>
      <c r="T222" t="e">
        <f t="shared" si="8"/>
        <v>#REF!</v>
      </c>
      <c r="U222" t="e">
        <f t="shared" si="9"/>
        <v>#REF!</v>
      </c>
    </row>
    <row r="223" spans="4:21" x14ac:dyDescent="0.2">
      <c r="D223" s="4"/>
      <c r="G223" s="5"/>
      <c r="H223" s="7"/>
      <c r="I223" s="4"/>
      <c r="J223" s="4"/>
      <c r="K223" s="5"/>
      <c r="Q223" t="e">
        <f>VLOOKUP(A223,'גיליון דאטה להכל'!A:E,5,0)</f>
        <v>#N/A</v>
      </c>
      <c r="R223" t="e">
        <f>VLOOKUP(A223,'לעדכן בסינתזה דאטה אריזה 42+24'!$A:$C,3,0)</f>
        <v>#N/A</v>
      </c>
      <c r="S223" t="e">
        <f>VLOOKUP(#REF!,'מלאי לא תקין'!A:N,17,0)</f>
        <v>#REF!</v>
      </c>
      <c r="T223" t="e">
        <f t="shared" si="8"/>
        <v>#REF!</v>
      </c>
      <c r="U223" t="e">
        <f t="shared" si="9"/>
        <v>#REF!</v>
      </c>
    </row>
    <row r="224" spans="4:21" x14ac:dyDescent="0.2">
      <c r="D224" s="4"/>
      <c r="G224" s="5"/>
      <c r="H224" s="5"/>
      <c r="I224" s="4"/>
      <c r="J224" s="4"/>
      <c r="K224" s="5"/>
      <c r="Q224" t="e">
        <f>VLOOKUP(A224,'גיליון דאטה להכל'!A:E,5,0)</f>
        <v>#N/A</v>
      </c>
      <c r="R224" t="e">
        <f>VLOOKUP(A224,'לעדכן בסינתזה דאטה אריזה 42+24'!$A:$C,3,0)</f>
        <v>#N/A</v>
      </c>
      <c r="S224" t="e">
        <f>VLOOKUP(#REF!,'מלאי לא תקין'!A:N,17,0)</f>
        <v>#REF!</v>
      </c>
      <c r="T224" t="e">
        <f t="shared" si="8"/>
        <v>#REF!</v>
      </c>
      <c r="U224" t="e">
        <f t="shared" si="9"/>
        <v>#REF!</v>
      </c>
    </row>
    <row r="225" spans="4:21" x14ac:dyDescent="0.2">
      <c r="D225" s="4"/>
      <c r="G225" s="5"/>
      <c r="H225" s="7"/>
      <c r="I225" s="4"/>
      <c r="J225" s="4"/>
      <c r="K225" s="5"/>
      <c r="Q225" t="e">
        <f>VLOOKUP(A225,'גיליון דאטה להכל'!A:E,5,0)</f>
        <v>#N/A</v>
      </c>
      <c r="R225" t="e">
        <f>VLOOKUP(A225,'לעדכן בסינתזה דאטה אריזה 42+24'!$A:$C,3,0)</f>
        <v>#N/A</v>
      </c>
      <c r="S225" t="e">
        <f>VLOOKUP(#REF!,'מלאי לא תקין'!A:N,17,0)</f>
        <v>#REF!</v>
      </c>
      <c r="T225" t="e">
        <f t="shared" si="8"/>
        <v>#REF!</v>
      </c>
      <c r="U225" t="e">
        <f t="shared" si="9"/>
        <v>#REF!</v>
      </c>
    </row>
    <row r="226" spans="4:21" x14ac:dyDescent="0.2">
      <c r="D226" s="4"/>
      <c r="G226" s="5"/>
      <c r="H226" s="5"/>
      <c r="I226" s="4"/>
      <c r="J226" s="4"/>
      <c r="K226" s="5"/>
      <c r="Q226" t="e">
        <f>VLOOKUP(A226,'גיליון דאטה להכל'!A:E,5,0)</f>
        <v>#N/A</v>
      </c>
      <c r="R226" t="e">
        <f>VLOOKUP(A226,'לעדכן בסינתזה דאטה אריזה 42+24'!$A:$C,3,0)</f>
        <v>#N/A</v>
      </c>
      <c r="S226" t="e">
        <f>VLOOKUP(#REF!,'מלאי לא תקין'!A:N,17,0)</f>
        <v>#REF!</v>
      </c>
      <c r="T226" t="e">
        <f t="shared" si="8"/>
        <v>#REF!</v>
      </c>
      <c r="U226" t="e">
        <f t="shared" si="9"/>
        <v>#REF!</v>
      </c>
    </row>
    <row r="227" spans="4:21" x14ac:dyDescent="0.2">
      <c r="D227" s="4"/>
      <c r="G227" s="5"/>
      <c r="H227" s="5"/>
      <c r="I227" s="4"/>
      <c r="J227" s="4"/>
      <c r="K227" s="5"/>
      <c r="Q227" t="e">
        <f>VLOOKUP(A227,'גיליון דאטה להכל'!A:E,5,0)</f>
        <v>#N/A</v>
      </c>
      <c r="R227" t="e">
        <f>VLOOKUP(A227,'לעדכן בסינתזה דאטה אריזה 42+24'!$A:$C,3,0)</f>
        <v>#N/A</v>
      </c>
      <c r="S227" t="e">
        <f>VLOOKUP(#REF!,'מלאי לא תקין'!A:N,17,0)</f>
        <v>#REF!</v>
      </c>
      <c r="T227" t="e">
        <f t="shared" si="8"/>
        <v>#REF!</v>
      </c>
      <c r="U227" t="e">
        <f t="shared" si="9"/>
        <v>#REF!</v>
      </c>
    </row>
    <row r="228" spans="4:21" x14ac:dyDescent="0.2">
      <c r="D228" s="4"/>
      <c r="G228" s="5"/>
      <c r="H228" s="5"/>
      <c r="I228" s="4"/>
      <c r="J228" s="4"/>
      <c r="K228" s="5"/>
      <c r="Q228" t="e">
        <f>VLOOKUP(A228,'גיליון דאטה להכל'!A:E,5,0)</f>
        <v>#N/A</v>
      </c>
      <c r="R228" t="e">
        <f>VLOOKUP(A228,'לעדכן בסינתזה דאטה אריזה 42+24'!$A:$C,3,0)</f>
        <v>#N/A</v>
      </c>
      <c r="S228" t="e">
        <f>VLOOKUP(#REF!,'מלאי לא תקין'!A:N,17,0)</f>
        <v>#REF!</v>
      </c>
      <c r="T228" t="e">
        <f t="shared" si="8"/>
        <v>#REF!</v>
      </c>
      <c r="U228" t="e">
        <f t="shared" si="9"/>
        <v>#REF!</v>
      </c>
    </row>
    <row r="229" spans="4:21" x14ac:dyDescent="0.2">
      <c r="D229" s="4"/>
      <c r="G229" s="5"/>
      <c r="H229" s="5"/>
      <c r="I229" s="4"/>
      <c r="J229" s="4"/>
      <c r="K229" s="5"/>
      <c r="Q229" t="e">
        <f>VLOOKUP(A229,'גיליון דאטה להכל'!A:E,5,0)</f>
        <v>#N/A</v>
      </c>
      <c r="R229" t="e">
        <f>VLOOKUP(A229,'לעדכן בסינתזה דאטה אריזה 42+24'!$A:$C,3,0)</f>
        <v>#N/A</v>
      </c>
      <c r="S229" t="e">
        <f>VLOOKUP(#REF!,'מלאי לא תקין'!A:N,17,0)</f>
        <v>#REF!</v>
      </c>
      <c r="T229" t="e">
        <f t="shared" si="8"/>
        <v>#REF!</v>
      </c>
      <c r="U229" t="e">
        <f t="shared" si="9"/>
        <v>#REF!</v>
      </c>
    </row>
    <row r="230" spans="4:21" x14ac:dyDescent="0.2">
      <c r="D230" s="4"/>
      <c r="G230" s="5"/>
      <c r="H230" s="5"/>
      <c r="I230" s="4"/>
      <c r="J230" s="4"/>
      <c r="K230" s="5"/>
      <c r="Q230" t="e">
        <f>VLOOKUP(A230,'גיליון דאטה להכל'!A:E,5,0)</f>
        <v>#N/A</v>
      </c>
      <c r="R230" t="e">
        <f>VLOOKUP(A230,'לעדכן בסינתזה דאטה אריזה 42+24'!$A:$C,3,0)</f>
        <v>#N/A</v>
      </c>
      <c r="S230" t="e">
        <f>VLOOKUP(#REF!,'מלאי לא תקין'!A:N,17,0)</f>
        <v>#REF!</v>
      </c>
      <c r="T230" t="e">
        <f t="shared" si="8"/>
        <v>#REF!</v>
      </c>
      <c r="U230" t="e">
        <f t="shared" si="9"/>
        <v>#REF!</v>
      </c>
    </row>
    <row r="231" spans="4:21" x14ac:dyDescent="0.2">
      <c r="D231" s="4"/>
      <c r="G231" s="5"/>
      <c r="H231" s="7"/>
      <c r="I231" s="4"/>
      <c r="J231" s="4"/>
      <c r="K231" s="5"/>
      <c r="Q231" t="e">
        <f>VLOOKUP(A231,'גיליון דאטה להכל'!A:E,5,0)</f>
        <v>#N/A</v>
      </c>
      <c r="R231" t="e">
        <f>VLOOKUP(A231,'לעדכן בסינתזה דאטה אריזה 42+24'!$A:$C,3,0)</f>
        <v>#N/A</v>
      </c>
      <c r="S231" t="e">
        <f>VLOOKUP(#REF!,'מלאי לא תקין'!A:N,17,0)</f>
        <v>#REF!</v>
      </c>
      <c r="T231" t="e">
        <f t="shared" si="8"/>
        <v>#REF!</v>
      </c>
      <c r="U231" t="e">
        <f t="shared" si="9"/>
        <v>#REF!</v>
      </c>
    </row>
    <row r="232" spans="4:21" x14ac:dyDescent="0.2">
      <c r="D232" s="4"/>
      <c r="G232" s="5"/>
      <c r="H232" s="5"/>
      <c r="I232" s="4"/>
      <c r="J232" s="4"/>
      <c r="K232" s="5"/>
      <c r="Q232" t="e">
        <f>VLOOKUP(A232,'גיליון דאטה להכל'!A:E,5,0)</f>
        <v>#N/A</v>
      </c>
      <c r="R232" t="e">
        <f>VLOOKUP(A232,'לעדכן בסינתזה דאטה אריזה 42+24'!$A:$C,3,0)</f>
        <v>#N/A</v>
      </c>
      <c r="S232" t="e">
        <f>VLOOKUP(#REF!,'מלאי לא תקין'!A:N,17,0)</f>
        <v>#REF!</v>
      </c>
      <c r="T232" t="e">
        <f t="shared" si="8"/>
        <v>#REF!</v>
      </c>
      <c r="U232" t="e">
        <f t="shared" si="9"/>
        <v>#REF!</v>
      </c>
    </row>
    <row r="233" spans="4:21" x14ac:dyDescent="0.2">
      <c r="D233" s="4"/>
      <c r="G233" s="5"/>
      <c r="H233" s="5"/>
      <c r="I233" s="4"/>
      <c r="J233" s="4"/>
      <c r="K233" s="5"/>
      <c r="Q233" t="e">
        <f>VLOOKUP(A233,'גיליון דאטה להכל'!A:E,5,0)</f>
        <v>#N/A</v>
      </c>
      <c r="R233" t="e">
        <f>VLOOKUP(A233,'לעדכן בסינתזה דאטה אריזה 42+24'!$A:$C,3,0)</f>
        <v>#N/A</v>
      </c>
      <c r="S233" t="e">
        <f>VLOOKUP(#REF!,'מלאי לא תקין'!A:N,17,0)</f>
        <v>#REF!</v>
      </c>
      <c r="T233" t="e">
        <f t="shared" si="8"/>
        <v>#REF!</v>
      </c>
      <c r="U233" t="e">
        <f t="shared" si="9"/>
        <v>#REF!</v>
      </c>
    </row>
    <row r="234" spans="4:21" x14ac:dyDescent="0.2">
      <c r="D234" s="4"/>
      <c r="G234" s="5"/>
      <c r="H234" s="5"/>
      <c r="I234" s="4"/>
      <c r="J234" s="4"/>
      <c r="K234" s="5"/>
      <c r="Q234" t="e">
        <f>VLOOKUP(A234,'גיליון דאטה להכל'!A:E,5,0)</f>
        <v>#N/A</v>
      </c>
      <c r="R234" t="e">
        <f>VLOOKUP(A234,'לעדכן בסינתזה דאטה אריזה 42+24'!$A:$C,3,0)</f>
        <v>#N/A</v>
      </c>
      <c r="S234" t="e">
        <f>VLOOKUP(#REF!,'מלאי לא תקין'!A:N,17,0)</f>
        <v>#REF!</v>
      </c>
      <c r="T234" t="e">
        <f t="shared" si="8"/>
        <v>#REF!</v>
      </c>
      <c r="U234" t="e">
        <f t="shared" si="9"/>
        <v>#REF!</v>
      </c>
    </row>
    <row r="235" spans="4:21" x14ac:dyDescent="0.2">
      <c r="D235" s="4"/>
      <c r="G235" s="5"/>
      <c r="H235" s="5"/>
      <c r="I235" s="4"/>
      <c r="J235" s="4"/>
      <c r="K235" s="5"/>
      <c r="Q235" t="e">
        <f>VLOOKUP(A235,'גיליון דאטה להכל'!A:E,5,0)</f>
        <v>#N/A</v>
      </c>
      <c r="R235" t="e">
        <f>VLOOKUP(A235,'לעדכן בסינתזה דאטה אריזה 42+24'!$A:$C,3,0)</f>
        <v>#N/A</v>
      </c>
      <c r="S235" t="e">
        <f>VLOOKUP(#REF!,'מלאי לא תקין'!A:N,17,0)</f>
        <v>#REF!</v>
      </c>
      <c r="T235" t="e">
        <f t="shared" si="8"/>
        <v>#REF!</v>
      </c>
      <c r="U235" t="e">
        <f t="shared" si="9"/>
        <v>#REF!</v>
      </c>
    </row>
    <row r="236" spans="4:21" x14ac:dyDescent="0.2">
      <c r="D236" s="4"/>
      <c r="G236" s="5"/>
      <c r="H236" s="5"/>
      <c r="I236" s="4"/>
      <c r="J236" s="4"/>
      <c r="K236" s="5"/>
      <c r="Q236" t="e">
        <f>VLOOKUP(A236,'גיליון דאטה להכל'!A:E,5,0)</f>
        <v>#N/A</v>
      </c>
      <c r="R236" t="e">
        <f>VLOOKUP(A236,'לעדכן בסינתזה דאטה אריזה 42+24'!$A:$C,3,0)</f>
        <v>#N/A</v>
      </c>
      <c r="S236" t="e">
        <f>VLOOKUP(#REF!,'מלאי לא תקין'!A:N,17,0)</f>
        <v>#REF!</v>
      </c>
      <c r="T236" t="e">
        <f t="shared" si="8"/>
        <v>#REF!</v>
      </c>
      <c r="U236" t="e">
        <f t="shared" si="9"/>
        <v>#REF!</v>
      </c>
    </row>
    <row r="237" spans="4:21" x14ac:dyDescent="0.2">
      <c r="D237" s="4"/>
      <c r="G237" s="5"/>
      <c r="H237" s="5"/>
      <c r="I237" s="4"/>
      <c r="J237" s="4"/>
      <c r="K237" s="5"/>
      <c r="Q237" t="e">
        <f>VLOOKUP(A237,'גיליון דאטה להכל'!A:E,5,0)</f>
        <v>#N/A</v>
      </c>
      <c r="R237" t="e">
        <f>VLOOKUP(A237,'לעדכן בסינתזה דאטה אריזה 42+24'!$A:$C,3,0)</f>
        <v>#N/A</v>
      </c>
      <c r="S237" t="e">
        <f>VLOOKUP(#REF!,'מלאי לא תקין'!A:N,17,0)</f>
        <v>#REF!</v>
      </c>
      <c r="T237" t="e">
        <f t="shared" si="8"/>
        <v>#REF!</v>
      </c>
      <c r="U237" t="e">
        <f t="shared" si="9"/>
        <v>#REF!</v>
      </c>
    </row>
    <row r="238" spans="4:21" x14ac:dyDescent="0.2">
      <c r="D238" s="4"/>
      <c r="G238" s="5"/>
      <c r="H238" s="5"/>
      <c r="I238" s="4"/>
      <c r="J238" s="4"/>
      <c r="K238" s="5"/>
      <c r="Q238" t="e">
        <f>VLOOKUP(A238,'גיליון דאטה להכל'!A:E,5,0)</f>
        <v>#N/A</v>
      </c>
      <c r="R238" t="e">
        <f>VLOOKUP(A238,'לעדכן בסינתזה דאטה אריזה 42+24'!$A:$C,3,0)</f>
        <v>#N/A</v>
      </c>
      <c r="S238" t="e">
        <f>VLOOKUP(#REF!,'מלאי לא תקין'!A:N,17,0)</f>
        <v>#REF!</v>
      </c>
      <c r="T238" t="e">
        <f t="shared" si="8"/>
        <v>#REF!</v>
      </c>
      <c r="U238" t="e">
        <f t="shared" si="9"/>
        <v>#REF!</v>
      </c>
    </row>
    <row r="239" spans="4:21" x14ac:dyDescent="0.2">
      <c r="D239" s="4"/>
      <c r="G239" s="5"/>
      <c r="H239" s="5"/>
      <c r="I239" s="4"/>
      <c r="J239" s="4"/>
      <c r="K239" s="5"/>
      <c r="Q239" t="e">
        <f>VLOOKUP(A239,'גיליון דאטה להכל'!A:E,5,0)</f>
        <v>#N/A</v>
      </c>
      <c r="R239" t="e">
        <f>VLOOKUP(A239,'לעדכן בסינתזה דאטה אריזה 42+24'!$A:$C,3,0)</f>
        <v>#N/A</v>
      </c>
      <c r="S239" t="e">
        <f>VLOOKUP(#REF!,'מלאי לא תקין'!A:N,17,0)</f>
        <v>#REF!</v>
      </c>
      <c r="T239" t="e">
        <f t="shared" si="8"/>
        <v>#REF!</v>
      </c>
      <c r="U239" t="e">
        <f t="shared" si="9"/>
        <v>#REF!</v>
      </c>
    </row>
    <row r="240" spans="4:21" x14ac:dyDescent="0.2">
      <c r="D240" s="4"/>
      <c r="G240" s="5"/>
      <c r="H240" s="7"/>
      <c r="I240" s="4"/>
      <c r="J240" s="4"/>
      <c r="K240" s="5"/>
      <c r="Q240" t="e">
        <f>VLOOKUP(A240,'גיליון דאטה להכל'!A:E,5,0)</f>
        <v>#N/A</v>
      </c>
      <c r="R240" t="e">
        <f>VLOOKUP(A240,'לעדכן בסינתזה דאטה אריזה 42+24'!$A:$C,3,0)</f>
        <v>#N/A</v>
      </c>
      <c r="S240" t="e">
        <f>VLOOKUP(#REF!,'מלאי לא תקין'!A:N,17,0)</f>
        <v>#REF!</v>
      </c>
      <c r="T240" t="e">
        <f t="shared" si="8"/>
        <v>#REF!</v>
      </c>
      <c r="U240" t="e">
        <f t="shared" si="9"/>
        <v>#REF!</v>
      </c>
    </row>
    <row r="241" spans="4:21" x14ac:dyDescent="0.2">
      <c r="D241" s="4"/>
      <c r="G241" s="5"/>
      <c r="H241" s="5"/>
      <c r="I241" s="4"/>
      <c r="J241" s="4"/>
      <c r="K241" s="5"/>
      <c r="Q241" t="e">
        <f>VLOOKUP(A241,'גיליון דאטה להכל'!A:E,5,0)</f>
        <v>#N/A</v>
      </c>
      <c r="R241" t="e">
        <f>VLOOKUP(A241,'לעדכן בסינתזה דאטה אריזה 42+24'!$A:$C,3,0)</f>
        <v>#N/A</v>
      </c>
      <c r="S241" t="e">
        <f>VLOOKUP(#REF!,'מלאי לא תקין'!A:N,17,0)</f>
        <v>#REF!</v>
      </c>
      <c r="T241" t="e">
        <f t="shared" si="8"/>
        <v>#REF!</v>
      </c>
      <c r="U241" t="e">
        <f t="shared" si="9"/>
        <v>#REF!</v>
      </c>
    </row>
    <row r="242" spans="4:21" x14ac:dyDescent="0.2">
      <c r="D242" s="4"/>
      <c r="G242" s="5"/>
      <c r="H242" s="5"/>
      <c r="I242" s="4"/>
      <c r="J242" s="4"/>
      <c r="K242" s="5"/>
      <c r="Q242" t="e">
        <f>VLOOKUP(A242,'גיליון דאטה להכל'!A:E,5,0)</f>
        <v>#N/A</v>
      </c>
      <c r="R242" t="e">
        <f>VLOOKUP(A242,'לעדכן בסינתזה דאטה אריזה 42+24'!$A:$C,3,0)</f>
        <v>#N/A</v>
      </c>
      <c r="S242" t="e">
        <f>VLOOKUP(#REF!,'מלאי לא תקין'!A:N,17,0)</f>
        <v>#REF!</v>
      </c>
      <c r="T242" t="e">
        <f t="shared" si="8"/>
        <v>#REF!</v>
      </c>
      <c r="U242" t="e">
        <f t="shared" si="9"/>
        <v>#REF!</v>
      </c>
    </row>
    <row r="243" spans="4:21" x14ac:dyDescent="0.2">
      <c r="D243" s="4"/>
      <c r="G243" s="5"/>
      <c r="H243" s="5"/>
      <c r="I243" s="4"/>
      <c r="J243" s="4"/>
      <c r="K243" s="5"/>
      <c r="Q243" t="e">
        <f>VLOOKUP(A243,'גיליון דאטה להכל'!A:E,5,0)</f>
        <v>#N/A</v>
      </c>
      <c r="R243" t="e">
        <f>VLOOKUP(A243,'לעדכן בסינתזה דאטה אריזה 42+24'!$A:$C,3,0)</f>
        <v>#N/A</v>
      </c>
      <c r="S243" t="e">
        <f>VLOOKUP(#REF!,'מלאי לא תקין'!A:N,17,0)</f>
        <v>#REF!</v>
      </c>
      <c r="T243" t="e">
        <f t="shared" si="8"/>
        <v>#REF!</v>
      </c>
      <c r="U243" t="e">
        <f t="shared" si="9"/>
        <v>#REF!</v>
      </c>
    </row>
    <row r="244" spans="4:21" x14ac:dyDescent="0.2">
      <c r="D244" s="4"/>
      <c r="G244" s="5"/>
      <c r="H244" s="5"/>
      <c r="I244" s="4"/>
      <c r="J244" s="4"/>
      <c r="K244" s="5"/>
      <c r="Q244" t="e">
        <f>VLOOKUP(A244,'גיליון דאטה להכל'!A:E,5,0)</f>
        <v>#N/A</v>
      </c>
      <c r="R244" t="e">
        <f>VLOOKUP(A244,'לעדכן בסינתזה דאטה אריזה 42+24'!$A:$C,3,0)</f>
        <v>#N/A</v>
      </c>
      <c r="S244" t="e">
        <f>VLOOKUP(#REF!,'מלאי לא תקין'!A:N,17,0)</f>
        <v>#REF!</v>
      </c>
      <c r="T244" t="e">
        <f t="shared" si="8"/>
        <v>#REF!</v>
      </c>
      <c r="U244" t="e">
        <f t="shared" si="9"/>
        <v>#REF!</v>
      </c>
    </row>
    <row r="245" spans="4:21" x14ac:dyDescent="0.2">
      <c r="D245" s="4"/>
      <c r="G245" s="5"/>
      <c r="H245" s="5"/>
      <c r="I245" s="4"/>
      <c r="J245" s="4"/>
      <c r="K245" s="5"/>
      <c r="Q245" t="e">
        <f>VLOOKUP(A245,'גיליון דאטה להכל'!A:E,5,0)</f>
        <v>#N/A</v>
      </c>
      <c r="R245" t="e">
        <f>VLOOKUP(A245,'לעדכן בסינתזה דאטה אריזה 42+24'!$A:$C,3,0)</f>
        <v>#N/A</v>
      </c>
      <c r="S245" t="e">
        <f>VLOOKUP(#REF!,'מלאי לא תקין'!A:N,17,0)</f>
        <v>#REF!</v>
      </c>
      <c r="T245" t="e">
        <f t="shared" si="8"/>
        <v>#REF!</v>
      </c>
      <c r="U245" t="e">
        <f t="shared" si="9"/>
        <v>#REF!</v>
      </c>
    </row>
    <row r="246" spans="4:21" x14ac:dyDescent="0.2">
      <c r="D246" s="4"/>
      <c r="G246" s="5"/>
      <c r="H246" s="7"/>
      <c r="I246" s="4"/>
      <c r="J246" s="4"/>
      <c r="K246" s="5"/>
      <c r="Q246" t="e">
        <f>VLOOKUP(A246,'גיליון דאטה להכל'!A:E,5,0)</f>
        <v>#N/A</v>
      </c>
      <c r="R246" t="e">
        <f>VLOOKUP(A246,'לעדכן בסינתזה דאטה אריזה 42+24'!$A:$C,3,0)</f>
        <v>#N/A</v>
      </c>
      <c r="S246" t="e">
        <f>VLOOKUP(#REF!,'מלאי לא תקין'!A:N,17,0)</f>
        <v>#REF!</v>
      </c>
      <c r="T246" t="e">
        <f t="shared" ref="T246:T309" si="10">_xlfn.CONCAT(S246,Q246)</f>
        <v>#REF!</v>
      </c>
      <c r="U246" t="e">
        <f t="shared" ref="U246:U309" si="11">_xlfn.CONCAT(S246,O246)</f>
        <v>#REF!</v>
      </c>
    </row>
    <row r="247" spans="4:21" x14ac:dyDescent="0.2">
      <c r="D247" s="4"/>
      <c r="G247" s="5"/>
      <c r="H247" s="5"/>
      <c r="I247" s="4"/>
      <c r="J247" s="4"/>
      <c r="K247" s="5"/>
      <c r="Q247" t="e">
        <f>VLOOKUP(A247,'גיליון דאטה להכל'!A:E,5,0)</f>
        <v>#N/A</v>
      </c>
      <c r="R247" t="e">
        <f>VLOOKUP(A247,'לעדכן בסינתזה דאטה אריזה 42+24'!$A:$C,3,0)</f>
        <v>#N/A</v>
      </c>
      <c r="S247" t="e">
        <f>VLOOKUP(#REF!,'מלאי לא תקין'!A:N,17,0)</f>
        <v>#REF!</v>
      </c>
      <c r="T247" t="e">
        <f t="shared" si="10"/>
        <v>#REF!</v>
      </c>
      <c r="U247" t="e">
        <f t="shared" si="11"/>
        <v>#REF!</v>
      </c>
    </row>
    <row r="248" spans="4:21" x14ac:dyDescent="0.2">
      <c r="D248" s="4"/>
      <c r="G248" s="5"/>
      <c r="H248" s="5"/>
      <c r="I248" s="4"/>
      <c r="J248" s="4"/>
      <c r="K248" s="5"/>
      <c r="Q248" t="e">
        <f>VLOOKUP(A248,'גיליון דאטה להכל'!A:E,5,0)</f>
        <v>#N/A</v>
      </c>
      <c r="R248" t="e">
        <f>VLOOKUP(A248,'לעדכן בסינתזה דאטה אריזה 42+24'!$A:$C,3,0)</f>
        <v>#N/A</v>
      </c>
      <c r="S248" t="e">
        <f>VLOOKUP(#REF!,'מלאי לא תקין'!A:N,17,0)</f>
        <v>#REF!</v>
      </c>
      <c r="T248" t="e">
        <f t="shared" si="10"/>
        <v>#REF!</v>
      </c>
      <c r="U248" t="e">
        <f t="shared" si="11"/>
        <v>#REF!</v>
      </c>
    </row>
    <row r="249" spans="4:21" x14ac:dyDescent="0.2">
      <c r="D249" s="4"/>
      <c r="G249" s="5"/>
      <c r="H249" s="5"/>
      <c r="I249" s="4"/>
      <c r="J249" s="4"/>
      <c r="K249" s="5"/>
      <c r="Q249" t="e">
        <f>VLOOKUP(A249,'גיליון דאטה להכל'!A:E,5,0)</f>
        <v>#N/A</v>
      </c>
      <c r="R249" t="e">
        <f>VLOOKUP(A249,'לעדכן בסינתזה דאטה אריזה 42+24'!$A:$C,3,0)</f>
        <v>#N/A</v>
      </c>
      <c r="S249" t="e">
        <f>VLOOKUP(#REF!,'מלאי לא תקין'!A:N,17,0)</f>
        <v>#REF!</v>
      </c>
      <c r="T249" t="e">
        <f t="shared" si="10"/>
        <v>#REF!</v>
      </c>
      <c r="U249" t="e">
        <f t="shared" si="11"/>
        <v>#REF!</v>
      </c>
    </row>
    <row r="250" spans="4:21" x14ac:dyDescent="0.2">
      <c r="D250" s="4"/>
      <c r="G250" s="5"/>
      <c r="H250" s="5"/>
      <c r="I250" s="4"/>
      <c r="J250" s="4"/>
      <c r="K250" s="5"/>
      <c r="Q250" t="e">
        <f>VLOOKUP(A250,'גיליון דאטה להכל'!A:E,5,0)</f>
        <v>#N/A</v>
      </c>
      <c r="R250" t="e">
        <f>VLOOKUP(A250,'לעדכן בסינתזה דאטה אריזה 42+24'!$A:$C,3,0)</f>
        <v>#N/A</v>
      </c>
      <c r="S250" t="e">
        <f>VLOOKUP(#REF!,'מלאי לא תקין'!A:N,17,0)</f>
        <v>#REF!</v>
      </c>
      <c r="T250" t="e">
        <f t="shared" si="10"/>
        <v>#REF!</v>
      </c>
      <c r="U250" t="e">
        <f t="shared" si="11"/>
        <v>#REF!</v>
      </c>
    </row>
    <row r="251" spans="4:21" x14ac:dyDescent="0.2">
      <c r="D251" s="4"/>
      <c r="G251" s="5"/>
      <c r="H251" s="7"/>
      <c r="I251" s="4"/>
      <c r="J251" s="4"/>
      <c r="K251" s="5"/>
      <c r="Q251" t="e">
        <f>VLOOKUP(A251,'גיליון דאטה להכל'!A:E,5,0)</f>
        <v>#N/A</v>
      </c>
      <c r="R251" t="e">
        <f>VLOOKUP(A251,'לעדכן בסינתזה דאטה אריזה 42+24'!$A:$C,3,0)</f>
        <v>#N/A</v>
      </c>
      <c r="S251" t="e">
        <f>VLOOKUP(#REF!,'מלאי לא תקין'!A:N,17,0)</f>
        <v>#REF!</v>
      </c>
      <c r="T251" t="e">
        <f t="shared" si="10"/>
        <v>#REF!</v>
      </c>
      <c r="U251" t="e">
        <f t="shared" si="11"/>
        <v>#REF!</v>
      </c>
    </row>
    <row r="252" spans="4:21" x14ac:dyDescent="0.2">
      <c r="D252" s="4"/>
      <c r="G252" s="5"/>
      <c r="H252" s="5"/>
      <c r="I252" s="4"/>
      <c r="J252" s="4"/>
      <c r="K252" s="5"/>
      <c r="Q252" t="e">
        <f>VLOOKUP(A252,'גיליון דאטה להכל'!A:E,5,0)</f>
        <v>#N/A</v>
      </c>
      <c r="R252" t="e">
        <f>VLOOKUP(A252,'לעדכן בסינתזה דאטה אריזה 42+24'!$A:$C,3,0)</f>
        <v>#N/A</v>
      </c>
      <c r="S252" t="e">
        <f>VLOOKUP(#REF!,'מלאי לא תקין'!A:N,17,0)</f>
        <v>#REF!</v>
      </c>
      <c r="T252" t="e">
        <f t="shared" si="10"/>
        <v>#REF!</v>
      </c>
      <c r="U252" t="e">
        <f t="shared" si="11"/>
        <v>#REF!</v>
      </c>
    </row>
    <row r="253" spans="4:21" x14ac:dyDescent="0.2">
      <c r="D253" s="4"/>
      <c r="G253" s="5"/>
      <c r="H253" s="5"/>
      <c r="I253" s="4"/>
      <c r="J253" s="4"/>
      <c r="K253" s="5"/>
      <c r="Q253" t="e">
        <f>VLOOKUP(A253,'גיליון דאטה להכל'!A:E,5,0)</f>
        <v>#N/A</v>
      </c>
      <c r="R253" t="e">
        <f>VLOOKUP(A253,'לעדכן בסינתזה דאטה אריזה 42+24'!$A:$C,3,0)</f>
        <v>#N/A</v>
      </c>
      <c r="S253" t="e">
        <f>VLOOKUP(#REF!,'מלאי לא תקין'!A:N,17,0)</f>
        <v>#REF!</v>
      </c>
      <c r="T253" t="e">
        <f t="shared" si="10"/>
        <v>#REF!</v>
      </c>
      <c r="U253" t="e">
        <f t="shared" si="11"/>
        <v>#REF!</v>
      </c>
    </row>
    <row r="254" spans="4:21" x14ac:dyDescent="0.2">
      <c r="D254" s="4"/>
      <c r="G254" s="5"/>
      <c r="H254" s="5"/>
      <c r="I254" s="4"/>
      <c r="J254" s="4"/>
      <c r="K254" s="5"/>
      <c r="Q254" t="e">
        <f>VLOOKUP(A254,'גיליון דאטה להכל'!A:E,5,0)</f>
        <v>#N/A</v>
      </c>
      <c r="R254" t="e">
        <f>VLOOKUP(A254,'לעדכן בסינתזה דאטה אריזה 42+24'!$A:$C,3,0)</f>
        <v>#N/A</v>
      </c>
      <c r="S254" t="e">
        <f>VLOOKUP(#REF!,'מלאי לא תקין'!A:N,17,0)</f>
        <v>#REF!</v>
      </c>
      <c r="T254" t="e">
        <f t="shared" si="10"/>
        <v>#REF!</v>
      </c>
      <c r="U254" t="e">
        <f t="shared" si="11"/>
        <v>#REF!</v>
      </c>
    </row>
    <row r="255" spans="4:21" x14ac:dyDescent="0.2">
      <c r="D255" s="4"/>
      <c r="G255" s="5"/>
      <c r="H255" s="5"/>
      <c r="I255" s="4"/>
      <c r="J255" s="4"/>
      <c r="K255" s="5"/>
      <c r="Q255" t="e">
        <f>VLOOKUP(A255,'גיליון דאטה להכל'!A:E,5,0)</f>
        <v>#N/A</v>
      </c>
      <c r="R255" t="e">
        <f>VLOOKUP(A255,'לעדכן בסינתזה דאטה אריזה 42+24'!$A:$C,3,0)</f>
        <v>#N/A</v>
      </c>
      <c r="S255" t="e">
        <f>VLOOKUP(#REF!,'מלאי לא תקין'!A:N,17,0)</f>
        <v>#REF!</v>
      </c>
      <c r="T255" t="e">
        <f t="shared" si="10"/>
        <v>#REF!</v>
      </c>
      <c r="U255" t="e">
        <f t="shared" si="11"/>
        <v>#REF!</v>
      </c>
    </row>
    <row r="256" spans="4:21" x14ac:dyDescent="0.2">
      <c r="D256" s="4"/>
      <c r="G256" s="5"/>
      <c r="H256" s="5"/>
      <c r="I256" s="4"/>
      <c r="J256" s="4"/>
      <c r="K256" s="5"/>
      <c r="Q256" t="e">
        <f>VLOOKUP(A256,'גיליון דאטה להכל'!A:E,5,0)</f>
        <v>#N/A</v>
      </c>
      <c r="R256" t="e">
        <f>VLOOKUP(A256,'לעדכן בסינתזה דאטה אריזה 42+24'!$A:$C,3,0)</f>
        <v>#N/A</v>
      </c>
      <c r="S256" t="e">
        <f>VLOOKUP(#REF!,'מלאי לא תקין'!A:N,17,0)</f>
        <v>#REF!</v>
      </c>
      <c r="T256" t="e">
        <f t="shared" si="10"/>
        <v>#REF!</v>
      </c>
      <c r="U256" t="e">
        <f t="shared" si="11"/>
        <v>#REF!</v>
      </c>
    </row>
    <row r="257" spans="4:21" x14ac:dyDescent="0.2">
      <c r="D257" s="4"/>
      <c r="G257" s="5"/>
      <c r="H257" s="5"/>
      <c r="I257" s="4"/>
      <c r="J257" s="4"/>
      <c r="K257" s="5"/>
      <c r="Q257" t="e">
        <f>VLOOKUP(A257,'גיליון דאטה להכל'!A:E,5,0)</f>
        <v>#N/A</v>
      </c>
      <c r="R257" t="e">
        <f>VLOOKUP(A257,'לעדכן בסינתזה דאטה אריזה 42+24'!$A:$C,3,0)</f>
        <v>#N/A</v>
      </c>
      <c r="S257" t="e">
        <f>VLOOKUP(#REF!,'מלאי לא תקין'!A:N,17,0)</f>
        <v>#REF!</v>
      </c>
      <c r="T257" t="e">
        <f t="shared" si="10"/>
        <v>#REF!</v>
      </c>
      <c r="U257" t="e">
        <f t="shared" si="11"/>
        <v>#REF!</v>
      </c>
    </row>
    <row r="258" spans="4:21" x14ac:dyDescent="0.2">
      <c r="D258" s="4"/>
      <c r="G258" s="5"/>
      <c r="H258" s="7"/>
      <c r="I258" s="4"/>
      <c r="J258" s="4"/>
      <c r="K258" s="5"/>
      <c r="Q258" t="e">
        <f>VLOOKUP(A258,'גיליון דאטה להכל'!A:E,5,0)</f>
        <v>#N/A</v>
      </c>
      <c r="R258" t="e">
        <f>VLOOKUP(A258,'לעדכן בסינתזה דאטה אריזה 42+24'!$A:$C,3,0)</f>
        <v>#N/A</v>
      </c>
      <c r="S258" t="e">
        <f>VLOOKUP(#REF!,'מלאי לא תקין'!A:N,17,0)</f>
        <v>#REF!</v>
      </c>
      <c r="T258" t="e">
        <f t="shared" si="10"/>
        <v>#REF!</v>
      </c>
      <c r="U258" t="e">
        <f t="shared" si="11"/>
        <v>#REF!</v>
      </c>
    </row>
    <row r="259" spans="4:21" x14ac:dyDescent="0.2">
      <c r="D259" s="4"/>
      <c r="G259" s="5"/>
      <c r="H259" s="5"/>
      <c r="I259" s="4"/>
      <c r="J259" s="4"/>
      <c r="K259" s="5"/>
      <c r="Q259" t="e">
        <f>VLOOKUP(A259,'גיליון דאטה להכל'!A:E,5,0)</f>
        <v>#N/A</v>
      </c>
      <c r="R259" t="e">
        <f>VLOOKUP(A259,'לעדכן בסינתזה דאטה אריזה 42+24'!$A:$C,3,0)</f>
        <v>#N/A</v>
      </c>
      <c r="S259" t="e">
        <f>VLOOKUP(#REF!,'מלאי לא תקין'!A:N,17,0)</f>
        <v>#REF!</v>
      </c>
      <c r="T259" t="e">
        <f t="shared" si="10"/>
        <v>#REF!</v>
      </c>
      <c r="U259" t="e">
        <f t="shared" si="11"/>
        <v>#REF!</v>
      </c>
    </row>
    <row r="260" spans="4:21" x14ac:dyDescent="0.2">
      <c r="D260" s="4"/>
      <c r="G260" s="5"/>
      <c r="H260" s="5"/>
      <c r="I260" s="4"/>
      <c r="J260" s="4"/>
      <c r="K260" s="5"/>
      <c r="Q260" t="e">
        <f>VLOOKUP(A260,'גיליון דאטה להכל'!A:E,5,0)</f>
        <v>#N/A</v>
      </c>
      <c r="R260" t="e">
        <f>VLOOKUP(A260,'לעדכן בסינתזה דאטה אריזה 42+24'!$A:$C,3,0)</f>
        <v>#N/A</v>
      </c>
      <c r="S260" t="e">
        <f>VLOOKUP(#REF!,'מלאי לא תקין'!A:N,17,0)</f>
        <v>#REF!</v>
      </c>
      <c r="T260" t="e">
        <f t="shared" si="10"/>
        <v>#REF!</v>
      </c>
      <c r="U260" t="e">
        <f t="shared" si="11"/>
        <v>#REF!</v>
      </c>
    </row>
    <row r="261" spans="4:21" x14ac:dyDescent="0.2">
      <c r="D261" s="4"/>
      <c r="G261" s="5"/>
      <c r="H261" s="5"/>
      <c r="I261" s="4"/>
      <c r="J261" s="4"/>
      <c r="K261" s="5"/>
      <c r="Q261" t="e">
        <f>VLOOKUP(A261,'גיליון דאטה להכל'!A:E,5,0)</f>
        <v>#N/A</v>
      </c>
      <c r="R261" t="e">
        <f>VLOOKUP(A261,'לעדכן בסינתזה דאטה אריזה 42+24'!$A:$C,3,0)</f>
        <v>#N/A</v>
      </c>
      <c r="S261" t="e">
        <f>VLOOKUP(#REF!,'מלאי לא תקין'!A:N,17,0)</f>
        <v>#REF!</v>
      </c>
      <c r="T261" t="e">
        <f t="shared" si="10"/>
        <v>#REF!</v>
      </c>
      <c r="U261" t="e">
        <f t="shared" si="11"/>
        <v>#REF!</v>
      </c>
    </row>
    <row r="262" spans="4:21" x14ac:dyDescent="0.2">
      <c r="D262" s="4"/>
      <c r="G262" s="5"/>
      <c r="H262" s="5"/>
      <c r="I262" s="4"/>
      <c r="J262" s="4"/>
      <c r="K262" s="5"/>
      <c r="Q262" t="e">
        <f>VLOOKUP(A262,'גיליון דאטה להכל'!A:E,5,0)</f>
        <v>#N/A</v>
      </c>
      <c r="R262" t="e">
        <f>VLOOKUP(A262,'לעדכן בסינתזה דאטה אריזה 42+24'!$A:$C,3,0)</f>
        <v>#N/A</v>
      </c>
      <c r="S262" t="e">
        <f>VLOOKUP(#REF!,'מלאי לא תקין'!A:N,17,0)</f>
        <v>#REF!</v>
      </c>
      <c r="T262" t="e">
        <f t="shared" si="10"/>
        <v>#REF!</v>
      </c>
      <c r="U262" t="e">
        <f t="shared" si="11"/>
        <v>#REF!</v>
      </c>
    </row>
    <row r="263" spans="4:21" x14ac:dyDescent="0.2">
      <c r="D263" s="4"/>
      <c r="G263" s="5"/>
      <c r="H263" s="5"/>
      <c r="I263" s="4"/>
      <c r="J263" s="4"/>
      <c r="K263" s="5"/>
      <c r="Q263" t="e">
        <f>VLOOKUP(A263,'גיליון דאטה להכל'!A:E,5,0)</f>
        <v>#N/A</v>
      </c>
      <c r="R263" t="e">
        <f>VLOOKUP(A263,'לעדכן בסינתזה דאטה אריזה 42+24'!$A:$C,3,0)</f>
        <v>#N/A</v>
      </c>
      <c r="S263" t="e">
        <f>VLOOKUP(#REF!,'מלאי לא תקין'!A:N,17,0)</f>
        <v>#REF!</v>
      </c>
      <c r="T263" t="e">
        <f t="shared" si="10"/>
        <v>#REF!</v>
      </c>
      <c r="U263" t="e">
        <f t="shared" si="11"/>
        <v>#REF!</v>
      </c>
    </row>
    <row r="264" spans="4:21" x14ac:dyDescent="0.2">
      <c r="D264" s="4"/>
      <c r="G264" s="5"/>
      <c r="H264" s="7"/>
      <c r="I264" s="4"/>
      <c r="J264" s="4"/>
      <c r="K264" s="5"/>
      <c r="Q264" t="e">
        <f>VLOOKUP(A264,'גיליון דאטה להכל'!A:E,5,0)</f>
        <v>#N/A</v>
      </c>
      <c r="R264" t="e">
        <f>VLOOKUP(A264,'לעדכן בסינתזה דאטה אריזה 42+24'!$A:$C,3,0)</f>
        <v>#N/A</v>
      </c>
      <c r="S264" t="e">
        <f>VLOOKUP(#REF!,'מלאי לא תקין'!A:N,17,0)</f>
        <v>#REF!</v>
      </c>
      <c r="T264" t="e">
        <f t="shared" si="10"/>
        <v>#REF!</v>
      </c>
      <c r="U264" t="e">
        <f t="shared" si="11"/>
        <v>#REF!</v>
      </c>
    </row>
    <row r="265" spans="4:21" x14ac:dyDescent="0.2">
      <c r="D265" s="4"/>
      <c r="G265" s="5"/>
      <c r="H265" s="5"/>
      <c r="I265" s="4"/>
      <c r="J265" s="4"/>
      <c r="K265" s="5"/>
      <c r="Q265" t="e">
        <f>VLOOKUP(A265,'גיליון דאטה להכל'!A:E,5,0)</f>
        <v>#N/A</v>
      </c>
      <c r="R265" t="e">
        <f>VLOOKUP(A265,'לעדכן בסינתזה דאטה אריזה 42+24'!$A:$C,3,0)</f>
        <v>#N/A</v>
      </c>
      <c r="S265" t="e">
        <f>VLOOKUP(#REF!,'מלאי לא תקין'!A:N,17,0)</f>
        <v>#REF!</v>
      </c>
      <c r="T265" t="e">
        <f t="shared" si="10"/>
        <v>#REF!</v>
      </c>
      <c r="U265" t="e">
        <f t="shared" si="11"/>
        <v>#REF!</v>
      </c>
    </row>
    <row r="266" spans="4:21" x14ac:dyDescent="0.2">
      <c r="D266" s="4"/>
      <c r="G266" s="5"/>
      <c r="H266" s="5"/>
      <c r="I266" s="4"/>
      <c r="J266" s="4"/>
      <c r="K266" s="5"/>
      <c r="Q266" t="e">
        <f>VLOOKUP(A266,'גיליון דאטה להכל'!A:E,5,0)</f>
        <v>#N/A</v>
      </c>
      <c r="R266" t="e">
        <f>VLOOKUP(A266,'לעדכן בסינתזה דאטה אריזה 42+24'!$A:$C,3,0)</f>
        <v>#N/A</v>
      </c>
      <c r="S266" t="e">
        <f>VLOOKUP(#REF!,'מלאי לא תקין'!A:N,17,0)</f>
        <v>#REF!</v>
      </c>
      <c r="T266" t="e">
        <f t="shared" si="10"/>
        <v>#REF!</v>
      </c>
      <c r="U266" t="e">
        <f t="shared" si="11"/>
        <v>#REF!</v>
      </c>
    </row>
    <row r="267" spans="4:21" x14ac:dyDescent="0.2">
      <c r="D267" s="4"/>
      <c r="G267" s="5"/>
      <c r="H267" s="5"/>
      <c r="I267" s="4"/>
      <c r="J267" s="4"/>
      <c r="K267" s="5"/>
      <c r="Q267" t="e">
        <f>VLOOKUP(A267,'גיליון דאטה להכל'!A:E,5,0)</f>
        <v>#N/A</v>
      </c>
      <c r="R267" t="e">
        <f>VLOOKUP(A267,'לעדכן בסינתזה דאטה אריזה 42+24'!$A:$C,3,0)</f>
        <v>#N/A</v>
      </c>
      <c r="S267" t="e">
        <f>VLOOKUP(#REF!,'מלאי לא תקין'!A:N,17,0)</f>
        <v>#REF!</v>
      </c>
      <c r="T267" t="e">
        <f t="shared" si="10"/>
        <v>#REF!</v>
      </c>
      <c r="U267" t="e">
        <f t="shared" si="11"/>
        <v>#REF!</v>
      </c>
    </row>
    <row r="268" spans="4:21" x14ac:dyDescent="0.2">
      <c r="D268" s="4"/>
      <c r="G268" s="5"/>
      <c r="H268" s="5"/>
      <c r="I268" s="4"/>
      <c r="J268" s="4"/>
      <c r="K268" s="5"/>
      <c r="Q268" t="e">
        <f>VLOOKUP(A268,'גיליון דאטה להכל'!A:E,5,0)</f>
        <v>#N/A</v>
      </c>
      <c r="R268" t="e">
        <f>VLOOKUP(A268,'לעדכן בסינתזה דאטה אריזה 42+24'!$A:$C,3,0)</f>
        <v>#N/A</v>
      </c>
      <c r="S268" t="e">
        <f>VLOOKUP(#REF!,'מלאי לא תקין'!A:N,17,0)</f>
        <v>#REF!</v>
      </c>
      <c r="T268" t="e">
        <f t="shared" si="10"/>
        <v>#REF!</v>
      </c>
      <c r="U268" t="e">
        <f t="shared" si="11"/>
        <v>#REF!</v>
      </c>
    </row>
    <row r="269" spans="4:21" x14ac:dyDescent="0.2">
      <c r="D269" s="4"/>
      <c r="G269" s="5"/>
      <c r="H269" s="5"/>
      <c r="I269" s="4"/>
      <c r="J269" s="4"/>
      <c r="K269" s="5"/>
      <c r="Q269" t="e">
        <f>VLOOKUP(A269,'גיליון דאטה להכל'!A:E,5,0)</f>
        <v>#N/A</v>
      </c>
      <c r="R269" t="e">
        <f>VLOOKUP(A269,'לעדכן בסינתזה דאטה אריזה 42+24'!$A:$C,3,0)</f>
        <v>#N/A</v>
      </c>
      <c r="S269" t="e">
        <f>VLOOKUP(#REF!,'מלאי לא תקין'!A:N,17,0)</f>
        <v>#REF!</v>
      </c>
      <c r="T269" t="e">
        <f t="shared" si="10"/>
        <v>#REF!</v>
      </c>
      <c r="U269" t="e">
        <f t="shared" si="11"/>
        <v>#REF!</v>
      </c>
    </row>
    <row r="270" spans="4:21" x14ac:dyDescent="0.2">
      <c r="D270" s="4"/>
      <c r="G270" s="5"/>
      <c r="H270" s="7"/>
      <c r="I270" s="4"/>
      <c r="J270" s="4"/>
      <c r="K270" s="5"/>
      <c r="Q270" t="e">
        <f>VLOOKUP(A270,'גיליון דאטה להכל'!A:E,5,0)</f>
        <v>#N/A</v>
      </c>
      <c r="R270" t="e">
        <f>VLOOKUP(A270,'לעדכן בסינתזה דאטה אריזה 42+24'!$A:$C,3,0)</f>
        <v>#N/A</v>
      </c>
      <c r="S270" t="e">
        <f>VLOOKUP(#REF!,'מלאי לא תקין'!A:N,17,0)</f>
        <v>#REF!</v>
      </c>
      <c r="T270" t="e">
        <f t="shared" si="10"/>
        <v>#REF!</v>
      </c>
      <c r="U270" t="e">
        <f t="shared" si="11"/>
        <v>#REF!</v>
      </c>
    </row>
    <row r="271" spans="4:21" x14ac:dyDescent="0.2">
      <c r="D271" s="4"/>
      <c r="G271" s="5"/>
      <c r="H271" s="5"/>
      <c r="I271" s="4"/>
      <c r="J271" s="4"/>
      <c r="K271" s="5"/>
      <c r="Q271" t="e">
        <f>VLOOKUP(A271,'גיליון דאטה להכל'!A:E,5,0)</f>
        <v>#N/A</v>
      </c>
      <c r="R271" t="e">
        <f>VLOOKUP(A271,'לעדכן בסינתזה דאטה אריזה 42+24'!$A:$C,3,0)</f>
        <v>#N/A</v>
      </c>
      <c r="S271" t="e">
        <f>VLOOKUP(#REF!,'מלאי לא תקין'!A:N,17,0)</f>
        <v>#REF!</v>
      </c>
      <c r="T271" t="e">
        <f t="shared" si="10"/>
        <v>#REF!</v>
      </c>
      <c r="U271" t="e">
        <f t="shared" si="11"/>
        <v>#REF!</v>
      </c>
    </row>
    <row r="272" spans="4:21" x14ac:dyDescent="0.2">
      <c r="D272" s="4"/>
      <c r="G272" s="5"/>
      <c r="H272" s="5"/>
      <c r="I272" s="4"/>
      <c r="J272" s="4"/>
      <c r="K272" s="5"/>
      <c r="Q272" t="e">
        <f>VLOOKUP(A272,'גיליון דאטה להכל'!A:E,5,0)</f>
        <v>#N/A</v>
      </c>
      <c r="R272" t="e">
        <f>VLOOKUP(A272,'לעדכן בסינתזה דאטה אריזה 42+24'!$A:$C,3,0)</f>
        <v>#N/A</v>
      </c>
      <c r="S272" t="e">
        <f>VLOOKUP(#REF!,'מלאי לא תקין'!A:N,17,0)</f>
        <v>#REF!</v>
      </c>
      <c r="T272" t="e">
        <f t="shared" si="10"/>
        <v>#REF!</v>
      </c>
      <c r="U272" t="e">
        <f t="shared" si="11"/>
        <v>#REF!</v>
      </c>
    </row>
    <row r="273" spans="4:21" x14ac:dyDescent="0.2">
      <c r="D273" s="4"/>
      <c r="G273" s="5"/>
      <c r="H273" s="5"/>
      <c r="I273" s="4"/>
      <c r="J273" s="4"/>
      <c r="K273" s="5"/>
      <c r="Q273" t="e">
        <f>VLOOKUP(A273,'גיליון דאטה להכל'!A:E,5,0)</f>
        <v>#N/A</v>
      </c>
      <c r="R273" t="e">
        <f>VLOOKUP(A273,'לעדכן בסינתזה דאטה אריזה 42+24'!$A:$C,3,0)</f>
        <v>#N/A</v>
      </c>
      <c r="S273" t="e">
        <f>VLOOKUP(#REF!,'מלאי לא תקין'!A:N,17,0)</f>
        <v>#REF!</v>
      </c>
      <c r="T273" t="e">
        <f t="shared" si="10"/>
        <v>#REF!</v>
      </c>
      <c r="U273" t="e">
        <f t="shared" si="11"/>
        <v>#REF!</v>
      </c>
    </row>
    <row r="274" spans="4:21" x14ac:dyDescent="0.2">
      <c r="D274" s="4"/>
      <c r="G274" s="5"/>
      <c r="H274" s="5"/>
      <c r="I274" s="4"/>
      <c r="J274" s="4"/>
      <c r="K274" s="5"/>
      <c r="Q274" t="e">
        <f>VLOOKUP(A274,'גיליון דאטה להכל'!A:E,5,0)</f>
        <v>#N/A</v>
      </c>
      <c r="R274" t="e">
        <f>VLOOKUP(A274,'לעדכן בסינתזה דאטה אריזה 42+24'!$A:$C,3,0)</f>
        <v>#N/A</v>
      </c>
      <c r="S274" t="e">
        <f>VLOOKUP(#REF!,'מלאי לא תקין'!A:N,17,0)</f>
        <v>#REF!</v>
      </c>
      <c r="T274" t="e">
        <f t="shared" si="10"/>
        <v>#REF!</v>
      </c>
      <c r="U274" t="e">
        <f t="shared" si="11"/>
        <v>#REF!</v>
      </c>
    </row>
    <row r="275" spans="4:21" x14ac:dyDescent="0.2">
      <c r="D275" s="4"/>
      <c r="G275" s="5"/>
      <c r="H275" s="5"/>
      <c r="I275" s="4"/>
      <c r="J275" s="4"/>
      <c r="K275" s="5"/>
      <c r="Q275" t="e">
        <f>VLOOKUP(A275,'גיליון דאטה להכל'!A:E,5,0)</f>
        <v>#N/A</v>
      </c>
      <c r="R275" t="e">
        <f>VLOOKUP(A275,'לעדכן בסינתזה דאטה אריזה 42+24'!$A:$C,3,0)</f>
        <v>#N/A</v>
      </c>
      <c r="S275" t="e">
        <f>VLOOKUP(#REF!,'מלאי לא תקין'!A:N,17,0)</f>
        <v>#REF!</v>
      </c>
      <c r="T275" t="e">
        <f t="shared" si="10"/>
        <v>#REF!</v>
      </c>
      <c r="U275" t="e">
        <f t="shared" si="11"/>
        <v>#REF!</v>
      </c>
    </row>
    <row r="276" spans="4:21" x14ac:dyDescent="0.2">
      <c r="D276" s="4"/>
      <c r="G276" s="5"/>
      <c r="H276" s="5"/>
      <c r="I276" s="4"/>
      <c r="J276" s="4"/>
      <c r="K276" s="5"/>
      <c r="Q276" t="e">
        <f>VLOOKUP(A276,'גיליון דאטה להכל'!A:E,5,0)</f>
        <v>#N/A</v>
      </c>
      <c r="R276" t="e">
        <f>VLOOKUP(A276,'לעדכן בסינתזה דאטה אריזה 42+24'!$A:$C,3,0)</f>
        <v>#N/A</v>
      </c>
      <c r="S276" t="e">
        <f>VLOOKUP(#REF!,'מלאי לא תקין'!A:N,17,0)</f>
        <v>#REF!</v>
      </c>
      <c r="T276" t="e">
        <f t="shared" si="10"/>
        <v>#REF!</v>
      </c>
      <c r="U276" t="e">
        <f t="shared" si="11"/>
        <v>#REF!</v>
      </c>
    </row>
    <row r="277" spans="4:21" x14ac:dyDescent="0.2">
      <c r="D277" s="4"/>
      <c r="G277" s="5"/>
      <c r="H277" s="5"/>
      <c r="I277" s="4"/>
      <c r="J277" s="4"/>
      <c r="K277" s="5"/>
      <c r="Q277" t="e">
        <f>VLOOKUP(A277,'גיליון דאטה להכל'!A:E,5,0)</f>
        <v>#N/A</v>
      </c>
      <c r="R277" t="e">
        <f>VLOOKUP(A277,'לעדכן בסינתזה דאטה אריזה 42+24'!$A:$C,3,0)</f>
        <v>#N/A</v>
      </c>
      <c r="S277" t="e">
        <f>VLOOKUP(#REF!,'מלאי לא תקין'!A:N,17,0)</f>
        <v>#REF!</v>
      </c>
      <c r="T277" t="e">
        <f t="shared" si="10"/>
        <v>#REF!</v>
      </c>
      <c r="U277" t="e">
        <f t="shared" si="11"/>
        <v>#REF!</v>
      </c>
    </row>
    <row r="278" spans="4:21" x14ac:dyDescent="0.2">
      <c r="D278" s="4"/>
      <c r="G278" s="5"/>
      <c r="H278" s="5"/>
      <c r="I278" s="4"/>
      <c r="J278" s="4"/>
      <c r="K278" s="5"/>
      <c r="Q278" t="e">
        <f>VLOOKUP(A278,'גיליון דאטה להכל'!A:E,5,0)</f>
        <v>#N/A</v>
      </c>
      <c r="R278" t="e">
        <f>VLOOKUP(A278,'לעדכן בסינתזה דאטה אריזה 42+24'!$A:$C,3,0)</f>
        <v>#N/A</v>
      </c>
      <c r="S278" t="e">
        <f>VLOOKUP(#REF!,'מלאי לא תקין'!A:N,17,0)</f>
        <v>#REF!</v>
      </c>
      <c r="T278" t="e">
        <f t="shared" si="10"/>
        <v>#REF!</v>
      </c>
      <c r="U278" t="e">
        <f t="shared" si="11"/>
        <v>#REF!</v>
      </c>
    </row>
    <row r="279" spans="4:21" x14ac:dyDescent="0.2">
      <c r="D279" s="4"/>
      <c r="G279" s="5"/>
      <c r="H279" s="5"/>
      <c r="I279" s="4"/>
      <c r="J279" s="4"/>
      <c r="K279" s="5"/>
      <c r="Q279" t="e">
        <f>VLOOKUP(A279,'גיליון דאטה להכל'!A:E,5,0)</f>
        <v>#N/A</v>
      </c>
      <c r="R279" t="e">
        <f>VLOOKUP(A279,'לעדכן בסינתזה דאטה אריזה 42+24'!$A:$C,3,0)</f>
        <v>#N/A</v>
      </c>
      <c r="S279" t="e">
        <f>VLOOKUP(#REF!,'מלאי לא תקין'!A:N,17,0)</f>
        <v>#REF!</v>
      </c>
      <c r="T279" t="e">
        <f t="shared" si="10"/>
        <v>#REF!</v>
      </c>
      <c r="U279" t="e">
        <f t="shared" si="11"/>
        <v>#REF!</v>
      </c>
    </row>
    <row r="280" spans="4:21" x14ac:dyDescent="0.2">
      <c r="D280" s="4"/>
      <c r="G280" s="5"/>
      <c r="H280" s="5"/>
      <c r="I280" s="4"/>
      <c r="J280" s="4"/>
      <c r="K280" s="5"/>
      <c r="Q280" t="e">
        <f>VLOOKUP(A280,'גיליון דאטה להכל'!A:E,5,0)</f>
        <v>#N/A</v>
      </c>
      <c r="R280" t="e">
        <f>VLOOKUP(A280,'לעדכן בסינתזה דאטה אריזה 42+24'!$A:$C,3,0)</f>
        <v>#N/A</v>
      </c>
      <c r="S280" t="e">
        <f>VLOOKUP(#REF!,'מלאי לא תקין'!A:N,17,0)</f>
        <v>#REF!</v>
      </c>
      <c r="T280" t="e">
        <f t="shared" si="10"/>
        <v>#REF!</v>
      </c>
      <c r="U280" t="e">
        <f t="shared" si="11"/>
        <v>#REF!</v>
      </c>
    </row>
    <row r="281" spans="4:21" x14ac:dyDescent="0.2">
      <c r="D281" s="4"/>
      <c r="G281" s="5"/>
      <c r="H281" s="5"/>
      <c r="I281" s="4"/>
      <c r="J281" s="4"/>
      <c r="K281" s="5"/>
      <c r="Q281" t="e">
        <f>VLOOKUP(A281,'גיליון דאטה להכל'!A:E,5,0)</f>
        <v>#N/A</v>
      </c>
      <c r="R281" t="e">
        <f>VLOOKUP(A281,'לעדכן בסינתזה דאטה אריזה 42+24'!$A:$C,3,0)</f>
        <v>#N/A</v>
      </c>
      <c r="S281" t="e">
        <f>VLOOKUP(#REF!,'מלאי לא תקין'!A:N,17,0)</f>
        <v>#REF!</v>
      </c>
      <c r="T281" t="e">
        <f t="shared" si="10"/>
        <v>#REF!</v>
      </c>
      <c r="U281" t="e">
        <f t="shared" si="11"/>
        <v>#REF!</v>
      </c>
    </row>
    <row r="282" spans="4:21" x14ac:dyDescent="0.2">
      <c r="D282" s="4"/>
      <c r="G282" s="5"/>
      <c r="H282" s="7"/>
      <c r="I282" s="4"/>
      <c r="J282" s="4"/>
      <c r="K282" s="5"/>
      <c r="Q282" t="e">
        <f>VLOOKUP(A282,'גיליון דאטה להכל'!A:E,5,0)</f>
        <v>#N/A</v>
      </c>
      <c r="R282" t="e">
        <f>VLOOKUP(A282,'לעדכן בסינתזה דאטה אריזה 42+24'!$A:$C,3,0)</f>
        <v>#N/A</v>
      </c>
      <c r="S282" t="e">
        <f>VLOOKUP(#REF!,'מלאי לא תקין'!A:N,17,0)</f>
        <v>#REF!</v>
      </c>
      <c r="T282" t="e">
        <f t="shared" si="10"/>
        <v>#REF!</v>
      </c>
      <c r="U282" t="e">
        <f t="shared" si="11"/>
        <v>#REF!</v>
      </c>
    </row>
    <row r="283" spans="4:21" x14ac:dyDescent="0.2">
      <c r="D283" s="4"/>
      <c r="G283" s="5"/>
      <c r="H283" s="5"/>
      <c r="I283" s="4"/>
      <c r="J283" s="4"/>
      <c r="K283" s="5"/>
      <c r="Q283" t="e">
        <f>VLOOKUP(A283,'גיליון דאטה להכל'!A:E,5,0)</f>
        <v>#N/A</v>
      </c>
      <c r="R283" t="e">
        <f>VLOOKUP(A283,'לעדכן בסינתזה דאטה אריזה 42+24'!$A:$C,3,0)</f>
        <v>#N/A</v>
      </c>
      <c r="S283" t="e">
        <f>VLOOKUP(#REF!,'מלאי לא תקין'!A:N,17,0)</f>
        <v>#REF!</v>
      </c>
      <c r="T283" t="e">
        <f t="shared" si="10"/>
        <v>#REF!</v>
      </c>
      <c r="U283" t="e">
        <f t="shared" si="11"/>
        <v>#REF!</v>
      </c>
    </row>
    <row r="284" spans="4:21" x14ac:dyDescent="0.2">
      <c r="D284" s="4"/>
      <c r="G284" s="5"/>
      <c r="H284" s="5"/>
      <c r="I284" s="4"/>
      <c r="J284" s="4"/>
      <c r="K284" s="5"/>
      <c r="Q284" t="e">
        <f>VLOOKUP(A284,'גיליון דאטה להכל'!A:E,5,0)</f>
        <v>#N/A</v>
      </c>
      <c r="R284" t="e">
        <f>VLOOKUP(A284,'לעדכן בסינתזה דאטה אריזה 42+24'!$A:$C,3,0)</f>
        <v>#N/A</v>
      </c>
      <c r="S284" t="e">
        <f>VLOOKUP(#REF!,'מלאי לא תקין'!A:N,17,0)</f>
        <v>#REF!</v>
      </c>
      <c r="T284" t="e">
        <f t="shared" si="10"/>
        <v>#REF!</v>
      </c>
      <c r="U284" t="e">
        <f t="shared" si="11"/>
        <v>#REF!</v>
      </c>
    </row>
    <row r="285" spans="4:21" x14ac:dyDescent="0.2">
      <c r="D285" s="4"/>
      <c r="G285" s="5"/>
      <c r="H285" s="5"/>
      <c r="I285" s="4"/>
      <c r="J285" s="4"/>
      <c r="K285" s="5"/>
      <c r="Q285" t="e">
        <f>VLOOKUP(A285,'גיליון דאטה להכל'!A:E,5,0)</f>
        <v>#N/A</v>
      </c>
      <c r="R285" t="e">
        <f>VLOOKUP(A285,'לעדכן בסינתזה דאטה אריזה 42+24'!$A:$C,3,0)</f>
        <v>#N/A</v>
      </c>
      <c r="S285" t="e">
        <f>VLOOKUP(#REF!,'מלאי לא תקין'!A:N,17,0)</f>
        <v>#REF!</v>
      </c>
      <c r="T285" t="e">
        <f t="shared" si="10"/>
        <v>#REF!</v>
      </c>
      <c r="U285" t="e">
        <f t="shared" si="11"/>
        <v>#REF!</v>
      </c>
    </row>
    <row r="286" spans="4:21" x14ac:dyDescent="0.2">
      <c r="D286" s="4"/>
      <c r="G286" s="5"/>
      <c r="H286" s="5"/>
      <c r="I286" s="4"/>
      <c r="J286" s="4"/>
      <c r="K286" s="5"/>
      <c r="Q286" t="e">
        <f>VLOOKUP(A286,'גיליון דאטה להכל'!A:E,5,0)</f>
        <v>#N/A</v>
      </c>
      <c r="R286" t="e">
        <f>VLOOKUP(A286,'לעדכן בסינתזה דאטה אריזה 42+24'!$A:$C,3,0)</f>
        <v>#N/A</v>
      </c>
      <c r="S286" t="e">
        <f>VLOOKUP(#REF!,'מלאי לא תקין'!A:N,17,0)</f>
        <v>#REF!</v>
      </c>
      <c r="T286" t="e">
        <f t="shared" si="10"/>
        <v>#REF!</v>
      </c>
      <c r="U286" t="e">
        <f t="shared" si="11"/>
        <v>#REF!</v>
      </c>
    </row>
    <row r="287" spans="4:21" x14ac:dyDescent="0.2">
      <c r="D287" s="4"/>
      <c r="G287" s="5"/>
      <c r="H287" s="5"/>
      <c r="I287" s="4"/>
      <c r="J287" s="4"/>
      <c r="K287" s="5"/>
      <c r="Q287" t="e">
        <f>VLOOKUP(A287,'גיליון דאטה להכל'!A:E,5,0)</f>
        <v>#N/A</v>
      </c>
      <c r="R287" t="e">
        <f>VLOOKUP(A287,'לעדכן בסינתזה דאטה אריזה 42+24'!$A:$C,3,0)</f>
        <v>#N/A</v>
      </c>
      <c r="S287" t="e">
        <f>VLOOKUP(#REF!,'מלאי לא תקין'!A:N,17,0)</f>
        <v>#REF!</v>
      </c>
      <c r="T287" t="e">
        <f t="shared" si="10"/>
        <v>#REF!</v>
      </c>
      <c r="U287" t="e">
        <f t="shared" si="11"/>
        <v>#REF!</v>
      </c>
    </row>
    <row r="288" spans="4:21" x14ac:dyDescent="0.2">
      <c r="D288" s="4"/>
      <c r="G288" s="5"/>
      <c r="H288" s="7"/>
      <c r="I288" s="4"/>
      <c r="J288" s="4"/>
      <c r="K288" s="5"/>
      <c r="Q288" t="e">
        <f>VLOOKUP(A288,'גיליון דאטה להכל'!A:E,5,0)</f>
        <v>#N/A</v>
      </c>
      <c r="R288" t="e">
        <f>VLOOKUP(A288,'לעדכן בסינתזה דאטה אריזה 42+24'!$A:$C,3,0)</f>
        <v>#N/A</v>
      </c>
      <c r="S288" t="e">
        <f>VLOOKUP(#REF!,'מלאי לא תקין'!A:N,17,0)</f>
        <v>#REF!</v>
      </c>
      <c r="T288" t="e">
        <f t="shared" si="10"/>
        <v>#REF!</v>
      </c>
      <c r="U288" t="e">
        <f t="shared" si="11"/>
        <v>#REF!</v>
      </c>
    </row>
    <row r="289" spans="4:21" x14ac:dyDescent="0.2">
      <c r="D289" s="4"/>
      <c r="G289" s="5"/>
      <c r="H289" s="5"/>
      <c r="I289" s="4"/>
      <c r="J289" s="4"/>
      <c r="K289" s="5"/>
      <c r="Q289" t="e">
        <f>VLOOKUP(A289,'גיליון דאטה להכל'!A:E,5,0)</f>
        <v>#N/A</v>
      </c>
      <c r="R289" t="e">
        <f>VLOOKUP(A289,'לעדכן בסינתזה דאטה אריזה 42+24'!$A:$C,3,0)</f>
        <v>#N/A</v>
      </c>
      <c r="S289" t="e">
        <f>VLOOKUP(#REF!,'מלאי לא תקין'!A:N,17,0)</f>
        <v>#REF!</v>
      </c>
      <c r="T289" t="e">
        <f t="shared" si="10"/>
        <v>#REF!</v>
      </c>
      <c r="U289" t="e">
        <f t="shared" si="11"/>
        <v>#REF!</v>
      </c>
    </row>
    <row r="290" spans="4:21" x14ac:dyDescent="0.2">
      <c r="D290" s="4"/>
      <c r="G290" s="5"/>
      <c r="H290" s="5"/>
      <c r="I290" s="4"/>
      <c r="J290" s="4"/>
      <c r="K290" s="5"/>
      <c r="Q290" t="e">
        <f>VLOOKUP(A290,'גיליון דאטה להכל'!A:E,5,0)</f>
        <v>#N/A</v>
      </c>
      <c r="R290" t="e">
        <f>VLOOKUP(A290,'לעדכן בסינתזה דאטה אריזה 42+24'!$A:$C,3,0)</f>
        <v>#N/A</v>
      </c>
      <c r="S290" t="e">
        <f>VLOOKUP(#REF!,'מלאי לא תקין'!A:N,17,0)</f>
        <v>#REF!</v>
      </c>
      <c r="T290" t="e">
        <f t="shared" si="10"/>
        <v>#REF!</v>
      </c>
      <c r="U290" t="e">
        <f t="shared" si="11"/>
        <v>#REF!</v>
      </c>
    </row>
    <row r="291" spans="4:21" x14ac:dyDescent="0.2">
      <c r="D291" s="4"/>
      <c r="G291" s="5"/>
      <c r="H291" s="5"/>
      <c r="I291" s="4"/>
      <c r="J291" s="4"/>
      <c r="K291" s="5"/>
      <c r="Q291" t="e">
        <f>VLOOKUP(A291,'גיליון דאטה להכל'!A:E,5,0)</f>
        <v>#N/A</v>
      </c>
      <c r="R291" t="e">
        <f>VLOOKUP(A291,'לעדכן בסינתזה דאטה אריזה 42+24'!$A:$C,3,0)</f>
        <v>#N/A</v>
      </c>
      <c r="S291" t="e">
        <f>VLOOKUP(#REF!,'מלאי לא תקין'!A:N,17,0)</f>
        <v>#REF!</v>
      </c>
      <c r="T291" t="e">
        <f t="shared" si="10"/>
        <v>#REF!</v>
      </c>
      <c r="U291" t="e">
        <f t="shared" si="11"/>
        <v>#REF!</v>
      </c>
    </row>
    <row r="292" spans="4:21" x14ac:dyDescent="0.2">
      <c r="D292" s="4"/>
      <c r="G292" s="5"/>
      <c r="H292" s="5"/>
      <c r="I292" s="4"/>
      <c r="J292" s="4"/>
      <c r="K292" s="5"/>
      <c r="Q292" t="e">
        <f>VLOOKUP(A292,'גיליון דאטה להכל'!A:E,5,0)</f>
        <v>#N/A</v>
      </c>
      <c r="R292" t="e">
        <f>VLOOKUP(A292,'לעדכן בסינתזה דאטה אריזה 42+24'!$A:$C,3,0)</f>
        <v>#N/A</v>
      </c>
      <c r="S292" t="e">
        <f>VLOOKUP(#REF!,'מלאי לא תקין'!A:N,17,0)</f>
        <v>#REF!</v>
      </c>
      <c r="T292" t="e">
        <f t="shared" si="10"/>
        <v>#REF!</v>
      </c>
      <c r="U292" t="e">
        <f t="shared" si="11"/>
        <v>#REF!</v>
      </c>
    </row>
    <row r="293" spans="4:21" x14ac:dyDescent="0.2">
      <c r="D293" s="4"/>
      <c r="G293" s="5"/>
      <c r="H293" s="5"/>
      <c r="I293" s="4"/>
      <c r="J293" s="4"/>
      <c r="K293" s="5"/>
      <c r="Q293" t="e">
        <f>VLOOKUP(A293,'גיליון דאטה להכל'!A:E,5,0)</f>
        <v>#N/A</v>
      </c>
      <c r="R293" t="e">
        <f>VLOOKUP(A293,'לעדכן בסינתזה דאטה אריזה 42+24'!$A:$C,3,0)</f>
        <v>#N/A</v>
      </c>
      <c r="S293" t="e">
        <f>VLOOKUP(#REF!,'מלאי לא תקין'!A:N,17,0)</f>
        <v>#REF!</v>
      </c>
      <c r="T293" t="e">
        <f t="shared" si="10"/>
        <v>#REF!</v>
      </c>
      <c r="U293" t="e">
        <f t="shared" si="11"/>
        <v>#REF!</v>
      </c>
    </row>
    <row r="294" spans="4:21" x14ac:dyDescent="0.2">
      <c r="D294" s="4"/>
      <c r="G294" s="5"/>
      <c r="H294" s="7"/>
      <c r="I294" s="4"/>
      <c r="J294" s="4"/>
      <c r="K294" s="5"/>
      <c r="Q294" t="e">
        <f>VLOOKUP(A294,'גיליון דאטה להכל'!A:E,5,0)</f>
        <v>#N/A</v>
      </c>
      <c r="R294" t="e">
        <f>VLOOKUP(A294,'לעדכן בסינתזה דאטה אריזה 42+24'!$A:$C,3,0)</f>
        <v>#N/A</v>
      </c>
      <c r="S294" t="e">
        <f>VLOOKUP(#REF!,'מלאי לא תקין'!A:N,17,0)</f>
        <v>#REF!</v>
      </c>
      <c r="T294" t="e">
        <f t="shared" si="10"/>
        <v>#REF!</v>
      </c>
      <c r="U294" t="e">
        <f t="shared" si="11"/>
        <v>#REF!</v>
      </c>
    </row>
    <row r="295" spans="4:21" x14ac:dyDescent="0.2">
      <c r="D295" s="4"/>
      <c r="G295" s="5"/>
      <c r="H295" s="5"/>
      <c r="I295" s="4"/>
      <c r="J295" s="4"/>
      <c r="K295" s="5"/>
      <c r="Q295" t="e">
        <f>VLOOKUP(A295,'גיליון דאטה להכל'!A:E,5,0)</f>
        <v>#N/A</v>
      </c>
      <c r="R295" t="e">
        <f>VLOOKUP(A295,'לעדכן בסינתזה דאטה אריזה 42+24'!$A:$C,3,0)</f>
        <v>#N/A</v>
      </c>
      <c r="S295" t="e">
        <f>VLOOKUP(#REF!,'מלאי לא תקין'!A:N,17,0)</f>
        <v>#REF!</v>
      </c>
      <c r="T295" t="e">
        <f t="shared" si="10"/>
        <v>#REF!</v>
      </c>
      <c r="U295" t="e">
        <f t="shared" si="11"/>
        <v>#REF!</v>
      </c>
    </row>
    <row r="296" spans="4:21" x14ac:dyDescent="0.2">
      <c r="D296" s="4"/>
      <c r="G296" s="5"/>
      <c r="H296" s="5"/>
      <c r="I296" s="4"/>
      <c r="J296" s="4"/>
      <c r="K296" s="5"/>
      <c r="Q296" t="e">
        <f>VLOOKUP(A296,'גיליון דאטה להכל'!A:E,5,0)</f>
        <v>#N/A</v>
      </c>
      <c r="R296" t="e">
        <f>VLOOKUP(A296,'לעדכן בסינתזה דאטה אריזה 42+24'!$A:$C,3,0)</f>
        <v>#N/A</v>
      </c>
      <c r="S296" t="e">
        <f>VLOOKUP(#REF!,'מלאי לא תקין'!A:N,17,0)</f>
        <v>#REF!</v>
      </c>
      <c r="T296" t="e">
        <f t="shared" si="10"/>
        <v>#REF!</v>
      </c>
      <c r="U296" t="e">
        <f t="shared" si="11"/>
        <v>#REF!</v>
      </c>
    </row>
    <row r="297" spans="4:21" x14ac:dyDescent="0.2">
      <c r="D297" s="4"/>
      <c r="G297" s="5"/>
      <c r="H297" s="5"/>
      <c r="I297" s="4"/>
      <c r="J297" s="4"/>
      <c r="K297" s="5"/>
      <c r="Q297" t="e">
        <f>VLOOKUP(A297,'גיליון דאטה להכל'!A:E,5,0)</f>
        <v>#N/A</v>
      </c>
      <c r="R297" t="e">
        <f>VLOOKUP(A297,'לעדכן בסינתזה דאטה אריזה 42+24'!$A:$C,3,0)</f>
        <v>#N/A</v>
      </c>
      <c r="S297" t="e">
        <f>VLOOKUP(#REF!,'מלאי לא תקין'!A:N,17,0)</f>
        <v>#REF!</v>
      </c>
      <c r="T297" t="e">
        <f t="shared" si="10"/>
        <v>#REF!</v>
      </c>
      <c r="U297" t="e">
        <f t="shared" si="11"/>
        <v>#REF!</v>
      </c>
    </row>
    <row r="298" spans="4:21" x14ac:dyDescent="0.2">
      <c r="D298" s="4"/>
      <c r="G298" s="5"/>
      <c r="H298" s="5"/>
      <c r="I298" s="4"/>
      <c r="J298" s="4"/>
      <c r="K298" s="5"/>
      <c r="Q298" t="e">
        <f>VLOOKUP(A298,'גיליון דאטה להכל'!A:E,5,0)</f>
        <v>#N/A</v>
      </c>
      <c r="R298" t="e">
        <f>VLOOKUP(A298,'לעדכן בסינתזה דאטה אריזה 42+24'!$A:$C,3,0)</f>
        <v>#N/A</v>
      </c>
      <c r="S298" t="e">
        <f>VLOOKUP(#REF!,'מלאי לא תקין'!A:N,17,0)</f>
        <v>#REF!</v>
      </c>
      <c r="T298" t="e">
        <f t="shared" si="10"/>
        <v>#REF!</v>
      </c>
      <c r="U298" t="e">
        <f t="shared" si="11"/>
        <v>#REF!</v>
      </c>
    </row>
    <row r="299" spans="4:21" x14ac:dyDescent="0.2">
      <c r="D299" s="4"/>
      <c r="G299" s="5"/>
      <c r="H299" s="5"/>
      <c r="I299" s="4"/>
      <c r="J299" s="4"/>
      <c r="K299" s="5"/>
      <c r="Q299" t="e">
        <f>VLOOKUP(A299,'גיליון דאטה להכל'!A:E,5,0)</f>
        <v>#N/A</v>
      </c>
      <c r="R299" t="e">
        <f>VLOOKUP(A299,'לעדכן בסינתזה דאטה אריזה 42+24'!$A:$C,3,0)</f>
        <v>#N/A</v>
      </c>
      <c r="S299" t="e">
        <f>VLOOKUP(#REF!,'מלאי לא תקין'!A:N,17,0)</f>
        <v>#REF!</v>
      </c>
      <c r="T299" t="e">
        <f t="shared" si="10"/>
        <v>#REF!</v>
      </c>
      <c r="U299" t="e">
        <f t="shared" si="11"/>
        <v>#REF!</v>
      </c>
    </row>
    <row r="300" spans="4:21" x14ac:dyDescent="0.2">
      <c r="D300" s="4"/>
      <c r="G300" s="5"/>
      <c r="H300" s="5"/>
      <c r="I300" s="4"/>
      <c r="J300" s="4"/>
      <c r="K300" s="5"/>
      <c r="Q300" t="e">
        <f>VLOOKUP(A300,'גיליון דאטה להכל'!A:E,5,0)</f>
        <v>#N/A</v>
      </c>
      <c r="R300" t="e">
        <f>VLOOKUP(A300,'לעדכן בסינתזה דאטה אריזה 42+24'!$A:$C,3,0)</f>
        <v>#N/A</v>
      </c>
      <c r="S300" t="e">
        <f>VLOOKUP(#REF!,'מלאי לא תקין'!A:N,17,0)</f>
        <v>#REF!</v>
      </c>
      <c r="T300" t="e">
        <f t="shared" si="10"/>
        <v>#REF!</v>
      </c>
      <c r="U300" t="e">
        <f t="shared" si="11"/>
        <v>#REF!</v>
      </c>
    </row>
    <row r="301" spans="4:21" x14ac:dyDescent="0.2">
      <c r="D301" s="4"/>
      <c r="G301" s="5"/>
      <c r="H301" s="5"/>
      <c r="I301" s="4"/>
      <c r="J301" s="4"/>
      <c r="K301" s="5"/>
      <c r="Q301" t="e">
        <f>VLOOKUP(A301,'גיליון דאטה להכל'!A:E,5,0)</f>
        <v>#N/A</v>
      </c>
      <c r="R301" t="e">
        <f>VLOOKUP(A301,'לעדכן בסינתזה דאטה אריזה 42+24'!$A:$C,3,0)</f>
        <v>#N/A</v>
      </c>
      <c r="S301" t="e">
        <f>VLOOKUP(#REF!,'מלאי לא תקין'!A:N,17,0)</f>
        <v>#REF!</v>
      </c>
      <c r="T301" t="e">
        <f t="shared" si="10"/>
        <v>#REF!</v>
      </c>
      <c r="U301" t="e">
        <f t="shared" si="11"/>
        <v>#REF!</v>
      </c>
    </row>
    <row r="302" spans="4:21" x14ac:dyDescent="0.2">
      <c r="D302" s="4"/>
      <c r="G302" s="5"/>
      <c r="H302" s="5"/>
      <c r="I302" s="4"/>
      <c r="J302" s="4"/>
      <c r="K302" s="5"/>
      <c r="Q302" t="e">
        <f>VLOOKUP(A302,'גיליון דאטה להכל'!A:E,5,0)</f>
        <v>#N/A</v>
      </c>
      <c r="R302" t="e">
        <f>VLOOKUP(A302,'לעדכן בסינתזה דאטה אריזה 42+24'!$A:$C,3,0)</f>
        <v>#N/A</v>
      </c>
      <c r="S302" t="e">
        <f>VLOOKUP(#REF!,'מלאי לא תקין'!A:N,17,0)</f>
        <v>#REF!</v>
      </c>
      <c r="T302" t="e">
        <f t="shared" si="10"/>
        <v>#REF!</v>
      </c>
      <c r="U302" t="e">
        <f t="shared" si="11"/>
        <v>#REF!</v>
      </c>
    </row>
    <row r="303" spans="4:21" x14ac:dyDescent="0.2">
      <c r="D303" s="4"/>
      <c r="G303" s="5"/>
      <c r="H303" s="5"/>
      <c r="I303" s="4"/>
      <c r="J303" s="4"/>
      <c r="K303" s="5"/>
      <c r="Q303" t="e">
        <f>VLOOKUP(A303,'גיליון דאטה להכל'!A:E,5,0)</f>
        <v>#N/A</v>
      </c>
      <c r="R303" t="e">
        <f>VLOOKUP(A303,'לעדכן בסינתזה דאטה אריזה 42+24'!$A:$C,3,0)</f>
        <v>#N/A</v>
      </c>
      <c r="S303" t="e">
        <f>VLOOKUP(#REF!,'מלאי לא תקין'!A:N,17,0)</f>
        <v>#REF!</v>
      </c>
      <c r="T303" t="e">
        <f t="shared" si="10"/>
        <v>#REF!</v>
      </c>
      <c r="U303" t="e">
        <f t="shared" si="11"/>
        <v>#REF!</v>
      </c>
    </row>
    <row r="304" spans="4:21" x14ac:dyDescent="0.2">
      <c r="D304" s="4"/>
      <c r="G304" s="5"/>
      <c r="H304" s="5"/>
      <c r="I304" s="4"/>
      <c r="J304" s="4"/>
      <c r="K304" s="5"/>
      <c r="Q304" t="e">
        <f>VLOOKUP(A304,'גיליון דאטה להכל'!A:E,5,0)</f>
        <v>#N/A</v>
      </c>
      <c r="R304" t="e">
        <f>VLOOKUP(A304,'לעדכן בסינתזה דאטה אריזה 42+24'!$A:$C,3,0)</f>
        <v>#N/A</v>
      </c>
      <c r="S304" t="e">
        <f>VLOOKUP(#REF!,'מלאי לא תקין'!A:N,17,0)</f>
        <v>#REF!</v>
      </c>
      <c r="T304" t="e">
        <f t="shared" si="10"/>
        <v>#REF!</v>
      </c>
      <c r="U304" t="e">
        <f t="shared" si="11"/>
        <v>#REF!</v>
      </c>
    </row>
    <row r="305" spans="4:21" x14ac:dyDescent="0.2">
      <c r="D305" s="4"/>
      <c r="G305" s="5"/>
      <c r="H305" s="5"/>
      <c r="I305" s="4"/>
      <c r="J305" s="4"/>
      <c r="K305" s="5"/>
      <c r="Q305" t="e">
        <f>VLOOKUP(A305,'גיליון דאטה להכל'!A:E,5,0)</f>
        <v>#N/A</v>
      </c>
      <c r="R305" t="e">
        <f>VLOOKUP(A305,'לעדכן בסינתזה דאטה אריזה 42+24'!$A:$C,3,0)</f>
        <v>#N/A</v>
      </c>
      <c r="S305" t="e">
        <f>VLOOKUP(#REF!,'מלאי לא תקין'!A:N,17,0)</f>
        <v>#REF!</v>
      </c>
      <c r="T305" t="e">
        <f t="shared" si="10"/>
        <v>#REF!</v>
      </c>
      <c r="U305" t="e">
        <f t="shared" si="11"/>
        <v>#REF!</v>
      </c>
    </row>
    <row r="306" spans="4:21" x14ac:dyDescent="0.2">
      <c r="D306" s="4"/>
      <c r="G306" s="5"/>
      <c r="H306" s="7"/>
      <c r="I306" s="4"/>
      <c r="J306" s="4"/>
      <c r="K306" s="5"/>
      <c r="Q306" t="e">
        <f>VLOOKUP(A306,'גיליון דאטה להכל'!A:E,5,0)</f>
        <v>#N/A</v>
      </c>
      <c r="R306" t="e">
        <f>VLOOKUP(A306,'לעדכן בסינתזה דאטה אריזה 42+24'!$A:$C,3,0)</f>
        <v>#N/A</v>
      </c>
      <c r="S306" t="e">
        <f>VLOOKUP(#REF!,'מלאי לא תקין'!A:N,17,0)</f>
        <v>#REF!</v>
      </c>
      <c r="T306" t="e">
        <f t="shared" si="10"/>
        <v>#REF!</v>
      </c>
      <c r="U306" t="e">
        <f t="shared" si="11"/>
        <v>#REF!</v>
      </c>
    </row>
    <row r="307" spans="4:21" x14ac:dyDescent="0.2">
      <c r="D307" s="4"/>
      <c r="G307" s="5"/>
      <c r="H307" s="5"/>
      <c r="I307" s="4"/>
      <c r="J307" s="4"/>
      <c r="K307" s="5"/>
      <c r="Q307" t="e">
        <f>VLOOKUP(A307,'גיליון דאטה להכל'!A:E,5,0)</f>
        <v>#N/A</v>
      </c>
      <c r="R307" t="e">
        <f>VLOOKUP(A307,'לעדכן בסינתזה דאטה אריזה 42+24'!$A:$C,3,0)</f>
        <v>#N/A</v>
      </c>
      <c r="S307" t="e">
        <f>VLOOKUP(#REF!,'מלאי לא תקין'!A:N,17,0)</f>
        <v>#REF!</v>
      </c>
      <c r="T307" t="e">
        <f t="shared" si="10"/>
        <v>#REF!</v>
      </c>
      <c r="U307" t="e">
        <f t="shared" si="11"/>
        <v>#REF!</v>
      </c>
    </row>
    <row r="308" spans="4:21" x14ac:dyDescent="0.2">
      <c r="D308" s="4"/>
      <c r="G308" s="5"/>
      <c r="H308" s="5"/>
      <c r="I308" s="4"/>
      <c r="J308" s="4"/>
      <c r="K308" s="5"/>
      <c r="Q308" t="e">
        <f>VLOOKUP(A308,'גיליון דאטה להכל'!A:E,5,0)</f>
        <v>#N/A</v>
      </c>
      <c r="R308" t="e">
        <f>VLOOKUP(A308,'לעדכן בסינתזה דאטה אריזה 42+24'!$A:$C,3,0)</f>
        <v>#N/A</v>
      </c>
      <c r="S308" t="e">
        <f>VLOOKUP(#REF!,'מלאי לא תקין'!A:N,17,0)</f>
        <v>#REF!</v>
      </c>
      <c r="T308" t="e">
        <f t="shared" si="10"/>
        <v>#REF!</v>
      </c>
      <c r="U308" t="e">
        <f t="shared" si="11"/>
        <v>#REF!</v>
      </c>
    </row>
    <row r="309" spans="4:21" x14ac:dyDescent="0.2">
      <c r="D309" s="4"/>
      <c r="G309" s="5"/>
      <c r="H309" s="5"/>
      <c r="I309" s="4"/>
      <c r="J309" s="4"/>
      <c r="K309" s="5"/>
      <c r="Q309" t="e">
        <f>VLOOKUP(A309,'גיליון דאטה להכל'!A:E,5,0)</f>
        <v>#N/A</v>
      </c>
      <c r="R309" t="e">
        <f>VLOOKUP(A309,'לעדכן בסינתזה דאטה אריזה 42+24'!$A:$C,3,0)</f>
        <v>#N/A</v>
      </c>
      <c r="S309" t="e">
        <f>VLOOKUP(#REF!,'מלאי לא תקין'!A:N,17,0)</f>
        <v>#REF!</v>
      </c>
      <c r="T309" t="e">
        <f t="shared" si="10"/>
        <v>#REF!</v>
      </c>
      <c r="U309" t="e">
        <f t="shared" si="11"/>
        <v>#REF!</v>
      </c>
    </row>
    <row r="310" spans="4:21" x14ac:dyDescent="0.2">
      <c r="D310" s="4"/>
      <c r="G310" s="5"/>
      <c r="H310" s="5"/>
      <c r="I310" s="4"/>
      <c r="J310" s="4"/>
      <c r="K310" s="5"/>
      <c r="Q310" t="e">
        <f>VLOOKUP(A310,'גיליון דאטה להכל'!A:E,5,0)</f>
        <v>#N/A</v>
      </c>
      <c r="R310" t="e">
        <f>VLOOKUP(A310,'לעדכן בסינתזה דאטה אריזה 42+24'!$A:$C,3,0)</f>
        <v>#N/A</v>
      </c>
      <c r="S310" t="e">
        <f>VLOOKUP(#REF!,'מלאי לא תקין'!A:N,17,0)</f>
        <v>#REF!</v>
      </c>
      <c r="T310" t="e">
        <f t="shared" ref="T310:T373" si="12">_xlfn.CONCAT(S310,Q310)</f>
        <v>#REF!</v>
      </c>
      <c r="U310" t="e">
        <f t="shared" ref="U310:U373" si="13">_xlfn.CONCAT(S310,O310)</f>
        <v>#REF!</v>
      </c>
    </row>
    <row r="311" spans="4:21" x14ac:dyDescent="0.2">
      <c r="D311" s="4"/>
      <c r="G311" s="5"/>
      <c r="H311" s="5"/>
      <c r="I311" s="4"/>
      <c r="J311" s="4"/>
      <c r="K311" s="5"/>
      <c r="Q311" t="e">
        <f>VLOOKUP(A311,'גיליון דאטה להכל'!A:E,5,0)</f>
        <v>#N/A</v>
      </c>
      <c r="R311" t="e">
        <f>VLOOKUP(A311,'לעדכן בסינתזה דאטה אריזה 42+24'!$A:$C,3,0)</f>
        <v>#N/A</v>
      </c>
      <c r="S311" t="e">
        <f>VLOOKUP(#REF!,'מלאי לא תקין'!A:N,17,0)</f>
        <v>#REF!</v>
      </c>
      <c r="T311" t="e">
        <f t="shared" si="12"/>
        <v>#REF!</v>
      </c>
      <c r="U311" t="e">
        <f t="shared" si="13"/>
        <v>#REF!</v>
      </c>
    </row>
    <row r="312" spans="4:21" x14ac:dyDescent="0.2">
      <c r="D312" s="4"/>
      <c r="G312" s="5"/>
      <c r="H312" s="7"/>
      <c r="I312" s="4"/>
      <c r="J312" s="4"/>
      <c r="K312" s="5"/>
      <c r="Q312" t="e">
        <f>VLOOKUP(A312,'גיליון דאטה להכל'!A:E,5,0)</f>
        <v>#N/A</v>
      </c>
      <c r="R312" t="e">
        <f>VLOOKUP(A312,'לעדכן בסינתזה דאטה אריזה 42+24'!$A:$C,3,0)</f>
        <v>#N/A</v>
      </c>
      <c r="S312" t="e">
        <f>VLOOKUP(#REF!,'מלאי לא תקין'!A:N,17,0)</f>
        <v>#REF!</v>
      </c>
      <c r="T312" t="e">
        <f t="shared" si="12"/>
        <v>#REF!</v>
      </c>
      <c r="U312" t="e">
        <f t="shared" si="13"/>
        <v>#REF!</v>
      </c>
    </row>
    <row r="313" spans="4:21" x14ac:dyDescent="0.2">
      <c r="D313" s="4"/>
      <c r="G313" s="5"/>
      <c r="H313" s="5"/>
      <c r="I313" s="4"/>
      <c r="J313" s="4"/>
      <c r="K313" s="5"/>
      <c r="Q313" t="e">
        <f>VLOOKUP(A313,'גיליון דאטה להכל'!A:E,5,0)</f>
        <v>#N/A</v>
      </c>
      <c r="R313" t="e">
        <f>VLOOKUP(A313,'לעדכן בסינתזה דאטה אריזה 42+24'!$A:$C,3,0)</f>
        <v>#N/A</v>
      </c>
      <c r="S313" t="e">
        <f>VLOOKUP(#REF!,'מלאי לא תקין'!A:N,17,0)</f>
        <v>#REF!</v>
      </c>
      <c r="T313" t="e">
        <f t="shared" si="12"/>
        <v>#REF!</v>
      </c>
      <c r="U313" t="e">
        <f t="shared" si="13"/>
        <v>#REF!</v>
      </c>
    </row>
    <row r="314" spans="4:21" x14ac:dyDescent="0.2">
      <c r="D314" s="4"/>
      <c r="G314" s="5"/>
      <c r="H314" s="5"/>
      <c r="I314" s="4"/>
      <c r="J314" s="4"/>
      <c r="K314" s="5"/>
      <c r="Q314" t="e">
        <f>VLOOKUP(A314,'גיליון דאטה להכל'!A:E,5,0)</f>
        <v>#N/A</v>
      </c>
      <c r="R314" t="e">
        <f>VLOOKUP(A314,'לעדכן בסינתזה דאטה אריזה 42+24'!$A:$C,3,0)</f>
        <v>#N/A</v>
      </c>
      <c r="S314" t="e">
        <f>VLOOKUP(#REF!,'מלאי לא תקין'!A:N,17,0)</f>
        <v>#REF!</v>
      </c>
      <c r="T314" t="e">
        <f t="shared" si="12"/>
        <v>#REF!</v>
      </c>
      <c r="U314" t="e">
        <f t="shared" si="13"/>
        <v>#REF!</v>
      </c>
    </row>
    <row r="315" spans="4:21" x14ac:dyDescent="0.2">
      <c r="D315" s="4"/>
      <c r="G315" s="5"/>
      <c r="H315" s="5"/>
      <c r="I315" s="4"/>
      <c r="J315" s="4"/>
      <c r="K315" s="5"/>
      <c r="Q315" t="e">
        <f>VLOOKUP(A315,'גיליון דאטה להכל'!A:E,5,0)</f>
        <v>#N/A</v>
      </c>
      <c r="R315" t="e">
        <f>VLOOKUP(A315,'לעדכן בסינתזה דאטה אריזה 42+24'!$A:$C,3,0)</f>
        <v>#N/A</v>
      </c>
      <c r="S315" t="e">
        <f>VLOOKUP(#REF!,'מלאי לא תקין'!A:N,17,0)</f>
        <v>#REF!</v>
      </c>
      <c r="T315" t="e">
        <f t="shared" si="12"/>
        <v>#REF!</v>
      </c>
      <c r="U315" t="e">
        <f t="shared" si="13"/>
        <v>#REF!</v>
      </c>
    </row>
    <row r="316" spans="4:21" x14ac:dyDescent="0.2">
      <c r="D316" s="4"/>
      <c r="G316" s="5"/>
      <c r="H316" s="7"/>
      <c r="I316" s="4"/>
      <c r="J316" s="4"/>
      <c r="K316" s="5"/>
      <c r="Q316" t="e">
        <f>VLOOKUP(A316,'גיליון דאטה להכל'!A:E,5,0)</f>
        <v>#N/A</v>
      </c>
      <c r="R316" t="e">
        <f>VLOOKUP(A316,'לעדכן בסינתזה דאטה אריזה 42+24'!$A:$C,3,0)</f>
        <v>#N/A</v>
      </c>
      <c r="S316" t="e">
        <f>VLOOKUP(#REF!,'מלאי לא תקין'!A:N,17,0)</f>
        <v>#REF!</v>
      </c>
      <c r="T316" t="e">
        <f t="shared" si="12"/>
        <v>#REF!</v>
      </c>
      <c r="U316" t="e">
        <f t="shared" si="13"/>
        <v>#REF!</v>
      </c>
    </row>
    <row r="317" spans="4:21" x14ac:dyDescent="0.2">
      <c r="D317" s="4"/>
      <c r="G317" s="5"/>
      <c r="H317" s="5"/>
      <c r="I317" s="4"/>
      <c r="J317" s="4"/>
      <c r="K317" s="5"/>
      <c r="Q317" t="e">
        <f>VLOOKUP(A317,'גיליון דאטה להכל'!A:E,5,0)</f>
        <v>#N/A</v>
      </c>
      <c r="R317" t="e">
        <f>VLOOKUP(A317,'לעדכן בסינתזה דאטה אריזה 42+24'!$A:$C,3,0)</f>
        <v>#N/A</v>
      </c>
      <c r="S317" t="e">
        <f>VLOOKUP(#REF!,'מלאי לא תקין'!A:N,17,0)</f>
        <v>#REF!</v>
      </c>
      <c r="T317" t="e">
        <f t="shared" si="12"/>
        <v>#REF!</v>
      </c>
      <c r="U317" t="e">
        <f t="shared" si="13"/>
        <v>#REF!</v>
      </c>
    </row>
    <row r="318" spans="4:21" x14ac:dyDescent="0.2">
      <c r="D318" s="4"/>
      <c r="G318" s="5"/>
      <c r="H318" s="5"/>
      <c r="I318" s="4"/>
      <c r="J318" s="4"/>
      <c r="K318" s="5"/>
      <c r="Q318" t="e">
        <f>VLOOKUP(A318,'גיליון דאטה להכל'!A:E,5,0)</f>
        <v>#N/A</v>
      </c>
      <c r="R318" t="e">
        <f>VLOOKUP(A318,'לעדכן בסינתזה דאטה אריזה 42+24'!$A:$C,3,0)</f>
        <v>#N/A</v>
      </c>
      <c r="S318" t="e">
        <f>VLOOKUP(#REF!,'מלאי לא תקין'!A:N,17,0)</f>
        <v>#REF!</v>
      </c>
      <c r="T318" t="e">
        <f t="shared" si="12"/>
        <v>#REF!</v>
      </c>
      <c r="U318" t="e">
        <f t="shared" si="13"/>
        <v>#REF!</v>
      </c>
    </row>
    <row r="319" spans="4:21" x14ac:dyDescent="0.2">
      <c r="D319" s="4"/>
      <c r="G319" s="5"/>
      <c r="H319" s="5"/>
      <c r="I319" s="4"/>
      <c r="J319" s="4"/>
      <c r="K319" s="5"/>
      <c r="Q319" t="e">
        <f>VLOOKUP(A319,'גיליון דאטה להכל'!A:E,5,0)</f>
        <v>#N/A</v>
      </c>
      <c r="R319" t="e">
        <f>VLOOKUP(A319,'לעדכן בסינתזה דאטה אריזה 42+24'!$A:$C,3,0)</f>
        <v>#N/A</v>
      </c>
      <c r="S319" t="e">
        <f>VLOOKUP(#REF!,'מלאי לא תקין'!A:N,17,0)</f>
        <v>#REF!</v>
      </c>
      <c r="T319" t="e">
        <f t="shared" si="12"/>
        <v>#REF!</v>
      </c>
      <c r="U319" t="e">
        <f t="shared" si="13"/>
        <v>#REF!</v>
      </c>
    </row>
    <row r="320" spans="4:21" x14ac:dyDescent="0.2">
      <c r="D320" s="4"/>
      <c r="G320" s="5"/>
      <c r="H320" s="5"/>
      <c r="I320" s="4"/>
      <c r="J320" s="4"/>
      <c r="K320" s="5"/>
      <c r="Q320" t="e">
        <f>VLOOKUP(A320,'גיליון דאטה להכל'!A:E,5,0)</f>
        <v>#N/A</v>
      </c>
      <c r="R320" t="e">
        <f>VLOOKUP(A320,'לעדכן בסינתזה דאטה אריזה 42+24'!$A:$C,3,0)</f>
        <v>#N/A</v>
      </c>
      <c r="S320" t="e">
        <f>VLOOKUP(#REF!,'מלאי לא תקין'!A:N,17,0)</f>
        <v>#REF!</v>
      </c>
      <c r="T320" t="e">
        <f t="shared" si="12"/>
        <v>#REF!</v>
      </c>
      <c r="U320" t="e">
        <f t="shared" si="13"/>
        <v>#REF!</v>
      </c>
    </row>
    <row r="321" spans="4:21" x14ac:dyDescent="0.2">
      <c r="D321" s="4"/>
      <c r="G321" s="5"/>
      <c r="H321" s="5"/>
      <c r="I321" s="4"/>
      <c r="J321" s="4"/>
      <c r="K321" s="5"/>
      <c r="Q321" t="e">
        <f>VLOOKUP(A321,'גיליון דאטה להכל'!A:E,5,0)</f>
        <v>#N/A</v>
      </c>
      <c r="R321" t="e">
        <f>VLOOKUP(A321,'לעדכן בסינתזה דאטה אריזה 42+24'!$A:$C,3,0)</f>
        <v>#N/A</v>
      </c>
      <c r="S321" t="e">
        <f>VLOOKUP(#REF!,'מלאי לא תקין'!A:N,17,0)</f>
        <v>#REF!</v>
      </c>
      <c r="T321" t="e">
        <f t="shared" si="12"/>
        <v>#REF!</v>
      </c>
      <c r="U321" t="e">
        <f t="shared" si="13"/>
        <v>#REF!</v>
      </c>
    </row>
    <row r="322" spans="4:21" x14ac:dyDescent="0.2">
      <c r="D322" s="4"/>
      <c r="G322" s="5"/>
      <c r="H322" s="7"/>
      <c r="I322" s="4"/>
      <c r="J322" s="4"/>
      <c r="K322" s="5"/>
      <c r="Q322" t="e">
        <f>VLOOKUP(A322,'גיליון דאטה להכל'!A:E,5,0)</f>
        <v>#N/A</v>
      </c>
      <c r="R322" t="e">
        <f>VLOOKUP(A322,'לעדכן בסינתזה דאטה אריזה 42+24'!$A:$C,3,0)</f>
        <v>#N/A</v>
      </c>
      <c r="S322" t="e">
        <f>VLOOKUP(#REF!,'מלאי לא תקין'!A:N,17,0)</f>
        <v>#REF!</v>
      </c>
      <c r="T322" t="e">
        <f t="shared" si="12"/>
        <v>#REF!</v>
      </c>
      <c r="U322" t="e">
        <f t="shared" si="13"/>
        <v>#REF!</v>
      </c>
    </row>
    <row r="323" spans="4:21" x14ac:dyDescent="0.2">
      <c r="D323" s="4"/>
      <c r="G323" s="5"/>
      <c r="H323" s="5"/>
      <c r="I323" s="4"/>
      <c r="J323" s="4"/>
      <c r="K323" s="5"/>
      <c r="Q323" t="e">
        <f>VLOOKUP(A323,'גיליון דאטה להכל'!A:E,5,0)</f>
        <v>#N/A</v>
      </c>
      <c r="R323" t="e">
        <f>VLOOKUP(A323,'לעדכן בסינתזה דאטה אריזה 42+24'!$A:$C,3,0)</f>
        <v>#N/A</v>
      </c>
      <c r="S323" t="e">
        <f>VLOOKUP(#REF!,'מלאי לא תקין'!A:N,17,0)</f>
        <v>#REF!</v>
      </c>
      <c r="T323" t="e">
        <f t="shared" si="12"/>
        <v>#REF!</v>
      </c>
      <c r="U323" t="e">
        <f t="shared" si="13"/>
        <v>#REF!</v>
      </c>
    </row>
    <row r="324" spans="4:21" x14ac:dyDescent="0.2">
      <c r="D324" s="4"/>
      <c r="G324" s="5"/>
      <c r="H324" s="5"/>
      <c r="I324" s="4"/>
      <c r="J324" s="4"/>
      <c r="K324" s="5"/>
      <c r="Q324" t="e">
        <f>VLOOKUP(A324,'גיליון דאטה להכל'!A:E,5,0)</f>
        <v>#N/A</v>
      </c>
      <c r="R324" t="e">
        <f>VLOOKUP(A324,'לעדכן בסינתזה דאטה אריזה 42+24'!$A:$C,3,0)</f>
        <v>#N/A</v>
      </c>
      <c r="S324" t="e">
        <f>VLOOKUP(#REF!,'מלאי לא תקין'!A:N,17,0)</f>
        <v>#REF!</v>
      </c>
      <c r="T324" t="e">
        <f t="shared" si="12"/>
        <v>#REF!</v>
      </c>
      <c r="U324" t="e">
        <f t="shared" si="13"/>
        <v>#REF!</v>
      </c>
    </row>
    <row r="325" spans="4:21" x14ac:dyDescent="0.2">
      <c r="D325" s="4"/>
      <c r="G325" s="5"/>
      <c r="H325" s="5"/>
      <c r="I325" s="4"/>
      <c r="J325" s="4"/>
      <c r="K325" s="5"/>
      <c r="Q325" t="e">
        <f>VLOOKUP(A325,'גיליון דאטה להכל'!A:E,5,0)</f>
        <v>#N/A</v>
      </c>
      <c r="R325" t="e">
        <f>VLOOKUP(A325,'לעדכן בסינתזה דאטה אריזה 42+24'!$A:$C,3,0)</f>
        <v>#N/A</v>
      </c>
      <c r="S325" t="e">
        <f>VLOOKUP(#REF!,'מלאי לא תקין'!A:N,17,0)</f>
        <v>#REF!</v>
      </c>
      <c r="T325" t="e">
        <f t="shared" si="12"/>
        <v>#REF!</v>
      </c>
      <c r="U325" t="e">
        <f t="shared" si="13"/>
        <v>#REF!</v>
      </c>
    </row>
    <row r="326" spans="4:21" x14ac:dyDescent="0.2">
      <c r="D326" s="4"/>
      <c r="G326" s="5"/>
      <c r="H326" s="5"/>
      <c r="I326" s="4"/>
      <c r="J326" s="4"/>
      <c r="K326" s="5"/>
      <c r="Q326" t="e">
        <f>VLOOKUP(A326,'גיליון דאטה להכל'!A:E,5,0)</f>
        <v>#N/A</v>
      </c>
      <c r="R326" t="e">
        <f>VLOOKUP(A326,'לעדכן בסינתזה דאטה אריזה 42+24'!$A:$C,3,0)</f>
        <v>#N/A</v>
      </c>
      <c r="S326" t="e">
        <f>VLOOKUP(#REF!,'מלאי לא תקין'!A:N,17,0)</f>
        <v>#REF!</v>
      </c>
      <c r="T326" t="e">
        <f t="shared" si="12"/>
        <v>#REF!</v>
      </c>
      <c r="U326" t="e">
        <f t="shared" si="13"/>
        <v>#REF!</v>
      </c>
    </row>
    <row r="327" spans="4:21" x14ac:dyDescent="0.2">
      <c r="D327" s="4"/>
      <c r="G327" s="5"/>
      <c r="H327" s="5"/>
      <c r="I327" s="4"/>
      <c r="J327" s="4"/>
      <c r="K327" s="5"/>
      <c r="Q327" t="e">
        <f>VLOOKUP(A327,'גיליון דאטה להכל'!A:E,5,0)</f>
        <v>#N/A</v>
      </c>
      <c r="R327" t="e">
        <f>VLOOKUP(A327,'לעדכן בסינתזה דאטה אריזה 42+24'!$A:$C,3,0)</f>
        <v>#N/A</v>
      </c>
      <c r="S327" t="e">
        <f>VLOOKUP(#REF!,'מלאי לא תקין'!A:N,17,0)</f>
        <v>#REF!</v>
      </c>
      <c r="T327" t="e">
        <f t="shared" si="12"/>
        <v>#REF!</v>
      </c>
      <c r="U327" t="e">
        <f t="shared" si="13"/>
        <v>#REF!</v>
      </c>
    </row>
    <row r="328" spans="4:21" x14ac:dyDescent="0.2">
      <c r="D328" s="4"/>
      <c r="G328" s="5"/>
      <c r="H328" s="7"/>
      <c r="I328" s="4"/>
      <c r="J328" s="4"/>
      <c r="K328" s="5"/>
      <c r="Q328" t="e">
        <f>VLOOKUP(A328,'גיליון דאטה להכל'!A:E,5,0)</f>
        <v>#N/A</v>
      </c>
      <c r="R328" t="e">
        <f>VLOOKUP(A328,'לעדכן בסינתזה דאטה אריזה 42+24'!$A:$C,3,0)</f>
        <v>#N/A</v>
      </c>
      <c r="S328" t="e">
        <f>VLOOKUP(#REF!,'מלאי לא תקין'!A:N,17,0)</f>
        <v>#REF!</v>
      </c>
      <c r="T328" t="e">
        <f t="shared" si="12"/>
        <v>#REF!</v>
      </c>
      <c r="U328" t="e">
        <f t="shared" si="13"/>
        <v>#REF!</v>
      </c>
    </row>
    <row r="329" spans="4:21" x14ac:dyDescent="0.2">
      <c r="D329" s="4"/>
      <c r="G329" s="5"/>
      <c r="H329" s="5"/>
      <c r="I329" s="4"/>
      <c r="J329" s="4"/>
      <c r="K329" s="5"/>
      <c r="Q329" t="e">
        <f>VLOOKUP(A329,'גיליון דאטה להכל'!A:E,5,0)</f>
        <v>#N/A</v>
      </c>
      <c r="R329" t="e">
        <f>VLOOKUP(A329,'לעדכן בסינתזה דאטה אריזה 42+24'!$A:$C,3,0)</f>
        <v>#N/A</v>
      </c>
      <c r="S329" t="e">
        <f>VLOOKUP(#REF!,'מלאי לא תקין'!A:N,17,0)</f>
        <v>#REF!</v>
      </c>
      <c r="T329" t="e">
        <f t="shared" si="12"/>
        <v>#REF!</v>
      </c>
      <c r="U329" t="e">
        <f t="shared" si="13"/>
        <v>#REF!</v>
      </c>
    </row>
    <row r="330" spans="4:21" x14ac:dyDescent="0.2">
      <c r="D330" s="4"/>
      <c r="G330" s="5"/>
      <c r="H330" s="5"/>
      <c r="I330" s="4"/>
      <c r="J330" s="4"/>
      <c r="K330" s="5"/>
      <c r="Q330" t="e">
        <f>VLOOKUP(A330,'גיליון דאטה להכל'!A:E,5,0)</f>
        <v>#N/A</v>
      </c>
      <c r="R330" t="e">
        <f>VLOOKUP(A330,'לעדכן בסינתזה דאטה אריזה 42+24'!$A:$C,3,0)</f>
        <v>#N/A</v>
      </c>
      <c r="S330" t="e">
        <f>VLOOKUP(#REF!,'מלאי לא תקין'!A:N,17,0)</f>
        <v>#REF!</v>
      </c>
      <c r="T330" t="e">
        <f t="shared" si="12"/>
        <v>#REF!</v>
      </c>
      <c r="U330" t="e">
        <f t="shared" si="13"/>
        <v>#REF!</v>
      </c>
    </row>
    <row r="331" spans="4:21" x14ac:dyDescent="0.2">
      <c r="D331" s="4"/>
      <c r="G331" s="5"/>
      <c r="H331" s="5"/>
      <c r="I331" s="4"/>
      <c r="J331" s="4"/>
      <c r="K331" s="5"/>
      <c r="Q331" t="e">
        <f>VLOOKUP(A331,'גיליון דאטה להכל'!A:E,5,0)</f>
        <v>#N/A</v>
      </c>
      <c r="R331" t="e">
        <f>VLOOKUP(A331,'לעדכן בסינתזה דאטה אריזה 42+24'!$A:$C,3,0)</f>
        <v>#N/A</v>
      </c>
      <c r="S331" t="e">
        <f>VLOOKUP(#REF!,'מלאי לא תקין'!A:N,17,0)</f>
        <v>#REF!</v>
      </c>
      <c r="T331" t="e">
        <f t="shared" si="12"/>
        <v>#REF!</v>
      </c>
      <c r="U331" t="e">
        <f t="shared" si="13"/>
        <v>#REF!</v>
      </c>
    </row>
    <row r="332" spans="4:21" x14ac:dyDescent="0.2">
      <c r="D332" s="4"/>
      <c r="G332" s="5"/>
      <c r="H332" s="5"/>
      <c r="I332" s="4"/>
      <c r="J332" s="4"/>
      <c r="K332" s="5"/>
      <c r="Q332" t="e">
        <f>VLOOKUP(A332,'גיליון דאטה להכל'!A:E,5,0)</f>
        <v>#N/A</v>
      </c>
      <c r="R332" t="e">
        <f>VLOOKUP(A332,'לעדכן בסינתזה דאטה אריזה 42+24'!$A:$C,3,0)</f>
        <v>#N/A</v>
      </c>
      <c r="S332" t="e">
        <f>VLOOKUP(#REF!,'מלאי לא תקין'!A:N,17,0)</f>
        <v>#REF!</v>
      </c>
      <c r="T332" t="e">
        <f t="shared" si="12"/>
        <v>#REF!</v>
      </c>
      <c r="U332" t="e">
        <f t="shared" si="13"/>
        <v>#REF!</v>
      </c>
    </row>
    <row r="333" spans="4:21" x14ac:dyDescent="0.2">
      <c r="D333" s="4"/>
      <c r="G333" s="5"/>
      <c r="H333" s="5"/>
      <c r="I333" s="4"/>
      <c r="J333" s="4"/>
      <c r="K333" s="5"/>
      <c r="Q333" t="e">
        <f>VLOOKUP(A333,'גיליון דאטה להכל'!A:E,5,0)</f>
        <v>#N/A</v>
      </c>
      <c r="R333" t="e">
        <f>VLOOKUP(A333,'לעדכן בסינתזה דאטה אריזה 42+24'!$A:$C,3,0)</f>
        <v>#N/A</v>
      </c>
      <c r="S333" t="e">
        <f>VLOOKUP(#REF!,'מלאי לא תקין'!A:N,17,0)</f>
        <v>#REF!</v>
      </c>
      <c r="T333" t="e">
        <f t="shared" si="12"/>
        <v>#REF!</v>
      </c>
      <c r="U333" t="e">
        <f t="shared" si="13"/>
        <v>#REF!</v>
      </c>
    </row>
    <row r="334" spans="4:21" x14ac:dyDescent="0.2">
      <c r="D334" s="4"/>
      <c r="G334" s="5"/>
      <c r="H334" s="7"/>
      <c r="I334" s="4"/>
      <c r="J334" s="4"/>
      <c r="K334" s="5"/>
      <c r="Q334" t="e">
        <f>VLOOKUP(A334,'גיליון דאטה להכל'!A:E,5,0)</f>
        <v>#N/A</v>
      </c>
      <c r="R334" t="e">
        <f>VLOOKUP(A334,'לעדכן בסינתזה דאטה אריזה 42+24'!$A:$C,3,0)</f>
        <v>#N/A</v>
      </c>
      <c r="S334" t="e">
        <f>VLOOKUP(#REF!,'מלאי לא תקין'!A:N,17,0)</f>
        <v>#REF!</v>
      </c>
      <c r="T334" t="e">
        <f t="shared" si="12"/>
        <v>#REF!</v>
      </c>
      <c r="U334" t="e">
        <f t="shared" si="13"/>
        <v>#REF!</v>
      </c>
    </row>
    <row r="335" spans="4:21" x14ac:dyDescent="0.2">
      <c r="D335" s="4"/>
      <c r="G335" s="5"/>
      <c r="H335" s="5"/>
      <c r="I335" s="4"/>
      <c r="J335" s="4"/>
      <c r="K335" s="5"/>
      <c r="Q335" t="e">
        <f>VLOOKUP(A335,'גיליון דאטה להכל'!A:E,5,0)</f>
        <v>#N/A</v>
      </c>
      <c r="R335" t="e">
        <f>VLOOKUP(A335,'לעדכן בסינתזה דאטה אריזה 42+24'!$A:$C,3,0)</f>
        <v>#N/A</v>
      </c>
      <c r="S335" t="e">
        <f>VLOOKUP(#REF!,'מלאי לא תקין'!A:N,17,0)</f>
        <v>#REF!</v>
      </c>
      <c r="T335" t="e">
        <f t="shared" si="12"/>
        <v>#REF!</v>
      </c>
      <c r="U335" t="e">
        <f t="shared" si="13"/>
        <v>#REF!</v>
      </c>
    </row>
    <row r="336" spans="4:21" x14ac:dyDescent="0.2">
      <c r="D336" s="4"/>
      <c r="G336" s="5"/>
      <c r="H336" s="5"/>
      <c r="I336" s="4"/>
      <c r="J336" s="4"/>
      <c r="K336" s="5"/>
      <c r="Q336" t="e">
        <f>VLOOKUP(A336,'גיליון דאטה להכל'!A:E,5,0)</f>
        <v>#N/A</v>
      </c>
      <c r="R336" t="e">
        <f>VLOOKUP(A336,'לעדכן בסינתזה דאטה אריזה 42+24'!$A:$C,3,0)</f>
        <v>#N/A</v>
      </c>
      <c r="S336" t="e">
        <f>VLOOKUP(#REF!,'מלאי לא תקין'!A:N,17,0)</f>
        <v>#REF!</v>
      </c>
      <c r="T336" t="e">
        <f t="shared" si="12"/>
        <v>#REF!</v>
      </c>
      <c r="U336" t="e">
        <f t="shared" si="13"/>
        <v>#REF!</v>
      </c>
    </row>
    <row r="337" spans="4:21" x14ac:dyDescent="0.2">
      <c r="D337" s="4"/>
      <c r="G337" s="5"/>
      <c r="H337" s="5"/>
      <c r="I337" s="4"/>
      <c r="J337" s="4"/>
      <c r="K337" s="5"/>
      <c r="Q337" t="e">
        <f>VLOOKUP(A337,'גיליון דאטה להכל'!A:E,5,0)</f>
        <v>#N/A</v>
      </c>
      <c r="R337" t="e">
        <f>VLOOKUP(A337,'לעדכן בסינתזה דאטה אריזה 42+24'!$A:$C,3,0)</f>
        <v>#N/A</v>
      </c>
      <c r="S337" t="e">
        <f>VLOOKUP(#REF!,'מלאי לא תקין'!A:N,17,0)</f>
        <v>#REF!</v>
      </c>
      <c r="T337" t="e">
        <f t="shared" si="12"/>
        <v>#REF!</v>
      </c>
      <c r="U337" t="e">
        <f t="shared" si="13"/>
        <v>#REF!</v>
      </c>
    </row>
    <row r="338" spans="4:21" x14ac:dyDescent="0.2">
      <c r="D338" s="4"/>
      <c r="G338" s="5"/>
      <c r="H338" s="5"/>
      <c r="I338" s="4"/>
      <c r="J338" s="4"/>
      <c r="K338" s="5"/>
      <c r="Q338" t="e">
        <f>VLOOKUP(A338,'גיליון דאטה להכל'!A:E,5,0)</f>
        <v>#N/A</v>
      </c>
      <c r="R338" t="e">
        <f>VLOOKUP(A338,'לעדכן בסינתזה דאטה אריזה 42+24'!$A:$C,3,0)</f>
        <v>#N/A</v>
      </c>
      <c r="S338" t="e">
        <f>VLOOKUP(#REF!,'מלאי לא תקין'!A:N,17,0)</f>
        <v>#REF!</v>
      </c>
      <c r="T338" t="e">
        <f t="shared" si="12"/>
        <v>#REF!</v>
      </c>
      <c r="U338" t="e">
        <f t="shared" si="13"/>
        <v>#REF!</v>
      </c>
    </row>
    <row r="339" spans="4:21" x14ac:dyDescent="0.2">
      <c r="D339" s="4"/>
      <c r="G339" s="5"/>
      <c r="H339" s="5"/>
      <c r="I339" s="4"/>
      <c r="J339" s="4"/>
      <c r="K339" s="5"/>
      <c r="Q339" t="e">
        <f>VLOOKUP(A339,'גיליון דאטה להכל'!A:E,5,0)</f>
        <v>#N/A</v>
      </c>
      <c r="R339" t="e">
        <f>VLOOKUP(A339,'לעדכן בסינתזה דאטה אריזה 42+24'!$A:$C,3,0)</f>
        <v>#N/A</v>
      </c>
      <c r="S339" t="e">
        <f>VLOOKUP(#REF!,'מלאי לא תקין'!A:N,17,0)</f>
        <v>#REF!</v>
      </c>
      <c r="T339" t="e">
        <f t="shared" si="12"/>
        <v>#REF!</v>
      </c>
      <c r="U339" t="e">
        <f t="shared" si="13"/>
        <v>#REF!</v>
      </c>
    </row>
    <row r="340" spans="4:21" x14ac:dyDescent="0.2">
      <c r="D340" s="4"/>
      <c r="G340" s="5"/>
      <c r="H340" s="5"/>
      <c r="I340" s="4"/>
      <c r="J340" s="4"/>
      <c r="K340" s="5"/>
      <c r="Q340" t="e">
        <f>VLOOKUP(A340,'גיליון דאטה להכל'!A:E,5,0)</f>
        <v>#N/A</v>
      </c>
      <c r="R340" t="e">
        <f>VLOOKUP(A340,'לעדכן בסינתזה דאטה אריזה 42+24'!$A:$C,3,0)</f>
        <v>#N/A</v>
      </c>
      <c r="S340" t="e">
        <f>VLOOKUP(#REF!,'מלאי לא תקין'!A:N,17,0)</f>
        <v>#REF!</v>
      </c>
      <c r="T340" t="e">
        <f t="shared" si="12"/>
        <v>#REF!</v>
      </c>
      <c r="U340" t="e">
        <f t="shared" si="13"/>
        <v>#REF!</v>
      </c>
    </row>
    <row r="341" spans="4:21" x14ac:dyDescent="0.2">
      <c r="D341" s="4"/>
      <c r="G341" s="5"/>
      <c r="H341" s="5"/>
      <c r="I341" s="4"/>
      <c r="J341" s="4"/>
      <c r="K341" s="5"/>
      <c r="Q341" t="e">
        <f>VLOOKUP(A341,'גיליון דאטה להכל'!A:E,5,0)</f>
        <v>#N/A</v>
      </c>
      <c r="R341" t="e">
        <f>VLOOKUP(A341,'לעדכן בסינתזה דאטה אריזה 42+24'!$A:$C,3,0)</f>
        <v>#N/A</v>
      </c>
      <c r="S341" t="e">
        <f>VLOOKUP(#REF!,'מלאי לא תקין'!A:N,17,0)</f>
        <v>#REF!</v>
      </c>
      <c r="T341" t="e">
        <f t="shared" si="12"/>
        <v>#REF!</v>
      </c>
      <c r="U341" t="e">
        <f t="shared" si="13"/>
        <v>#REF!</v>
      </c>
    </row>
    <row r="342" spans="4:21" x14ac:dyDescent="0.2">
      <c r="D342" s="4"/>
      <c r="G342" s="5"/>
      <c r="H342" s="5"/>
      <c r="I342" s="4"/>
      <c r="J342" s="4"/>
      <c r="K342" s="5"/>
      <c r="Q342" t="e">
        <f>VLOOKUP(A342,'גיליון דאטה להכל'!A:E,5,0)</f>
        <v>#N/A</v>
      </c>
      <c r="R342" t="e">
        <f>VLOOKUP(A342,'לעדכן בסינתזה דאטה אריזה 42+24'!$A:$C,3,0)</f>
        <v>#N/A</v>
      </c>
      <c r="S342" t="e">
        <f>VLOOKUP(#REF!,'מלאי לא תקין'!A:N,17,0)</f>
        <v>#REF!</v>
      </c>
      <c r="T342" t="e">
        <f t="shared" si="12"/>
        <v>#REF!</v>
      </c>
      <c r="U342" t="e">
        <f t="shared" si="13"/>
        <v>#REF!</v>
      </c>
    </row>
    <row r="343" spans="4:21" x14ac:dyDescent="0.2">
      <c r="D343" s="4"/>
      <c r="G343" s="5"/>
      <c r="H343" s="5"/>
      <c r="I343" s="4"/>
      <c r="J343" s="4"/>
      <c r="K343" s="5"/>
      <c r="Q343" t="e">
        <f>VLOOKUP(A343,'גיליון דאטה להכל'!A:E,5,0)</f>
        <v>#N/A</v>
      </c>
      <c r="R343" t="e">
        <f>VLOOKUP(A343,'לעדכן בסינתזה דאטה אריזה 42+24'!$A:$C,3,0)</f>
        <v>#N/A</v>
      </c>
      <c r="S343" t="e">
        <f>VLOOKUP(#REF!,'מלאי לא תקין'!A:N,17,0)</f>
        <v>#REF!</v>
      </c>
      <c r="T343" t="e">
        <f t="shared" si="12"/>
        <v>#REF!</v>
      </c>
      <c r="U343" t="e">
        <f t="shared" si="13"/>
        <v>#REF!</v>
      </c>
    </row>
    <row r="344" spans="4:21" x14ac:dyDescent="0.2">
      <c r="D344" s="4"/>
      <c r="G344" s="5"/>
      <c r="H344" s="5"/>
      <c r="I344" s="4"/>
      <c r="J344" s="4"/>
      <c r="K344" s="5"/>
      <c r="Q344" t="e">
        <f>VLOOKUP(A344,'גיליון דאטה להכל'!A:E,5,0)</f>
        <v>#N/A</v>
      </c>
      <c r="R344" t="e">
        <f>VLOOKUP(A344,'לעדכן בסינתזה דאטה אריזה 42+24'!$A:$C,3,0)</f>
        <v>#N/A</v>
      </c>
      <c r="S344" t="e">
        <f>VLOOKUP(#REF!,'מלאי לא תקין'!A:N,17,0)</f>
        <v>#REF!</v>
      </c>
      <c r="T344" t="e">
        <f t="shared" si="12"/>
        <v>#REF!</v>
      </c>
      <c r="U344" t="e">
        <f t="shared" si="13"/>
        <v>#REF!</v>
      </c>
    </row>
    <row r="345" spans="4:21" x14ac:dyDescent="0.2">
      <c r="D345" s="4"/>
      <c r="G345" s="5"/>
      <c r="H345" s="7"/>
      <c r="I345" s="4"/>
      <c r="J345" s="4"/>
      <c r="K345" s="5"/>
      <c r="Q345" t="e">
        <f>VLOOKUP(A345,'גיליון דאטה להכל'!A:E,5,0)</f>
        <v>#N/A</v>
      </c>
      <c r="R345" t="e">
        <f>VLOOKUP(A345,'לעדכן בסינתזה דאטה אריזה 42+24'!$A:$C,3,0)</f>
        <v>#N/A</v>
      </c>
      <c r="S345" t="e">
        <f>VLOOKUP(#REF!,'מלאי לא תקין'!A:N,17,0)</f>
        <v>#REF!</v>
      </c>
      <c r="T345" t="e">
        <f t="shared" si="12"/>
        <v>#REF!</v>
      </c>
      <c r="U345" t="e">
        <f t="shared" si="13"/>
        <v>#REF!</v>
      </c>
    </row>
    <row r="346" spans="4:21" x14ac:dyDescent="0.2">
      <c r="D346" s="4"/>
      <c r="G346" s="5"/>
      <c r="H346" s="5"/>
      <c r="I346" s="4"/>
      <c r="J346" s="4"/>
      <c r="K346" s="5"/>
      <c r="Q346" t="e">
        <f>VLOOKUP(A346,'גיליון דאטה להכל'!A:E,5,0)</f>
        <v>#N/A</v>
      </c>
      <c r="R346" t="e">
        <f>VLOOKUP(A346,'לעדכן בסינתזה דאטה אריזה 42+24'!$A:$C,3,0)</f>
        <v>#N/A</v>
      </c>
      <c r="S346" t="e">
        <f>VLOOKUP(#REF!,'מלאי לא תקין'!A:N,17,0)</f>
        <v>#REF!</v>
      </c>
      <c r="T346" t="e">
        <f t="shared" si="12"/>
        <v>#REF!</v>
      </c>
      <c r="U346" t="e">
        <f t="shared" si="13"/>
        <v>#REF!</v>
      </c>
    </row>
    <row r="347" spans="4:21" x14ac:dyDescent="0.2">
      <c r="D347" s="4"/>
      <c r="G347" s="5"/>
      <c r="H347" s="5"/>
      <c r="I347" s="4"/>
      <c r="J347" s="4"/>
      <c r="K347" s="5"/>
      <c r="Q347" t="e">
        <f>VLOOKUP(A347,'גיליון דאטה להכל'!A:E,5,0)</f>
        <v>#N/A</v>
      </c>
      <c r="R347" t="e">
        <f>VLOOKUP(A347,'לעדכן בסינתזה דאטה אריזה 42+24'!$A:$C,3,0)</f>
        <v>#N/A</v>
      </c>
      <c r="S347" t="e">
        <f>VLOOKUP(#REF!,'מלאי לא תקין'!A:N,17,0)</f>
        <v>#REF!</v>
      </c>
      <c r="T347" t="e">
        <f t="shared" si="12"/>
        <v>#REF!</v>
      </c>
      <c r="U347" t="e">
        <f t="shared" si="13"/>
        <v>#REF!</v>
      </c>
    </row>
    <row r="348" spans="4:21" x14ac:dyDescent="0.2">
      <c r="D348" s="4"/>
      <c r="G348" s="5"/>
      <c r="H348" s="5"/>
      <c r="I348" s="4"/>
      <c r="J348" s="4"/>
      <c r="K348" s="5"/>
      <c r="Q348" t="e">
        <f>VLOOKUP(A348,'גיליון דאטה להכל'!A:E,5,0)</f>
        <v>#N/A</v>
      </c>
      <c r="R348" t="e">
        <f>VLOOKUP(A348,'לעדכן בסינתזה דאטה אריזה 42+24'!$A:$C,3,0)</f>
        <v>#N/A</v>
      </c>
      <c r="S348" t="e">
        <f>VLOOKUP(#REF!,'מלאי לא תקין'!A:N,17,0)</f>
        <v>#REF!</v>
      </c>
      <c r="T348" t="e">
        <f t="shared" si="12"/>
        <v>#REF!</v>
      </c>
      <c r="U348" t="e">
        <f t="shared" si="13"/>
        <v>#REF!</v>
      </c>
    </row>
    <row r="349" spans="4:21" x14ac:dyDescent="0.2">
      <c r="D349" s="4"/>
      <c r="G349" s="5"/>
      <c r="H349" s="5"/>
      <c r="I349" s="4"/>
      <c r="J349" s="4"/>
      <c r="K349" s="5"/>
      <c r="Q349" t="e">
        <f>VLOOKUP(A349,'גיליון דאטה להכל'!A:E,5,0)</f>
        <v>#N/A</v>
      </c>
      <c r="R349" t="e">
        <f>VLOOKUP(A349,'לעדכן בסינתזה דאטה אריזה 42+24'!$A:$C,3,0)</f>
        <v>#N/A</v>
      </c>
      <c r="S349" t="e">
        <f>VLOOKUP(#REF!,'מלאי לא תקין'!A:N,17,0)</f>
        <v>#REF!</v>
      </c>
      <c r="T349" t="e">
        <f t="shared" si="12"/>
        <v>#REF!</v>
      </c>
      <c r="U349" t="e">
        <f t="shared" si="13"/>
        <v>#REF!</v>
      </c>
    </row>
    <row r="350" spans="4:21" x14ac:dyDescent="0.2">
      <c r="D350" s="4"/>
      <c r="G350" s="5"/>
      <c r="H350" s="5"/>
      <c r="I350" s="4"/>
      <c r="J350" s="4"/>
      <c r="K350" s="5"/>
      <c r="Q350" t="e">
        <f>VLOOKUP(A350,'גיליון דאטה להכל'!A:E,5,0)</f>
        <v>#N/A</v>
      </c>
      <c r="R350" t="e">
        <f>VLOOKUP(A350,'לעדכן בסינתזה דאטה אריזה 42+24'!$A:$C,3,0)</f>
        <v>#N/A</v>
      </c>
      <c r="S350" t="e">
        <f>VLOOKUP(#REF!,'מלאי לא תקין'!A:N,17,0)</f>
        <v>#REF!</v>
      </c>
      <c r="T350" t="e">
        <f t="shared" si="12"/>
        <v>#REF!</v>
      </c>
      <c r="U350" t="e">
        <f t="shared" si="13"/>
        <v>#REF!</v>
      </c>
    </row>
    <row r="351" spans="4:21" x14ac:dyDescent="0.2">
      <c r="D351" s="4"/>
      <c r="G351" s="5"/>
      <c r="H351" s="7"/>
      <c r="I351" s="4"/>
      <c r="J351" s="4"/>
      <c r="K351" s="5"/>
      <c r="Q351" t="e">
        <f>VLOOKUP(A351,'גיליון דאטה להכל'!A:E,5,0)</f>
        <v>#N/A</v>
      </c>
      <c r="R351" t="e">
        <f>VLOOKUP(A351,'לעדכן בסינתזה דאטה אריזה 42+24'!$A:$C,3,0)</f>
        <v>#N/A</v>
      </c>
      <c r="S351" t="e">
        <f>VLOOKUP(#REF!,'מלאי לא תקין'!A:N,17,0)</f>
        <v>#REF!</v>
      </c>
      <c r="T351" t="e">
        <f t="shared" si="12"/>
        <v>#REF!</v>
      </c>
      <c r="U351" t="e">
        <f t="shared" si="13"/>
        <v>#REF!</v>
      </c>
    </row>
    <row r="352" spans="4:21" x14ac:dyDescent="0.2">
      <c r="D352" s="4"/>
      <c r="G352" s="5"/>
      <c r="H352" s="5"/>
      <c r="I352" s="4"/>
      <c r="J352" s="4"/>
      <c r="K352" s="5"/>
      <c r="Q352" t="e">
        <f>VLOOKUP(A352,'גיליון דאטה להכל'!A:E,5,0)</f>
        <v>#N/A</v>
      </c>
      <c r="R352" t="e">
        <f>VLOOKUP(A352,'לעדכן בסינתזה דאטה אריזה 42+24'!$A:$C,3,0)</f>
        <v>#N/A</v>
      </c>
      <c r="S352" t="e">
        <f>VLOOKUP(#REF!,'מלאי לא תקין'!A:N,17,0)</f>
        <v>#REF!</v>
      </c>
      <c r="T352" t="e">
        <f t="shared" si="12"/>
        <v>#REF!</v>
      </c>
      <c r="U352" t="e">
        <f t="shared" si="13"/>
        <v>#REF!</v>
      </c>
    </row>
    <row r="353" spans="4:21" x14ac:dyDescent="0.2">
      <c r="D353" s="4"/>
      <c r="G353" s="5"/>
      <c r="H353" s="5"/>
      <c r="I353" s="4"/>
      <c r="J353" s="4"/>
      <c r="K353" s="5"/>
      <c r="Q353" t="e">
        <f>VLOOKUP(A353,'גיליון דאטה להכל'!A:E,5,0)</f>
        <v>#N/A</v>
      </c>
      <c r="R353" t="e">
        <f>VLOOKUP(A353,'לעדכן בסינתזה דאטה אריזה 42+24'!$A:$C,3,0)</f>
        <v>#N/A</v>
      </c>
      <c r="S353" t="e">
        <f>VLOOKUP(#REF!,'מלאי לא תקין'!A:N,17,0)</f>
        <v>#REF!</v>
      </c>
      <c r="T353" t="e">
        <f t="shared" si="12"/>
        <v>#REF!</v>
      </c>
      <c r="U353" t="e">
        <f t="shared" si="13"/>
        <v>#REF!</v>
      </c>
    </row>
    <row r="354" spans="4:21" x14ac:dyDescent="0.2">
      <c r="D354" s="4"/>
      <c r="G354" s="5"/>
      <c r="H354" s="5"/>
      <c r="I354" s="4"/>
      <c r="J354" s="4"/>
      <c r="K354" s="5"/>
      <c r="Q354" t="e">
        <f>VLOOKUP(A354,'גיליון דאטה להכל'!A:E,5,0)</f>
        <v>#N/A</v>
      </c>
      <c r="R354" t="e">
        <f>VLOOKUP(A354,'לעדכן בסינתזה דאטה אריזה 42+24'!$A:$C,3,0)</f>
        <v>#N/A</v>
      </c>
      <c r="S354" t="e">
        <f>VLOOKUP(#REF!,'מלאי לא תקין'!A:N,17,0)</f>
        <v>#REF!</v>
      </c>
      <c r="T354" t="e">
        <f t="shared" si="12"/>
        <v>#REF!</v>
      </c>
      <c r="U354" t="e">
        <f t="shared" si="13"/>
        <v>#REF!</v>
      </c>
    </row>
    <row r="355" spans="4:21" x14ac:dyDescent="0.2">
      <c r="D355" s="4"/>
      <c r="G355" s="5"/>
      <c r="H355" s="7"/>
      <c r="I355" s="4"/>
      <c r="J355" s="4"/>
      <c r="K355" s="5"/>
      <c r="Q355" t="e">
        <f>VLOOKUP(A355,'גיליון דאטה להכל'!A:E,5,0)</f>
        <v>#N/A</v>
      </c>
      <c r="R355" t="e">
        <f>VLOOKUP(A355,'לעדכן בסינתזה דאטה אריזה 42+24'!$A:$C,3,0)</f>
        <v>#N/A</v>
      </c>
      <c r="S355" t="e">
        <f>VLOOKUP(#REF!,'מלאי לא תקין'!A:N,17,0)</f>
        <v>#REF!</v>
      </c>
      <c r="T355" t="e">
        <f t="shared" si="12"/>
        <v>#REF!</v>
      </c>
      <c r="U355" t="e">
        <f t="shared" si="13"/>
        <v>#REF!</v>
      </c>
    </row>
    <row r="356" spans="4:21" x14ac:dyDescent="0.2">
      <c r="D356" s="4"/>
      <c r="G356" s="5"/>
      <c r="H356" s="5"/>
      <c r="I356" s="4"/>
      <c r="J356" s="4"/>
      <c r="K356" s="5"/>
      <c r="Q356" t="e">
        <f>VLOOKUP(A356,'גיליון דאטה להכל'!A:E,5,0)</f>
        <v>#N/A</v>
      </c>
      <c r="R356" t="e">
        <f>VLOOKUP(A356,'לעדכן בסינתזה דאטה אריזה 42+24'!$A:$C,3,0)</f>
        <v>#N/A</v>
      </c>
      <c r="S356" t="e">
        <f>VLOOKUP(#REF!,'מלאי לא תקין'!A:N,17,0)</f>
        <v>#REF!</v>
      </c>
      <c r="T356" t="e">
        <f t="shared" si="12"/>
        <v>#REF!</v>
      </c>
      <c r="U356" t="e">
        <f t="shared" si="13"/>
        <v>#REF!</v>
      </c>
    </row>
    <row r="357" spans="4:21" x14ac:dyDescent="0.2">
      <c r="D357" s="4"/>
      <c r="G357" s="5"/>
      <c r="H357" s="7"/>
      <c r="I357" s="4"/>
      <c r="J357" s="4"/>
      <c r="K357" s="5"/>
      <c r="Q357" t="e">
        <f>VLOOKUP(A357,'גיליון דאטה להכל'!A:E,5,0)</f>
        <v>#N/A</v>
      </c>
      <c r="R357" t="e">
        <f>VLOOKUP(A357,'לעדכן בסינתזה דאטה אריזה 42+24'!$A:$C,3,0)</f>
        <v>#N/A</v>
      </c>
      <c r="S357" t="e">
        <f>VLOOKUP(#REF!,'מלאי לא תקין'!A:N,17,0)</f>
        <v>#REF!</v>
      </c>
      <c r="T357" t="e">
        <f t="shared" si="12"/>
        <v>#REF!</v>
      </c>
      <c r="U357" t="e">
        <f t="shared" si="13"/>
        <v>#REF!</v>
      </c>
    </row>
    <row r="358" spans="4:21" x14ac:dyDescent="0.2">
      <c r="D358" s="4"/>
      <c r="G358" s="5"/>
      <c r="H358" s="5"/>
      <c r="I358" s="4"/>
      <c r="J358" s="4"/>
      <c r="K358" s="5"/>
      <c r="Q358" t="e">
        <f>VLOOKUP(A358,'גיליון דאטה להכל'!A:E,5,0)</f>
        <v>#N/A</v>
      </c>
      <c r="R358" t="e">
        <f>VLOOKUP(A358,'לעדכן בסינתזה דאטה אריזה 42+24'!$A:$C,3,0)</f>
        <v>#N/A</v>
      </c>
      <c r="S358" t="e">
        <f>VLOOKUP(#REF!,'מלאי לא תקין'!A:N,17,0)</f>
        <v>#REF!</v>
      </c>
      <c r="T358" t="e">
        <f t="shared" si="12"/>
        <v>#REF!</v>
      </c>
      <c r="U358" t="e">
        <f t="shared" si="13"/>
        <v>#REF!</v>
      </c>
    </row>
    <row r="359" spans="4:21" x14ac:dyDescent="0.2">
      <c r="D359" s="4"/>
      <c r="G359" s="5"/>
      <c r="H359" s="5"/>
      <c r="I359" s="4"/>
      <c r="J359" s="4"/>
      <c r="K359" s="5"/>
      <c r="Q359" t="e">
        <f>VLOOKUP(A359,'גיליון דאטה להכל'!A:E,5,0)</f>
        <v>#N/A</v>
      </c>
      <c r="R359" t="e">
        <f>VLOOKUP(A359,'לעדכן בסינתזה דאטה אריזה 42+24'!$A:$C,3,0)</f>
        <v>#N/A</v>
      </c>
      <c r="S359" t="e">
        <f>VLOOKUP(#REF!,'מלאי לא תקין'!A:N,17,0)</f>
        <v>#REF!</v>
      </c>
      <c r="T359" t="e">
        <f t="shared" si="12"/>
        <v>#REF!</v>
      </c>
      <c r="U359" t="e">
        <f t="shared" si="13"/>
        <v>#REF!</v>
      </c>
    </row>
    <row r="360" spans="4:21" x14ac:dyDescent="0.2">
      <c r="D360" s="4"/>
      <c r="G360" s="5"/>
      <c r="H360" s="5"/>
      <c r="I360" s="4"/>
      <c r="J360" s="4"/>
      <c r="K360" s="5"/>
      <c r="Q360" t="e">
        <f>VLOOKUP(A360,'גיליון דאטה להכל'!A:E,5,0)</f>
        <v>#N/A</v>
      </c>
      <c r="R360" t="e">
        <f>VLOOKUP(A360,'לעדכן בסינתזה דאטה אריזה 42+24'!$A:$C,3,0)</f>
        <v>#N/A</v>
      </c>
      <c r="S360" t="e">
        <f>VLOOKUP(#REF!,'מלאי לא תקין'!A:N,17,0)</f>
        <v>#REF!</v>
      </c>
      <c r="T360" t="e">
        <f t="shared" si="12"/>
        <v>#REF!</v>
      </c>
      <c r="U360" t="e">
        <f t="shared" si="13"/>
        <v>#REF!</v>
      </c>
    </row>
    <row r="361" spans="4:21" x14ac:dyDescent="0.2">
      <c r="D361" s="4"/>
      <c r="G361" s="5"/>
      <c r="H361" s="5"/>
      <c r="I361" s="4"/>
      <c r="J361" s="4"/>
      <c r="K361" s="5"/>
      <c r="Q361" t="e">
        <f>VLOOKUP(A361,'גיליון דאטה להכל'!A:E,5,0)</f>
        <v>#N/A</v>
      </c>
      <c r="R361" t="e">
        <f>VLOOKUP(A361,'לעדכן בסינתזה דאטה אריזה 42+24'!$A:$C,3,0)</f>
        <v>#N/A</v>
      </c>
      <c r="S361" t="e">
        <f>VLOOKUP(#REF!,'מלאי לא תקין'!A:N,17,0)</f>
        <v>#REF!</v>
      </c>
      <c r="T361" t="e">
        <f t="shared" si="12"/>
        <v>#REF!</v>
      </c>
      <c r="U361" t="e">
        <f t="shared" si="13"/>
        <v>#REF!</v>
      </c>
    </row>
    <row r="362" spans="4:21" x14ac:dyDescent="0.2">
      <c r="D362" s="4"/>
      <c r="G362" s="5"/>
      <c r="H362" s="5"/>
      <c r="I362" s="4"/>
      <c r="J362" s="4"/>
      <c r="K362" s="5"/>
      <c r="Q362" t="e">
        <f>VLOOKUP(A362,'גיליון דאטה להכל'!A:E,5,0)</f>
        <v>#N/A</v>
      </c>
      <c r="R362" t="e">
        <f>VLOOKUP(A362,'לעדכן בסינתזה דאטה אריזה 42+24'!$A:$C,3,0)</f>
        <v>#N/A</v>
      </c>
      <c r="S362" t="e">
        <f>VLOOKUP(#REF!,'מלאי לא תקין'!A:N,17,0)</f>
        <v>#REF!</v>
      </c>
      <c r="T362" t="e">
        <f t="shared" si="12"/>
        <v>#REF!</v>
      </c>
      <c r="U362" t="e">
        <f t="shared" si="13"/>
        <v>#REF!</v>
      </c>
    </row>
    <row r="363" spans="4:21" x14ac:dyDescent="0.2">
      <c r="D363" s="4"/>
      <c r="G363" s="5"/>
      <c r="H363" s="5"/>
      <c r="I363" s="4"/>
      <c r="J363" s="4"/>
      <c r="K363" s="5"/>
      <c r="Q363" t="e">
        <f>VLOOKUP(A363,'גיליון דאטה להכל'!A:E,5,0)</f>
        <v>#N/A</v>
      </c>
      <c r="R363" t="e">
        <f>VLOOKUP(A363,'לעדכן בסינתזה דאטה אריזה 42+24'!$A:$C,3,0)</f>
        <v>#N/A</v>
      </c>
      <c r="S363" t="e">
        <f>VLOOKUP(#REF!,'מלאי לא תקין'!A:N,17,0)</f>
        <v>#REF!</v>
      </c>
      <c r="T363" t="e">
        <f t="shared" si="12"/>
        <v>#REF!</v>
      </c>
      <c r="U363" t="e">
        <f t="shared" si="13"/>
        <v>#REF!</v>
      </c>
    </row>
    <row r="364" spans="4:21" x14ac:dyDescent="0.2">
      <c r="D364" s="4"/>
      <c r="G364" s="5"/>
      <c r="H364" s="5"/>
      <c r="I364" s="4"/>
      <c r="J364" s="4"/>
      <c r="K364" s="5"/>
      <c r="Q364" t="e">
        <f>VLOOKUP(A364,'גיליון דאטה להכל'!A:E,5,0)</f>
        <v>#N/A</v>
      </c>
      <c r="R364" t="e">
        <f>VLOOKUP(A364,'לעדכן בסינתזה דאטה אריזה 42+24'!$A:$C,3,0)</f>
        <v>#N/A</v>
      </c>
      <c r="S364" t="e">
        <f>VLOOKUP(#REF!,'מלאי לא תקין'!A:N,17,0)</f>
        <v>#REF!</v>
      </c>
      <c r="T364" t="e">
        <f t="shared" si="12"/>
        <v>#REF!</v>
      </c>
      <c r="U364" t="e">
        <f t="shared" si="13"/>
        <v>#REF!</v>
      </c>
    </row>
    <row r="365" spans="4:21" x14ac:dyDescent="0.2">
      <c r="D365" s="4"/>
      <c r="G365" s="5"/>
      <c r="H365" s="5"/>
      <c r="I365" s="4"/>
      <c r="J365" s="4"/>
      <c r="K365" s="5"/>
      <c r="Q365" t="e">
        <f>VLOOKUP(A365,'גיליון דאטה להכל'!A:E,5,0)</f>
        <v>#N/A</v>
      </c>
      <c r="R365" t="e">
        <f>VLOOKUP(A365,'לעדכן בסינתזה דאטה אריזה 42+24'!$A:$C,3,0)</f>
        <v>#N/A</v>
      </c>
      <c r="S365" t="e">
        <f>VLOOKUP(#REF!,'מלאי לא תקין'!A:N,17,0)</f>
        <v>#REF!</v>
      </c>
      <c r="T365" t="e">
        <f t="shared" si="12"/>
        <v>#REF!</v>
      </c>
      <c r="U365" t="e">
        <f t="shared" si="13"/>
        <v>#REF!</v>
      </c>
    </row>
    <row r="366" spans="4:21" x14ac:dyDescent="0.2">
      <c r="D366" s="4"/>
      <c r="G366" s="5"/>
      <c r="H366" s="5"/>
      <c r="I366" s="4"/>
      <c r="J366" s="4"/>
      <c r="K366" s="5"/>
      <c r="Q366" t="e">
        <f>VLOOKUP(A366,'גיליון דאטה להכל'!A:E,5,0)</f>
        <v>#N/A</v>
      </c>
      <c r="R366" t="e">
        <f>VLOOKUP(A366,'לעדכן בסינתזה דאטה אריזה 42+24'!$A:$C,3,0)</f>
        <v>#N/A</v>
      </c>
      <c r="S366" t="e">
        <f>VLOOKUP(#REF!,'מלאי לא תקין'!A:N,17,0)</f>
        <v>#REF!</v>
      </c>
      <c r="T366" t="e">
        <f t="shared" si="12"/>
        <v>#REF!</v>
      </c>
      <c r="U366" t="e">
        <f t="shared" si="13"/>
        <v>#REF!</v>
      </c>
    </row>
    <row r="367" spans="4:21" x14ac:dyDescent="0.2">
      <c r="D367" s="4"/>
      <c r="G367" s="5"/>
      <c r="H367" s="5"/>
      <c r="I367" s="4"/>
      <c r="J367" s="4"/>
      <c r="K367" s="5"/>
      <c r="Q367" t="e">
        <f>VLOOKUP(A367,'גיליון דאטה להכל'!A:E,5,0)</f>
        <v>#N/A</v>
      </c>
      <c r="R367" t="e">
        <f>VLOOKUP(A367,'לעדכן בסינתזה דאטה אריזה 42+24'!$A:$C,3,0)</f>
        <v>#N/A</v>
      </c>
      <c r="S367" t="e">
        <f>VLOOKUP(#REF!,'מלאי לא תקין'!A:N,17,0)</f>
        <v>#REF!</v>
      </c>
      <c r="T367" t="e">
        <f t="shared" si="12"/>
        <v>#REF!</v>
      </c>
      <c r="U367" t="e">
        <f t="shared" si="13"/>
        <v>#REF!</v>
      </c>
    </row>
    <row r="368" spans="4:21" x14ac:dyDescent="0.2">
      <c r="D368" s="4"/>
      <c r="G368" s="5"/>
      <c r="H368" s="5"/>
      <c r="I368" s="4"/>
      <c r="J368" s="4"/>
      <c r="K368" s="5"/>
      <c r="Q368" t="e">
        <f>VLOOKUP(A368,'גיליון דאטה להכל'!A:E,5,0)</f>
        <v>#N/A</v>
      </c>
      <c r="R368" t="e">
        <f>VLOOKUP(A368,'לעדכן בסינתזה דאטה אריזה 42+24'!$A:$C,3,0)</f>
        <v>#N/A</v>
      </c>
      <c r="S368" t="e">
        <f>VLOOKUP(#REF!,'מלאי לא תקין'!A:N,17,0)</f>
        <v>#REF!</v>
      </c>
      <c r="T368" t="e">
        <f t="shared" si="12"/>
        <v>#REF!</v>
      </c>
      <c r="U368" t="e">
        <f t="shared" si="13"/>
        <v>#REF!</v>
      </c>
    </row>
    <row r="369" spans="4:21" x14ac:dyDescent="0.2">
      <c r="D369" s="4"/>
      <c r="G369" s="5"/>
      <c r="H369" s="7"/>
      <c r="I369" s="4"/>
      <c r="J369" s="4"/>
      <c r="K369" s="5"/>
      <c r="Q369" t="e">
        <f>VLOOKUP(A369,'גיליון דאטה להכל'!A:E,5,0)</f>
        <v>#N/A</v>
      </c>
      <c r="R369" t="e">
        <f>VLOOKUP(A369,'לעדכן בסינתזה דאטה אריזה 42+24'!$A:$C,3,0)</f>
        <v>#N/A</v>
      </c>
      <c r="S369" t="e">
        <f>VLOOKUP(#REF!,'מלאי לא תקין'!A:N,17,0)</f>
        <v>#REF!</v>
      </c>
      <c r="T369" t="e">
        <f t="shared" si="12"/>
        <v>#REF!</v>
      </c>
      <c r="U369" t="e">
        <f t="shared" si="13"/>
        <v>#REF!</v>
      </c>
    </row>
    <row r="370" spans="4:21" x14ac:dyDescent="0.2">
      <c r="D370" s="4"/>
      <c r="G370" s="5"/>
      <c r="H370" s="5"/>
      <c r="I370" s="4"/>
      <c r="J370" s="4"/>
      <c r="K370" s="5"/>
      <c r="Q370" t="e">
        <f>VLOOKUP(A370,'גיליון דאטה להכל'!A:E,5,0)</f>
        <v>#N/A</v>
      </c>
      <c r="R370" t="e">
        <f>VLOOKUP(A370,'לעדכן בסינתזה דאטה אריזה 42+24'!$A:$C,3,0)</f>
        <v>#N/A</v>
      </c>
      <c r="S370" t="e">
        <f>VLOOKUP(#REF!,'מלאי לא תקין'!A:N,17,0)</f>
        <v>#REF!</v>
      </c>
      <c r="T370" t="e">
        <f t="shared" si="12"/>
        <v>#REF!</v>
      </c>
      <c r="U370" t="e">
        <f t="shared" si="13"/>
        <v>#REF!</v>
      </c>
    </row>
    <row r="371" spans="4:21" x14ac:dyDescent="0.2">
      <c r="D371" s="4"/>
      <c r="G371" s="5"/>
      <c r="H371" s="5"/>
      <c r="I371" s="4"/>
      <c r="J371" s="4"/>
      <c r="K371" s="5"/>
      <c r="Q371" t="e">
        <f>VLOOKUP(A371,'גיליון דאטה להכל'!A:E,5,0)</f>
        <v>#N/A</v>
      </c>
      <c r="R371" t="e">
        <f>VLOOKUP(A371,'לעדכן בסינתזה דאטה אריזה 42+24'!$A:$C,3,0)</f>
        <v>#N/A</v>
      </c>
      <c r="S371" t="e">
        <f>VLOOKUP(#REF!,'מלאי לא תקין'!A:N,17,0)</f>
        <v>#REF!</v>
      </c>
      <c r="T371" t="e">
        <f t="shared" si="12"/>
        <v>#REF!</v>
      </c>
      <c r="U371" t="e">
        <f t="shared" si="13"/>
        <v>#REF!</v>
      </c>
    </row>
    <row r="372" spans="4:21" x14ac:dyDescent="0.2">
      <c r="D372" s="4"/>
      <c r="G372" s="5"/>
      <c r="H372" s="5"/>
      <c r="I372" s="4"/>
      <c r="J372" s="4"/>
      <c r="K372" s="5"/>
      <c r="Q372" t="e">
        <f>VLOOKUP(A372,'גיליון דאטה להכל'!A:E,5,0)</f>
        <v>#N/A</v>
      </c>
      <c r="R372" t="e">
        <f>VLOOKUP(A372,'לעדכן בסינתזה דאטה אריזה 42+24'!$A:$C,3,0)</f>
        <v>#N/A</v>
      </c>
      <c r="S372" t="e">
        <f>VLOOKUP(#REF!,'מלאי לא תקין'!A:N,17,0)</f>
        <v>#REF!</v>
      </c>
      <c r="T372" t="e">
        <f t="shared" si="12"/>
        <v>#REF!</v>
      </c>
      <c r="U372" t="e">
        <f t="shared" si="13"/>
        <v>#REF!</v>
      </c>
    </row>
    <row r="373" spans="4:21" x14ac:dyDescent="0.2">
      <c r="D373" s="4"/>
      <c r="G373" s="5"/>
      <c r="H373" s="5"/>
      <c r="I373" s="4"/>
      <c r="J373" s="4"/>
      <c r="K373" s="5"/>
      <c r="Q373" t="e">
        <f>VLOOKUP(A373,'גיליון דאטה להכל'!A:E,5,0)</f>
        <v>#N/A</v>
      </c>
      <c r="R373" t="e">
        <f>VLOOKUP(A373,'לעדכן בסינתזה דאטה אריזה 42+24'!$A:$C,3,0)</f>
        <v>#N/A</v>
      </c>
      <c r="S373" t="e">
        <f>VLOOKUP(#REF!,'מלאי לא תקין'!A:N,17,0)</f>
        <v>#REF!</v>
      </c>
      <c r="T373" t="e">
        <f t="shared" si="12"/>
        <v>#REF!</v>
      </c>
      <c r="U373" t="e">
        <f t="shared" si="13"/>
        <v>#REF!</v>
      </c>
    </row>
    <row r="374" spans="4:21" x14ac:dyDescent="0.2">
      <c r="D374" s="4"/>
      <c r="G374" s="5"/>
      <c r="H374" s="5"/>
      <c r="I374" s="4"/>
      <c r="J374" s="4"/>
      <c r="K374" s="5"/>
      <c r="Q374" t="e">
        <f>VLOOKUP(A374,'גיליון דאטה להכל'!A:E,5,0)</f>
        <v>#N/A</v>
      </c>
      <c r="R374" t="e">
        <f>VLOOKUP(A374,'לעדכן בסינתזה דאטה אריזה 42+24'!$A:$C,3,0)</f>
        <v>#N/A</v>
      </c>
      <c r="S374" t="e">
        <f>VLOOKUP(#REF!,'מלאי לא תקין'!A:N,17,0)</f>
        <v>#REF!</v>
      </c>
      <c r="T374" t="e">
        <f t="shared" ref="T374:T437" si="14">_xlfn.CONCAT(S374,Q374)</f>
        <v>#REF!</v>
      </c>
      <c r="U374" t="e">
        <f t="shared" ref="U374:U437" si="15">_xlfn.CONCAT(S374,O374)</f>
        <v>#REF!</v>
      </c>
    </row>
    <row r="375" spans="4:21" x14ac:dyDescent="0.2">
      <c r="D375" s="4"/>
      <c r="G375" s="5"/>
      <c r="H375" s="7"/>
      <c r="I375" s="4"/>
      <c r="J375" s="4"/>
      <c r="K375" s="5"/>
      <c r="Q375" t="e">
        <f>VLOOKUP(A375,'גיליון דאטה להכל'!A:E,5,0)</f>
        <v>#N/A</v>
      </c>
      <c r="R375" t="e">
        <f>VLOOKUP(A375,'לעדכן בסינתזה דאטה אריזה 42+24'!$A:$C,3,0)</f>
        <v>#N/A</v>
      </c>
      <c r="S375" t="e">
        <f>VLOOKUP(#REF!,'מלאי לא תקין'!A:N,17,0)</f>
        <v>#REF!</v>
      </c>
      <c r="T375" t="e">
        <f t="shared" si="14"/>
        <v>#REF!</v>
      </c>
      <c r="U375" t="e">
        <f t="shared" si="15"/>
        <v>#REF!</v>
      </c>
    </row>
    <row r="376" spans="4:21" x14ac:dyDescent="0.2">
      <c r="D376" s="4"/>
      <c r="G376" s="5"/>
      <c r="H376" s="5"/>
      <c r="I376" s="4"/>
      <c r="J376" s="4"/>
      <c r="K376" s="5"/>
      <c r="Q376" t="e">
        <f>VLOOKUP(A376,'גיליון דאטה להכל'!A:E,5,0)</f>
        <v>#N/A</v>
      </c>
      <c r="R376" t="e">
        <f>VLOOKUP(A376,'לעדכן בסינתזה דאטה אריזה 42+24'!$A:$C,3,0)</f>
        <v>#N/A</v>
      </c>
      <c r="S376" t="e">
        <f>VLOOKUP(#REF!,'מלאי לא תקין'!A:N,17,0)</f>
        <v>#REF!</v>
      </c>
      <c r="T376" t="e">
        <f t="shared" si="14"/>
        <v>#REF!</v>
      </c>
      <c r="U376" t="e">
        <f t="shared" si="15"/>
        <v>#REF!</v>
      </c>
    </row>
    <row r="377" spans="4:21" x14ac:dyDescent="0.2">
      <c r="D377" s="4"/>
      <c r="G377" s="5"/>
      <c r="H377" s="5"/>
      <c r="I377" s="4"/>
      <c r="J377" s="4"/>
      <c r="K377" s="5"/>
      <c r="Q377" t="e">
        <f>VLOOKUP(A377,'גיליון דאטה להכל'!A:E,5,0)</f>
        <v>#N/A</v>
      </c>
      <c r="R377" t="e">
        <f>VLOOKUP(A377,'לעדכן בסינתזה דאטה אריזה 42+24'!$A:$C,3,0)</f>
        <v>#N/A</v>
      </c>
      <c r="S377" t="e">
        <f>VLOOKUP(#REF!,'מלאי לא תקין'!A:N,17,0)</f>
        <v>#REF!</v>
      </c>
      <c r="T377" t="e">
        <f t="shared" si="14"/>
        <v>#REF!</v>
      </c>
      <c r="U377" t="e">
        <f t="shared" si="15"/>
        <v>#REF!</v>
      </c>
    </row>
    <row r="378" spans="4:21" x14ac:dyDescent="0.2">
      <c r="D378" s="4"/>
      <c r="G378" s="5"/>
      <c r="H378" s="5"/>
      <c r="I378" s="4"/>
      <c r="J378" s="4"/>
      <c r="K378" s="5"/>
      <c r="Q378" t="e">
        <f>VLOOKUP(A378,'גיליון דאטה להכל'!A:E,5,0)</f>
        <v>#N/A</v>
      </c>
      <c r="R378" t="e">
        <f>VLOOKUP(A378,'לעדכן בסינתזה דאטה אריזה 42+24'!$A:$C,3,0)</f>
        <v>#N/A</v>
      </c>
      <c r="S378" t="e">
        <f>VLOOKUP(#REF!,'מלאי לא תקין'!A:N,17,0)</f>
        <v>#REF!</v>
      </c>
      <c r="T378" t="e">
        <f t="shared" si="14"/>
        <v>#REF!</v>
      </c>
      <c r="U378" t="e">
        <f t="shared" si="15"/>
        <v>#REF!</v>
      </c>
    </row>
    <row r="379" spans="4:21" x14ac:dyDescent="0.2">
      <c r="D379" s="4"/>
      <c r="G379" s="5"/>
      <c r="H379" s="5"/>
      <c r="I379" s="4"/>
      <c r="J379" s="4"/>
      <c r="K379" s="5"/>
      <c r="Q379" t="e">
        <f>VLOOKUP(A379,'גיליון דאטה להכל'!A:E,5,0)</f>
        <v>#N/A</v>
      </c>
      <c r="R379" t="e">
        <f>VLOOKUP(A379,'לעדכן בסינתזה דאטה אריזה 42+24'!$A:$C,3,0)</f>
        <v>#N/A</v>
      </c>
      <c r="S379" t="e">
        <f>VLOOKUP(#REF!,'מלאי לא תקין'!A:N,17,0)</f>
        <v>#REF!</v>
      </c>
      <c r="T379" t="e">
        <f t="shared" si="14"/>
        <v>#REF!</v>
      </c>
      <c r="U379" t="e">
        <f t="shared" si="15"/>
        <v>#REF!</v>
      </c>
    </row>
    <row r="380" spans="4:21" x14ac:dyDescent="0.2">
      <c r="D380" s="4"/>
      <c r="G380" s="5"/>
      <c r="H380" s="5"/>
      <c r="I380" s="4"/>
      <c r="J380" s="4"/>
      <c r="K380" s="5"/>
      <c r="Q380" t="e">
        <f>VLOOKUP(A380,'גיליון דאטה להכל'!A:E,5,0)</f>
        <v>#N/A</v>
      </c>
      <c r="R380" t="e">
        <f>VLOOKUP(A380,'לעדכן בסינתזה דאטה אריזה 42+24'!$A:$C,3,0)</f>
        <v>#N/A</v>
      </c>
      <c r="S380" t="e">
        <f>VLOOKUP(#REF!,'מלאי לא תקין'!A:N,17,0)</f>
        <v>#REF!</v>
      </c>
      <c r="T380" t="e">
        <f t="shared" si="14"/>
        <v>#REF!</v>
      </c>
      <c r="U380" t="e">
        <f t="shared" si="15"/>
        <v>#REF!</v>
      </c>
    </row>
    <row r="381" spans="4:21" x14ac:dyDescent="0.2">
      <c r="D381" s="4"/>
      <c r="G381" s="5"/>
      <c r="H381" s="7"/>
      <c r="I381" s="4"/>
      <c r="J381" s="4"/>
      <c r="K381" s="5"/>
      <c r="Q381" t="e">
        <f>VLOOKUP(A381,'גיליון דאטה להכל'!A:E,5,0)</f>
        <v>#N/A</v>
      </c>
      <c r="R381" t="e">
        <f>VLOOKUP(A381,'לעדכן בסינתזה דאטה אריזה 42+24'!$A:$C,3,0)</f>
        <v>#N/A</v>
      </c>
      <c r="S381" t="e">
        <f>VLOOKUP(#REF!,'מלאי לא תקין'!A:N,17,0)</f>
        <v>#REF!</v>
      </c>
      <c r="T381" t="e">
        <f t="shared" si="14"/>
        <v>#REF!</v>
      </c>
      <c r="U381" t="e">
        <f t="shared" si="15"/>
        <v>#REF!</v>
      </c>
    </row>
    <row r="382" spans="4:21" x14ac:dyDescent="0.2">
      <c r="D382" s="4"/>
      <c r="G382" s="5"/>
      <c r="H382" s="5"/>
      <c r="I382" s="4"/>
      <c r="J382" s="4"/>
      <c r="K382" s="5"/>
      <c r="Q382" t="e">
        <f>VLOOKUP(A382,'גיליון דאטה להכל'!A:E,5,0)</f>
        <v>#N/A</v>
      </c>
      <c r="R382" t="e">
        <f>VLOOKUP(A382,'לעדכן בסינתזה דאטה אריזה 42+24'!$A:$C,3,0)</f>
        <v>#N/A</v>
      </c>
      <c r="S382" t="e">
        <f>VLOOKUP(#REF!,'מלאי לא תקין'!A:N,17,0)</f>
        <v>#REF!</v>
      </c>
      <c r="T382" t="e">
        <f t="shared" si="14"/>
        <v>#REF!</v>
      </c>
      <c r="U382" t="e">
        <f t="shared" si="15"/>
        <v>#REF!</v>
      </c>
    </row>
    <row r="383" spans="4:21" x14ac:dyDescent="0.2">
      <c r="D383" s="4"/>
      <c r="G383" s="5"/>
      <c r="H383" s="5"/>
      <c r="I383" s="4"/>
      <c r="J383" s="4"/>
      <c r="K383" s="5"/>
      <c r="Q383" t="e">
        <f>VLOOKUP(A383,'גיליון דאטה להכל'!A:E,5,0)</f>
        <v>#N/A</v>
      </c>
      <c r="R383" t="e">
        <f>VLOOKUP(A383,'לעדכן בסינתזה דאטה אריזה 42+24'!$A:$C,3,0)</f>
        <v>#N/A</v>
      </c>
      <c r="S383" t="e">
        <f>VLOOKUP(#REF!,'מלאי לא תקין'!A:N,17,0)</f>
        <v>#REF!</v>
      </c>
      <c r="T383" t="e">
        <f t="shared" si="14"/>
        <v>#REF!</v>
      </c>
      <c r="U383" t="e">
        <f t="shared" si="15"/>
        <v>#REF!</v>
      </c>
    </row>
    <row r="384" spans="4:21" x14ac:dyDescent="0.2">
      <c r="D384" s="4"/>
      <c r="G384" s="5"/>
      <c r="H384" s="5"/>
      <c r="I384" s="4"/>
      <c r="J384" s="4"/>
      <c r="K384" s="5"/>
      <c r="Q384" t="e">
        <f>VLOOKUP(A384,'גיליון דאטה להכל'!A:E,5,0)</f>
        <v>#N/A</v>
      </c>
      <c r="R384" t="e">
        <f>VLOOKUP(A384,'לעדכן בסינתזה דאטה אריזה 42+24'!$A:$C,3,0)</f>
        <v>#N/A</v>
      </c>
      <c r="S384" t="e">
        <f>VLOOKUP(#REF!,'מלאי לא תקין'!A:N,17,0)</f>
        <v>#REF!</v>
      </c>
      <c r="T384" t="e">
        <f t="shared" si="14"/>
        <v>#REF!</v>
      </c>
      <c r="U384" t="e">
        <f t="shared" si="15"/>
        <v>#REF!</v>
      </c>
    </row>
    <row r="385" spans="4:21" x14ac:dyDescent="0.2">
      <c r="D385" s="4"/>
      <c r="G385" s="5"/>
      <c r="H385" s="5"/>
      <c r="I385" s="4"/>
      <c r="J385" s="4"/>
      <c r="K385" s="5"/>
      <c r="Q385" t="e">
        <f>VLOOKUP(A385,'גיליון דאטה להכל'!A:E,5,0)</f>
        <v>#N/A</v>
      </c>
      <c r="R385" t="e">
        <f>VLOOKUP(A385,'לעדכן בסינתזה דאטה אריזה 42+24'!$A:$C,3,0)</f>
        <v>#N/A</v>
      </c>
      <c r="S385" t="e">
        <f>VLOOKUP(#REF!,'מלאי לא תקין'!A:N,17,0)</f>
        <v>#REF!</v>
      </c>
      <c r="T385" t="e">
        <f t="shared" si="14"/>
        <v>#REF!</v>
      </c>
      <c r="U385" t="e">
        <f t="shared" si="15"/>
        <v>#REF!</v>
      </c>
    </row>
    <row r="386" spans="4:21" x14ac:dyDescent="0.2">
      <c r="D386" s="4"/>
      <c r="G386" s="5"/>
      <c r="H386" s="5"/>
      <c r="I386" s="4"/>
      <c r="J386" s="4"/>
      <c r="K386" s="5"/>
      <c r="Q386" t="e">
        <f>VLOOKUP(A386,'גיליון דאטה להכל'!A:E,5,0)</f>
        <v>#N/A</v>
      </c>
      <c r="R386" t="e">
        <f>VLOOKUP(A386,'לעדכן בסינתזה דאטה אריזה 42+24'!$A:$C,3,0)</f>
        <v>#N/A</v>
      </c>
      <c r="S386" t="e">
        <f>VLOOKUP(#REF!,'מלאי לא תקין'!A:N,17,0)</f>
        <v>#REF!</v>
      </c>
      <c r="T386" t="e">
        <f t="shared" si="14"/>
        <v>#REF!</v>
      </c>
      <c r="U386" t="e">
        <f t="shared" si="15"/>
        <v>#REF!</v>
      </c>
    </row>
    <row r="387" spans="4:21" x14ac:dyDescent="0.2">
      <c r="D387" s="4"/>
      <c r="G387" s="5"/>
      <c r="H387" s="7"/>
      <c r="I387" s="4"/>
      <c r="J387" s="4"/>
      <c r="K387" s="5"/>
      <c r="Q387" t="e">
        <f>VLOOKUP(A387,'גיליון דאטה להכל'!A:E,5,0)</f>
        <v>#N/A</v>
      </c>
      <c r="R387" t="e">
        <f>VLOOKUP(A387,'לעדכן בסינתזה דאטה אריזה 42+24'!$A:$C,3,0)</f>
        <v>#N/A</v>
      </c>
      <c r="S387" t="e">
        <f>VLOOKUP(#REF!,'מלאי לא תקין'!A:N,17,0)</f>
        <v>#REF!</v>
      </c>
      <c r="T387" t="e">
        <f t="shared" si="14"/>
        <v>#REF!</v>
      </c>
      <c r="U387" t="e">
        <f t="shared" si="15"/>
        <v>#REF!</v>
      </c>
    </row>
    <row r="388" spans="4:21" x14ac:dyDescent="0.2">
      <c r="D388" s="4"/>
      <c r="G388" s="5"/>
      <c r="H388" s="5"/>
      <c r="I388" s="4"/>
      <c r="J388" s="4"/>
      <c r="K388" s="5"/>
      <c r="Q388" t="e">
        <f>VLOOKUP(A388,'גיליון דאטה להכל'!A:E,5,0)</f>
        <v>#N/A</v>
      </c>
      <c r="R388" t="e">
        <f>VLOOKUP(A388,'לעדכן בסינתזה דאטה אריזה 42+24'!$A:$C,3,0)</f>
        <v>#N/A</v>
      </c>
      <c r="S388" t="e">
        <f>VLOOKUP(#REF!,'מלאי לא תקין'!A:N,17,0)</f>
        <v>#REF!</v>
      </c>
      <c r="T388" t="e">
        <f t="shared" si="14"/>
        <v>#REF!</v>
      </c>
      <c r="U388" t="e">
        <f t="shared" si="15"/>
        <v>#REF!</v>
      </c>
    </row>
    <row r="389" spans="4:21" x14ac:dyDescent="0.2">
      <c r="D389" s="4"/>
      <c r="G389" s="5"/>
      <c r="H389" s="5"/>
      <c r="I389" s="4"/>
      <c r="J389" s="4"/>
      <c r="K389" s="5"/>
      <c r="Q389" t="e">
        <f>VLOOKUP(A389,'גיליון דאטה להכל'!A:E,5,0)</f>
        <v>#N/A</v>
      </c>
      <c r="R389" t="e">
        <f>VLOOKUP(A389,'לעדכן בסינתזה דאטה אריזה 42+24'!$A:$C,3,0)</f>
        <v>#N/A</v>
      </c>
      <c r="S389" t="e">
        <f>VLOOKUP(#REF!,'מלאי לא תקין'!A:N,17,0)</f>
        <v>#REF!</v>
      </c>
      <c r="T389" t="e">
        <f t="shared" si="14"/>
        <v>#REF!</v>
      </c>
      <c r="U389" t="e">
        <f t="shared" si="15"/>
        <v>#REF!</v>
      </c>
    </row>
    <row r="390" spans="4:21" x14ac:dyDescent="0.2">
      <c r="D390" s="4"/>
      <c r="G390" s="5"/>
      <c r="H390" s="5"/>
      <c r="I390" s="4"/>
      <c r="J390" s="4"/>
      <c r="K390" s="5"/>
      <c r="Q390" t="e">
        <f>VLOOKUP(A390,'גיליון דאטה להכל'!A:E,5,0)</f>
        <v>#N/A</v>
      </c>
      <c r="R390" t="e">
        <f>VLOOKUP(A390,'לעדכן בסינתזה דאטה אריזה 42+24'!$A:$C,3,0)</f>
        <v>#N/A</v>
      </c>
      <c r="S390" t="e">
        <f>VLOOKUP(#REF!,'מלאי לא תקין'!A:N,17,0)</f>
        <v>#REF!</v>
      </c>
      <c r="T390" t="e">
        <f t="shared" si="14"/>
        <v>#REF!</v>
      </c>
      <c r="U390" t="e">
        <f t="shared" si="15"/>
        <v>#REF!</v>
      </c>
    </row>
    <row r="391" spans="4:21" x14ac:dyDescent="0.2">
      <c r="D391" s="4"/>
      <c r="G391" s="5"/>
      <c r="H391" s="5"/>
      <c r="I391" s="4"/>
      <c r="J391" s="4"/>
      <c r="K391" s="5"/>
      <c r="Q391" t="e">
        <f>VLOOKUP(A391,'גיליון דאטה להכל'!A:E,5,0)</f>
        <v>#N/A</v>
      </c>
      <c r="R391" t="e">
        <f>VLOOKUP(A391,'לעדכן בסינתזה דאטה אריזה 42+24'!$A:$C,3,0)</f>
        <v>#N/A</v>
      </c>
      <c r="S391" t="e">
        <f>VLOOKUP(#REF!,'מלאי לא תקין'!A:N,17,0)</f>
        <v>#REF!</v>
      </c>
      <c r="T391" t="e">
        <f t="shared" si="14"/>
        <v>#REF!</v>
      </c>
      <c r="U391" t="e">
        <f t="shared" si="15"/>
        <v>#REF!</v>
      </c>
    </row>
    <row r="392" spans="4:21" x14ac:dyDescent="0.2">
      <c r="D392" s="4"/>
      <c r="G392" s="5"/>
      <c r="H392" s="5"/>
      <c r="I392" s="4"/>
      <c r="J392" s="4"/>
      <c r="K392" s="5"/>
      <c r="Q392" t="e">
        <f>VLOOKUP(A392,'גיליון דאטה להכל'!A:E,5,0)</f>
        <v>#N/A</v>
      </c>
      <c r="R392" t="e">
        <f>VLOOKUP(A392,'לעדכן בסינתזה דאטה אריזה 42+24'!$A:$C,3,0)</f>
        <v>#N/A</v>
      </c>
      <c r="S392" t="e">
        <f>VLOOKUP(#REF!,'מלאי לא תקין'!A:N,17,0)</f>
        <v>#REF!</v>
      </c>
      <c r="T392" t="e">
        <f t="shared" si="14"/>
        <v>#REF!</v>
      </c>
      <c r="U392" t="e">
        <f t="shared" si="15"/>
        <v>#REF!</v>
      </c>
    </row>
    <row r="393" spans="4:21" x14ac:dyDescent="0.2">
      <c r="D393" s="4"/>
      <c r="G393" s="5"/>
      <c r="H393" s="7"/>
      <c r="I393" s="4"/>
      <c r="J393" s="4"/>
      <c r="K393" s="5"/>
      <c r="Q393" t="e">
        <f>VLOOKUP(A393,'גיליון דאטה להכל'!A:E,5,0)</f>
        <v>#N/A</v>
      </c>
      <c r="R393" t="e">
        <f>VLOOKUP(A393,'לעדכן בסינתזה דאטה אריזה 42+24'!$A:$C,3,0)</f>
        <v>#N/A</v>
      </c>
      <c r="S393" t="e">
        <f>VLOOKUP(#REF!,'מלאי לא תקין'!A:N,17,0)</f>
        <v>#REF!</v>
      </c>
      <c r="T393" t="e">
        <f t="shared" si="14"/>
        <v>#REF!</v>
      </c>
      <c r="U393" t="e">
        <f t="shared" si="15"/>
        <v>#REF!</v>
      </c>
    </row>
    <row r="394" spans="4:21" x14ac:dyDescent="0.2">
      <c r="D394" s="4"/>
      <c r="G394" s="5"/>
      <c r="H394" s="5"/>
      <c r="I394" s="4"/>
      <c r="J394" s="4"/>
      <c r="K394" s="5"/>
      <c r="Q394" t="e">
        <f>VLOOKUP(A394,'גיליון דאטה להכל'!A:E,5,0)</f>
        <v>#N/A</v>
      </c>
      <c r="R394" t="e">
        <f>VLOOKUP(A394,'לעדכן בסינתזה דאטה אריזה 42+24'!$A:$C,3,0)</f>
        <v>#N/A</v>
      </c>
      <c r="S394" t="e">
        <f>VLOOKUP(#REF!,'מלאי לא תקין'!A:N,17,0)</f>
        <v>#REF!</v>
      </c>
      <c r="T394" t="e">
        <f t="shared" si="14"/>
        <v>#REF!</v>
      </c>
      <c r="U394" t="e">
        <f t="shared" si="15"/>
        <v>#REF!</v>
      </c>
    </row>
    <row r="395" spans="4:21" x14ac:dyDescent="0.2">
      <c r="D395" s="4"/>
      <c r="G395" s="5"/>
      <c r="H395" s="5"/>
      <c r="I395" s="4"/>
      <c r="J395" s="4"/>
      <c r="K395" s="5"/>
      <c r="Q395" t="e">
        <f>VLOOKUP(A395,'גיליון דאטה להכל'!A:E,5,0)</f>
        <v>#N/A</v>
      </c>
      <c r="R395" t="e">
        <f>VLOOKUP(A395,'לעדכן בסינתזה דאטה אריזה 42+24'!$A:$C,3,0)</f>
        <v>#N/A</v>
      </c>
      <c r="S395" t="e">
        <f>VLOOKUP(#REF!,'מלאי לא תקין'!A:N,17,0)</f>
        <v>#REF!</v>
      </c>
      <c r="T395" t="e">
        <f t="shared" si="14"/>
        <v>#REF!</v>
      </c>
      <c r="U395" t="e">
        <f t="shared" si="15"/>
        <v>#REF!</v>
      </c>
    </row>
    <row r="396" spans="4:21" x14ac:dyDescent="0.2">
      <c r="D396" s="4"/>
      <c r="G396" s="5"/>
      <c r="H396" s="5"/>
      <c r="I396" s="4"/>
      <c r="J396" s="4"/>
      <c r="K396" s="5"/>
      <c r="Q396" t="e">
        <f>VLOOKUP(A396,'גיליון דאטה להכל'!A:E,5,0)</f>
        <v>#N/A</v>
      </c>
      <c r="R396" t="e">
        <f>VLOOKUP(A396,'לעדכן בסינתזה דאטה אריזה 42+24'!$A:$C,3,0)</f>
        <v>#N/A</v>
      </c>
      <c r="S396" t="e">
        <f>VLOOKUP(#REF!,'מלאי לא תקין'!A:N,17,0)</f>
        <v>#REF!</v>
      </c>
      <c r="T396" t="e">
        <f t="shared" si="14"/>
        <v>#REF!</v>
      </c>
      <c r="U396" t="e">
        <f t="shared" si="15"/>
        <v>#REF!</v>
      </c>
    </row>
    <row r="397" spans="4:21" x14ac:dyDescent="0.2">
      <c r="D397" s="4"/>
      <c r="G397" s="5"/>
      <c r="H397" s="5"/>
      <c r="I397" s="4"/>
      <c r="J397" s="4"/>
      <c r="K397" s="5"/>
      <c r="Q397" t="e">
        <f>VLOOKUP(A397,'גיליון דאטה להכל'!A:E,5,0)</f>
        <v>#N/A</v>
      </c>
      <c r="R397" t="e">
        <f>VLOOKUP(A397,'לעדכן בסינתזה דאטה אריזה 42+24'!$A:$C,3,0)</f>
        <v>#N/A</v>
      </c>
      <c r="S397" t="e">
        <f>VLOOKUP(#REF!,'מלאי לא תקין'!A:N,17,0)</f>
        <v>#REF!</v>
      </c>
      <c r="T397" t="e">
        <f t="shared" si="14"/>
        <v>#REF!</v>
      </c>
      <c r="U397" t="e">
        <f t="shared" si="15"/>
        <v>#REF!</v>
      </c>
    </row>
    <row r="398" spans="4:21" x14ac:dyDescent="0.2">
      <c r="D398" s="4"/>
      <c r="G398" s="5"/>
      <c r="H398" s="5"/>
      <c r="I398" s="4"/>
      <c r="J398" s="4"/>
      <c r="K398" s="5"/>
      <c r="Q398" t="e">
        <f>VLOOKUP(A398,'גיליון דאטה להכל'!A:E,5,0)</f>
        <v>#N/A</v>
      </c>
      <c r="R398" t="e">
        <f>VLOOKUP(A398,'לעדכן בסינתזה דאטה אריזה 42+24'!$A:$C,3,0)</f>
        <v>#N/A</v>
      </c>
      <c r="S398" t="e">
        <f>VLOOKUP(#REF!,'מלאי לא תקין'!A:N,17,0)</f>
        <v>#REF!</v>
      </c>
      <c r="T398" t="e">
        <f t="shared" si="14"/>
        <v>#REF!</v>
      </c>
      <c r="U398" t="e">
        <f t="shared" si="15"/>
        <v>#REF!</v>
      </c>
    </row>
    <row r="399" spans="4:21" x14ac:dyDescent="0.2">
      <c r="D399" s="4"/>
      <c r="G399" s="5"/>
      <c r="H399" s="7"/>
      <c r="I399" s="4"/>
      <c r="J399" s="4"/>
      <c r="K399" s="5"/>
      <c r="Q399" t="e">
        <f>VLOOKUP(A399,'גיליון דאטה להכל'!A:E,5,0)</f>
        <v>#N/A</v>
      </c>
      <c r="R399" t="e">
        <f>VLOOKUP(A399,'לעדכן בסינתזה דאטה אריזה 42+24'!$A:$C,3,0)</f>
        <v>#N/A</v>
      </c>
      <c r="S399" t="e">
        <f>VLOOKUP(#REF!,'מלאי לא תקין'!A:N,17,0)</f>
        <v>#REF!</v>
      </c>
      <c r="T399" t="e">
        <f t="shared" si="14"/>
        <v>#REF!</v>
      </c>
      <c r="U399" t="e">
        <f t="shared" si="15"/>
        <v>#REF!</v>
      </c>
    </row>
    <row r="400" spans="4:21" x14ac:dyDescent="0.2">
      <c r="D400" s="4"/>
      <c r="G400" s="5"/>
      <c r="H400" s="5"/>
      <c r="I400" s="4"/>
      <c r="J400" s="4"/>
      <c r="K400" s="5"/>
      <c r="Q400" t="e">
        <f>VLOOKUP(A400,'גיליון דאטה להכל'!A:E,5,0)</f>
        <v>#N/A</v>
      </c>
      <c r="R400" t="e">
        <f>VLOOKUP(A400,'לעדכן בסינתזה דאטה אריזה 42+24'!$A:$C,3,0)</f>
        <v>#N/A</v>
      </c>
      <c r="S400" t="e">
        <f>VLOOKUP(#REF!,'מלאי לא תקין'!A:N,17,0)</f>
        <v>#REF!</v>
      </c>
      <c r="T400" t="e">
        <f t="shared" si="14"/>
        <v>#REF!</v>
      </c>
      <c r="U400" t="e">
        <f t="shared" si="15"/>
        <v>#REF!</v>
      </c>
    </row>
    <row r="401" spans="4:21" x14ac:dyDescent="0.2">
      <c r="D401" s="4"/>
      <c r="G401" s="5"/>
      <c r="H401" s="5"/>
      <c r="I401" s="4"/>
      <c r="J401" s="4"/>
      <c r="K401" s="5"/>
      <c r="Q401" t="e">
        <f>VLOOKUP(A401,'גיליון דאטה להכל'!A:E,5,0)</f>
        <v>#N/A</v>
      </c>
      <c r="R401" t="e">
        <f>VLOOKUP(A401,'לעדכן בסינתזה דאטה אריזה 42+24'!$A:$C,3,0)</f>
        <v>#N/A</v>
      </c>
      <c r="S401" t="e">
        <f>VLOOKUP(#REF!,'מלאי לא תקין'!A:N,17,0)</f>
        <v>#REF!</v>
      </c>
      <c r="T401" t="e">
        <f t="shared" si="14"/>
        <v>#REF!</v>
      </c>
      <c r="U401" t="e">
        <f t="shared" si="15"/>
        <v>#REF!</v>
      </c>
    </row>
    <row r="402" spans="4:21" x14ac:dyDescent="0.2">
      <c r="D402" s="4"/>
      <c r="G402" s="5"/>
      <c r="H402" s="5"/>
      <c r="I402" s="4"/>
      <c r="J402" s="4"/>
      <c r="K402" s="5"/>
      <c r="Q402" t="e">
        <f>VLOOKUP(A402,'גיליון דאטה להכל'!A:E,5,0)</f>
        <v>#N/A</v>
      </c>
      <c r="R402" t="e">
        <f>VLOOKUP(A402,'לעדכן בסינתזה דאטה אריזה 42+24'!$A:$C,3,0)</f>
        <v>#N/A</v>
      </c>
      <c r="S402" t="e">
        <f>VLOOKUP(#REF!,'מלאי לא תקין'!A:N,17,0)</f>
        <v>#REF!</v>
      </c>
      <c r="T402" t="e">
        <f t="shared" si="14"/>
        <v>#REF!</v>
      </c>
      <c r="U402" t="e">
        <f t="shared" si="15"/>
        <v>#REF!</v>
      </c>
    </row>
    <row r="403" spans="4:21" x14ac:dyDescent="0.2">
      <c r="D403" s="4"/>
      <c r="G403" s="5"/>
      <c r="H403" s="5"/>
      <c r="I403" s="4"/>
      <c r="J403" s="4"/>
      <c r="K403" s="5"/>
      <c r="Q403" t="e">
        <f>VLOOKUP(A403,'גיליון דאטה להכל'!A:E,5,0)</f>
        <v>#N/A</v>
      </c>
      <c r="R403" t="e">
        <f>VLOOKUP(A403,'לעדכן בסינתזה דאטה אריזה 42+24'!$A:$C,3,0)</f>
        <v>#N/A</v>
      </c>
      <c r="S403" t="e">
        <f>VLOOKUP(#REF!,'מלאי לא תקין'!A:N,17,0)</f>
        <v>#REF!</v>
      </c>
      <c r="T403" t="e">
        <f t="shared" si="14"/>
        <v>#REF!</v>
      </c>
      <c r="U403" t="e">
        <f t="shared" si="15"/>
        <v>#REF!</v>
      </c>
    </row>
    <row r="404" spans="4:21" x14ac:dyDescent="0.2">
      <c r="D404" s="4"/>
      <c r="G404" s="5"/>
      <c r="H404" s="7"/>
      <c r="I404" s="4"/>
      <c r="J404" s="4"/>
      <c r="K404" s="5"/>
      <c r="Q404" t="e">
        <f>VLOOKUP(A404,'גיליון דאטה להכל'!A:E,5,0)</f>
        <v>#N/A</v>
      </c>
      <c r="R404" t="e">
        <f>VLOOKUP(A404,'לעדכן בסינתזה דאטה אריזה 42+24'!$A:$C,3,0)</f>
        <v>#N/A</v>
      </c>
      <c r="S404" t="e">
        <f>VLOOKUP(#REF!,'מלאי לא תקין'!A:N,17,0)</f>
        <v>#REF!</v>
      </c>
      <c r="T404" t="e">
        <f t="shared" si="14"/>
        <v>#REF!</v>
      </c>
      <c r="U404" t="e">
        <f t="shared" si="15"/>
        <v>#REF!</v>
      </c>
    </row>
    <row r="405" spans="4:21" x14ac:dyDescent="0.2">
      <c r="D405" s="4"/>
      <c r="G405" s="5"/>
      <c r="H405" s="5"/>
      <c r="I405" s="4"/>
      <c r="J405" s="4"/>
      <c r="K405" s="5"/>
      <c r="Q405" t="e">
        <f>VLOOKUP(A405,'גיליון דאטה להכל'!A:E,5,0)</f>
        <v>#N/A</v>
      </c>
      <c r="R405" t="e">
        <f>VLOOKUP(A405,'לעדכן בסינתזה דאטה אריזה 42+24'!$A:$C,3,0)</f>
        <v>#N/A</v>
      </c>
      <c r="S405" t="e">
        <f>VLOOKUP(#REF!,'מלאי לא תקין'!A:N,17,0)</f>
        <v>#REF!</v>
      </c>
      <c r="T405" t="e">
        <f t="shared" si="14"/>
        <v>#REF!</v>
      </c>
      <c r="U405" t="e">
        <f t="shared" si="15"/>
        <v>#REF!</v>
      </c>
    </row>
    <row r="406" spans="4:21" x14ac:dyDescent="0.2">
      <c r="D406" s="4"/>
      <c r="G406" s="5"/>
      <c r="H406" s="5"/>
      <c r="I406" s="4"/>
      <c r="J406" s="4"/>
      <c r="K406" s="5"/>
      <c r="Q406" t="e">
        <f>VLOOKUP(A406,'גיליון דאטה להכל'!A:E,5,0)</f>
        <v>#N/A</v>
      </c>
      <c r="R406" t="e">
        <f>VLOOKUP(A406,'לעדכן בסינתזה דאטה אריזה 42+24'!$A:$C,3,0)</f>
        <v>#N/A</v>
      </c>
      <c r="S406" t="e">
        <f>VLOOKUP(#REF!,'מלאי לא תקין'!A:N,17,0)</f>
        <v>#REF!</v>
      </c>
      <c r="T406" t="e">
        <f t="shared" si="14"/>
        <v>#REF!</v>
      </c>
      <c r="U406" t="e">
        <f t="shared" si="15"/>
        <v>#REF!</v>
      </c>
    </row>
    <row r="407" spans="4:21" x14ac:dyDescent="0.2">
      <c r="D407" s="4"/>
      <c r="G407" s="5"/>
      <c r="H407" s="5"/>
      <c r="I407" s="4"/>
      <c r="J407" s="4"/>
      <c r="K407" s="5"/>
      <c r="Q407" t="e">
        <f>VLOOKUP(A407,'גיליון דאטה להכל'!A:E,5,0)</f>
        <v>#N/A</v>
      </c>
      <c r="R407" t="e">
        <f>VLOOKUP(A407,'לעדכן בסינתזה דאטה אריזה 42+24'!$A:$C,3,0)</f>
        <v>#N/A</v>
      </c>
      <c r="S407" t="e">
        <f>VLOOKUP(#REF!,'מלאי לא תקין'!A:N,17,0)</f>
        <v>#REF!</v>
      </c>
      <c r="T407" t="e">
        <f t="shared" si="14"/>
        <v>#REF!</v>
      </c>
      <c r="U407" t="e">
        <f t="shared" si="15"/>
        <v>#REF!</v>
      </c>
    </row>
    <row r="408" spans="4:21" x14ac:dyDescent="0.2">
      <c r="D408" s="4"/>
      <c r="G408" s="5"/>
      <c r="H408" s="5"/>
      <c r="I408" s="4"/>
      <c r="J408" s="4"/>
      <c r="K408" s="5"/>
      <c r="Q408" t="e">
        <f>VLOOKUP(A408,'גיליון דאטה להכל'!A:E,5,0)</f>
        <v>#N/A</v>
      </c>
      <c r="R408" t="e">
        <f>VLOOKUP(A408,'לעדכן בסינתזה דאטה אריזה 42+24'!$A:$C,3,0)</f>
        <v>#N/A</v>
      </c>
      <c r="S408" t="e">
        <f>VLOOKUP(#REF!,'מלאי לא תקין'!A:N,17,0)</f>
        <v>#REF!</v>
      </c>
      <c r="T408" t="e">
        <f t="shared" si="14"/>
        <v>#REF!</v>
      </c>
      <c r="U408" t="e">
        <f t="shared" si="15"/>
        <v>#REF!</v>
      </c>
    </row>
    <row r="409" spans="4:21" x14ac:dyDescent="0.2">
      <c r="D409" s="4"/>
      <c r="G409" s="5"/>
      <c r="H409" s="5"/>
      <c r="I409" s="4"/>
      <c r="J409" s="4"/>
      <c r="K409" s="5"/>
      <c r="Q409" t="e">
        <f>VLOOKUP(A409,'גיליון דאטה להכל'!A:E,5,0)</f>
        <v>#N/A</v>
      </c>
      <c r="R409" t="e">
        <f>VLOOKUP(A409,'לעדכן בסינתזה דאטה אריזה 42+24'!$A:$C,3,0)</f>
        <v>#N/A</v>
      </c>
      <c r="S409" t="e">
        <f>VLOOKUP(#REF!,'מלאי לא תקין'!A:N,17,0)</f>
        <v>#REF!</v>
      </c>
      <c r="T409" t="e">
        <f t="shared" si="14"/>
        <v>#REF!</v>
      </c>
      <c r="U409" t="e">
        <f t="shared" si="15"/>
        <v>#REF!</v>
      </c>
    </row>
    <row r="410" spans="4:21" x14ac:dyDescent="0.2">
      <c r="D410" s="4"/>
      <c r="G410" s="5"/>
      <c r="H410" s="7"/>
      <c r="I410" s="4"/>
      <c r="J410" s="4"/>
      <c r="K410" s="5"/>
      <c r="Q410" t="e">
        <f>VLOOKUP(A410,'גיליון דאטה להכל'!A:E,5,0)</f>
        <v>#N/A</v>
      </c>
      <c r="R410" t="e">
        <f>VLOOKUP(A410,'לעדכן בסינתזה דאטה אריזה 42+24'!$A:$C,3,0)</f>
        <v>#N/A</v>
      </c>
      <c r="S410" t="e">
        <f>VLOOKUP(#REF!,'מלאי לא תקין'!A:N,17,0)</f>
        <v>#REF!</v>
      </c>
      <c r="T410" t="e">
        <f t="shared" si="14"/>
        <v>#REF!</v>
      </c>
      <c r="U410" t="e">
        <f t="shared" si="15"/>
        <v>#REF!</v>
      </c>
    </row>
    <row r="411" spans="4:21" x14ac:dyDescent="0.2">
      <c r="D411" s="4"/>
      <c r="G411" s="5"/>
      <c r="H411" s="5"/>
      <c r="I411" s="4"/>
      <c r="J411" s="4"/>
      <c r="K411" s="5"/>
      <c r="Q411" t="e">
        <f>VLOOKUP(A411,'גיליון דאטה להכל'!A:E,5,0)</f>
        <v>#N/A</v>
      </c>
      <c r="R411" t="e">
        <f>VLOOKUP(A411,'לעדכן בסינתזה דאטה אריזה 42+24'!$A:$C,3,0)</f>
        <v>#N/A</v>
      </c>
      <c r="S411" t="e">
        <f>VLOOKUP(#REF!,'מלאי לא תקין'!A:N,17,0)</f>
        <v>#REF!</v>
      </c>
      <c r="T411" t="e">
        <f t="shared" si="14"/>
        <v>#REF!</v>
      </c>
      <c r="U411" t="e">
        <f t="shared" si="15"/>
        <v>#REF!</v>
      </c>
    </row>
    <row r="412" spans="4:21" x14ac:dyDescent="0.2">
      <c r="D412" s="4"/>
      <c r="G412" s="5"/>
      <c r="H412" s="5"/>
      <c r="I412" s="4"/>
      <c r="J412" s="4"/>
      <c r="K412" s="5"/>
      <c r="Q412" t="e">
        <f>VLOOKUP(A412,'גיליון דאטה להכל'!A:E,5,0)</f>
        <v>#N/A</v>
      </c>
      <c r="R412" t="e">
        <f>VLOOKUP(A412,'לעדכן בסינתזה דאטה אריזה 42+24'!$A:$C,3,0)</f>
        <v>#N/A</v>
      </c>
      <c r="S412" t="e">
        <f>VLOOKUP(#REF!,'מלאי לא תקין'!A:N,17,0)</f>
        <v>#REF!</v>
      </c>
      <c r="T412" t="e">
        <f t="shared" si="14"/>
        <v>#REF!</v>
      </c>
      <c r="U412" t="e">
        <f t="shared" si="15"/>
        <v>#REF!</v>
      </c>
    </row>
    <row r="413" spans="4:21" x14ac:dyDescent="0.2">
      <c r="D413" s="4"/>
      <c r="G413" s="5"/>
      <c r="H413" s="5"/>
      <c r="I413" s="4"/>
      <c r="J413" s="4"/>
      <c r="K413" s="5"/>
      <c r="Q413" t="e">
        <f>VLOOKUP(A413,'גיליון דאטה להכל'!A:E,5,0)</f>
        <v>#N/A</v>
      </c>
      <c r="R413" t="e">
        <f>VLOOKUP(A413,'לעדכן בסינתזה דאטה אריזה 42+24'!$A:$C,3,0)</f>
        <v>#N/A</v>
      </c>
      <c r="S413" t="e">
        <f>VLOOKUP(#REF!,'מלאי לא תקין'!A:N,17,0)</f>
        <v>#REF!</v>
      </c>
      <c r="T413" t="e">
        <f t="shared" si="14"/>
        <v>#REF!</v>
      </c>
      <c r="U413" t="e">
        <f t="shared" si="15"/>
        <v>#REF!</v>
      </c>
    </row>
    <row r="414" spans="4:21" x14ac:dyDescent="0.2">
      <c r="D414" s="4"/>
      <c r="G414" s="5"/>
      <c r="H414" s="5"/>
      <c r="I414" s="4"/>
      <c r="J414" s="4"/>
      <c r="K414" s="5"/>
      <c r="Q414" t="e">
        <f>VLOOKUP(A414,'גיליון דאטה להכל'!A:E,5,0)</f>
        <v>#N/A</v>
      </c>
      <c r="R414" t="e">
        <f>VLOOKUP(A414,'לעדכן בסינתזה דאטה אריזה 42+24'!$A:$C,3,0)</f>
        <v>#N/A</v>
      </c>
      <c r="S414" t="e">
        <f>VLOOKUP(#REF!,'מלאי לא תקין'!A:N,17,0)</f>
        <v>#REF!</v>
      </c>
      <c r="T414" t="e">
        <f t="shared" si="14"/>
        <v>#REF!</v>
      </c>
      <c r="U414" t="e">
        <f t="shared" si="15"/>
        <v>#REF!</v>
      </c>
    </row>
    <row r="415" spans="4:21" x14ac:dyDescent="0.2">
      <c r="D415" s="4"/>
      <c r="G415" s="5"/>
      <c r="H415" s="7"/>
      <c r="I415" s="4"/>
      <c r="J415" s="4"/>
      <c r="K415" s="5"/>
      <c r="Q415" t="e">
        <f>VLOOKUP(A415,'גיליון דאטה להכל'!A:E,5,0)</f>
        <v>#N/A</v>
      </c>
      <c r="R415" t="e">
        <f>VLOOKUP(A415,'לעדכן בסינתזה דאטה אריזה 42+24'!$A:$C,3,0)</f>
        <v>#N/A</v>
      </c>
      <c r="S415" t="e">
        <f>VLOOKUP(#REF!,'מלאי לא תקין'!A:N,17,0)</f>
        <v>#REF!</v>
      </c>
      <c r="T415" t="e">
        <f t="shared" si="14"/>
        <v>#REF!</v>
      </c>
      <c r="U415" t="e">
        <f t="shared" si="15"/>
        <v>#REF!</v>
      </c>
    </row>
    <row r="416" spans="4:21" x14ac:dyDescent="0.2">
      <c r="D416" s="4"/>
      <c r="G416" s="5"/>
      <c r="H416" s="5"/>
      <c r="I416" s="4"/>
      <c r="J416" s="4"/>
      <c r="K416" s="5"/>
      <c r="Q416" t="e">
        <f>VLOOKUP(A416,'גיליון דאטה להכל'!A:E,5,0)</f>
        <v>#N/A</v>
      </c>
      <c r="R416" t="e">
        <f>VLOOKUP(A416,'לעדכן בסינתזה דאטה אריזה 42+24'!$A:$C,3,0)</f>
        <v>#N/A</v>
      </c>
      <c r="S416" t="e">
        <f>VLOOKUP(#REF!,'מלאי לא תקין'!A:N,17,0)</f>
        <v>#REF!</v>
      </c>
      <c r="T416" t="e">
        <f t="shared" si="14"/>
        <v>#REF!</v>
      </c>
      <c r="U416" t="e">
        <f t="shared" si="15"/>
        <v>#REF!</v>
      </c>
    </row>
    <row r="417" spans="4:21" x14ac:dyDescent="0.2">
      <c r="D417" s="4"/>
      <c r="G417" s="5"/>
      <c r="H417" s="5"/>
      <c r="I417" s="4"/>
      <c r="J417" s="4"/>
      <c r="K417" s="5"/>
      <c r="Q417" t="e">
        <f>VLOOKUP(A417,'גיליון דאטה להכל'!A:E,5,0)</f>
        <v>#N/A</v>
      </c>
      <c r="R417" t="e">
        <f>VLOOKUP(A417,'לעדכן בסינתזה דאטה אריזה 42+24'!$A:$C,3,0)</f>
        <v>#N/A</v>
      </c>
      <c r="S417" t="e">
        <f>VLOOKUP(#REF!,'מלאי לא תקין'!A:N,17,0)</f>
        <v>#REF!</v>
      </c>
      <c r="T417" t="e">
        <f t="shared" si="14"/>
        <v>#REF!</v>
      </c>
      <c r="U417" t="e">
        <f t="shared" si="15"/>
        <v>#REF!</v>
      </c>
    </row>
    <row r="418" spans="4:21" x14ac:dyDescent="0.2">
      <c r="D418" s="4"/>
      <c r="G418" s="5"/>
      <c r="H418" s="5"/>
      <c r="I418" s="4"/>
      <c r="J418" s="4"/>
      <c r="K418" s="5"/>
      <c r="Q418" t="e">
        <f>VLOOKUP(A418,'גיליון דאטה להכל'!A:E,5,0)</f>
        <v>#N/A</v>
      </c>
      <c r="R418" t="e">
        <f>VLOOKUP(A418,'לעדכן בסינתזה דאטה אריזה 42+24'!$A:$C,3,0)</f>
        <v>#N/A</v>
      </c>
      <c r="S418" t="e">
        <f>VLOOKUP(#REF!,'מלאי לא תקין'!A:N,17,0)</f>
        <v>#REF!</v>
      </c>
      <c r="T418" t="e">
        <f t="shared" si="14"/>
        <v>#REF!</v>
      </c>
      <c r="U418" t="e">
        <f t="shared" si="15"/>
        <v>#REF!</v>
      </c>
    </row>
    <row r="419" spans="4:21" x14ac:dyDescent="0.2">
      <c r="D419" s="4"/>
      <c r="G419" s="5"/>
      <c r="H419" s="5"/>
      <c r="I419" s="4"/>
      <c r="J419" s="4"/>
      <c r="K419" s="5"/>
      <c r="Q419" t="e">
        <f>VLOOKUP(A419,'גיליון דאטה להכל'!A:E,5,0)</f>
        <v>#N/A</v>
      </c>
      <c r="R419" t="e">
        <f>VLOOKUP(A419,'לעדכן בסינתזה דאטה אריזה 42+24'!$A:$C,3,0)</f>
        <v>#N/A</v>
      </c>
      <c r="S419" t="e">
        <f>VLOOKUP(#REF!,'מלאי לא תקין'!A:N,17,0)</f>
        <v>#REF!</v>
      </c>
      <c r="T419" t="e">
        <f t="shared" si="14"/>
        <v>#REF!</v>
      </c>
      <c r="U419" t="e">
        <f t="shared" si="15"/>
        <v>#REF!</v>
      </c>
    </row>
    <row r="420" spans="4:21" x14ac:dyDescent="0.2">
      <c r="D420" s="4"/>
      <c r="G420" s="5"/>
      <c r="H420" s="5"/>
      <c r="I420" s="4"/>
      <c r="J420" s="4"/>
      <c r="K420" s="5"/>
      <c r="Q420" t="e">
        <f>VLOOKUP(A420,'גיליון דאטה להכל'!A:E,5,0)</f>
        <v>#N/A</v>
      </c>
      <c r="R420" t="e">
        <f>VLOOKUP(A420,'לעדכן בסינתזה דאטה אריזה 42+24'!$A:$C,3,0)</f>
        <v>#N/A</v>
      </c>
      <c r="S420" t="e">
        <f>VLOOKUP(#REF!,'מלאי לא תקין'!A:N,17,0)</f>
        <v>#REF!</v>
      </c>
      <c r="T420" t="e">
        <f t="shared" si="14"/>
        <v>#REF!</v>
      </c>
      <c r="U420" t="e">
        <f t="shared" si="15"/>
        <v>#REF!</v>
      </c>
    </row>
    <row r="421" spans="4:21" x14ac:dyDescent="0.2">
      <c r="D421" s="4"/>
      <c r="G421" s="5"/>
      <c r="H421" s="5"/>
      <c r="I421" s="4"/>
      <c r="J421" s="4"/>
      <c r="K421" s="5"/>
      <c r="Q421" t="e">
        <f>VLOOKUP(A421,'גיליון דאטה להכל'!A:E,5,0)</f>
        <v>#N/A</v>
      </c>
      <c r="R421" t="e">
        <f>VLOOKUP(A421,'לעדכן בסינתזה דאטה אריזה 42+24'!$A:$C,3,0)</f>
        <v>#N/A</v>
      </c>
      <c r="S421" t="e">
        <f>VLOOKUP(#REF!,'מלאי לא תקין'!A:N,17,0)</f>
        <v>#REF!</v>
      </c>
      <c r="T421" t="e">
        <f t="shared" si="14"/>
        <v>#REF!</v>
      </c>
      <c r="U421" t="e">
        <f t="shared" si="15"/>
        <v>#REF!</v>
      </c>
    </row>
    <row r="422" spans="4:21" x14ac:dyDescent="0.2">
      <c r="D422" s="4"/>
      <c r="G422" s="5"/>
      <c r="H422" s="5"/>
      <c r="I422" s="4"/>
      <c r="J422" s="4"/>
      <c r="K422" s="5"/>
      <c r="Q422" t="e">
        <f>VLOOKUP(A422,'גיליון דאטה להכל'!A:E,5,0)</f>
        <v>#N/A</v>
      </c>
      <c r="R422" t="e">
        <f>VLOOKUP(A422,'לעדכן בסינתזה דאטה אריזה 42+24'!$A:$C,3,0)</f>
        <v>#N/A</v>
      </c>
      <c r="S422" t="e">
        <f>VLOOKUP(#REF!,'מלאי לא תקין'!A:N,17,0)</f>
        <v>#REF!</v>
      </c>
      <c r="T422" t="e">
        <f t="shared" si="14"/>
        <v>#REF!</v>
      </c>
      <c r="U422" t="e">
        <f t="shared" si="15"/>
        <v>#REF!</v>
      </c>
    </row>
    <row r="423" spans="4:21" x14ac:dyDescent="0.2">
      <c r="D423" s="4"/>
      <c r="G423" s="5"/>
      <c r="H423" s="5"/>
      <c r="I423" s="4"/>
      <c r="J423" s="4"/>
      <c r="K423" s="5"/>
      <c r="Q423" t="e">
        <f>VLOOKUP(A423,'גיליון דאטה להכל'!A:E,5,0)</f>
        <v>#N/A</v>
      </c>
      <c r="R423" t="e">
        <f>VLOOKUP(A423,'לעדכן בסינתזה דאטה אריזה 42+24'!$A:$C,3,0)</f>
        <v>#N/A</v>
      </c>
      <c r="S423" t="e">
        <f>VLOOKUP(#REF!,'מלאי לא תקין'!A:N,17,0)</f>
        <v>#REF!</v>
      </c>
      <c r="T423" t="e">
        <f t="shared" si="14"/>
        <v>#REF!</v>
      </c>
      <c r="U423" t="e">
        <f t="shared" si="15"/>
        <v>#REF!</v>
      </c>
    </row>
    <row r="424" spans="4:21" x14ac:dyDescent="0.2">
      <c r="D424" s="4"/>
      <c r="G424" s="5"/>
      <c r="H424" s="5"/>
      <c r="I424" s="4"/>
      <c r="J424" s="4"/>
      <c r="K424" s="5"/>
      <c r="Q424" t="e">
        <f>VLOOKUP(A424,'גיליון דאטה להכל'!A:E,5,0)</f>
        <v>#N/A</v>
      </c>
      <c r="R424" t="e">
        <f>VLOOKUP(A424,'לעדכן בסינתזה דאטה אריזה 42+24'!$A:$C,3,0)</f>
        <v>#N/A</v>
      </c>
      <c r="S424" t="e">
        <f>VLOOKUP(#REF!,'מלאי לא תקין'!A:N,17,0)</f>
        <v>#REF!</v>
      </c>
      <c r="T424" t="e">
        <f t="shared" si="14"/>
        <v>#REF!</v>
      </c>
      <c r="U424" t="e">
        <f t="shared" si="15"/>
        <v>#REF!</v>
      </c>
    </row>
    <row r="425" spans="4:21" x14ac:dyDescent="0.2">
      <c r="D425" s="4"/>
      <c r="G425" s="5"/>
      <c r="H425" s="5"/>
      <c r="I425" s="4"/>
      <c r="J425" s="4"/>
      <c r="K425" s="5"/>
      <c r="Q425" t="e">
        <f>VLOOKUP(A425,'גיליון דאטה להכל'!A:E,5,0)</f>
        <v>#N/A</v>
      </c>
      <c r="R425" t="e">
        <f>VLOOKUP(A425,'לעדכן בסינתזה דאטה אריזה 42+24'!$A:$C,3,0)</f>
        <v>#N/A</v>
      </c>
      <c r="S425" t="e">
        <f>VLOOKUP(#REF!,'מלאי לא תקין'!A:N,17,0)</f>
        <v>#REF!</v>
      </c>
      <c r="T425" t="e">
        <f t="shared" si="14"/>
        <v>#REF!</v>
      </c>
      <c r="U425" t="e">
        <f t="shared" si="15"/>
        <v>#REF!</v>
      </c>
    </row>
    <row r="426" spans="4:21" x14ac:dyDescent="0.2">
      <c r="D426" s="4"/>
      <c r="G426" s="5"/>
      <c r="H426" s="7"/>
      <c r="I426" s="4"/>
      <c r="J426" s="4"/>
      <c r="K426" s="5"/>
      <c r="Q426" t="e">
        <f>VLOOKUP(A426,'גיליון דאטה להכל'!A:E,5,0)</f>
        <v>#N/A</v>
      </c>
      <c r="R426" t="e">
        <f>VLOOKUP(A426,'לעדכן בסינתזה דאטה אריזה 42+24'!$A:$C,3,0)</f>
        <v>#N/A</v>
      </c>
      <c r="S426" t="e">
        <f>VLOOKUP(#REF!,'מלאי לא תקין'!A:N,17,0)</f>
        <v>#REF!</v>
      </c>
      <c r="T426" t="e">
        <f t="shared" si="14"/>
        <v>#REF!</v>
      </c>
      <c r="U426" t="e">
        <f t="shared" si="15"/>
        <v>#REF!</v>
      </c>
    </row>
    <row r="427" spans="4:21" x14ac:dyDescent="0.2">
      <c r="D427" s="4"/>
      <c r="G427" s="5"/>
      <c r="H427" s="5"/>
      <c r="I427" s="4"/>
      <c r="J427" s="4"/>
      <c r="K427" s="5"/>
      <c r="Q427" t="e">
        <f>VLOOKUP(A427,'גיליון דאטה להכל'!A:E,5,0)</f>
        <v>#N/A</v>
      </c>
      <c r="R427" t="e">
        <f>VLOOKUP(A427,'לעדכן בסינתזה דאטה אריזה 42+24'!$A:$C,3,0)</f>
        <v>#N/A</v>
      </c>
      <c r="S427" t="e">
        <f>VLOOKUP(#REF!,'מלאי לא תקין'!A:N,17,0)</f>
        <v>#REF!</v>
      </c>
      <c r="T427" t="e">
        <f t="shared" si="14"/>
        <v>#REF!</v>
      </c>
      <c r="U427" t="e">
        <f t="shared" si="15"/>
        <v>#REF!</v>
      </c>
    </row>
    <row r="428" spans="4:21" x14ac:dyDescent="0.2">
      <c r="D428" s="4"/>
      <c r="G428" s="5"/>
      <c r="H428" s="5"/>
      <c r="I428" s="4"/>
      <c r="J428" s="4"/>
      <c r="K428" s="5"/>
      <c r="Q428" t="e">
        <f>VLOOKUP(A428,'גיליון דאטה להכל'!A:E,5,0)</f>
        <v>#N/A</v>
      </c>
      <c r="R428" t="e">
        <f>VLOOKUP(A428,'לעדכן בסינתזה דאטה אריזה 42+24'!$A:$C,3,0)</f>
        <v>#N/A</v>
      </c>
      <c r="S428" t="e">
        <f>VLOOKUP(#REF!,'מלאי לא תקין'!A:N,17,0)</f>
        <v>#REF!</v>
      </c>
      <c r="T428" t="e">
        <f t="shared" si="14"/>
        <v>#REF!</v>
      </c>
      <c r="U428" t="e">
        <f t="shared" si="15"/>
        <v>#REF!</v>
      </c>
    </row>
    <row r="429" spans="4:21" x14ac:dyDescent="0.2">
      <c r="D429" s="4"/>
      <c r="G429" s="5"/>
      <c r="H429" s="5"/>
      <c r="I429" s="4"/>
      <c r="J429" s="4"/>
      <c r="K429" s="5"/>
      <c r="Q429" t="e">
        <f>VLOOKUP(A429,'גיליון דאטה להכל'!A:E,5,0)</f>
        <v>#N/A</v>
      </c>
      <c r="R429" t="e">
        <f>VLOOKUP(A429,'לעדכן בסינתזה דאטה אריזה 42+24'!$A:$C,3,0)</f>
        <v>#N/A</v>
      </c>
      <c r="S429" t="e">
        <f>VLOOKUP(#REF!,'מלאי לא תקין'!A:N,17,0)</f>
        <v>#REF!</v>
      </c>
      <c r="T429" t="e">
        <f t="shared" si="14"/>
        <v>#REF!</v>
      </c>
      <c r="U429" t="e">
        <f t="shared" si="15"/>
        <v>#REF!</v>
      </c>
    </row>
    <row r="430" spans="4:21" x14ac:dyDescent="0.2">
      <c r="D430" s="4"/>
      <c r="G430" s="5"/>
      <c r="H430" s="5"/>
      <c r="I430" s="4"/>
      <c r="J430" s="4"/>
      <c r="K430" s="5"/>
      <c r="Q430" t="e">
        <f>VLOOKUP(A430,'גיליון דאטה להכל'!A:E,5,0)</f>
        <v>#N/A</v>
      </c>
      <c r="R430" t="e">
        <f>VLOOKUP(A430,'לעדכן בסינתזה דאטה אריזה 42+24'!$A:$C,3,0)</f>
        <v>#N/A</v>
      </c>
      <c r="S430" t="e">
        <f>VLOOKUP(#REF!,'מלאי לא תקין'!A:N,17,0)</f>
        <v>#REF!</v>
      </c>
      <c r="T430" t="e">
        <f t="shared" si="14"/>
        <v>#REF!</v>
      </c>
      <c r="U430" t="e">
        <f t="shared" si="15"/>
        <v>#REF!</v>
      </c>
    </row>
    <row r="431" spans="4:21" x14ac:dyDescent="0.2">
      <c r="D431" s="4"/>
      <c r="G431" s="5"/>
      <c r="H431" s="5"/>
      <c r="I431" s="4"/>
      <c r="J431" s="4"/>
      <c r="K431" s="5"/>
      <c r="Q431" t="e">
        <f>VLOOKUP(A431,'גיליון דאטה להכל'!A:E,5,0)</f>
        <v>#N/A</v>
      </c>
      <c r="R431" t="e">
        <f>VLOOKUP(A431,'לעדכן בסינתזה דאטה אריזה 42+24'!$A:$C,3,0)</f>
        <v>#N/A</v>
      </c>
      <c r="S431" t="e">
        <f>VLOOKUP(#REF!,'מלאי לא תקין'!A:N,17,0)</f>
        <v>#REF!</v>
      </c>
      <c r="T431" t="e">
        <f t="shared" si="14"/>
        <v>#REF!</v>
      </c>
      <c r="U431" t="e">
        <f t="shared" si="15"/>
        <v>#REF!</v>
      </c>
    </row>
    <row r="432" spans="4:21" x14ac:dyDescent="0.2">
      <c r="D432" s="4"/>
      <c r="G432" s="5"/>
      <c r="H432" s="7"/>
      <c r="I432" s="4"/>
      <c r="J432" s="4"/>
      <c r="K432" s="5"/>
      <c r="Q432" t="e">
        <f>VLOOKUP(A432,'גיליון דאטה להכל'!A:E,5,0)</f>
        <v>#N/A</v>
      </c>
      <c r="R432" t="e">
        <f>VLOOKUP(A432,'לעדכן בסינתזה דאטה אריזה 42+24'!$A:$C,3,0)</f>
        <v>#N/A</v>
      </c>
      <c r="S432" t="e">
        <f>VLOOKUP(#REF!,'מלאי לא תקין'!A:N,17,0)</f>
        <v>#REF!</v>
      </c>
      <c r="T432" t="e">
        <f t="shared" si="14"/>
        <v>#REF!</v>
      </c>
      <c r="U432" t="e">
        <f t="shared" si="15"/>
        <v>#REF!</v>
      </c>
    </row>
    <row r="433" spans="4:21" x14ac:dyDescent="0.2">
      <c r="D433" s="4"/>
      <c r="G433" s="5"/>
      <c r="H433" s="5"/>
      <c r="I433" s="4"/>
      <c r="J433" s="4"/>
      <c r="K433" s="5"/>
      <c r="Q433" t="e">
        <f>VLOOKUP(A433,'גיליון דאטה להכל'!A:E,5,0)</f>
        <v>#N/A</v>
      </c>
      <c r="R433" t="e">
        <f>VLOOKUP(A433,'לעדכן בסינתזה דאטה אריזה 42+24'!$A:$C,3,0)</f>
        <v>#N/A</v>
      </c>
      <c r="S433" t="e">
        <f>VLOOKUP(#REF!,'מלאי לא תקין'!A:N,17,0)</f>
        <v>#REF!</v>
      </c>
      <c r="T433" t="e">
        <f t="shared" si="14"/>
        <v>#REF!</v>
      </c>
      <c r="U433" t="e">
        <f t="shared" si="15"/>
        <v>#REF!</v>
      </c>
    </row>
    <row r="434" spans="4:21" x14ac:dyDescent="0.2">
      <c r="D434" s="4"/>
      <c r="G434" s="5"/>
      <c r="H434" s="5"/>
      <c r="I434" s="4"/>
      <c r="J434" s="4"/>
      <c r="K434" s="5"/>
      <c r="Q434" t="e">
        <f>VLOOKUP(A434,'גיליון דאטה להכל'!A:E,5,0)</f>
        <v>#N/A</v>
      </c>
      <c r="R434" t="e">
        <f>VLOOKUP(A434,'לעדכן בסינתזה דאטה אריזה 42+24'!$A:$C,3,0)</f>
        <v>#N/A</v>
      </c>
      <c r="S434" t="e">
        <f>VLOOKUP(#REF!,'מלאי לא תקין'!A:N,17,0)</f>
        <v>#REF!</v>
      </c>
      <c r="T434" t="e">
        <f t="shared" si="14"/>
        <v>#REF!</v>
      </c>
      <c r="U434" t="e">
        <f t="shared" si="15"/>
        <v>#REF!</v>
      </c>
    </row>
    <row r="435" spans="4:21" x14ac:dyDescent="0.2">
      <c r="D435" s="4"/>
      <c r="G435" s="5"/>
      <c r="H435" s="5"/>
      <c r="I435" s="4"/>
      <c r="J435" s="4"/>
      <c r="K435" s="5"/>
      <c r="Q435" t="e">
        <f>VLOOKUP(A435,'גיליון דאטה להכל'!A:E,5,0)</f>
        <v>#N/A</v>
      </c>
      <c r="R435" t="e">
        <f>VLOOKUP(A435,'לעדכן בסינתזה דאטה אריזה 42+24'!$A:$C,3,0)</f>
        <v>#N/A</v>
      </c>
      <c r="S435" t="e">
        <f>VLOOKUP(#REF!,'מלאי לא תקין'!A:N,17,0)</f>
        <v>#REF!</v>
      </c>
      <c r="T435" t="e">
        <f t="shared" si="14"/>
        <v>#REF!</v>
      </c>
      <c r="U435" t="e">
        <f t="shared" si="15"/>
        <v>#REF!</v>
      </c>
    </row>
    <row r="436" spans="4:21" x14ac:dyDescent="0.2">
      <c r="D436" s="4"/>
      <c r="G436" s="5"/>
      <c r="H436" s="7"/>
      <c r="I436" s="4"/>
      <c r="J436" s="4"/>
      <c r="K436" s="5"/>
      <c r="Q436" t="e">
        <f>VLOOKUP(A436,'גיליון דאטה להכל'!A:E,5,0)</f>
        <v>#N/A</v>
      </c>
      <c r="R436" t="e">
        <f>VLOOKUP(A436,'לעדכן בסינתזה דאטה אריזה 42+24'!$A:$C,3,0)</f>
        <v>#N/A</v>
      </c>
      <c r="S436" t="e">
        <f>VLOOKUP(#REF!,'מלאי לא תקין'!A:N,17,0)</f>
        <v>#REF!</v>
      </c>
      <c r="T436" t="e">
        <f t="shared" si="14"/>
        <v>#REF!</v>
      </c>
      <c r="U436" t="e">
        <f t="shared" si="15"/>
        <v>#REF!</v>
      </c>
    </row>
    <row r="437" spans="4:21" x14ac:dyDescent="0.2">
      <c r="D437" s="4"/>
      <c r="G437" s="5"/>
      <c r="H437" s="5"/>
      <c r="I437" s="4"/>
      <c r="J437" s="4"/>
      <c r="K437" s="5"/>
      <c r="Q437" t="e">
        <f>VLOOKUP(A437,'גיליון דאטה להכל'!A:E,5,0)</f>
        <v>#N/A</v>
      </c>
      <c r="R437" t="e">
        <f>VLOOKUP(A437,'לעדכן בסינתזה דאטה אריזה 42+24'!$A:$C,3,0)</f>
        <v>#N/A</v>
      </c>
      <c r="S437" t="e">
        <f>VLOOKUP(#REF!,'מלאי לא תקין'!A:N,17,0)</f>
        <v>#REF!</v>
      </c>
      <c r="T437" t="e">
        <f t="shared" si="14"/>
        <v>#REF!</v>
      </c>
      <c r="U437" t="e">
        <f t="shared" si="15"/>
        <v>#REF!</v>
      </c>
    </row>
    <row r="438" spans="4:21" x14ac:dyDescent="0.2">
      <c r="D438" s="4"/>
      <c r="G438" s="5"/>
      <c r="H438" s="5"/>
      <c r="I438" s="4"/>
      <c r="J438" s="4"/>
      <c r="K438" s="5"/>
      <c r="Q438" t="e">
        <f>VLOOKUP(A438,'גיליון דאטה להכל'!A:E,5,0)</f>
        <v>#N/A</v>
      </c>
      <c r="R438" t="e">
        <f>VLOOKUP(A438,'לעדכן בסינתזה דאטה אריזה 42+24'!$A:$C,3,0)</f>
        <v>#N/A</v>
      </c>
      <c r="S438" t="e">
        <f>VLOOKUP(#REF!,'מלאי לא תקין'!A:N,17,0)</f>
        <v>#REF!</v>
      </c>
      <c r="T438" t="e">
        <f t="shared" ref="T438:T501" si="16">_xlfn.CONCAT(S438,Q438)</f>
        <v>#REF!</v>
      </c>
      <c r="U438" t="e">
        <f t="shared" ref="U438:U501" si="17">_xlfn.CONCAT(S438,O438)</f>
        <v>#REF!</v>
      </c>
    </row>
    <row r="439" spans="4:21" x14ac:dyDescent="0.2">
      <c r="D439" s="4"/>
      <c r="G439" s="5"/>
      <c r="H439" s="5"/>
      <c r="I439" s="4"/>
      <c r="J439" s="4"/>
      <c r="K439" s="5"/>
      <c r="Q439" t="e">
        <f>VLOOKUP(A439,'גיליון דאטה להכל'!A:E,5,0)</f>
        <v>#N/A</v>
      </c>
      <c r="R439" t="e">
        <f>VLOOKUP(A439,'לעדכן בסינתזה דאטה אריזה 42+24'!$A:$C,3,0)</f>
        <v>#N/A</v>
      </c>
      <c r="S439" t="e">
        <f>VLOOKUP(#REF!,'מלאי לא תקין'!A:N,17,0)</f>
        <v>#REF!</v>
      </c>
      <c r="T439" t="e">
        <f t="shared" si="16"/>
        <v>#REF!</v>
      </c>
      <c r="U439" t="e">
        <f t="shared" si="17"/>
        <v>#REF!</v>
      </c>
    </row>
    <row r="440" spans="4:21" x14ac:dyDescent="0.2">
      <c r="D440" s="4"/>
      <c r="G440" s="5"/>
      <c r="H440" s="5"/>
      <c r="I440" s="4"/>
      <c r="J440" s="4"/>
      <c r="K440" s="5"/>
      <c r="Q440" t="e">
        <f>VLOOKUP(A440,'גיליון דאטה להכל'!A:E,5,0)</f>
        <v>#N/A</v>
      </c>
      <c r="R440" t="e">
        <f>VLOOKUP(A440,'לעדכן בסינתזה דאטה אריזה 42+24'!$A:$C,3,0)</f>
        <v>#N/A</v>
      </c>
      <c r="S440" t="e">
        <f>VLOOKUP(#REF!,'מלאי לא תקין'!A:N,17,0)</f>
        <v>#REF!</v>
      </c>
      <c r="T440" t="e">
        <f t="shared" si="16"/>
        <v>#REF!</v>
      </c>
      <c r="U440" t="e">
        <f t="shared" si="17"/>
        <v>#REF!</v>
      </c>
    </row>
    <row r="441" spans="4:21" x14ac:dyDescent="0.2">
      <c r="D441" s="4"/>
      <c r="G441" s="5"/>
      <c r="H441" s="5"/>
      <c r="I441" s="4"/>
      <c r="J441" s="4"/>
      <c r="K441" s="5"/>
      <c r="Q441" t="e">
        <f>VLOOKUP(A441,'גיליון דאטה להכל'!A:E,5,0)</f>
        <v>#N/A</v>
      </c>
      <c r="R441" t="e">
        <f>VLOOKUP(A441,'לעדכן בסינתזה דאטה אריזה 42+24'!$A:$C,3,0)</f>
        <v>#N/A</v>
      </c>
      <c r="S441" t="e">
        <f>VLOOKUP(#REF!,'מלאי לא תקין'!A:N,17,0)</f>
        <v>#REF!</v>
      </c>
      <c r="T441" t="e">
        <f t="shared" si="16"/>
        <v>#REF!</v>
      </c>
      <c r="U441" t="e">
        <f t="shared" si="17"/>
        <v>#REF!</v>
      </c>
    </row>
    <row r="442" spans="4:21" x14ac:dyDescent="0.2">
      <c r="D442" s="4"/>
      <c r="G442" s="5"/>
      <c r="H442" s="7"/>
      <c r="I442" s="4"/>
      <c r="J442" s="4"/>
      <c r="K442" s="5"/>
      <c r="Q442" t="e">
        <f>VLOOKUP(A442,'גיליון דאטה להכל'!A:E,5,0)</f>
        <v>#N/A</v>
      </c>
      <c r="R442" t="e">
        <f>VLOOKUP(A442,'לעדכן בסינתזה דאטה אריזה 42+24'!$A:$C,3,0)</f>
        <v>#N/A</v>
      </c>
      <c r="S442" t="e">
        <f>VLOOKUP(#REF!,'מלאי לא תקין'!A:N,17,0)</f>
        <v>#REF!</v>
      </c>
      <c r="T442" t="e">
        <f t="shared" si="16"/>
        <v>#REF!</v>
      </c>
      <c r="U442" t="e">
        <f t="shared" si="17"/>
        <v>#REF!</v>
      </c>
    </row>
    <row r="443" spans="4:21" x14ac:dyDescent="0.2">
      <c r="D443" s="4"/>
      <c r="G443" s="5"/>
      <c r="H443" s="5"/>
      <c r="I443" s="4"/>
      <c r="J443" s="4"/>
      <c r="K443" s="5"/>
      <c r="Q443" t="e">
        <f>VLOOKUP(A443,'גיליון דאטה להכל'!A:E,5,0)</f>
        <v>#N/A</v>
      </c>
      <c r="R443" t="e">
        <f>VLOOKUP(A443,'לעדכן בסינתזה דאטה אריזה 42+24'!$A:$C,3,0)</f>
        <v>#N/A</v>
      </c>
      <c r="S443" t="e">
        <f>VLOOKUP(#REF!,'מלאי לא תקין'!A:N,17,0)</f>
        <v>#REF!</v>
      </c>
      <c r="T443" t="e">
        <f t="shared" si="16"/>
        <v>#REF!</v>
      </c>
      <c r="U443" t="e">
        <f t="shared" si="17"/>
        <v>#REF!</v>
      </c>
    </row>
    <row r="444" spans="4:21" x14ac:dyDescent="0.2">
      <c r="D444" s="4"/>
      <c r="G444" s="5"/>
      <c r="H444" s="5"/>
      <c r="I444" s="4"/>
      <c r="J444" s="4"/>
      <c r="K444" s="5"/>
      <c r="Q444" t="e">
        <f>VLOOKUP(A444,'גיליון דאטה להכל'!A:E,5,0)</f>
        <v>#N/A</v>
      </c>
      <c r="R444" t="e">
        <f>VLOOKUP(A444,'לעדכן בסינתזה דאטה אריזה 42+24'!$A:$C,3,0)</f>
        <v>#N/A</v>
      </c>
      <c r="S444" t="e">
        <f>VLOOKUP(#REF!,'מלאי לא תקין'!A:N,17,0)</f>
        <v>#REF!</v>
      </c>
      <c r="T444" t="e">
        <f t="shared" si="16"/>
        <v>#REF!</v>
      </c>
      <c r="U444" t="e">
        <f t="shared" si="17"/>
        <v>#REF!</v>
      </c>
    </row>
    <row r="445" spans="4:21" x14ac:dyDescent="0.2">
      <c r="D445" s="4"/>
      <c r="G445" s="5"/>
      <c r="H445" s="5"/>
      <c r="I445" s="4"/>
      <c r="J445" s="4"/>
      <c r="K445" s="5"/>
      <c r="Q445" t="e">
        <f>VLOOKUP(A445,'גיליון דאטה להכל'!A:E,5,0)</f>
        <v>#N/A</v>
      </c>
      <c r="R445" t="e">
        <f>VLOOKUP(A445,'לעדכן בסינתזה דאטה אריזה 42+24'!$A:$C,3,0)</f>
        <v>#N/A</v>
      </c>
      <c r="S445" t="e">
        <f>VLOOKUP(#REF!,'מלאי לא תקין'!A:N,17,0)</f>
        <v>#REF!</v>
      </c>
      <c r="T445" t="e">
        <f t="shared" si="16"/>
        <v>#REF!</v>
      </c>
      <c r="U445" t="e">
        <f t="shared" si="17"/>
        <v>#REF!</v>
      </c>
    </row>
    <row r="446" spans="4:21" x14ac:dyDescent="0.2">
      <c r="D446" s="4"/>
      <c r="G446" s="5"/>
      <c r="H446" s="5"/>
      <c r="I446" s="4"/>
      <c r="J446" s="4"/>
      <c r="K446" s="5"/>
      <c r="Q446" t="e">
        <f>VLOOKUP(A446,'גיליון דאטה להכל'!A:E,5,0)</f>
        <v>#N/A</v>
      </c>
      <c r="R446" t="e">
        <f>VLOOKUP(A446,'לעדכן בסינתזה דאטה אריזה 42+24'!$A:$C,3,0)</f>
        <v>#N/A</v>
      </c>
      <c r="S446" t="e">
        <f>VLOOKUP(#REF!,'מלאי לא תקין'!A:N,17,0)</f>
        <v>#REF!</v>
      </c>
      <c r="T446" t="e">
        <f t="shared" si="16"/>
        <v>#REF!</v>
      </c>
      <c r="U446" t="e">
        <f t="shared" si="17"/>
        <v>#REF!</v>
      </c>
    </row>
    <row r="447" spans="4:21" x14ac:dyDescent="0.2">
      <c r="D447" s="4"/>
      <c r="G447" s="5"/>
      <c r="H447" s="5"/>
      <c r="I447" s="4"/>
      <c r="J447" s="4"/>
      <c r="K447" s="5"/>
      <c r="Q447" t="e">
        <f>VLOOKUP(A447,'גיליון דאטה להכל'!A:E,5,0)</f>
        <v>#N/A</v>
      </c>
      <c r="R447" t="e">
        <f>VLOOKUP(A447,'לעדכן בסינתזה דאטה אריזה 42+24'!$A:$C,3,0)</f>
        <v>#N/A</v>
      </c>
      <c r="S447" t="e">
        <f>VLOOKUP(#REF!,'מלאי לא תקין'!A:N,17,0)</f>
        <v>#REF!</v>
      </c>
      <c r="T447" t="e">
        <f t="shared" si="16"/>
        <v>#REF!</v>
      </c>
      <c r="U447" t="e">
        <f t="shared" si="17"/>
        <v>#REF!</v>
      </c>
    </row>
    <row r="448" spans="4:21" x14ac:dyDescent="0.2">
      <c r="D448" s="4"/>
      <c r="G448" s="5"/>
      <c r="H448" s="5"/>
      <c r="I448" s="4"/>
      <c r="J448" s="4"/>
      <c r="K448" s="5"/>
      <c r="Q448" t="e">
        <f>VLOOKUP(A448,'גיליון דאטה להכל'!A:E,5,0)</f>
        <v>#N/A</v>
      </c>
      <c r="R448" t="e">
        <f>VLOOKUP(A448,'לעדכן בסינתזה דאטה אריזה 42+24'!$A:$C,3,0)</f>
        <v>#N/A</v>
      </c>
      <c r="S448" t="e">
        <f>VLOOKUP(#REF!,'מלאי לא תקין'!A:N,17,0)</f>
        <v>#REF!</v>
      </c>
      <c r="T448" t="e">
        <f t="shared" si="16"/>
        <v>#REF!</v>
      </c>
      <c r="U448" t="e">
        <f t="shared" si="17"/>
        <v>#REF!</v>
      </c>
    </row>
    <row r="449" spans="4:21" x14ac:dyDescent="0.2">
      <c r="D449" s="4"/>
      <c r="G449" s="5"/>
      <c r="H449" s="5"/>
      <c r="I449" s="4"/>
      <c r="J449" s="4"/>
      <c r="K449" s="5"/>
      <c r="Q449" t="e">
        <f>VLOOKUP(A449,'גיליון דאטה להכל'!A:E,5,0)</f>
        <v>#N/A</v>
      </c>
      <c r="R449" t="e">
        <f>VLOOKUP(A449,'לעדכן בסינתזה דאטה אריזה 42+24'!$A:$C,3,0)</f>
        <v>#N/A</v>
      </c>
      <c r="S449" t="e">
        <f>VLOOKUP(#REF!,'מלאי לא תקין'!A:N,17,0)</f>
        <v>#REF!</v>
      </c>
      <c r="T449" t="e">
        <f t="shared" si="16"/>
        <v>#REF!</v>
      </c>
      <c r="U449" t="e">
        <f t="shared" si="17"/>
        <v>#REF!</v>
      </c>
    </row>
    <row r="450" spans="4:21" x14ac:dyDescent="0.2">
      <c r="D450" s="4"/>
      <c r="G450" s="5"/>
      <c r="H450" s="5"/>
      <c r="I450" s="4"/>
      <c r="J450" s="4"/>
      <c r="K450" s="5"/>
      <c r="Q450" t="e">
        <f>VLOOKUP(A450,'גיליון דאטה להכל'!A:E,5,0)</f>
        <v>#N/A</v>
      </c>
      <c r="R450" t="e">
        <f>VLOOKUP(A450,'לעדכן בסינתזה דאטה אריזה 42+24'!$A:$C,3,0)</f>
        <v>#N/A</v>
      </c>
      <c r="S450" t="e">
        <f>VLOOKUP(#REF!,'מלאי לא תקין'!A:N,17,0)</f>
        <v>#REF!</v>
      </c>
      <c r="T450" t="e">
        <f t="shared" si="16"/>
        <v>#REF!</v>
      </c>
      <c r="U450" t="e">
        <f t="shared" si="17"/>
        <v>#REF!</v>
      </c>
    </row>
    <row r="451" spans="4:21" x14ac:dyDescent="0.2">
      <c r="D451" s="4"/>
      <c r="G451" s="5"/>
      <c r="H451" s="5"/>
      <c r="I451" s="4"/>
      <c r="J451" s="4"/>
      <c r="K451" s="5"/>
      <c r="Q451" t="e">
        <f>VLOOKUP(A451,'גיליון דאטה להכל'!A:E,5,0)</f>
        <v>#N/A</v>
      </c>
      <c r="R451" t="e">
        <f>VLOOKUP(A451,'לעדכן בסינתזה דאטה אריזה 42+24'!$A:$C,3,0)</f>
        <v>#N/A</v>
      </c>
      <c r="S451" t="e">
        <f>VLOOKUP(#REF!,'מלאי לא תקין'!A:N,17,0)</f>
        <v>#REF!</v>
      </c>
      <c r="T451" t="e">
        <f t="shared" si="16"/>
        <v>#REF!</v>
      </c>
      <c r="U451" t="e">
        <f t="shared" si="17"/>
        <v>#REF!</v>
      </c>
    </row>
    <row r="452" spans="4:21" x14ac:dyDescent="0.2">
      <c r="D452" s="4"/>
      <c r="G452" s="5"/>
      <c r="H452" s="5"/>
      <c r="I452" s="4"/>
      <c r="J452" s="4"/>
      <c r="K452" s="5"/>
      <c r="Q452" t="e">
        <f>VLOOKUP(A452,'גיליון דאטה להכל'!A:E,5,0)</f>
        <v>#N/A</v>
      </c>
      <c r="R452" t="e">
        <f>VLOOKUP(A452,'לעדכן בסינתזה דאטה אריזה 42+24'!$A:$C,3,0)</f>
        <v>#N/A</v>
      </c>
      <c r="S452" t="e">
        <f>VLOOKUP(#REF!,'מלאי לא תקין'!A:N,17,0)</f>
        <v>#REF!</v>
      </c>
      <c r="T452" t="e">
        <f t="shared" si="16"/>
        <v>#REF!</v>
      </c>
      <c r="U452" t="e">
        <f t="shared" si="17"/>
        <v>#REF!</v>
      </c>
    </row>
    <row r="453" spans="4:21" x14ac:dyDescent="0.2">
      <c r="D453" s="4"/>
      <c r="G453" s="5"/>
      <c r="H453" s="7"/>
      <c r="I453" s="4"/>
      <c r="J453" s="4"/>
      <c r="K453" s="5"/>
      <c r="Q453" t="e">
        <f>VLOOKUP(A453,'גיליון דאטה להכל'!A:E,5,0)</f>
        <v>#N/A</v>
      </c>
      <c r="R453" t="e">
        <f>VLOOKUP(A453,'לעדכן בסינתזה דאטה אריזה 42+24'!$A:$C,3,0)</f>
        <v>#N/A</v>
      </c>
      <c r="S453" t="e">
        <f>VLOOKUP(#REF!,'מלאי לא תקין'!A:N,17,0)</f>
        <v>#REF!</v>
      </c>
      <c r="T453" t="e">
        <f t="shared" si="16"/>
        <v>#REF!</v>
      </c>
      <c r="U453" t="e">
        <f t="shared" si="17"/>
        <v>#REF!</v>
      </c>
    </row>
    <row r="454" spans="4:21" x14ac:dyDescent="0.2">
      <c r="D454" s="4"/>
      <c r="G454" s="5"/>
      <c r="H454" s="5"/>
      <c r="I454" s="4"/>
      <c r="J454" s="4"/>
      <c r="K454" s="5"/>
      <c r="Q454" t="e">
        <f>VLOOKUP(A454,'גיליון דאטה להכל'!A:E,5,0)</f>
        <v>#N/A</v>
      </c>
      <c r="R454" t="e">
        <f>VLOOKUP(A454,'לעדכן בסינתזה דאטה אריזה 42+24'!$A:$C,3,0)</f>
        <v>#N/A</v>
      </c>
      <c r="S454" t="e">
        <f>VLOOKUP(#REF!,'מלאי לא תקין'!A:N,17,0)</f>
        <v>#REF!</v>
      </c>
      <c r="T454" t="e">
        <f t="shared" si="16"/>
        <v>#REF!</v>
      </c>
      <c r="U454" t="e">
        <f t="shared" si="17"/>
        <v>#REF!</v>
      </c>
    </row>
    <row r="455" spans="4:21" x14ac:dyDescent="0.2">
      <c r="D455" s="4"/>
      <c r="G455" s="5"/>
      <c r="H455" s="5"/>
      <c r="I455" s="4"/>
      <c r="J455" s="4"/>
      <c r="K455" s="5"/>
      <c r="Q455" t="e">
        <f>VLOOKUP(A455,'גיליון דאטה להכל'!A:E,5,0)</f>
        <v>#N/A</v>
      </c>
      <c r="R455" t="e">
        <f>VLOOKUP(A455,'לעדכן בסינתזה דאטה אריזה 42+24'!$A:$C,3,0)</f>
        <v>#N/A</v>
      </c>
      <c r="S455" t="e">
        <f>VLOOKUP(#REF!,'מלאי לא תקין'!A:N,17,0)</f>
        <v>#REF!</v>
      </c>
      <c r="T455" t="e">
        <f t="shared" si="16"/>
        <v>#REF!</v>
      </c>
      <c r="U455" t="e">
        <f t="shared" si="17"/>
        <v>#REF!</v>
      </c>
    </row>
    <row r="456" spans="4:21" x14ac:dyDescent="0.2">
      <c r="D456" s="4"/>
      <c r="G456" s="5"/>
      <c r="H456" s="5"/>
      <c r="I456" s="4"/>
      <c r="J456" s="4"/>
      <c r="K456" s="5"/>
      <c r="Q456" t="e">
        <f>VLOOKUP(A456,'גיליון דאטה להכל'!A:E,5,0)</f>
        <v>#N/A</v>
      </c>
      <c r="R456" t="e">
        <f>VLOOKUP(A456,'לעדכן בסינתזה דאטה אריזה 42+24'!$A:$C,3,0)</f>
        <v>#N/A</v>
      </c>
      <c r="S456" t="e">
        <f>VLOOKUP(#REF!,'מלאי לא תקין'!A:N,17,0)</f>
        <v>#REF!</v>
      </c>
      <c r="T456" t="e">
        <f t="shared" si="16"/>
        <v>#REF!</v>
      </c>
      <c r="U456" t="e">
        <f t="shared" si="17"/>
        <v>#REF!</v>
      </c>
    </row>
    <row r="457" spans="4:21" x14ac:dyDescent="0.2">
      <c r="D457" s="4"/>
      <c r="G457" s="5"/>
      <c r="H457" s="5"/>
      <c r="I457" s="4"/>
      <c r="J457" s="4"/>
      <c r="K457" s="5"/>
      <c r="Q457" t="e">
        <f>VLOOKUP(A457,'גיליון דאטה להכל'!A:E,5,0)</f>
        <v>#N/A</v>
      </c>
      <c r="R457" t="e">
        <f>VLOOKUP(A457,'לעדכן בסינתזה דאטה אריזה 42+24'!$A:$C,3,0)</f>
        <v>#N/A</v>
      </c>
      <c r="S457" t="e">
        <f>VLOOKUP(#REF!,'מלאי לא תקין'!A:N,17,0)</f>
        <v>#REF!</v>
      </c>
      <c r="T457" t="e">
        <f t="shared" si="16"/>
        <v>#REF!</v>
      </c>
      <c r="U457" t="e">
        <f t="shared" si="17"/>
        <v>#REF!</v>
      </c>
    </row>
    <row r="458" spans="4:21" x14ac:dyDescent="0.2">
      <c r="D458" s="4"/>
      <c r="G458" s="5"/>
      <c r="H458" s="5"/>
      <c r="I458" s="4"/>
      <c r="J458" s="4"/>
      <c r="K458" s="5"/>
      <c r="Q458" t="e">
        <f>VLOOKUP(A458,'גיליון דאטה להכל'!A:E,5,0)</f>
        <v>#N/A</v>
      </c>
      <c r="R458" t="e">
        <f>VLOOKUP(A458,'לעדכן בסינתזה דאטה אריזה 42+24'!$A:$C,3,0)</f>
        <v>#N/A</v>
      </c>
      <c r="S458" t="e">
        <f>VLOOKUP(#REF!,'מלאי לא תקין'!A:N,17,0)</f>
        <v>#REF!</v>
      </c>
      <c r="T458" t="e">
        <f t="shared" si="16"/>
        <v>#REF!</v>
      </c>
      <c r="U458" t="e">
        <f t="shared" si="17"/>
        <v>#REF!</v>
      </c>
    </row>
    <row r="459" spans="4:21" x14ac:dyDescent="0.2">
      <c r="D459" s="4"/>
      <c r="G459" s="5"/>
      <c r="H459" s="7"/>
      <c r="I459" s="4"/>
      <c r="J459" s="4"/>
      <c r="K459" s="5"/>
      <c r="Q459" t="e">
        <f>VLOOKUP(A459,'גיליון דאטה להכל'!A:E,5,0)</f>
        <v>#N/A</v>
      </c>
      <c r="R459" t="e">
        <f>VLOOKUP(A459,'לעדכן בסינתזה דאטה אריזה 42+24'!$A:$C,3,0)</f>
        <v>#N/A</v>
      </c>
      <c r="S459" t="e">
        <f>VLOOKUP(#REF!,'מלאי לא תקין'!A:N,17,0)</f>
        <v>#REF!</v>
      </c>
      <c r="T459" t="e">
        <f t="shared" si="16"/>
        <v>#REF!</v>
      </c>
      <c r="U459" t="e">
        <f t="shared" si="17"/>
        <v>#REF!</v>
      </c>
    </row>
    <row r="460" spans="4:21" x14ac:dyDescent="0.2">
      <c r="D460" s="4"/>
      <c r="G460" s="5"/>
      <c r="H460" s="5"/>
      <c r="I460" s="4"/>
      <c r="J460" s="4"/>
      <c r="K460" s="5"/>
      <c r="Q460" t="e">
        <f>VLOOKUP(A460,'גיליון דאטה להכל'!A:E,5,0)</f>
        <v>#N/A</v>
      </c>
      <c r="R460" t="e">
        <f>VLOOKUP(A460,'לעדכן בסינתזה דאטה אריזה 42+24'!$A:$C,3,0)</f>
        <v>#N/A</v>
      </c>
      <c r="S460" t="e">
        <f>VLOOKUP(#REF!,'מלאי לא תקין'!A:N,17,0)</f>
        <v>#REF!</v>
      </c>
      <c r="T460" t="e">
        <f t="shared" si="16"/>
        <v>#REF!</v>
      </c>
      <c r="U460" t="e">
        <f t="shared" si="17"/>
        <v>#REF!</v>
      </c>
    </row>
    <row r="461" spans="4:21" x14ac:dyDescent="0.2">
      <c r="D461" s="4"/>
      <c r="G461" s="5"/>
      <c r="H461" s="5"/>
      <c r="I461" s="4"/>
      <c r="J461" s="4"/>
      <c r="K461" s="5"/>
      <c r="Q461" t="e">
        <f>VLOOKUP(A461,'גיליון דאטה להכל'!A:E,5,0)</f>
        <v>#N/A</v>
      </c>
      <c r="R461" t="e">
        <f>VLOOKUP(A461,'לעדכן בסינתזה דאטה אריזה 42+24'!$A:$C,3,0)</f>
        <v>#N/A</v>
      </c>
      <c r="S461" t="e">
        <f>VLOOKUP(#REF!,'מלאי לא תקין'!A:N,17,0)</f>
        <v>#REF!</v>
      </c>
      <c r="T461" t="e">
        <f t="shared" si="16"/>
        <v>#REF!</v>
      </c>
      <c r="U461" t="e">
        <f t="shared" si="17"/>
        <v>#REF!</v>
      </c>
    </row>
    <row r="462" spans="4:21" x14ac:dyDescent="0.2">
      <c r="D462" s="4"/>
      <c r="G462" s="5"/>
      <c r="H462" s="5"/>
      <c r="I462" s="4"/>
      <c r="J462" s="4"/>
      <c r="K462" s="5"/>
      <c r="Q462" t="e">
        <f>VLOOKUP(A462,'גיליון דאטה להכל'!A:E,5,0)</f>
        <v>#N/A</v>
      </c>
      <c r="R462" t="e">
        <f>VLOOKUP(A462,'לעדכן בסינתזה דאטה אריזה 42+24'!$A:$C,3,0)</f>
        <v>#N/A</v>
      </c>
      <c r="S462" t="e">
        <f>VLOOKUP(#REF!,'מלאי לא תקין'!A:N,17,0)</f>
        <v>#REF!</v>
      </c>
      <c r="T462" t="e">
        <f t="shared" si="16"/>
        <v>#REF!</v>
      </c>
      <c r="U462" t="e">
        <f t="shared" si="17"/>
        <v>#REF!</v>
      </c>
    </row>
    <row r="463" spans="4:21" x14ac:dyDescent="0.2">
      <c r="D463" s="4"/>
      <c r="G463" s="5"/>
      <c r="H463" s="5"/>
      <c r="I463" s="4"/>
      <c r="J463" s="4"/>
      <c r="K463" s="5"/>
      <c r="Q463" t="e">
        <f>VLOOKUP(A463,'גיליון דאטה להכל'!A:E,5,0)</f>
        <v>#N/A</v>
      </c>
      <c r="R463" t="e">
        <f>VLOOKUP(A463,'לעדכן בסינתזה דאטה אריזה 42+24'!$A:$C,3,0)</f>
        <v>#N/A</v>
      </c>
      <c r="S463" t="e">
        <f>VLOOKUP(#REF!,'מלאי לא תקין'!A:N,17,0)</f>
        <v>#REF!</v>
      </c>
      <c r="T463" t="e">
        <f t="shared" si="16"/>
        <v>#REF!</v>
      </c>
      <c r="U463" t="e">
        <f t="shared" si="17"/>
        <v>#REF!</v>
      </c>
    </row>
    <row r="464" spans="4:21" x14ac:dyDescent="0.2">
      <c r="D464" s="4"/>
      <c r="G464" s="5"/>
      <c r="H464" s="5"/>
      <c r="I464" s="4"/>
      <c r="J464" s="4"/>
      <c r="K464" s="5"/>
      <c r="Q464" t="e">
        <f>VLOOKUP(A464,'גיליון דאטה להכל'!A:E,5,0)</f>
        <v>#N/A</v>
      </c>
      <c r="R464" t="e">
        <f>VLOOKUP(A464,'לעדכן בסינתזה דאטה אריזה 42+24'!$A:$C,3,0)</f>
        <v>#N/A</v>
      </c>
      <c r="S464" t="e">
        <f>VLOOKUP(#REF!,'מלאי לא תקין'!A:N,17,0)</f>
        <v>#REF!</v>
      </c>
      <c r="T464" t="e">
        <f t="shared" si="16"/>
        <v>#REF!</v>
      </c>
      <c r="U464" t="e">
        <f t="shared" si="17"/>
        <v>#REF!</v>
      </c>
    </row>
    <row r="465" spans="4:21" x14ac:dyDescent="0.2">
      <c r="D465" s="4"/>
      <c r="G465" s="5"/>
      <c r="H465" s="7"/>
      <c r="I465" s="4"/>
      <c r="J465" s="4"/>
      <c r="K465" s="5"/>
      <c r="Q465" t="e">
        <f>VLOOKUP(A465,'גיליון דאטה להכל'!A:E,5,0)</f>
        <v>#N/A</v>
      </c>
      <c r="R465" t="e">
        <f>VLOOKUP(A465,'לעדכן בסינתזה דאטה אריזה 42+24'!$A:$C,3,0)</f>
        <v>#N/A</v>
      </c>
      <c r="S465" t="e">
        <f>VLOOKUP(#REF!,'מלאי לא תקין'!A:N,17,0)</f>
        <v>#REF!</v>
      </c>
      <c r="T465" t="e">
        <f t="shared" si="16"/>
        <v>#REF!</v>
      </c>
      <c r="U465" t="e">
        <f t="shared" si="17"/>
        <v>#REF!</v>
      </c>
    </row>
    <row r="466" spans="4:21" x14ac:dyDescent="0.2">
      <c r="D466" s="4"/>
      <c r="G466" s="5"/>
      <c r="H466" s="5"/>
      <c r="I466" s="4"/>
      <c r="J466" s="4"/>
      <c r="K466" s="5"/>
      <c r="Q466" t="e">
        <f>VLOOKUP(A466,'גיליון דאטה להכל'!A:E,5,0)</f>
        <v>#N/A</v>
      </c>
      <c r="R466" t="e">
        <f>VLOOKUP(A466,'לעדכן בסינתזה דאטה אריזה 42+24'!$A:$C,3,0)</f>
        <v>#N/A</v>
      </c>
      <c r="S466" t="e">
        <f>VLOOKUP(#REF!,'מלאי לא תקין'!A:N,17,0)</f>
        <v>#REF!</v>
      </c>
      <c r="T466" t="e">
        <f t="shared" si="16"/>
        <v>#REF!</v>
      </c>
      <c r="U466" t="e">
        <f t="shared" si="17"/>
        <v>#REF!</v>
      </c>
    </row>
    <row r="467" spans="4:21" x14ac:dyDescent="0.2">
      <c r="D467" s="4"/>
      <c r="G467" s="5"/>
      <c r="H467" s="5"/>
      <c r="I467" s="4"/>
      <c r="J467" s="4"/>
      <c r="K467" s="5"/>
      <c r="Q467" t="e">
        <f>VLOOKUP(A467,'גיליון דאטה להכל'!A:E,5,0)</f>
        <v>#N/A</v>
      </c>
      <c r="R467" t="e">
        <f>VLOOKUP(A467,'לעדכן בסינתזה דאטה אריזה 42+24'!$A:$C,3,0)</f>
        <v>#N/A</v>
      </c>
      <c r="S467" t="e">
        <f>VLOOKUP(#REF!,'מלאי לא תקין'!A:N,17,0)</f>
        <v>#REF!</v>
      </c>
      <c r="T467" t="e">
        <f t="shared" si="16"/>
        <v>#REF!</v>
      </c>
      <c r="U467" t="e">
        <f t="shared" si="17"/>
        <v>#REF!</v>
      </c>
    </row>
    <row r="468" spans="4:21" x14ac:dyDescent="0.2">
      <c r="D468" s="4"/>
      <c r="G468" s="5"/>
      <c r="H468" s="5"/>
      <c r="I468" s="4"/>
      <c r="J468" s="4"/>
      <c r="K468" s="5"/>
      <c r="Q468" t="e">
        <f>VLOOKUP(A468,'גיליון דאטה להכל'!A:E,5,0)</f>
        <v>#N/A</v>
      </c>
      <c r="R468" t="e">
        <f>VLOOKUP(A468,'לעדכן בסינתזה דאטה אריזה 42+24'!$A:$C,3,0)</f>
        <v>#N/A</v>
      </c>
      <c r="S468" t="e">
        <f>VLOOKUP(#REF!,'מלאי לא תקין'!A:N,17,0)</f>
        <v>#REF!</v>
      </c>
      <c r="T468" t="e">
        <f t="shared" si="16"/>
        <v>#REF!</v>
      </c>
      <c r="U468" t="e">
        <f t="shared" si="17"/>
        <v>#REF!</v>
      </c>
    </row>
    <row r="469" spans="4:21" x14ac:dyDescent="0.2">
      <c r="D469" s="4"/>
      <c r="G469" s="5"/>
      <c r="H469" s="5"/>
      <c r="I469" s="4"/>
      <c r="J469" s="4"/>
      <c r="K469" s="5"/>
      <c r="Q469" t="e">
        <f>VLOOKUP(A469,'גיליון דאטה להכל'!A:E,5,0)</f>
        <v>#N/A</v>
      </c>
      <c r="R469" t="e">
        <f>VLOOKUP(A469,'לעדכן בסינתזה דאטה אריזה 42+24'!$A:$C,3,0)</f>
        <v>#N/A</v>
      </c>
      <c r="S469" t="e">
        <f>VLOOKUP(#REF!,'מלאי לא תקין'!A:N,17,0)</f>
        <v>#REF!</v>
      </c>
      <c r="T469" t="e">
        <f t="shared" si="16"/>
        <v>#REF!</v>
      </c>
      <c r="U469" t="e">
        <f t="shared" si="17"/>
        <v>#REF!</v>
      </c>
    </row>
    <row r="470" spans="4:21" x14ac:dyDescent="0.2">
      <c r="D470" s="4"/>
      <c r="G470" s="5"/>
      <c r="H470" s="5"/>
      <c r="I470" s="4"/>
      <c r="J470" s="4"/>
      <c r="K470" s="5"/>
      <c r="Q470" t="e">
        <f>VLOOKUP(A470,'גיליון דאטה להכל'!A:E,5,0)</f>
        <v>#N/A</v>
      </c>
      <c r="R470" t="e">
        <f>VLOOKUP(A470,'לעדכן בסינתזה דאטה אריזה 42+24'!$A:$C,3,0)</f>
        <v>#N/A</v>
      </c>
      <c r="S470" t="e">
        <f>VLOOKUP(#REF!,'מלאי לא תקין'!A:N,17,0)</f>
        <v>#REF!</v>
      </c>
      <c r="T470" t="e">
        <f t="shared" si="16"/>
        <v>#REF!</v>
      </c>
      <c r="U470" t="e">
        <f t="shared" si="17"/>
        <v>#REF!</v>
      </c>
    </row>
    <row r="471" spans="4:21" x14ac:dyDescent="0.2">
      <c r="D471" s="4"/>
      <c r="G471" s="5"/>
      <c r="H471" s="7"/>
      <c r="I471" s="4"/>
      <c r="J471" s="4"/>
      <c r="K471" s="5"/>
      <c r="Q471" t="e">
        <f>VLOOKUP(A471,'גיליון דאטה להכל'!A:E,5,0)</f>
        <v>#N/A</v>
      </c>
      <c r="R471" t="e">
        <f>VLOOKUP(A471,'לעדכן בסינתזה דאטה אריזה 42+24'!$A:$C,3,0)</f>
        <v>#N/A</v>
      </c>
      <c r="S471" t="e">
        <f>VLOOKUP(#REF!,'מלאי לא תקין'!A:N,17,0)</f>
        <v>#REF!</v>
      </c>
      <c r="T471" t="e">
        <f t="shared" si="16"/>
        <v>#REF!</v>
      </c>
      <c r="U471" t="e">
        <f t="shared" si="17"/>
        <v>#REF!</v>
      </c>
    </row>
    <row r="472" spans="4:21" x14ac:dyDescent="0.2">
      <c r="D472" s="4"/>
      <c r="G472" s="5"/>
      <c r="H472" s="5"/>
      <c r="I472" s="4"/>
      <c r="J472" s="4"/>
      <c r="K472" s="5"/>
      <c r="Q472" t="e">
        <f>VLOOKUP(A472,'גיליון דאטה להכל'!A:E,5,0)</f>
        <v>#N/A</v>
      </c>
      <c r="R472" t="e">
        <f>VLOOKUP(A472,'לעדכן בסינתזה דאטה אריזה 42+24'!$A:$C,3,0)</f>
        <v>#N/A</v>
      </c>
      <c r="S472" t="e">
        <f>VLOOKUP(#REF!,'מלאי לא תקין'!A:N,17,0)</f>
        <v>#REF!</v>
      </c>
      <c r="T472" t="e">
        <f t="shared" si="16"/>
        <v>#REF!</v>
      </c>
      <c r="U472" t="e">
        <f t="shared" si="17"/>
        <v>#REF!</v>
      </c>
    </row>
    <row r="473" spans="4:21" x14ac:dyDescent="0.2">
      <c r="D473" s="4"/>
      <c r="G473" s="5"/>
      <c r="H473" s="5"/>
      <c r="I473" s="4"/>
      <c r="J473" s="4"/>
      <c r="K473" s="5"/>
      <c r="Q473" t="e">
        <f>VLOOKUP(A473,'גיליון דאטה להכל'!A:E,5,0)</f>
        <v>#N/A</v>
      </c>
      <c r="R473" t="e">
        <f>VLOOKUP(A473,'לעדכן בסינתזה דאטה אריזה 42+24'!$A:$C,3,0)</f>
        <v>#N/A</v>
      </c>
      <c r="S473" t="e">
        <f>VLOOKUP(#REF!,'מלאי לא תקין'!A:N,17,0)</f>
        <v>#REF!</v>
      </c>
      <c r="T473" t="e">
        <f t="shared" si="16"/>
        <v>#REF!</v>
      </c>
      <c r="U473" t="e">
        <f t="shared" si="17"/>
        <v>#REF!</v>
      </c>
    </row>
    <row r="474" spans="4:21" x14ac:dyDescent="0.2">
      <c r="D474" s="4"/>
      <c r="G474" s="5"/>
      <c r="H474" s="5"/>
      <c r="I474" s="4"/>
      <c r="J474" s="4"/>
      <c r="K474" s="5"/>
      <c r="Q474" t="e">
        <f>VLOOKUP(A474,'גיליון דאטה להכל'!A:E,5,0)</f>
        <v>#N/A</v>
      </c>
      <c r="R474" t="e">
        <f>VLOOKUP(A474,'לעדכן בסינתזה דאטה אריזה 42+24'!$A:$C,3,0)</f>
        <v>#N/A</v>
      </c>
      <c r="S474" t="e">
        <f>VLOOKUP(#REF!,'מלאי לא תקין'!A:N,17,0)</f>
        <v>#REF!</v>
      </c>
      <c r="T474" t="e">
        <f t="shared" si="16"/>
        <v>#REF!</v>
      </c>
      <c r="U474" t="e">
        <f t="shared" si="17"/>
        <v>#REF!</v>
      </c>
    </row>
    <row r="475" spans="4:21" x14ac:dyDescent="0.2">
      <c r="D475" s="4"/>
      <c r="G475" s="5"/>
      <c r="H475" s="5"/>
      <c r="I475" s="4"/>
      <c r="J475" s="4"/>
      <c r="K475" s="5"/>
      <c r="Q475" t="e">
        <f>VLOOKUP(A475,'גיליון דאטה להכל'!A:E,5,0)</f>
        <v>#N/A</v>
      </c>
      <c r="R475" t="e">
        <f>VLOOKUP(A475,'לעדכן בסינתזה דאטה אריזה 42+24'!$A:$C,3,0)</f>
        <v>#N/A</v>
      </c>
      <c r="S475" t="e">
        <f>VLOOKUP(#REF!,'מלאי לא תקין'!A:N,17,0)</f>
        <v>#REF!</v>
      </c>
      <c r="T475" t="e">
        <f t="shared" si="16"/>
        <v>#REF!</v>
      </c>
      <c r="U475" t="e">
        <f t="shared" si="17"/>
        <v>#REF!</v>
      </c>
    </row>
    <row r="476" spans="4:21" x14ac:dyDescent="0.2">
      <c r="D476" s="4"/>
      <c r="G476" s="5"/>
      <c r="H476" s="5"/>
      <c r="I476" s="4"/>
      <c r="J476" s="4"/>
      <c r="K476" s="5"/>
      <c r="Q476" t="e">
        <f>VLOOKUP(A476,'גיליון דאטה להכל'!A:E,5,0)</f>
        <v>#N/A</v>
      </c>
      <c r="R476" t="e">
        <f>VLOOKUP(A476,'לעדכן בסינתזה דאטה אריזה 42+24'!$A:$C,3,0)</f>
        <v>#N/A</v>
      </c>
      <c r="S476" t="e">
        <f>VLOOKUP(#REF!,'מלאי לא תקין'!A:N,17,0)</f>
        <v>#REF!</v>
      </c>
      <c r="T476" t="e">
        <f t="shared" si="16"/>
        <v>#REF!</v>
      </c>
      <c r="U476" t="e">
        <f t="shared" si="17"/>
        <v>#REF!</v>
      </c>
    </row>
    <row r="477" spans="4:21" x14ac:dyDescent="0.2">
      <c r="D477" s="4"/>
      <c r="G477" s="5"/>
      <c r="H477" s="7"/>
      <c r="I477" s="4"/>
      <c r="J477" s="4"/>
      <c r="K477" s="5"/>
      <c r="Q477" t="e">
        <f>VLOOKUP(A477,'גיליון דאטה להכל'!A:E,5,0)</f>
        <v>#N/A</v>
      </c>
      <c r="R477" t="e">
        <f>VLOOKUP(A477,'לעדכן בסינתזה דאטה אריזה 42+24'!$A:$C,3,0)</f>
        <v>#N/A</v>
      </c>
      <c r="S477" t="e">
        <f>VLOOKUP(#REF!,'מלאי לא תקין'!A:N,17,0)</f>
        <v>#REF!</v>
      </c>
      <c r="T477" t="e">
        <f t="shared" si="16"/>
        <v>#REF!</v>
      </c>
      <c r="U477" t="e">
        <f t="shared" si="17"/>
        <v>#REF!</v>
      </c>
    </row>
    <row r="478" spans="4:21" x14ac:dyDescent="0.2">
      <c r="D478" s="4"/>
      <c r="G478" s="5"/>
      <c r="H478" s="5"/>
      <c r="I478" s="4"/>
      <c r="J478" s="4"/>
      <c r="K478" s="5"/>
      <c r="Q478" t="e">
        <f>VLOOKUP(A478,'גיליון דאטה להכל'!A:E,5,0)</f>
        <v>#N/A</v>
      </c>
      <c r="R478" t="e">
        <f>VLOOKUP(A478,'לעדכן בסינתזה דאטה אריזה 42+24'!$A:$C,3,0)</f>
        <v>#N/A</v>
      </c>
      <c r="S478" t="e">
        <f>VLOOKUP(#REF!,'מלאי לא תקין'!A:N,17,0)</f>
        <v>#REF!</v>
      </c>
      <c r="T478" t="e">
        <f t="shared" si="16"/>
        <v>#REF!</v>
      </c>
      <c r="U478" t="e">
        <f t="shared" si="17"/>
        <v>#REF!</v>
      </c>
    </row>
    <row r="479" spans="4:21" x14ac:dyDescent="0.2">
      <c r="D479" s="4"/>
      <c r="G479" s="5"/>
      <c r="H479" s="5"/>
      <c r="I479" s="4"/>
      <c r="J479" s="4"/>
      <c r="K479" s="5"/>
      <c r="Q479" t="e">
        <f>VLOOKUP(A479,'גיליון דאטה להכל'!A:E,5,0)</f>
        <v>#N/A</v>
      </c>
      <c r="R479" t="e">
        <f>VLOOKUP(A479,'לעדכן בסינתזה דאטה אריזה 42+24'!$A:$C,3,0)</f>
        <v>#N/A</v>
      </c>
      <c r="S479" t="e">
        <f>VLOOKUP(#REF!,'מלאי לא תקין'!A:N,17,0)</f>
        <v>#REF!</v>
      </c>
      <c r="T479" t="e">
        <f t="shared" si="16"/>
        <v>#REF!</v>
      </c>
      <c r="U479" t="e">
        <f t="shared" si="17"/>
        <v>#REF!</v>
      </c>
    </row>
    <row r="480" spans="4:21" x14ac:dyDescent="0.2">
      <c r="D480" s="4"/>
      <c r="G480" s="5"/>
      <c r="H480" s="5"/>
      <c r="I480" s="4"/>
      <c r="J480" s="4"/>
      <c r="K480" s="5"/>
      <c r="Q480" t="e">
        <f>VLOOKUP(A480,'גיליון דאטה להכל'!A:E,5,0)</f>
        <v>#N/A</v>
      </c>
      <c r="R480" t="e">
        <f>VLOOKUP(A480,'לעדכן בסינתזה דאטה אריזה 42+24'!$A:$C,3,0)</f>
        <v>#N/A</v>
      </c>
      <c r="S480" t="e">
        <f>VLOOKUP(#REF!,'מלאי לא תקין'!A:N,17,0)</f>
        <v>#REF!</v>
      </c>
      <c r="T480" t="e">
        <f t="shared" si="16"/>
        <v>#REF!</v>
      </c>
      <c r="U480" t="e">
        <f t="shared" si="17"/>
        <v>#REF!</v>
      </c>
    </row>
    <row r="481" spans="4:21" x14ac:dyDescent="0.2">
      <c r="D481" s="4"/>
      <c r="G481" s="5"/>
      <c r="H481" s="5"/>
      <c r="I481" s="4"/>
      <c r="J481" s="4"/>
      <c r="K481" s="5"/>
      <c r="Q481" t="e">
        <f>VLOOKUP(A481,'גיליון דאטה להכל'!A:E,5,0)</f>
        <v>#N/A</v>
      </c>
      <c r="R481" t="e">
        <f>VLOOKUP(A481,'לעדכן בסינתזה דאטה אריזה 42+24'!$A:$C,3,0)</f>
        <v>#N/A</v>
      </c>
      <c r="S481" t="e">
        <f>VLOOKUP(#REF!,'מלאי לא תקין'!A:N,17,0)</f>
        <v>#REF!</v>
      </c>
      <c r="T481" t="e">
        <f t="shared" si="16"/>
        <v>#REF!</v>
      </c>
      <c r="U481" t="e">
        <f t="shared" si="17"/>
        <v>#REF!</v>
      </c>
    </row>
    <row r="482" spans="4:21" x14ac:dyDescent="0.2">
      <c r="D482" s="4"/>
      <c r="G482" s="5"/>
      <c r="H482" s="5"/>
      <c r="I482" s="4"/>
      <c r="J482" s="4"/>
      <c r="K482" s="5"/>
      <c r="Q482" t="e">
        <f>VLOOKUP(A482,'גיליון דאטה להכל'!A:E,5,0)</f>
        <v>#N/A</v>
      </c>
      <c r="R482" t="e">
        <f>VLOOKUP(A482,'לעדכן בסינתזה דאטה אריזה 42+24'!$A:$C,3,0)</f>
        <v>#N/A</v>
      </c>
      <c r="S482" t="e">
        <f>VLOOKUP(#REF!,'מלאי לא תקין'!A:N,17,0)</f>
        <v>#REF!</v>
      </c>
      <c r="T482" t="e">
        <f t="shared" si="16"/>
        <v>#REF!</v>
      </c>
      <c r="U482" t="e">
        <f t="shared" si="17"/>
        <v>#REF!</v>
      </c>
    </row>
    <row r="483" spans="4:21" x14ac:dyDescent="0.2">
      <c r="D483" s="4"/>
      <c r="G483" s="5"/>
      <c r="H483" s="7"/>
      <c r="I483" s="4"/>
      <c r="J483" s="4"/>
      <c r="K483" s="5"/>
      <c r="Q483" t="e">
        <f>VLOOKUP(A483,'גיליון דאטה להכל'!A:E,5,0)</f>
        <v>#N/A</v>
      </c>
      <c r="R483" t="e">
        <f>VLOOKUP(A483,'לעדכן בסינתזה דאטה אריזה 42+24'!$A:$C,3,0)</f>
        <v>#N/A</v>
      </c>
      <c r="S483" t="e">
        <f>VLOOKUP(#REF!,'מלאי לא תקין'!A:N,17,0)</f>
        <v>#REF!</v>
      </c>
      <c r="T483" t="e">
        <f t="shared" si="16"/>
        <v>#REF!</v>
      </c>
      <c r="U483" t="e">
        <f t="shared" si="17"/>
        <v>#REF!</v>
      </c>
    </row>
    <row r="484" spans="4:21" x14ac:dyDescent="0.2">
      <c r="D484" s="4"/>
      <c r="G484" s="5"/>
      <c r="H484" s="5"/>
      <c r="I484" s="4"/>
      <c r="J484" s="4"/>
      <c r="K484" s="5"/>
      <c r="Q484" t="e">
        <f>VLOOKUP(A484,'גיליון דאטה להכל'!A:E,5,0)</f>
        <v>#N/A</v>
      </c>
      <c r="R484" t="e">
        <f>VLOOKUP(A484,'לעדכן בסינתזה דאטה אריזה 42+24'!$A:$C,3,0)</f>
        <v>#N/A</v>
      </c>
      <c r="S484" t="e">
        <f>VLOOKUP(#REF!,'מלאי לא תקין'!A:N,17,0)</f>
        <v>#REF!</v>
      </c>
      <c r="T484" t="e">
        <f t="shared" si="16"/>
        <v>#REF!</v>
      </c>
      <c r="U484" t="e">
        <f t="shared" si="17"/>
        <v>#REF!</v>
      </c>
    </row>
    <row r="485" spans="4:21" x14ac:dyDescent="0.2">
      <c r="D485" s="4"/>
      <c r="G485" s="5"/>
      <c r="H485" s="5"/>
      <c r="I485" s="4"/>
      <c r="J485" s="4"/>
      <c r="K485" s="5"/>
      <c r="Q485" t="e">
        <f>VLOOKUP(A485,'גיליון דאטה להכל'!A:E,5,0)</f>
        <v>#N/A</v>
      </c>
      <c r="R485" t="e">
        <f>VLOOKUP(A485,'לעדכן בסינתזה דאטה אריזה 42+24'!$A:$C,3,0)</f>
        <v>#N/A</v>
      </c>
      <c r="S485" t="e">
        <f>VLOOKUP(#REF!,'מלאי לא תקין'!A:N,17,0)</f>
        <v>#REF!</v>
      </c>
      <c r="T485" t="e">
        <f t="shared" si="16"/>
        <v>#REF!</v>
      </c>
      <c r="U485" t="e">
        <f t="shared" si="17"/>
        <v>#REF!</v>
      </c>
    </row>
    <row r="486" spans="4:21" x14ac:dyDescent="0.2">
      <c r="D486" s="4"/>
      <c r="G486" s="5"/>
      <c r="H486" s="5"/>
      <c r="I486" s="4"/>
      <c r="J486" s="4"/>
      <c r="K486" s="5"/>
      <c r="Q486" t="e">
        <f>VLOOKUP(A486,'גיליון דאטה להכל'!A:E,5,0)</f>
        <v>#N/A</v>
      </c>
      <c r="R486" t="e">
        <f>VLOOKUP(A486,'לעדכן בסינתזה דאטה אריזה 42+24'!$A:$C,3,0)</f>
        <v>#N/A</v>
      </c>
      <c r="S486" t="e">
        <f>VLOOKUP(#REF!,'מלאי לא תקין'!A:N,17,0)</f>
        <v>#REF!</v>
      </c>
      <c r="T486" t="e">
        <f t="shared" si="16"/>
        <v>#REF!</v>
      </c>
      <c r="U486" t="e">
        <f t="shared" si="17"/>
        <v>#REF!</v>
      </c>
    </row>
    <row r="487" spans="4:21" x14ac:dyDescent="0.2">
      <c r="D487" s="4"/>
      <c r="G487" s="5"/>
      <c r="H487" s="5"/>
      <c r="I487" s="4"/>
      <c r="J487" s="4"/>
      <c r="K487" s="5"/>
      <c r="Q487" t="e">
        <f>VLOOKUP(A487,'גיליון דאטה להכל'!A:E,5,0)</f>
        <v>#N/A</v>
      </c>
      <c r="R487" t="e">
        <f>VLOOKUP(A487,'לעדכן בסינתזה דאטה אריזה 42+24'!$A:$C,3,0)</f>
        <v>#N/A</v>
      </c>
      <c r="S487" t="e">
        <f>VLOOKUP(#REF!,'מלאי לא תקין'!A:N,17,0)</f>
        <v>#REF!</v>
      </c>
      <c r="T487" t="e">
        <f t="shared" si="16"/>
        <v>#REF!</v>
      </c>
      <c r="U487" t="e">
        <f t="shared" si="17"/>
        <v>#REF!</v>
      </c>
    </row>
    <row r="488" spans="4:21" x14ac:dyDescent="0.2">
      <c r="D488" s="4"/>
      <c r="G488" s="5"/>
      <c r="H488" s="5"/>
      <c r="I488" s="4"/>
      <c r="J488" s="4"/>
      <c r="K488" s="5"/>
      <c r="Q488" t="e">
        <f>VLOOKUP(A488,'גיליון דאטה להכל'!A:E,5,0)</f>
        <v>#N/A</v>
      </c>
      <c r="R488" t="e">
        <f>VLOOKUP(A488,'לעדכן בסינתזה דאטה אריזה 42+24'!$A:$C,3,0)</f>
        <v>#N/A</v>
      </c>
      <c r="S488" t="e">
        <f>VLOOKUP(#REF!,'מלאי לא תקין'!A:N,17,0)</f>
        <v>#REF!</v>
      </c>
      <c r="T488" t="e">
        <f t="shared" si="16"/>
        <v>#REF!</v>
      </c>
      <c r="U488" t="e">
        <f t="shared" si="17"/>
        <v>#REF!</v>
      </c>
    </row>
    <row r="489" spans="4:21" x14ac:dyDescent="0.2">
      <c r="D489" s="4"/>
      <c r="G489" s="5"/>
      <c r="H489" s="5"/>
      <c r="I489" s="4"/>
      <c r="J489" s="4"/>
      <c r="K489" s="5"/>
      <c r="Q489" t="e">
        <f>VLOOKUP(A489,'גיליון דאטה להכל'!A:E,5,0)</f>
        <v>#N/A</v>
      </c>
      <c r="R489" t="e">
        <f>VLOOKUP(A489,'לעדכן בסינתזה דאטה אריזה 42+24'!$A:$C,3,0)</f>
        <v>#N/A</v>
      </c>
      <c r="S489" t="e">
        <f>VLOOKUP(#REF!,'מלאי לא תקין'!A:N,17,0)</f>
        <v>#REF!</v>
      </c>
      <c r="T489" t="e">
        <f t="shared" si="16"/>
        <v>#REF!</v>
      </c>
      <c r="U489" t="e">
        <f t="shared" si="17"/>
        <v>#REF!</v>
      </c>
    </row>
    <row r="490" spans="4:21" x14ac:dyDescent="0.2">
      <c r="D490" s="4"/>
      <c r="G490" s="5"/>
      <c r="H490" s="5"/>
      <c r="I490" s="4"/>
      <c r="J490" s="4"/>
      <c r="K490" s="5"/>
      <c r="Q490" t="e">
        <f>VLOOKUP(A490,'גיליון דאטה להכל'!A:E,5,0)</f>
        <v>#N/A</v>
      </c>
      <c r="R490" t="e">
        <f>VLOOKUP(A490,'לעדכן בסינתזה דאטה אריזה 42+24'!$A:$C,3,0)</f>
        <v>#N/A</v>
      </c>
      <c r="S490" t="e">
        <f>VLOOKUP(#REF!,'מלאי לא תקין'!A:N,17,0)</f>
        <v>#REF!</v>
      </c>
      <c r="T490" t="e">
        <f t="shared" si="16"/>
        <v>#REF!</v>
      </c>
      <c r="U490" t="e">
        <f t="shared" si="17"/>
        <v>#REF!</v>
      </c>
    </row>
    <row r="491" spans="4:21" x14ac:dyDescent="0.2">
      <c r="D491" s="4"/>
      <c r="G491" s="5"/>
      <c r="H491" s="5"/>
      <c r="I491" s="4"/>
      <c r="J491" s="4"/>
      <c r="K491" s="5"/>
      <c r="Q491" t="e">
        <f>VLOOKUP(A491,'גיליון דאטה להכל'!A:E,5,0)</f>
        <v>#N/A</v>
      </c>
      <c r="R491" t="e">
        <f>VLOOKUP(A491,'לעדכן בסינתזה דאטה אריזה 42+24'!$A:$C,3,0)</f>
        <v>#N/A</v>
      </c>
      <c r="S491" t="e">
        <f>VLOOKUP(#REF!,'מלאי לא תקין'!A:N,17,0)</f>
        <v>#REF!</v>
      </c>
      <c r="T491" t="e">
        <f t="shared" si="16"/>
        <v>#REF!</v>
      </c>
      <c r="U491" t="e">
        <f t="shared" si="17"/>
        <v>#REF!</v>
      </c>
    </row>
    <row r="492" spans="4:21" x14ac:dyDescent="0.2">
      <c r="D492" s="4"/>
      <c r="G492" s="5"/>
      <c r="H492" s="7"/>
      <c r="I492" s="4"/>
      <c r="J492" s="4"/>
      <c r="K492" s="5"/>
      <c r="Q492" t="e">
        <f>VLOOKUP(A492,'גיליון דאטה להכל'!A:E,5,0)</f>
        <v>#N/A</v>
      </c>
      <c r="R492" t="e">
        <f>VLOOKUP(A492,'לעדכן בסינתזה דאטה אריזה 42+24'!$A:$C,3,0)</f>
        <v>#N/A</v>
      </c>
      <c r="S492" t="e">
        <f>VLOOKUP(#REF!,'מלאי לא תקין'!A:N,17,0)</f>
        <v>#REF!</v>
      </c>
      <c r="T492" t="e">
        <f t="shared" si="16"/>
        <v>#REF!</v>
      </c>
      <c r="U492" t="e">
        <f t="shared" si="17"/>
        <v>#REF!</v>
      </c>
    </row>
    <row r="493" spans="4:21" x14ac:dyDescent="0.2">
      <c r="D493" s="4"/>
      <c r="G493" s="5"/>
      <c r="H493" s="5"/>
      <c r="I493" s="4"/>
      <c r="J493" s="4"/>
      <c r="K493" s="5"/>
      <c r="Q493" t="e">
        <f>VLOOKUP(A493,'גיליון דאטה להכל'!A:E,5,0)</f>
        <v>#N/A</v>
      </c>
      <c r="R493" t="e">
        <f>VLOOKUP(A493,'לעדכן בסינתזה דאטה אריזה 42+24'!$A:$C,3,0)</f>
        <v>#N/A</v>
      </c>
      <c r="S493" t="e">
        <f>VLOOKUP(#REF!,'מלאי לא תקין'!A:N,17,0)</f>
        <v>#REF!</v>
      </c>
      <c r="T493" t="e">
        <f t="shared" si="16"/>
        <v>#REF!</v>
      </c>
      <c r="U493" t="e">
        <f t="shared" si="17"/>
        <v>#REF!</v>
      </c>
    </row>
    <row r="494" spans="4:21" x14ac:dyDescent="0.2">
      <c r="D494" s="4"/>
      <c r="G494" s="5"/>
      <c r="H494" s="5"/>
      <c r="I494" s="4"/>
      <c r="J494" s="4"/>
      <c r="K494" s="5"/>
      <c r="Q494" t="e">
        <f>VLOOKUP(A494,'גיליון דאטה להכל'!A:E,5,0)</f>
        <v>#N/A</v>
      </c>
      <c r="R494" t="e">
        <f>VLOOKUP(A494,'לעדכן בסינתזה דאטה אריזה 42+24'!$A:$C,3,0)</f>
        <v>#N/A</v>
      </c>
      <c r="S494" t="e">
        <f>VLOOKUP(#REF!,'מלאי לא תקין'!A:N,17,0)</f>
        <v>#REF!</v>
      </c>
      <c r="T494" t="e">
        <f t="shared" si="16"/>
        <v>#REF!</v>
      </c>
      <c r="U494" t="e">
        <f t="shared" si="17"/>
        <v>#REF!</v>
      </c>
    </row>
    <row r="495" spans="4:21" x14ac:dyDescent="0.2">
      <c r="D495" s="4"/>
      <c r="G495" s="5"/>
      <c r="H495" s="5"/>
      <c r="I495" s="4"/>
      <c r="J495" s="4"/>
      <c r="K495" s="5"/>
      <c r="Q495" t="e">
        <f>VLOOKUP(A495,'גיליון דאטה להכל'!A:E,5,0)</f>
        <v>#N/A</v>
      </c>
      <c r="R495" t="e">
        <f>VLOOKUP(A495,'לעדכן בסינתזה דאטה אריזה 42+24'!$A:$C,3,0)</f>
        <v>#N/A</v>
      </c>
      <c r="S495" t="e">
        <f>VLOOKUP(#REF!,'מלאי לא תקין'!A:N,17,0)</f>
        <v>#REF!</v>
      </c>
      <c r="T495" t="e">
        <f t="shared" si="16"/>
        <v>#REF!</v>
      </c>
      <c r="U495" t="e">
        <f t="shared" si="17"/>
        <v>#REF!</v>
      </c>
    </row>
    <row r="496" spans="4:21" x14ac:dyDescent="0.2">
      <c r="D496" s="4"/>
      <c r="G496" s="5"/>
      <c r="H496" s="5"/>
      <c r="I496" s="4"/>
      <c r="J496" s="4"/>
      <c r="K496" s="5"/>
      <c r="Q496" t="e">
        <f>VLOOKUP(A496,'גיליון דאטה להכל'!A:E,5,0)</f>
        <v>#N/A</v>
      </c>
      <c r="R496" t="e">
        <f>VLOOKUP(A496,'לעדכן בסינתזה דאטה אריזה 42+24'!$A:$C,3,0)</f>
        <v>#N/A</v>
      </c>
      <c r="S496" t="e">
        <f>VLOOKUP(#REF!,'מלאי לא תקין'!A:N,17,0)</f>
        <v>#REF!</v>
      </c>
      <c r="T496" t="e">
        <f t="shared" si="16"/>
        <v>#REF!</v>
      </c>
      <c r="U496" t="e">
        <f t="shared" si="17"/>
        <v>#REF!</v>
      </c>
    </row>
    <row r="497" spans="4:21" x14ac:dyDescent="0.2">
      <c r="D497" s="4"/>
      <c r="G497" s="5"/>
      <c r="H497" s="5"/>
      <c r="I497" s="4"/>
      <c r="J497" s="4"/>
      <c r="K497" s="5"/>
      <c r="Q497" t="e">
        <f>VLOOKUP(A497,'גיליון דאטה להכל'!A:E,5,0)</f>
        <v>#N/A</v>
      </c>
      <c r="R497" t="e">
        <f>VLOOKUP(A497,'לעדכן בסינתזה דאטה אריזה 42+24'!$A:$C,3,0)</f>
        <v>#N/A</v>
      </c>
      <c r="S497" t="e">
        <f>VLOOKUP(#REF!,'מלאי לא תקין'!A:N,17,0)</f>
        <v>#REF!</v>
      </c>
      <c r="T497" t="e">
        <f t="shared" si="16"/>
        <v>#REF!</v>
      </c>
      <c r="U497" t="e">
        <f t="shared" si="17"/>
        <v>#REF!</v>
      </c>
    </row>
    <row r="498" spans="4:21" x14ac:dyDescent="0.2">
      <c r="D498" s="4"/>
      <c r="G498" s="5"/>
      <c r="H498" s="7"/>
      <c r="I498" s="4"/>
      <c r="J498" s="4"/>
      <c r="K498" s="5"/>
      <c r="Q498" t="e">
        <f>VLOOKUP(A498,'גיליון דאטה להכל'!A:E,5,0)</f>
        <v>#N/A</v>
      </c>
      <c r="R498" t="e">
        <f>VLOOKUP(A498,'לעדכן בסינתזה דאטה אריזה 42+24'!$A:$C,3,0)</f>
        <v>#N/A</v>
      </c>
      <c r="S498" t="e">
        <f>VLOOKUP(#REF!,'מלאי לא תקין'!A:N,17,0)</f>
        <v>#REF!</v>
      </c>
      <c r="T498" t="e">
        <f t="shared" si="16"/>
        <v>#REF!</v>
      </c>
      <c r="U498" t="e">
        <f t="shared" si="17"/>
        <v>#REF!</v>
      </c>
    </row>
    <row r="499" spans="4:21" x14ac:dyDescent="0.2">
      <c r="D499" s="4"/>
      <c r="G499" s="5"/>
      <c r="H499" s="5"/>
      <c r="I499" s="4"/>
      <c r="J499" s="4"/>
      <c r="K499" s="5"/>
      <c r="Q499" t="e">
        <f>VLOOKUP(A499,'גיליון דאטה להכל'!A:E,5,0)</f>
        <v>#N/A</v>
      </c>
      <c r="R499" t="e">
        <f>VLOOKUP(A499,'לעדכן בסינתזה דאטה אריזה 42+24'!$A:$C,3,0)</f>
        <v>#N/A</v>
      </c>
      <c r="S499" t="e">
        <f>VLOOKUP(#REF!,'מלאי לא תקין'!A:N,17,0)</f>
        <v>#REF!</v>
      </c>
      <c r="T499" t="e">
        <f t="shared" si="16"/>
        <v>#REF!</v>
      </c>
      <c r="U499" t="e">
        <f t="shared" si="17"/>
        <v>#REF!</v>
      </c>
    </row>
    <row r="500" spans="4:21" x14ac:dyDescent="0.2">
      <c r="D500" s="4"/>
      <c r="G500" s="5"/>
      <c r="H500" s="5"/>
      <c r="I500" s="4"/>
      <c r="J500" s="4"/>
      <c r="K500" s="5"/>
      <c r="Q500" t="e">
        <f>VLOOKUP(A500,'גיליון דאטה להכל'!A:E,5,0)</f>
        <v>#N/A</v>
      </c>
      <c r="R500" t="e">
        <f>VLOOKUP(A500,'לעדכן בסינתזה דאטה אריזה 42+24'!$A:$C,3,0)</f>
        <v>#N/A</v>
      </c>
      <c r="S500" t="e">
        <f>VLOOKUP(#REF!,'מלאי לא תקין'!A:N,17,0)</f>
        <v>#REF!</v>
      </c>
      <c r="T500" t="e">
        <f t="shared" si="16"/>
        <v>#REF!</v>
      </c>
      <c r="U500" t="e">
        <f t="shared" si="17"/>
        <v>#REF!</v>
      </c>
    </row>
    <row r="501" spans="4:21" x14ac:dyDescent="0.2">
      <c r="D501" s="4"/>
      <c r="G501" s="5"/>
      <c r="H501" s="5"/>
      <c r="I501" s="4"/>
      <c r="J501" s="4"/>
      <c r="K501" s="5"/>
      <c r="Q501" t="e">
        <f>VLOOKUP(A501,'גיליון דאטה להכל'!A:E,5,0)</f>
        <v>#N/A</v>
      </c>
      <c r="R501" t="e">
        <f>VLOOKUP(A501,'לעדכן בסינתזה דאטה אריזה 42+24'!$A:$C,3,0)</f>
        <v>#N/A</v>
      </c>
      <c r="S501" t="e">
        <f>VLOOKUP(#REF!,'מלאי לא תקין'!A:N,17,0)</f>
        <v>#REF!</v>
      </c>
      <c r="T501" t="e">
        <f t="shared" si="16"/>
        <v>#REF!</v>
      </c>
      <c r="U501" t="e">
        <f t="shared" si="17"/>
        <v>#REF!</v>
      </c>
    </row>
    <row r="502" spans="4:21" x14ac:dyDescent="0.2">
      <c r="D502" s="4"/>
      <c r="G502" s="5"/>
      <c r="H502" s="5"/>
      <c r="I502" s="4"/>
      <c r="J502" s="4"/>
      <c r="K502" s="5"/>
      <c r="Q502" t="e">
        <f>VLOOKUP(A502,'גיליון דאטה להכל'!A:E,5,0)</f>
        <v>#N/A</v>
      </c>
      <c r="R502" t="e">
        <f>VLOOKUP(A502,'לעדכן בסינתזה דאטה אריזה 42+24'!$A:$C,3,0)</f>
        <v>#N/A</v>
      </c>
      <c r="S502" t="e">
        <f>VLOOKUP(#REF!,'מלאי לא תקין'!A:N,17,0)</f>
        <v>#REF!</v>
      </c>
      <c r="T502" t="e">
        <f t="shared" ref="T502:T565" si="18">_xlfn.CONCAT(S502,Q502)</f>
        <v>#REF!</v>
      </c>
      <c r="U502" t="e">
        <f t="shared" ref="U502:U565" si="19">_xlfn.CONCAT(S502,O502)</f>
        <v>#REF!</v>
      </c>
    </row>
    <row r="503" spans="4:21" x14ac:dyDescent="0.2">
      <c r="D503" s="4"/>
      <c r="G503" s="5"/>
      <c r="H503" s="5"/>
      <c r="I503" s="4"/>
      <c r="J503" s="4"/>
      <c r="K503" s="5"/>
      <c r="Q503" t="e">
        <f>VLOOKUP(A503,'גיליון דאטה להכל'!A:E,5,0)</f>
        <v>#N/A</v>
      </c>
      <c r="R503" t="e">
        <f>VLOOKUP(A503,'לעדכן בסינתזה דאטה אריזה 42+24'!$A:$C,3,0)</f>
        <v>#N/A</v>
      </c>
      <c r="S503" t="e">
        <f>VLOOKUP(#REF!,'מלאי לא תקין'!A:N,17,0)</f>
        <v>#REF!</v>
      </c>
      <c r="T503" t="e">
        <f t="shared" si="18"/>
        <v>#REF!</v>
      </c>
      <c r="U503" t="e">
        <f t="shared" si="19"/>
        <v>#REF!</v>
      </c>
    </row>
    <row r="504" spans="4:21" x14ac:dyDescent="0.2">
      <c r="D504" s="4"/>
      <c r="G504" s="5"/>
      <c r="H504" s="7"/>
      <c r="I504" s="4"/>
      <c r="J504" s="4"/>
      <c r="K504" s="5"/>
      <c r="Q504" t="e">
        <f>VLOOKUP(A504,'גיליון דאטה להכל'!A:E,5,0)</f>
        <v>#N/A</v>
      </c>
      <c r="R504" t="e">
        <f>VLOOKUP(A504,'לעדכן בסינתזה דאטה אריזה 42+24'!$A:$C,3,0)</f>
        <v>#N/A</v>
      </c>
      <c r="S504" t="e">
        <f>VLOOKUP(#REF!,'מלאי לא תקין'!A:N,17,0)</f>
        <v>#REF!</v>
      </c>
      <c r="T504" t="e">
        <f t="shared" si="18"/>
        <v>#REF!</v>
      </c>
      <c r="U504" t="e">
        <f t="shared" si="19"/>
        <v>#REF!</v>
      </c>
    </row>
    <row r="505" spans="4:21" x14ac:dyDescent="0.2">
      <c r="D505" s="4"/>
      <c r="G505" s="5"/>
      <c r="H505" s="5"/>
      <c r="I505" s="4"/>
      <c r="J505" s="4"/>
      <c r="K505" s="5"/>
      <c r="Q505" t="e">
        <f>VLOOKUP(A505,'גיליון דאטה להכל'!A:E,5,0)</f>
        <v>#N/A</v>
      </c>
      <c r="R505" t="e">
        <f>VLOOKUP(A505,'לעדכן בסינתזה דאטה אריזה 42+24'!$A:$C,3,0)</f>
        <v>#N/A</v>
      </c>
      <c r="S505" t="e">
        <f>VLOOKUP(#REF!,'מלאי לא תקין'!A:N,17,0)</f>
        <v>#REF!</v>
      </c>
      <c r="T505" t="e">
        <f t="shared" si="18"/>
        <v>#REF!</v>
      </c>
      <c r="U505" t="e">
        <f t="shared" si="19"/>
        <v>#REF!</v>
      </c>
    </row>
    <row r="506" spans="4:21" x14ac:dyDescent="0.2">
      <c r="D506" s="4"/>
      <c r="G506" s="5"/>
      <c r="H506" s="5"/>
      <c r="I506" s="4"/>
      <c r="J506" s="4"/>
      <c r="K506" s="5"/>
      <c r="Q506" t="e">
        <f>VLOOKUP(A506,'גיליון דאטה להכל'!A:E,5,0)</f>
        <v>#N/A</v>
      </c>
      <c r="R506" t="e">
        <f>VLOOKUP(A506,'לעדכן בסינתזה דאטה אריזה 42+24'!$A:$C,3,0)</f>
        <v>#N/A</v>
      </c>
      <c r="S506" t="e">
        <f>VLOOKUP(#REF!,'מלאי לא תקין'!A:N,17,0)</f>
        <v>#REF!</v>
      </c>
      <c r="T506" t="e">
        <f t="shared" si="18"/>
        <v>#REF!</v>
      </c>
      <c r="U506" t="e">
        <f t="shared" si="19"/>
        <v>#REF!</v>
      </c>
    </row>
    <row r="507" spans="4:21" x14ac:dyDescent="0.2">
      <c r="D507" s="4"/>
      <c r="G507" s="5"/>
      <c r="H507" s="5"/>
      <c r="I507" s="4"/>
      <c r="J507" s="4"/>
      <c r="K507" s="5"/>
      <c r="Q507" t="e">
        <f>VLOOKUP(A507,'גיליון דאטה להכל'!A:E,5,0)</f>
        <v>#N/A</v>
      </c>
      <c r="R507" t="e">
        <f>VLOOKUP(A507,'לעדכן בסינתזה דאטה אריזה 42+24'!$A:$C,3,0)</f>
        <v>#N/A</v>
      </c>
      <c r="S507" t="e">
        <f>VLOOKUP(#REF!,'מלאי לא תקין'!A:N,17,0)</f>
        <v>#REF!</v>
      </c>
      <c r="T507" t="e">
        <f t="shared" si="18"/>
        <v>#REF!</v>
      </c>
      <c r="U507" t="e">
        <f t="shared" si="19"/>
        <v>#REF!</v>
      </c>
    </row>
    <row r="508" spans="4:21" x14ac:dyDescent="0.2">
      <c r="D508" s="4"/>
      <c r="G508" s="5"/>
      <c r="H508" s="5"/>
      <c r="I508" s="4"/>
      <c r="J508" s="4"/>
      <c r="K508" s="5"/>
      <c r="Q508" t="e">
        <f>VLOOKUP(A508,'גיליון דאטה להכל'!A:E,5,0)</f>
        <v>#N/A</v>
      </c>
      <c r="R508" t="e">
        <f>VLOOKUP(A508,'לעדכן בסינתזה דאטה אריזה 42+24'!$A:$C,3,0)</f>
        <v>#N/A</v>
      </c>
      <c r="S508" t="e">
        <f>VLOOKUP(#REF!,'מלאי לא תקין'!A:N,17,0)</f>
        <v>#REF!</v>
      </c>
      <c r="T508" t="e">
        <f t="shared" si="18"/>
        <v>#REF!</v>
      </c>
      <c r="U508" t="e">
        <f t="shared" si="19"/>
        <v>#REF!</v>
      </c>
    </row>
    <row r="509" spans="4:21" x14ac:dyDescent="0.2">
      <c r="D509" s="4"/>
      <c r="G509" s="5"/>
      <c r="H509" s="7"/>
      <c r="I509" s="4"/>
      <c r="J509" s="4"/>
      <c r="K509" s="5"/>
      <c r="Q509" t="e">
        <f>VLOOKUP(A509,'גיליון דאטה להכל'!A:E,5,0)</f>
        <v>#N/A</v>
      </c>
      <c r="R509" t="e">
        <f>VLOOKUP(A509,'לעדכן בסינתזה דאטה אריזה 42+24'!$A:$C,3,0)</f>
        <v>#N/A</v>
      </c>
      <c r="S509" t="e">
        <f>VLOOKUP(#REF!,'מלאי לא תקין'!A:N,17,0)</f>
        <v>#REF!</v>
      </c>
      <c r="T509" t="e">
        <f t="shared" si="18"/>
        <v>#REF!</v>
      </c>
      <c r="U509" t="e">
        <f t="shared" si="19"/>
        <v>#REF!</v>
      </c>
    </row>
    <row r="510" spans="4:21" x14ac:dyDescent="0.2">
      <c r="D510" s="4"/>
      <c r="G510" s="5"/>
      <c r="H510" s="5"/>
      <c r="I510" s="4"/>
      <c r="J510" s="4"/>
      <c r="K510" s="5"/>
      <c r="Q510" t="e">
        <f>VLOOKUP(A510,'גיליון דאטה להכל'!A:E,5,0)</f>
        <v>#N/A</v>
      </c>
      <c r="R510" t="e">
        <f>VLOOKUP(A510,'לעדכן בסינתזה דאטה אריזה 42+24'!$A:$C,3,0)</f>
        <v>#N/A</v>
      </c>
      <c r="S510" t="e">
        <f>VLOOKUP(#REF!,'מלאי לא תקין'!A:N,17,0)</f>
        <v>#REF!</v>
      </c>
      <c r="T510" t="e">
        <f t="shared" si="18"/>
        <v>#REF!</v>
      </c>
      <c r="U510" t="e">
        <f t="shared" si="19"/>
        <v>#REF!</v>
      </c>
    </row>
    <row r="511" spans="4:21" x14ac:dyDescent="0.2">
      <c r="D511" s="4"/>
      <c r="G511" s="5"/>
      <c r="H511" s="5"/>
      <c r="I511" s="4"/>
      <c r="J511" s="4"/>
      <c r="K511" s="5"/>
      <c r="Q511" t="e">
        <f>VLOOKUP(A511,'גיליון דאטה להכל'!A:E,5,0)</f>
        <v>#N/A</v>
      </c>
      <c r="R511" t="e">
        <f>VLOOKUP(A511,'לעדכן בסינתזה דאטה אריזה 42+24'!$A:$C,3,0)</f>
        <v>#N/A</v>
      </c>
      <c r="S511" t="e">
        <f>VLOOKUP(#REF!,'מלאי לא תקין'!A:N,17,0)</f>
        <v>#REF!</v>
      </c>
      <c r="T511" t="e">
        <f t="shared" si="18"/>
        <v>#REF!</v>
      </c>
      <c r="U511" t="e">
        <f t="shared" si="19"/>
        <v>#REF!</v>
      </c>
    </row>
    <row r="512" spans="4:21" x14ac:dyDescent="0.2">
      <c r="D512" s="4"/>
      <c r="G512" s="5"/>
      <c r="H512" s="5"/>
      <c r="I512" s="4"/>
      <c r="J512" s="4"/>
      <c r="K512" s="5"/>
      <c r="Q512" t="e">
        <f>VLOOKUP(A512,'גיליון דאטה להכל'!A:E,5,0)</f>
        <v>#N/A</v>
      </c>
      <c r="R512" t="e">
        <f>VLOOKUP(A512,'לעדכן בסינתזה דאטה אריזה 42+24'!$A:$C,3,0)</f>
        <v>#N/A</v>
      </c>
      <c r="S512" t="e">
        <f>VLOOKUP(#REF!,'מלאי לא תקין'!A:N,17,0)</f>
        <v>#REF!</v>
      </c>
      <c r="T512" t="e">
        <f t="shared" si="18"/>
        <v>#REF!</v>
      </c>
      <c r="U512" t="e">
        <f t="shared" si="19"/>
        <v>#REF!</v>
      </c>
    </row>
    <row r="513" spans="4:21" x14ac:dyDescent="0.2">
      <c r="D513" s="4"/>
      <c r="G513" s="5"/>
      <c r="H513" s="5"/>
      <c r="I513" s="4"/>
      <c r="J513" s="4"/>
      <c r="K513" s="5"/>
      <c r="Q513" t="e">
        <f>VLOOKUP(A513,'גיליון דאטה להכל'!A:E,5,0)</f>
        <v>#N/A</v>
      </c>
      <c r="R513" t="e">
        <f>VLOOKUP(A513,'לעדכן בסינתזה דאטה אריזה 42+24'!$A:$C,3,0)</f>
        <v>#N/A</v>
      </c>
      <c r="S513" t="e">
        <f>VLOOKUP(#REF!,'מלאי לא תקין'!A:N,17,0)</f>
        <v>#REF!</v>
      </c>
      <c r="T513" t="e">
        <f t="shared" si="18"/>
        <v>#REF!</v>
      </c>
      <c r="U513" t="e">
        <f t="shared" si="19"/>
        <v>#REF!</v>
      </c>
    </row>
    <row r="514" spans="4:21" x14ac:dyDescent="0.2">
      <c r="D514" s="4"/>
      <c r="G514" s="5"/>
      <c r="H514" s="5"/>
      <c r="I514" s="4"/>
      <c r="J514" s="4"/>
      <c r="K514" s="5"/>
      <c r="Q514" t="e">
        <f>VLOOKUP(A514,'גיליון דאטה להכל'!A:E,5,0)</f>
        <v>#N/A</v>
      </c>
      <c r="R514" t="e">
        <f>VLOOKUP(A514,'לעדכן בסינתזה דאטה אריזה 42+24'!$A:$C,3,0)</f>
        <v>#N/A</v>
      </c>
      <c r="S514" t="e">
        <f>VLOOKUP(#REF!,'מלאי לא תקין'!A:N,17,0)</f>
        <v>#REF!</v>
      </c>
      <c r="T514" t="e">
        <f t="shared" si="18"/>
        <v>#REF!</v>
      </c>
      <c r="U514" t="e">
        <f t="shared" si="19"/>
        <v>#REF!</v>
      </c>
    </row>
    <row r="515" spans="4:21" x14ac:dyDescent="0.2">
      <c r="D515" s="4"/>
      <c r="G515" s="5"/>
      <c r="H515" s="5"/>
      <c r="I515" s="4"/>
      <c r="J515" s="4"/>
      <c r="K515" s="5"/>
      <c r="Q515" t="e">
        <f>VLOOKUP(A515,'גיליון דאטה להכל'!A:E,5,0)</f>
        <v>#N/A</v>
      </c>
      <c r="R515" t="e">
        <f>VLOOKUP(A515,'לעדכן בסינתזה דאטה אריזה 42+24'!$A:$C,3,0)</f>
        <v>#N/A</v>
      </c>
      <c r="S515" t="e">
        <f>VLOOKUP(#REF!,'מלאי לא תקין'!A:N,17,0)</f>
        <v>#REF!</v>
      </c>
      <c r="T515" t="e">
        <f t="shared" si="18"/>
        <v>#REF!</v>
      </c>
      <c r="U515" t="e">
        <f t="shared" si="19"/>
        <v>#REF!</v>
      </c>
    </row>
    <row r="516" spans="4:21" x14ac:dyDescent="0.2">
      <c r="D516" s="4"/>
      <c r="G516" s="5"/>
      <c r="H516" s="7"/>
      <c r="I516" s="4"/>
      <c r="J516" s="4"/>
      <c r="K516" s="5"/>
      <c r="Q516" t="e">
        <f>VLOOKUP(A516,'גיליון דאטה להכל'!A:E,5,0)</f>
        <v>#N/A</v>
      </c>
      <c r="R516" t="e">
        <f>VLOOKUP(A516,'לעדכן בסינתזה דאטה אריזה 42+24'!$A:$C,3,0)</f>
        <v>#N/A</v>
      </c>
      <c r="S516" t="e">
        <f>VLOOKUP(#REF!,'מלאי לא תקין'!A:N,17,0)</f>
        <v>#REF!</v>
      </c>
      <c r="T516" t="e">
        <f t="shared" si="18"/>
        <v>#REF!</v>
      </c>
      <c r="U516" t="e">
        <f t="shared" si="19"/>
        <v>#REF!</v>
      </c>
    </row>
    <row r="517" spans="4:21" x14ac:dyDescent="0.2">
      <c r="D517" s="4"/>
      <c r="G517" s="5"/>
      <c r="H517" s="5"/>
      <c r="I517" s="4"/>
      <c r="J517" s="4"/>
      <c r="K517" s="5"/>
      <c r="Q517" t="e">
        <f>VLOOKUP(A517,'גיליון דאטה להכל'!A:E,5,0)</f>
        <v>#N/A</v>
      </c>
      <c r="R517" t="e">
        <f>VLOOKUP(A517,'לעדכן בסינתזה דאטה אריזה 42+24'!$A:$C,3,0)</f>
        <v>#N/A</v>
      </c>
      <c r="S517" t="e">
        <f>VLOOKUP(#REF!,'מלאי לא תקין'!A:N,17,0)</f>
        <v>#REF!</v>
      </c>
      <c r="T517" t="e">
        <f t="shared" si="18"/>
        <v>#REF!</v>
      </c>
      <c r="U517" t="e">
        <f t="shared" si="19"/>
        <v>#REF!</v>
      </c>
    </row>
    <row r="518" spans="4:21" x14ac:dyDescent="0.2">
      <c r="D518" s="4"/>
      <c r="G518" s="5"/>
      <c r="H518" s="5"/>
      <c r="I518" s="4"/>
      <c r="J518" s="4"/>
      <c r="K518" s="5"/>
      <c r="Q518" t="e">
        <f>VLOOKUP(A518,'גיליון דאטה להכל'!A:E,5,0)</f>
        <v>#N/A</v>
      </c>
      <c r="R518" t="e">
        <f>VLOOKUP(A518,'לעדכן בסינתזה דאטה אריזה 42+24'!$A:$C,3,0)</f>
        <v>#N/A</v>
      </c>
      <c r="S518" t="e">
        <f>VLOOKUP(#REF!,'מלאי לא תקין'!A:N,17,0)</f>
        <v>#REF!</v>
      </c>
      <c r="T518" t="e">
        <f t="shared" si="18"/>
        <v>#REF!</v>
      </c>
      <c r="U518" t="e">
        <f t="shared" si="19"/>
        <v>#REF!</v>
      </c>
    </row>
    <row r="519" spans="4:21" x14ac:dyDescent="0.2">
      <c r="D519" s="4"/>
      <c r="G519" s="5"/>
      <c r="H519" s="5"/>
      <c r="I519" s="4"/>
      <c r="J519" s="4"/>
      <c r="K519" s="5"/>
      <c r="Q519" t="e">
        <f>VLOOKUP(A519,'גיליון דאטה להכל'!A:E,5,0)</f>
        <v>#N/A</v>
      </c>
      <c r="R519" t="e">
        <f>VLOOKUP(A519,'לעדכן בסינתזה דאטה אריזה 42+24'!$A:$C,3,0)</f>
        <v>#N/A</v>
      </c>
      <c r="S519" t="e">
        <f>VLOOKUP(#REF!,'מלאי לא תקין'!A:N,17,0)</f>
        <v>#REF!</v>
      </c>
      <c r="T519" t="e">
        <f t="shared" si="18"/>
        <v>#REF!</v>
      </c>
      <c r="U519" t="e">
        <f t="shared" si="19"/>
        <v>#REF!</v>
      </c>
    </row>
    <row r="520" spans="4:21" x14ac:dyDescent="0.2">
      <c r="D520" s="4"/>
      <c r="G520" s="5"/>
      <c r="H520" s="5"/>
      <c r="I520" s="4"/>
      <c r="J520" s="4"/>
      <c r="K520" s="5"/>
      <c r="Q520" t="e">
        <f>VLOOKUP(A520,'גיליון דאטה להכל'!A:E,5,0)</f>
        <v>#N/A</v>
      </c>
      <c r="R520" t="e">
        <f>VLOOKUP(A520,'לעדכן בסינתזה דאטה אריזה 42+24'!$A:$C,3,0)</f>
        <v>#N/A</v>
      </c>
      <c r="S520" t="e">
        <f>VLOOKUP(#REF!,'מלאי לא תקין'!A:N,17,0)</f>
        <v>#REF!</v>
      </c>
      <c r="T520" t="e">
        <f t="shared" si="18"/>
        <v>#REF!</v>
      </c>
      <c r="U520" t="e">
        <f t="shared" si="19"/>
        <v>#REF!</v>
      </c>
    </row>
    <row r="521" spans="4:21" x14ac:dyDescent="0.2">
      <c r="D521" s="4"/>
      <c r="G521" s="5"/>
      <c r="H521" s="5"/>
      <c r="I521" s="4"/>
      <c r="J521" s="4"/>
      <c r="K521" s="5"/>
      <c r="Q521" t="e">
        <f>VLOOKUP(A521,'גיליון דאטה להכל'!A:E,5,0)</f>
        <v>#N/A</v>
      </c>
      <c r="R521" t="e">
        <f>VLOOKUP(A521,'לעדכן בסינתזה דאטה אריזה 42+24'!$A:$C,3,0)</f>
        <v>#N/A</v>
      </c>
      <c r="S521" t="e">
        <f>VLOOKUP(#REF!,'מלאי לא תקין'!A:N,17,0)</f>
        <v>#REF!</v>
      </c>
      <c r="T521" t="e">
        <f t="shared" si="18"/>
        <v>#REF!</v>
      </c>
      <c r="U521" t="e">
        <f t="shared" si="19"/>
        <v>#REF!</v>
      </c>
    </row>
    <row r="522" spans="4:21" x14ac:dyDescent="0.2">
      <c r="D522" s="4"/>
      <c r="G522" s="5"/>
      <c r="H522" s="7"/>
      <c r="I522" s="4"/>
      <c r="J522" s="4"/>
      <c r="K522" s="5"/>
      <c r="Q522" t="e">
        <f>VLOOKUP(A522,'גיליון דאטה להכל'!A:E,5,0)</f>
        <v>#N/A</v>
      </c>
      <c r="R522" t="e">
        <f>VLOOKUP(A522,'לעדכן בסינתזה דאטה אריזה 42+24'!$A:$C,3,0)</f>
        <v>#N/A</v>
      </c>
      <c r="S522" t="e">
        <f>VLOOKUP(#REF!,'מלאי לא תקין'!A:N,17,0)</f>
        <v>#REF!</v>
      </c>
      <c r="T522" t="e">
        <f t="shared" si="18"/>
        <v>#REF!</v>
      </c>
      <c r="U522" t="e">
        <f t="shared" si="19"/>
        <v>#REF!</v>
      </c>
    </row>
    <row r="523" spans="4:21" x14ac:dyDescent="0.2">
      <c r="D523" s="4"/>
      <c r="G523" s="5"/>
      <c r="H523" s="5"/>
      <c r="I523" s="4"/>
      <c r="J523" s="4"/>
      <c r="K523" s="5"/>
      <c r="Q523" t="e">
        <f>VLOOKUP(A523,'גיליון דאטה להכל'!A:E,5,0)</f>
        <v>#N/A</v>
      </c>
      <c r="R523" t="e">
        <f>VLOOKUP(A523,'לעדכן בסינתזה דאטה אריזה 42+24'!$A:$C,3,0)</f>
        <v>#N/A</v>
      </c>
      <c r="S523" t="e">
        <f>VLOOKUP(#REF!,'מלאי לא תקין'!A:N,17,0)</f>
        <v>#REF!</v>
      </c>
      <c r="T523" t="e">
        <f t="shared" si="18"/>
        <v>#REF!</v>
      </c>
      <c r="U523" t="e">
        <f t="shared" si="19"/>
        <v>#REF!</v>
      </c>
    </row>
    <row r="524" spans="4:21" x14ac:dyDescent="0.2">
      <c r="D524" s="4"/>
      <c r="G524" s="5"/>
      <c r="H524" s="5"/>
      <c r="I524" s="4"/>
      <c r="J524" s="4"/>
      <c r="K524" s="5"/>
      <c r="Q524" t="e">
        <f>VLOOKUP(A524,'גיליון דאטה להכל'!A:E,5,0)</f>
        <v>#N/A</v>
      </c>
      <c r="R524" t="e">
        <f>VLOOKUP(A524,'לעדכן בסינתזה דאטה אריזה 42+24'!$A:$C,3,0)</f>
        <v>#N/A</v>
      </c>
      <c r="S524" t="e">
        <f>VLOOKUP(#REF!,'מלאי לא תקין'!A:N,17,0)</f>
        <v>#REF!</v>
      </c>
      <c r="T524" t="e">
        <f t="shared" si="18"/>
        <v>#REF!</v>
      </c>
      <c r="U524" t="e">
        <f t="shared" si="19"/>
        <v>#REF!</v>
      </c>
    </row>
    <row r="525" spans="4:21" x14ac:dyDescent="0.2">
      <c r="D525" s="4"/>
      <c r="G525" s="5"/>
      <c r="H525" s="5"/>
      <c r="I525" s="4"/>
      <c r="J525" s="4"/>
      <c r="K525" s="5"/>
      <c r="Q525" t="e">
        <f>VLOOKUP(A525,'גיליון דאטה להכל'!A:E,5,0)</f>
        <v>#N/A</v>
      </c>
      <c r="R525" t="e">
        <f>VLOOKUP(A525,'לעדכן בסינתזה דאטה אריזה 42+24'!$A:$C,3,0)</f>
        <v>#N/A</v>
      </c>
      <c r="S525" t="e">
        <f>VLOOKUP(#REF!,'מלאי לא תקין'!A:N,17,0)</f>
        <v>#REF!</v>
      </c>
      <c r="T525" t="e">
        <f t="shared" si="18"/>
        <v>#REF!</v>
      </c>
      <c r="U525" t="e">
        <f t="shared" si="19"/>
        <v>#REF!</v>
      </c>
    </row>
    <row r="526" spans="4:21" x14ac:dyDescent="0.2">
      <c r="D526" s="4"/>
      <c r="G526" s="5"/>
      <c r="H526" s="5"/>
      <c r="I526" s="4"/>
      <c r="J526" s="4"/>
      <c r="K526" s="5"/>
      <c r="Q526" t="e">
        <f>VLOOKUP(A526,'גיליון דאטה להכל'!A:E,5,0)</f>
        <v>#N/A</v>
      </c>
      <c r="R526" t="e">
        <f>VLOOKUP(A526,'לעדכן בסינתזה דאטה אריזה 42+24'!$A:$C,3,0)</f>
        <v>#N/A</v>
      </c>
      <c r="S526" t="e">
        <f>VLOOKUP(#REF!,'מלאי לא תקין'!A:N,17,0)</f>
        <v>#REF!</v>
      </c>
      <c r="T526" t="e">
        <f t="shared" si="18"/>
        <v>#REF!</v>
      </c>
      <c r="U526" t="e">
        <f t="shared" si="19"/>
        <v>#REF!</v>
      </c>
    </row>
    <row r="527" spans="4:21" x14ac:dyDescent="0.2">
      <c r="D527" s="4"/>
      <c r="G527" s="5"/>
      <c r="H527" s="5"/>
      <c r="I527" s="4"/>
      <c r="J527" s="4"/>
      <c r="K527" s="5"/>
      <c r="Q527" t="e">
        <f>VLOOKUP(A527,'גיליון דאטה להכל'!A:E,5,0)</f>
        <v>#N/A</v>
      </c>
      <c r="R527" t="e">
        <f>VLOOKUP(A527,'לעדכן בסינתזה דאטה אריזה 42+24'!$A:$C,3,0)</f>
        <v>#N/A</v>
      </c>
      <c r="S527" t="e">
        <f>VLOOKUP(#REF!,'מלאי לא תקין'!A:N,17,0)</f>
        <v>#REF!</v>
      </c>
      <c r="T527" t="e">
        <f t="shared" si="18"/>
        <v>#REF!</v>
      </c>
      <c r="U527" t="e">
        <f t="shared" si="19"/>
        <v>#REF!</v>
      </c>
    </row>
    <row r="528" spans="4:21" x14ac:dyDescent="0.2">
      <c r="D528" s="4"/>
      <c r="G528" s="5"/>
      <c r="H528" s="7"/>
      <c r="I528" s="4"/>
      <c r="J528" s="4"/>
      <c r="K528" s="5"/>
      <c r="Q528" t="e">
        <f>VLOOKUP(A528,'גיליון דאטה להכל'!A:E,5,0)</f>
        <v>#N/A</v>
      </c>
      <c r="R528" t="e">
        <f>VLOOKUP(A528,'לעדכן בסינתזה דאטה אריזה 42+24'!$A:$C,3,0)</f>
        <v>#N/A</v>
      </c>
      <c r="S528" t="e">
        <f>VLOOKUP(#REF!,'מלאי לא תקין'!A:N,17,0)</f>
        <v>#REF!</v>
      </c>
      <c r="T528" t="e">
        <f t="shared" si="18"/>
        <v>#REF!</v>
      </c>
      <c r="U528" t="e">
        <f t="shared" si="19"/>
        <v>#REF!</v>
      </c>
    </row>
    <row r="529" spans="4:21" x14ac:dyDescent="0.2">
      <c r="D529" s="4"/>
      <c r="G529" s="5"/>
      <c r="H529" s="5"/>
      <c r="I529" s="4"/>
      <c r="J529" s="4"/>
      <c r="K529" s="5"/>
      <c r="Q529" t="e">
        <f>VLOOKUP(A529,'גיליון דאטה להכל'!A:E,5,0)</f>
        <v>#N/A</v>
      </c>
      <c r="R529" t="e">
        <f>VLOOKUP(A529,'לעדכן בסינתזה דאטה אריזה 42+24'!$A:$C,3,0)</f>
        <v>#N/A</v>
      </c>
      <c r="S529" t="e">
        <f>VLOOKUP(#REF!,'מלאי לא תקין'!A:N,17,0)</f>
        <v>#REF!</v>
      </c>
      <c r="T529" t="e">
        <f t="shared" si="18"/>
        <v>#REF!</v>
      </c>
      <c r="U529" t="e">
        <f t="shared" si="19"/>
        <v>#REF!</v>
      </c>
    </row>
    <row r="530" spans="4:21" x14ac:dyDescent="0.2">
      <c r="D530" s="4"/>
      <c r="G530" s="5"/>
      <c r="H530" s="5"/>
      <c r="I530" s="4"/>
      <c r="J530" s="4"/>
      <c r="K530" s="5"/>
      <c r="Q530" t="e">
        <f>VLOOKUP(A530,'גיליון דאטה להכל'!A:E,5,0)</f>
        <v>#N/A</v>
      </c>
      <c r="R530" t="e">
        <f>VLOOKUP(A530,'לעדכן בסינתזה דאטה אריזה 42+24'!$A:$C,3,0)</f>
        <v>#N/A</v>
      </c>
      <c r="S530" t="e">
        <f>VLOOKUP(#REF!,'מלאי לא תקין'!A:N,17,0)</f>
        <v>#REF!</v>
      </c>
      <c r="T530" t="e">
        <f t="shared" si="18"/>
        <v>#REF!</v>
      </c>
      <c r="U530" t="e">
        <f t="shared" si="19"/>
        <v>#REF!</v>
      </c>
    </row>
    <row r="531" spans="4:21" x14ac:dyDescent="0.2">
      <c r="D531" s="4"/>
      <c r="G531" s="5"/>
      <c r="H531" s="5"/>
      <c r="I531" s="4"/>
      <c r="J531" s="4"/>
      <c r="K531" s="5"/>
      <c r="Q531" t="e">
        <f>VLOOKUP(A531,'גיליון דאטה להכל'!A:E,5,0)</f>
        <v>#N/A</v>
      </c>
      <c r="R531" t="e">
        <f>VLOOKUP(A531,'לעדכן בסינתזה דאטה אריזה 42+24'!$A:$C,3,0)</f>
        <v>#N/A</v>
      </c>
      <c r="S531" t="e">
        <f>VLOOKUP(#REF!,'מלאי לא תקין'!A:N,17,0)</f>
        <v>#REF!</v>
      </c>
      <c r="T531" t="e">
        <f t="shared" si="18"/>
        <v>#REF!</v>
      </c>
      <c r="U531" t="e">
        <f t="shared" si="19"/>
        <v>#REF!</v>
      </c>
    </row>
    <row r="532" spans="4:21" x14ac:dyDescent="0.2">
      <c r="D532" s="4"/>
      <c r="G532" s="5"/>
      <c r="H532" s="5"/>
      <c r="I532" s="4"/>
      <c r="J532" s="4"/>
      <c r="K532" s="5"/>
      <c r="Q532" t="e">
        <f>VLOOKUP(A532,'גיליון דאטה להכל'!A:E,5,0)</f>
        <v>#N/A</v>
      </c>
      <c r="R532" t="e">
        <f>VLOOKUP(A532,'לעדכן בסינתזה דאטה אריזה 42+24'!$A:$C,3,0)</f>
        <v>#N/A</v>
      </c>
      <c r="S532" t="e">
        <f>VLOOKUP(#REF!,'מלאי לא תקין'!A:N,17,0)</f>
        <v>#REF!</v>
      </c>
      <c r="T532" t="e">
        <f t="shared" si="18"/>
        <v>#REF!</v>
      </c>
      <c r="U532" t="e">
        <f t="shared" si="19"/>
        <v>#REF!</v>
      </c>
    </row>
    <row r="533" spans="4:21" x14ac:dyDescent="0.2">
      <c r="D533" s="4"/>
      <c r="G533" s="5"/>
      <c r="H533" s="5"/>
      <c r="I533" s="4"/>
      <c r="J533" s="4"/>
      <c r="K533" s="5"/>
      <c r="Q533" t="e">
        <f>VLOOKUP(A533,'גיליון דאטה להכל'!A:E,5,0)</f>
        <v>#N/A</v>
      </c>
      <c r="R533" t="e">
        <f>VLOOKUP(A533,'לעדכן בסינתזה דאטה אריזה 42+24'!$A:$C,3,0)</f>
        <v>#N/A</v>
      </c>
      <c r="S533" t="e">
        <f>VLOOKUP(#REF!,'מלאי לא תקין'!A:N,17,0)</f>
        <v>#REF!</v>
      </c>
      <c r="T533" t="e">
        <f t="shared" si="18"/>
        <v>#REF!</v>
      </c>
      <c r="U533" t="e">
        <f t="shared" si="19"/>
        <v>#REF!</v>
      </c>
    </row>
    <row r="534" spans="4:21" x14ac:dyDescent="0.2">
      <c r="D534" s="4"/>
      <c r="G534" s="5"/>
      <c r="H534" s="7"/>
      <c r="I534" s="4"/>
      <c r="J534" s="4"/>
      <c r="K534" s="5"/>
      <c r="Q534" t="e">
        <f>VLOOKUP(A534,'גיליון דאטה להכל'!A:E,5,0)</f>
        <v>#N/A</v>
      </c>
      <c r="R534" t="e">
        <f>VLOOKUP(A534,'לעדכן בסינתזה דאטה אריזה 42+24'!$A:$C,3,0)</f>
        <v>#N/A</v>
      </c>
      <c r="S534" t="e">
        <f>VLOOKUP(#REF!,'מלאי לא תקין'!A:N,17,0)</f>
        <v>#REF!</v>
      </c>
      <c r="T534" t="e">
        <f t="shared" si="18"/>
        <v>#REF!</v>
      </c>
      <c r="U534" t="e">
        <f t="shared" si="19"/>
        <v>#REF!</v>
      </c>
    </row>
    <row r="535" spans="4:21" x14ac:dyDescent="0.2">
      <c r="D535" s="4"/>
      <c r="G535" s="5"/>
      <c r="H535" s="5"/>
      <c r="I535" s="4"/>
      <c r="J535" s="4"/>
      <c r="K535" s="5"/>
      <c r="Q535" t="e">
        <f>VLOOKUP(A535,'גיליון דאטה להכל'!A:E,5,0)</f>
        <v>#N/A</v>
      </c>
      <c r="R535" t="e">
        <f>VLOOKUP(A535,'לעדכן בסינתזה דאטה אריזה 42+24'!$A:$C,3,0)</f>
        <v>#N/A</v>
      </c>
      <c r="S535" t="e">
        <f>VLOOKUP(#REF!,'מלאי לא תקין'!A:N,17,0)</f>
        <v>#REF!</v>
      </c>
      <c r="T535" t="e">
        <f t="shared" si="18"/>
        <v>#REF!</v>
      </c>
      <c r="U535" t="e">
        <f t="shared" si="19"/>
        <v>#REF!</v>
      </c>
    </row>
    <row r="536" spans="4:21" x14ac:dyDescent="0.2">
      <c r="D536" s="4"/>
      <c r="G536" s="5"/>
      <c r="H536" s="5"/>
      <c r="I536" s="4"/>
      <c r="J536" s="4"/>
      <c r="K536" s="5"/>
      <c r="Q536" t="e">
        <f>VLOOKUP(A536,'גיליון דאטה להכל'!A:E,5,0)</f>
        <v>#N/A</v>
      </c>
      <c r="R536" t="e">
        <f>VLOOKUP(A536,'לעדכן בסינתזה דאטה אריזה 42+24'!$A:$C,3,0)</f>
        <v>#N/A</v>
      </c>
      <c r="S536" t="e">
        <f>VLOOKUP(#REF!,'מלאי לא תקין'!A:N,17,0)</f>
        <v>#REF!</v>
      </c>
      <c r="T536" t="e">
        <f t="shared" si="18"/>
        <v>#REF!</v>
      </c>
      <c r="U536" t="e">
        <f t="shared" si="19"/>
        <v>#REF!</v>
      </c>
    </row>
    <row r="537" spans="4:21" x14ac:dyDescent="0.2">
      <c r="D537" s="4"/>
      <c r="G537" s="5"/>
      <c r="H537" s="5"/>
      <c r="I537" s="4"/>
      <c r="J537" s="4"/>
      <c r="K537" s="5"/>
      <c r="Q537" t="e">
        <f>VLOOKUP(A537,'גיליון דאטה להכל'!A:E,5,0)</f>
        <v>#N/A</v>
      </c>
      <c r="R537" t="e">
        <f>VLOOKUP(A537,'לעדכן בסינתזה דאטה אריזה 42+24'!$A:$C,3,0)</f>
        <v>#N/A</v>
      </c>
      <c r="S537" t="e">
        <f>VLOOKUP(#REF!,'מלאי לא תקין'!A:N,17,0)</f>
        <v>#REF!</v>
      </c>
      <c r="T537" t="e">
        <f t="shared" si="18"/>
        <v>#REF!</v>
      </c>
      <c r="U537" t="e">
        <f t="shared" si="19"/>
        <v>#REF!</v>
      </c>
    </row>
    <row r="538" spans="4:21" x14ac:dyDescent="0.2">
      <c r="D538" s="4"/>
      <c r="G538" s="5"/>
      <c r="H538" s="5"/>
      <c r="I538" s="4"/>
      <c r="J538" s="4"/>
      <c r="K538" s="5"/>
      <c r="Q538" t="e">
        <f>VLOOKUP(A538,'גיליון דאטה להכל'!A:E,5,0)</f>
        <v>#N/A</v>
      </c>
      <c r="R538" t="e">
        <f>VLOOKUP(A538,'לעדכן בסינתזה דאטה אריזה 42+24'!$A:$C,3,0)</f>
        <v>#N/A</v>
      </c>
      <c r="S538" t="e">
        <f>VLOOKUP(#REF!,'מלאי לא תקין'!A:N,17,0)</f>
        <v>#REF!</v>
      </c>
      <c r="T538" t="e">
        <f t="shared" si="18"/>
        <v>#REF!</v>
      </c>
      <c r="U538" t="e">
        <f t="shared" si="19"/>
        <v>#REF!</v>
      </c>
    </row>
    <row r="539" spans="4:21" x14ac:dyDescent="0.2">
      <c r="D539" s="4"/>
      <c r="G539" s="5"/>
      <c r="H539" s="5"/>
      <c r="I539" s="4"/>
      <c r="J539" s="4"/>
      <c r="K539" s="5"/>
      <c r="Q539" t="e">
        <f>VLOOKUP(A539,'גיליון דאטה להכל'!A:E,5,0)</f>
        <v>#N/A</v>
      </c>
      <c r="R539" t="e">
        <f>VLOOKUP(A539,'לעדכן בסינתזה דאטה אריזה 42+24'!$A:$C,3,0)</f>
        <v>#N/A</v>
      </c>
      <c r="S539" t="e">
        <f>VLOOKUP(#REF!,'מלאי לא תקין'!A:N,17,0)</f>
        <v>#REF!</v>
      </c>
      <c r="T539" t="e">
        <f t="shared" si="18"/>
        <v>#REF!</v>
      </c>
      <c r="U539" t="e">
        <f t="shared" si="19"/>
        <v>#REF!</v>
      </c>
    </row>
    <row r="540" spans="4:21" x14ac:dyDescent="0.2">
      <c r="D540" s="4"/>
      <c r="G540" s="5"/>
      <c r="H540" s="7"/>
      <c r="I540" s="4"/>
      <c r="J540" s="4"/>
      <c r="K540" s="5"/>
      <c r="Q540" t="e">
        <f>VLOOKUP(A540,'גיליון דאטה להכל'!A:E,5,0)</f>
        <v>#N/A</v>
      </c>
      <c r="R540" t="e">
        <f>VLOOKUP(A540,'לעדכן בסינתזה דאטה אריזה 42+24'!$A:$C,3,0)</f>
        <v>#N/A</v>
      </c>
      <c r="S540" t="e">
        <f>VLOOKUP(#REF!,'מלאי לא תקין'!A:N,17,0)</f>
        <v>#REF!</v>
      </c>
      <c r="T540" t="e">
        <f t="shared" si="18"/>
        <v>#REF!</v>
      </c>
      <c r="U540" t="e">
        <f t="shared" si="19"/>
        <v>#REF!</v>
      </c>
    </row>
    <row r="541" spans="4:21" x14ac:dyDescent="0.2">
      <c r="D541" s="4"/>
      <c r="G541" s="5"/>
      <c r="H541" s="5"/>
      <c r="I541" s="4"/>
      <c r="J541" s="4"/>
      <c r="K541" s="5"/>
      <c r="Q541" t="e">
        <f>VLOOKUP(A541,'גיליון דאטה להכל'!A:E,5,0)</f>
        <v>#N/A</v>
      </c>
      <c r="R541" t="e">
        <f>VLOOKUP(A541,'לעדכן בסינתזה דאטה אריזה 42+24'!$A:$C,3,0)</f>
        <v>#N/A</v>
      </c>
      <c r="S541" t="e">
        <f>VLOOKUP(#REF!,'מלאי לא תקין'!A:N,17,0)</f>
        <v>#REF!</v>
      </c>
      <c r="T541" t="e">
        <f t="shared" si="18"/>
        <v>#REF!</v>
      </c>
      <c r="U541" t="e">
        <f t="shared" si="19"/>
        <v>#REF!</v>
      </c>
    </row>
    <row r="542" spans="4:21" x14ac:dyDescent="0.2">
      <c r="D542" s="4"/>
      <c r="G542" s="5"/>
      <c r="H542" s="5"/>
      <c r="I542" s="4"/>
      <c r="J542" s="4"/>
      <c r="K542" s="5"/>
      <c r="Q542" t="e">
        <f>VLOOKUP(A542,'גיליון דאטה להכל'!A:E,5,0)</f>
        <v>#N/A</v>
      </c>
      <c r="R542" t="e">
        <f>VLOOKUP(A542,'לעדכן בסינתזה דאטה אריזה 42+24'!$A:$C,3,0)</f>
        <v>#N/A</v>
      </c>
      <c r="S542" t="e">
        <f>VLOOKUP(#REF!,'מלאי לא תקין'!A:N,17,0)</f>
        <v>#REF!</v>
      </c>
      <c r="T542" t="e">
        <f t="shared" si="18"/>
        <v>#REF!</v>
      </c>
      <c r="U542" t="e">
        <f t="shared" si="19"/>
        <v>#REF!</v>
      </c>
    </row>
    <row r="543" spans="4:21" x14ac:dyDescent="0.2">
      <c r="D543" s="4"/>
      <c r="G543" s="5"/>
      <c r="H543" s="5"/>
      <c r="I543" s="4"/>
      <c r="J543" s="4"/>
      <c r="K543" s="5"/>
      <c r="Q543" t="e">
        <f>VLOOKUP(A543,'גיליון דאטה להכל'!A:E,5,0)</f>
        <v>#N/A</v>
      </c>
      <c r="R543" t="e">
        <f>VLOOKUP(A543,'לעדכן בסינתזה דאטה אריזה 42+24'!$A:$C,3,0)</f>
        <v>#N/A</v>
      </c>
      <c r="S543" t="e">
        <f>VLOOKUP(#REF!,'מלאי לא תקין'!A:N,17,0)</f>
        <v>#REF!</v>
      </c>
      <c r="T543" t="e">
        <f t="shared" si="18"/>
        <v>#REF!</v>
      </c>
      <c r="U543" t="e">
        <f t="shared" si="19"/>
        <v>#REF!</v>
      </c>
    </row>
    <row r="544" spans="4:21" x14ac:dyDescent="0.2">
      <c r="D544" s="4"/>
      <c r="G544" s="5"/>
      <c r="H544" s="5"/>
      <c r="I544" s="4"/>
      <c r="J544" s="4"/>
      <c r="K544" s="5"/>
      <c r="Q544" t="e">
        <f>VLOOKUP(A544,'גיליון דאטה להכל'!A:E,5,0)</f>
        <v>#N/A</v>
      </c>
      <c r="R544" t="e">
        <f>VLOOKUP(A544,'לעדכן בסינתזה דאטה אריזה 42+24'!$A:$C,3,0)</f>
        <v>#N/A</v>
      </c>
      <c r="S544" t="e">
        <f>VLOOKUP(#REF!,'מלאי לא תקין'!A:N,17,0)</f>
        <v>#REF!</v>
      </c>
      <c r="T544" t="e">
        <f t="shared" si="18"/>
        <v>#REF!</v>
      </c>
      <c r="U544" t="e">
        <f t="shared" si="19"/>
        <v>#REF!</v>
      </c>
    </row>
    <row r="545" spans="4:21" x14ac:dyDescent="0.2">
      <c r="D545" s="4"/>
      <c r="G545" s="5"/>
      <c r="H545" s="5"/>
      <c r="I545" s="4"/>
      <c r="J545" s="4"/>
      <c r="K545" s="5"/>
      <c r="Q545" t="e">
        <f>VLOOKUP(A545,'גיליון דאטה להכל'!A:E,5,0)</f>
        <v>#N/A</v>
      </c>
      <c r="R545" t="e">
        <f>VLOOKUP(A545,'לעדכן בסינתזה דאטה אריזה 42+24'!$A:$C,3,0)</f>
        <v>#N/A</v>
      </c>
      <c r="S545" t="e">
        <f>VLOOKUP(#REF!,'מלאי לא תקין'!A:N,17,0)</f>
        <v>#REF!</v>
      </c>
      <c r="T545" t="e">
        <f t="shared" si="18"/>
        <v>#REF!</v>
      </c>
      <c r="U545" t="e">
        <f t="shared" si="19"/>
        <v>#REF!</v>
      </c>
    </row>
    <row r="546" spans="4:21" x14ac:dyDescent="0.2">
      <c r="D546" s="4"/>
      <c r="G546" s="5"/>
      <c r="H546" s="7"/>
      <c r="I546" s="4"/>
      <c r="J546" s="4"/>
      <c r="K546" s="5"/>
      <c r="Q546" t="e">
        <f>VLOOKUP(A546,'גיליון דאטה להכל'!A:E,5,0)</f>
        <v>#N/A</v>
      </c>
      <c r="R546" t="e">
        <f>VLOOKUP(A546,'לעדכן בסינתזה דאטה אריזה 42+24'!$A:$C,3,0)</f>
        <v>#N/A</v>
      </c>
      <c r="S546" t="e">
        <f>VLOOKUP(#REF!,'מלאי לא תקין'!A:N,17,0)</f>
        <v>#REF!</v>
      </c>
      <c r="T546" t="e">
        <f t="shared" si="18"/>
        <v>#REF!</v>
      </c>
      <c r="U546" t="e">
        <f t="shared" si="19"/>
        <v>#REF!</v>
      </c>
    </row>
    <row r="547" spans="4:21" x14ac:dyDescent="0.2">
      <c r="D547" s="4"/>
      <c r="G547" s="5"/>
      <c r="H547" s="5"/>
      <c r="I547" s="4"/>
      <c r="J547" s="4"/>
      <c r="K547" s="5"/>
      <c r="Q547" t="e">
        <f>VLOOKUP(A547,'גיליון דאטה להכל'!A:E,5,0)</f>
        <v>#N/A</v>
      </c>
      <c r="R547" t="e">
        <f>VLOOKUP(A547,'לעדכן בסינתזה דאטה אריזה 42+24'!$A:$C,3,0)</f>
        <v>#N/A</v>
      </c>
      <c r="S547" t="e">
        <f>VLOOKUP(#REF!,'מלאי לא תקין'!A:N,17,0)</f>
        <v>#REF!</v>
      </c>
      <c r="T547" t="e">
        <f t="shared" si="18"/>
        <v>#REF!</v>
      </c>
      <c r="U547" t="e">
        <f t="shared" si="19"/>
        <v>#REF!</v>
      </c>
    </row>
    <row r="548" spans="4:21" x14ac:dyDescent="0.2">
      <c r="D548" s="4"/>
      <c r="G548" s="5"/>
      <c r="H548" s="5"/>
      <c r="I548" s="4"/>
      <c r="J548" s="4"/>
      <c r="K548" s="5"/>
      <c r="Q548" t="e">
        <f>VLOOKUP(A548,'גיליון דאטה להכל'!A:E,5,0)</f>
        <v>#N/A</v>
      </c>
      <c r="R548" t="e">
        <f>VLOOKUP(A548,'לעדכן בסינתזה דאטה אריזה 42+24'!$A:$C,3,0)</f>
        <v>#N/A</v>
      </c>
      <c r="S548" t="e">
        <f>VLOOKUP(#REF!,'מלאי לא תקין'!A:N,17,0)</f>
        <v>#REF!</v>
      </c>
      <c r="T548" t="e">
        <f t="shared" si="18"/>
        <v>#REF!</v>
      </c>
      <c r="U548" t="e">
        <f t="shared" si="19"/>
        <v>#REF!</v>
      </c>
    </row>
    <row r="549" spans="4:21" x14ac:dyDescent="0.2">
      <c r="D549" s="4"/>
      <c r="G549" s="5"/>
      <c r="H549" s="5"/>
      <c r="I549" s="4"/>
      <c r="J549" s="4"/>
      <c r="K549" s="5"/>
      <c r="Q549" t="e">
        <f>VLOOKUP(A549,'גיליון דאטה להכל'!A:E,5,0)</f>
        <v>#N/A</v>
      </c>
      <c r="R549" t="e">
        <f>VLOOKUP(A549,'לעדכן בסינתזה דאטה אריזה 42+24'!$A:$C,3,0)</f>
        <v>#N/A</v>
      </c>
      <c r="S549" t="e">
        <f>VLOOKUP(#REF!,'מלאי לא תקין'!A:N,17,0)</f>
        <v>#REF!</v>
      </c>
      <c r="T549" t="e">
        <f t="shared" si="18"/>
        <v>#REF!</v>
      </c>
      <c r="U549" t="e">
        <f t="shared" si="19"/>
        <v>#REF!</v>
      </c>
    </row>
    <row r="550" spans="4:21" x14ac:dyDescent="0.2">
      <c r="D550" s="4"/>
      <c r="G550" s="5"/>
      <c r="H550" s="5"/>
      <c r="I550" s="4"/>
      <c r="J550" s="4"/>
      <c r="K550" s="5"/>
      <c r="Q550" t="e">
        <f>VLOOKUP(A550,'גיליון דאטה להכל'!A:E,5,0)</f>
        <v>#N/A</v>
      </c>
      <c r="R550" t="e">
        <f>VLOOKUP(A550,'לעדכן בסינתזה דאטה אריזה 42+24'!$A:$C,3,0)</f>
        <v>#N/A</v>
      </c>
      <c r="S550" t="e">
        <f>VLOOKUP(#REF!,'מלאי לא תקין'!A:N,17,0)</f>
        <v>#REF!</v>
      </c>
      <c r="T550" t="e">
        <f t="shared" si="18"/>
        <v>#REF!</v>
      </c>
      <c r="U550" t="e">
        <f t="shared" si="19"/>
        <v>#REF!</v>
      </c>
    </row>
    <row r="551" spans="4:21" x14ac:dyDescent="0.2">
      <c r="D551" s="4"/>
      <c r="G551" s="5"/>
      <c r="H551" s="5"/>
      <c r="I551" s="4"/>
      <c r="J551" s="4"/>
      <c r="K551" s="5"/>
      <c r="Q551" t="e">
        <f>VLOOKUP(A551,'גיליון דאטה להכל'!A:E,5,0)</f>
        <v>#N/A</v>
      </c>
      <c r="R551" t="e">
        <f>VLOOKUP(A551,'לעדכן בסינתזה דאטה אריזה 42+24'!$A:$C,3,0)</f>
        <v>#N/A</v>
      </c>
      <c r="S551" t="e">
        <f>VLOOKUP(#REF!,'מלאי לא תקין'!A:N,17,0)</f>
        <v>#REF!</v>
      </c>
      <c r="T551" t="e">
        <f t="shared" si="18"/>
        <v>#REF!</v>
      </c>
      <c r="U551" t="e">
        <f t="shared" si="19"/>
        <v>#REF!</v>
      </c>
    </row>
    <row r="552" spans="4:21" x14ac:dyDescent="0.2">
      <c r="D552" s="4"/>
      <c r="G552" s="5"/>
      <c r="H552" s="5"/>
      <c r="I552" s="4"/>
      <c r="J552" s="4"/>
      <c r="K552" s="5"/>
      <c r="Q552" t="e">
        <f>VLOOKUP(A552,'גיליון דאטה להכל'!A:E,5,0)</f>
        <v>#N/A</v>
      </c>
      <c r="R552" t="e">
        <f>VLOOKUP(A552,'לעדכן בסינתזה דאטה אריזה 42+24'!$A:$C,3,0)</f>
        <v>#N/A</v>
      </c>
      <c r="S552" t="e">
        <f>VLOOKUP(#REF!,'מלאי לא תקין'!A:N,17,0)</f>
        <v>#REF!</v>
      </c>
      <c r="T552" t="e">
        <f t="shared" si="18"/>
        <v>#REF!</v>
      </c>
      <c r="U552" t="e">
        <f t="shared" si="19"/>
        <v>#REF!</v>
      </c>
    </row>
    <row r="553" spans="4:21" x14ac:dyDescent="0.2">
      <c r="D553" s="4"/>
      <c r="G553" s="5"/>
      <c r="H553" s="5"/>
      <c r="I553" s="4"/>
      <c r="J553" s="4"/>
      <c r="K553" s="5"/>
      <c r="Q553" t="e">
        <f>VLOOKUP(A553,'גיליון דאטה להכל'!A:E,5,0)</f>
        <v>#N/A</v>
      </c>
      <c r="R553" t="e">
        <f>VLOOKUP(A553,'לעדכן בסינתזה דאטה אריזה 42+24'!$A:$C,3,0)</f>
        <v>#N/A</v>
      </c>
      <c r="S553" t="e">
        <f>VLOOKUP(#REF!,'מלאי לא תקין'!A:N,17,0)</f>
        <v>#REF!</v>
      </c>
      <c r="T553" t="e">
        <f t="shared" si="18"/>
        <v>#REF!</v>
      </c>
      <c r="U553" t="e">
        <f t="shared" si="19"/>
        <v>#REF!</v>
      </c>
    </row>
    <row r="554" spans="4:21" x14ac:dyDescent="0.2">
      <c r="D554" s="4"/>
      <c r="G554" s="5"/>
      <c r="H554" s="5"/>
      <c r="I554" s="4"/>
      <c r="J554" s="4"/>
      <c r="K554" s="5"/>
      <c r="Q554" t="e">
        <f>VLOOKUP(A554,'גיליון דאטה להכל'!A:E,5,0)</f>
        <v>#N/A</v>
      </c>
      <c r="R554" t="e">
        <f>VLOOKUP(A554,'לעדכן בסינתזה דאטה אריזה 42+24'!$A:$C,3,0)</f>
        <v>#N/A</v>
      </c>
      <c r="S554" t="e">
        <f>VLOOKUP(#REF!,'מלאי לא תקין'!A:N,17,0)</f>
        <v>#REF!</v>
      </c>
      <c r="T554" t="e">
        <f t="shared" si="18"/>
        <v>#REF!</v>
      </c>
      <c r="U554" t="e">
        <f t="shared" si="19"/>
        <v>#REF!</v>
      </c>
    </row>
    <row r="555" spans="4:21" x14ac:dyDescent="0.2">
      <c r="D555" s="4"/>
      <c r="G555" s="5"/>
      <c r="H555" s="5"/>
      <c r="I555" s="4"/>
      <c r="J555" s="4"/>
      <c r="K555" s="5"/>
      <c r="Q555" t="e">
        <f>VLOOKUP(A555,'גיליון דאטה להכל'!A:E,5,0)</f>
        <v>#N/A</v>
      </c>
      <c r="R555" t="e">
        <f>VLOOKUP(A555,'לעדכן בסינתזה דאטה אריזה 42+24'!$A:$C,3,0)</f>
        <v>#N/A</v>
      </c>
      <c r="S555" t="e">
        <f>VLOOKUP(#REF!,'מלאי לא תקין'!A:N,17,0)</f>
        <v>#REF!</v>
      </c>
      <c r="T555" t="e">
        <f t="shared" si="18"/>
        <v>#REF!</v>
      </c>
      <c r="U555" t="e">
        <f t="shared" si="19"/>
        <v>#REF!</v>
      </c>
    </row>
    <row r="556" spans="4:21" x14ac:dyDescent="0.2">
      <c r="D556" s="4"/>
      <c r="G556" s="5"/>
      <c r="H556" s="5"/>
      <c r="I556" s="4"/>
      <c r="J556" s="4"/>
      <c r="K556" s="5"/>
      <c r="Q556" t="e">
        <f>VLOOKUP(A556,'גיליון דאטה להכל'!A:E,5,0)</f>
        <v>#N/A</v>
      </c>
      <c r="R556" t="e">
        <f>VLOOKUP(A556,'לעדכן בסינתזה דאטה אריזה 42+24'!$A:$C,3,0)</f>
        <v>#N/A</v>
      </c>
      <c r="S556" t="e">
        <f>VLOOKUP(#REF!,'מלאי לא תקין'!A:N,17,0)</f>
        <v>#REF!</v>
      </c>
      <c r="T556" t="e">
        <f t="shared" si="18"/>
        <v>#REF!</v>
      </c>
      <c r="U556" t="e">
        <f t="shared" si="19"/>
        <v>#REF!</v>
      </c>
    </row>
    <row r="557" spans="4:21" x14ac:dyDescent="0.2">
      <c r="D557" s="4"/>
      <c r="G557" s="5"/>
      <c r="H557" s="5"/>
      <c r="I557" s="4"/>
      <c r="J557" s="4"/>
      <c r="K557" s="5"/>
      <c r="Q557" t="e">
        <f>VLOOKUP(A557,'גיליון דאטה להכל'!A:E,5,0)</f>
        <v>#N/A</v>
      </c>
      <c r="R557" t="e">
        <f>VLOOKUP(A557,'לעדכן בסינתזה דאטה אריזה 42+24'!$A:$C,3,0)</f>
        <v>#N/A</v>
      </c>
      <c r="S557" t="e">
        <f>VLOOKUP(#REF!,'מלאי לא תקין'!A:N,17,0)</f>
        <v>#REF!</v>
      </c>
      <c r="T557" t="e">
        <f t="shared" si="18"/>
        <v>#REF!</v>
      </c>
      <c r="U557" t="e">
        <f t="shared" si="19"/>
        <v>#REF!</v>
      </c>
    </row>
    <row r="558" spans="4:21" x14ac:dyDescent="0.2">
      <c r="D558" s="4"/>
      <c r="G558" s="5"/>
      <c r="H558" s="5"/>
      <c r="I558" s="4"/>
      <c r="J558" s="4"/>
      <c r="K558" s="5"/>
      <c r="Q558" t="e">
        <f>VLOOKUP(A558,'גיליון דאטה להכל'!A:E,5,0)</f>
        <v>#N/A</v>
      </c>
      <c r="R558" t="e">
        <f>VLOOKUP(A558,'לעדכן בסינתזה דאטה אריזה 42+24'!$A:$C,3,0)</f>
        <v>#N/A</v>
      </c>
      <c r="S558" t="e">
        <f>VLOOKUP(#REF!,'מלאי לא תקין'!A:N,17,0)</f>
        <v>#REF!</v>
      </c>
      <c r="T558" t="e">
        <f t="shared" si="18"/>
        <v>#REF!</v>
      </c>
      <c r="U558" t="e">
        <f t="shared" si="19"/>
        <v>#REF!</v>
      </c>
    </row>
    <row r="559" spans="4:21" x14ac:dyDescent="0.2">
      <c r="D559" s="4"/>
      <c r="G559" s="5"/>
      <c r="H559" s="5"/>
      <c r="I559" s="4"/>
      <c r="J559" s="4"/>
      <c r="K559" s="5"/>
      <c r="Q559" t="e">
        <f>VLOOKUP(A559,'גיליון דאטה להכל'!A:E,5,0)</f>
        <v>#N/A</v>
      </c>
      <c r="R559" t="e">
        <f>VLOOKUP(A559,'לעדכן בסינתזה דאטה אריזה 42+24'!$A:$C,3,0)</f>
        <v>#N/A</v>
      </c>
      <c r="S559" t="e">
        <f>VLOOKUP(#REF!,'מלאי לא תקין'!A:N,17,0)</f>
        <v>#REF!</v>
      </c>
      <c r="T559" t="e">
        <f t="shared" si="18"/>
        <v>#REF!</v>
      </c>
      <c r="U559" t="e">
        <f t="shared" si="19"/>
        <v>#REF!</v>
      </c>
    </row>
    <row r="560" spans="4:21" x14ac:dyDescent="0.2">
      <c r="D560" s="4"/>
      <c r="G560" s="5"/>
      <c r="H560" s="7"/>
      <c r="I560" s="4"/>
      <c r="J560" s="4"/>
      <c r="K560" s="5"/>
      <c r="Q560" t="e">
        <f>VLOOKUP(A560,'גיליון דאטה להכל'!A:E,5,0)</f>
        <v>#N/A</v>
      </c>
      <c r="R560" t="e">
        <f>VLOOKUP(A560,'לעדכן בסינתזה דאטה אריזה 42+24'!$A:$C,3,0)</f>
        <v>#N/A</v>
      </c>
      <c r="S560" t="e">
        <f>VLOOKUP(#REF!,'מלאי לא תקין'!A:N,17,0)</f>
        <v>#REF!</v>
      </c>
      <c r="T560" t="e">
        <f t="shared" si="18"/>
        <v>#REF!</v>
      </c>
      <c r="U560" t="e">
        <f t="shared" si="19"/>
        <v>#REF!</v>
      </c>
    </row>
    <row r="561" spans="4:21" x14ac:dyDescent="0.2">
      <c r="D561" s="4"/>
      <c r="G561" s="5"/>
      <c r="H561" s="5"/>
      <c r="I561" s="4"/>
      <c r="J561" s="4"/>
      <c r="K561" s="5"/>
      <c r="Q561" t="e">
        <f>VLOOKUP(A561,'גיליון דאטה להכל'!A:E,5,0)</f>
        <v>#N/A</v>
      </c>
      <c r="R561" t="e">
        <f>VLOOKUP(A561,'לעדכן בסינתזה דאטה אריזה 42+24'!$A:$C,3,0)</f>
        <v>#N/A</v>
      </c>
      <c r="S561" t="e">
        <f>VLOOKUP(#REF!,'מלאי לא תקין'!A:N,17,0)</f>
        <v>#REF!</v>
      </c>
      <c r="T561" t="e">
        <f t="shared" si="18"/>
        <v>#REF!</v>
      </c>
      <c r="U561" t="e">
        <f t="shared" si="19"/>
        <v>#REF!</v>
      </c>
    </row>
    <row r="562" spans="4:21" x14ac:dyDescent="0.2">
      <c r="D562" s="4"/>
      <c r="G562" s="5"/>
      <c r="H562" s="5"/>
      <c r="I562" s="4"/>
      <c r="J562" s="4"/>
      <c r="K562" s="5"/>
      <c r="Q562" t="e">
        <f>VLOOKUP(A562,'גיליון דאטה להכל'!A:E,5,0)</f>
        <v>#N/A</v>
      </c>
      <c r="R562" t="e">
        <f>VLOOKUP(A562,'לעדכן בסינתזה דאטה אריזה 42+24'!$A:$C,3,0)</f>
        <v>#N/A</v>
      </c>
      <c r="S562" t="e">
        <f>VLOOKUP(#REF!,'מלאי לא תקין'!A:N,17,0)</f>
        <v>#REF!</v>
      </c>
      <c r="T562" t="e">
        <f t="shared" si="18"/>
        <v>#REF!</v>
      </c>
      <c r="U562" t="e">
        <f t="shared" si="19"/>
        <v>#REF!</v>
      </c>
    </row>
    <row r="563" spans="4:21" x14ac:dyDescent="0.2">
      <c r="D563" s="4"/>
      <c r="G563" s="5"/>
      <c r="H563" s="5"/>
      <c r="I563" s="4"/>
      <c r="J563" s="4"/>
      <c r="K563" s="5"/>
      <c r="Q563" t="e">
        <f>VLOOKUP(A563,'גיליון דאטה להכל'!A:E,5,0)</f>
        <v>#N/A</v>
      </c>
      <c r="R563" t="e">
        <f>VLOOKUP(A563,'לעדכן בסינתזה דאטה אריזה 42+24'!$A:$C,3,0)</f>
        <v>#N/A</v>
      </c>
      <c r="S563" t="e">
        <f>VLOOKUP(#REF!,'מלאי לא תקין'!A:N,17,0)</f>
        <v>#REF!</v>
      </c>
      <c r="T563" t="e">
        <f t="shared" si="18"/>
        <v>#REF!</v>
      </c>
      <c r="U563" t="e">
        <f t="shared" si="19"/>
        <v>#REF!</v>
      </c>
    </row>
    <row r="564" spans="4:21" x14ac:dyDescent="0.2">
      <c r="D564" s="4"/>
      <c r="G564" s="5"/>
      <c r="H564" s="5"/>
      <c r="I564" s="4"/>
      <c r="J564" s="4"/>
      <c r="K564" s="5"/>
      <c r="Q564" t="e">
        <f>VLOOKUP(A564,'גיליון דאטה להכל'!A:E,5,0)</f>
        <v>#N/A</v>
      </c>
      <c r="R564" t="e">
        <f>VLOOKUP(A564,'לעדכן בסינתזה דאטה אריזה 42+24'!$A:$C,3,0)</f>
        <v>#N/A</v>
      </c>
      <c r="S564" t="e">
        <f>VLOOKUP(#REF!,'מלאי לא תקין'!A:N,17,0)</f>
        <v>#REF!</v>
      </c>
      <c r="T564" t="e">
        <f t="shared" si="18"/>
        <v>#REF!</v>
      </c>
      <c r="U564" t="e">
        <f t="shared" si="19"/>
        <v>#REF!</v>
      </c>
    </row>
    <row r="565" spans="4:21" x14ac:dyDescent="0.2">
      <c r="D565" s="4"/>
      <c r="G565" s="5"/>
      <c r="H565" s="7"/>
      <c r="I565" s="4"/>
      <c r="J565" s="4"/>
      <c r="K565" s="5"/>
      <c r="Q565" t="e">
        <f>VLOOKUP(A565,'גיליון דאטה להכל'!A:E,5,0)</f>
        <v>#N/A</v>
      </c>
      <c r="R565" t="e">
        <f>VLOOKUP(A565,'לעדכן בסינתזה דאטה אריזה 42+24'!$A:$C,3,0)</f>
        <v>#N/A</v>
      </c>
      <c r="S565" t="e">
        <f>VLOOKUP(#REF!,'מלאי לא תקין'!A:N,17,0)</f>
        <v>#REF!</v>
      </c>
      <c r="T565" t="e">
        <f t="shared" si="18"/>
        <v>#REF!</v>
      </c>
      <c r="U565" t="e">
        <f t="shared" si="19"/>
        <v>#REF!</v>
      </c>
    </row>
    <row r="566" spans="4:21" x14ac:dyDescent="0.2">
      <c r="D566" s="4"/>
      <c r="G566" s="5"/>
      <c r="H566" s="5"/>
      <c r="I566" s="4"/>
      <c r="J566" s="4"/>
      <c r="K566" s="5"/>
      <c r="Q566" t="e">
        <f>VLOOKUP(A566,'גיליון דאטה להכל'!A:E,5,0)</f>
        <v>#N/A</v>
      </c>
      <c r="R566" t="e">
        <f>VLOOKUP(A566,'לעדכן בסינתזה דאטה אריזה 42+24'!$A:$C,3,0)</f>
        <v>#N/A</v>
      </c>
      <c r="S566" t="e">
        <f>VLOOKUP(#REF!,'מלאי לא תקין'!A:N,17,0)</f>
        <v>#REF!</v>
      </c>
      <c r="T566" t="e">
        <f t="shared" ref="T566:T629" si="20">_xlfn.CONCAT(S566,Q566)</f>
        <v>#REF!</v>
      </c>
      <c r="U566" t="e">
        <f t="shared" ref="U566:U629" si="21">_xlfn.CONCAT(S566,O566)</f>
        <v>#REF!</v>
      </c>
    </row>
    <row r="567" spans="4:21" x14ac:dyDescent="0.2">
      <c r="D567" s="4"/>
      <c r="G567" s="5"/>
      <c r="H567" s="5"/>
      <c r="I567" s="4"/>
      <c r="J567" s="4"/>
      <c r="K567" s="5"/>
      <c r="Q567" t="e">
        <f>VLOOKUP(A567,'גיליון דאטה להכל'!A:E,5,0)</f>
        <v>#N/A</v>
      </c>
      <c r="R567" t="e">
        <f>VLOOKUP(A567,'לעדכן בסינתזה דאטה אריזה 42+24'!$A:$C,3,0)</f>
        <v>#N/A</v>
      </c>
      <c r="S567" t="e">
        <f>VLOOKUP(#REF!,'מלאי לא תקין'!A:N,17,0)</f>
        <v>#REF!</v>
      </c>
      <c r="T567" t="e">
        <f t="shared" si="20"/>
        <v>#REF!</v>
      </c>
      <c r="U567" t="e">
        <f t="shared" si="21"/>
        <v>#REF!</v>
      </c>
    </row>
    <row r="568" spans="4:21" x14ac:dyDescent="0.2">
      <c r="D568" s="4"/>
      <c r="G568" s="5"/>
      <c r="H568" s="5"/>
      <c r="I568" s="4"/>
      <c r="J568" s="4"/>
      <c r="K568" s="5"/>
      <c r="Q568" t="e">
        <f>VLOOKUP(A568,'גיליון דאטה להכל'!A:E,5,0)</f>
        <v>#N/A</v>
      </c>
      <c r="R568" t="e">
        <f>VLOOKUP(A568,'לעדכן בסינתזה דאטה אריזה 42+24'!$A:$C,3,0)</f>
        <v>#N/A</v>
      </c>
      <c r="S568" t="e">
        <f>VLOOKUP(#REF!,'מלאי לא תקין'!A:N,17,0)</f>
        <v>#REF!</v>
      </c>
      <c r="T568" t="e">
        <f t="shared" si="20"/>
        <v>#REF!</v>
      </c>
      <c r="U568" t="e">
        <f t="shared" si="21"/>
        <v>#REF!</v>
      </c>
    </row>
    <row r="569" spans="4:21" x14ac:dyDescent="0.2">
      <c r="D569" s="4"/>
      <c r="G569" s="5"/>
      <c r="H569" s="5"/>
      <c r="I569" s="4"/>
      <c r="J569" s="4"/>
      <c r="K569" s="5"/>
      <c r="Q569" t="e">
        <f>VLOOKUP(A569,'גיליון דאטה להכל'!A:E,5,0)</f>
        <v>#N/A</v>
      </c>
      <c r="R569" t="e">
        <f>VLOOKUP(A569,'לעדכן בסינתזה דאטה אריזה 42+24'!$A:$C,3,0)</f>
        <v>#N/A</v>
      </c>
      <c r="S569" t="e">
        <f>VLOOKUP(#REF!,'מלאי לא תקין'!A:N,17,0)</f>
        <v>#REF!</v>
      </c>
      <c r="T569" t="e">
        <f t="shared" si="20"/>
        <v>#REF!</v>
      </c>
      <c r="U569" t="e">
        <f t="shared" si="21"/>
        <v>#REF!</v>
      </c>
    </row>
    <row r="570" spans="4:21" x14ac:dyDescent="0.2">
      <c r="D570" s="4"/>
      <c r="G570" s="5"/>
      <c r="H570" s="5"/>
      <c r="I570" s="4"/>
      <c r="J570" s="4"/>
      <c r="K570" s="5"/>
      <c r="Q570" t="e">
        <f>VLOOKUP(A570,'גיליון דאטה להכל'!A:E,5,0)</f>
        <v>#N/A</v>
      </c>
      <c r="R570" t="e">
        <f>VLOOKUP(A570,'לעדכן בסינתזה דאטה אריזה 42+24'!$A:$C,3,0)</f>
        <v>#N/A</v>
      </c>
      <c r="S570" t="e">
        <f>VLOOKUP(#REF!,'מלאי לא תקין'!A:N,17,0)</f>
        <v>#REF!</v>
      </c>
      <c r="T570" t="e">
        <f t="shared" si="20"/>
        <v>#REF!</v>
      </c>
      <c r="U570" t="e">
        <f t="shared" si="21"/>
        <v>#REF!</v>
      </c>
    </row>
    <row r="571" spans="4:21" x14ac:dyDescent="0.2">
      <c r="D571" s="4"/>
      <c r="G571" s="5"/>
      <c r="H571" s="7"/>
      <c r="I571" s="4"/>
      <c r="J571" s="4"/>
      <c r="K571" s="5"/>
      <c r="Q571" t="e">
        <f>VLOOKUP(A571,'גיליון דאטה להכל'!A:E,5,0)</f>
        <v>#N/A</v>
      </c>
      <c r="R571" t="e">
        <f>VLOOKUP(A571,'לעדכן בסינתזה דאטה אריזה 42+24'!$A:$C,3,0)</f>
        <v>#N/A</v>
      </c>
      <c r="S571" t="e">
        <f>VLOOKUP(#REF!,'מלאי לא תקין'!A:N,17,0)</f>
        <v>#REF!</v>
      </c>
      <c r="T571" t="e">
        <f t="shared" si="20"/>
        <v>#REF!</v>
      </c>
      <c r="U571" t="e">
        <f t="shared" si="21"/>
        <v>#REF!</v>
      </c>
    </row>
    <row r="572" spans="4:21" x14ac:dyDescent="0.2">
      <c r="D572" s="4"/>
      <c r="G572" s="5"/>
      <c r="H572" s="5"/>
      <c r="I572" s="4"/>
      <c r="J572" s="4"/>
      <c r="K572" s="5"/>
      <c r="Q572" t="e">
        <f>VLOOKUP(A572,'גיליון דאטה להכל'!A:E,5,0)</f>
        <v>#N/A</v>
      </c>
      <c r="R572" t="e">
        <f>VLOOKUP(A572,'לעדכן בסינתזה דאטה אריזה 42+24'!$A:$C,3,0)</f>
        <v>#N/A</v>
      </c>
      <c r="S572" t="e">
        <f>VLOOKUP(#REF!,'מלאי לא תקין'!A:N,17,0)</f>
        <v>#REF!</v>
      </c>
      <c r="T572" t="e">
        <f t="shared" si="20"/>
        <v>#REF!</v>
      </c>
      <c r="U572" t="e">
        <f t="shared" si="21"/>
        <v>#REF!</v>
      </c>
    </row>
    <row r="573" spans="4:21" x14ac:dyDescent="0.2">
      <c r="D573" s="4"/>
      <c r="G573" s="5"/>
      <c r="H573" s="5"/>
      <c r="I573" s="4"/>
      <c r="J573" s="4"/>
      <c r="K573" s="5"/>
      <c r="Q573" t="e">
        <f>VLOOKUP(A573,'גיליון דאטה להכל'!A:E,5,0)</f>
        <v>#N/A</v>
      </c>
      <c r="R573" t="e">
        <f>VLOOKUP(A573,'לעדכן בסינתזה דאטה אריזה 42+24'!$A:$C,3,0)</f>
        <v>#N/A</v>
      </c>
      <c r="S573" t="e">
        <f>VLOOKUP(#REF!,'מלאי לא תקין'!A:N,17,0)</f>
        <v>#REF!</v>
      </c>
      <c r="T573" t="e">
        <f t="shared" si="20"/>
        <v>#REF!</v>
      </c>
      <c r="U573" t="e">
        <f t="shared" si="21"/>
        <v>#REF!</v>
      </c>
    </row>
    <row r="574" spans="4:21" x14ac:dyDescent="0.2">
      <c r="D574" s="4"/>
      <c r="G574" s="5"/>
      <c r="H574" s="5"/>
      <c r="I574" s="4"/>
      <c r="J574" s="4"/>
      <c r="K574" s="5"/>
      <c r="Q574" t="e">
        <f>VLOOKUP(A574,'גיליון דאטה להכל'!A:E,5,0)</f>
        <v>#N/A</v>
      </c>
      <c r="R574" t="e">
        <f>VLOOKUP(A574,'לעדכן בסינתזה דאטה אריזה 42+24'!$A:$C,3,0)</f>
        <v>#N/A</v>
      </c>
      <c r="S574" t="e">
        <f>VLOOKUP(#REF!,'מלאי לא תקין'!A:N,17,0)</f>
        <v>#REF!</v>
      </c>
      <c r="T574" t="e">
        <f t="shared" si="20"/>
        <v>#REF!</v>
      </c>
      <c r="U574" t="e">
        <f t="shared" si="21"/>
        <v>#REF!</v>
      </c>
    </row>
    <row r="575" spans="4:21" x14ac:dyDescent="0.2">
      <c r="D575" s="4"/>
      <c r="G575" s="5"/>
      <c r="H575" s="5"/>
      <c r="I575" s="4"/>
      <c r="J575" s="4"/>
      <c r="K575" s="5"/>
      <c r="Q575" t="e">
        <f>VLOOKUP(A575,'גיליון דאטה להכל'!A:E,5,0)</f>
        <v>#N/A</v>
      </c>
      <c r="R575" t="e">
        <f>VLOOKUP(A575,'לעדכן בסינתזה דאטה אריזה 42+24'!$A:$C,3,0)</f>
        <v>#N/A</v>
      </c>
      <c r="S575" t="e">
        <f>VLOOKUP(#REF!,'מלאי לא תקין'!A:N,17,0)</f>
        <v>#REF!</v>
      </c>
      <c r="T575" t="e">
        <f t="shared" si="20"/>
        <v>#REF!</v>
      </c>
      <c r="U575" t="e">
        <f t="shared" si="21"/>
        <v>#REF!</v>
      </c>
    </row>
    <row r="576" spans="4:21" x14ac:dyDescent="0.2">
      <c r="D576" s="4"/>
      <c r="G576" s="5"/>
      <c r="H576" s="5"/>
      <c r="I576" s="4"/>
      <c r="J576" s="4"/>
      <c r="K576" s="5"/>
      <c r="Q576" t="e">
        <f>VLOOKUP(A576,'גיליון דאטה להכל'!A:E,5,0)</f>
        <v>#N/A</v>
      </c>
      <c r="R576" t="e">
        <f>VLOOKUP(A576,'לעדכן בסינתזה דאטה אריזה 42+24'!$A:$C,3,0)</f>
        <v>#N/A</v>
      </c>
      <c r="S576" t="e">
        <f>VLOOKUP(#REF!,'מלאי לא תקין'!A:N,17,0)</f>
        <v>#REF!</v>
      </c>
      <c r="T576" t="e">
        <f t="shared" si="20"/>
        <v>#REF!</v>
      </c>
      <c r="U576" t="e">
        <f t="shared" si="21"/>
        <v>#REF!</v>
      </c>
    </row>
    <row r="577" spans="4:21" x14ac:dyDescent="0.2">
      <c r="D577" s="4"/>
      <c r="G577" s="5"/>
      <c r="H577" s="7"/>
      <c r="I577" s="4"/>
      <c r="J577" s="4"/>
      <c r="K577" s="5"/>
      <c r="Q577" t="e">
        <f>VLOOKUP(A577,'גיליון דאטה להכל'!A:E,5,0)</f>
        <v>#N/A</v>
      </c>
      <c r="R577" t="e">
        <f>VLOOKUP(A577,'לעדכן בסינתזה דאטה אריזה 42+24'!$A:$C,3,0)</f>
        <v>#N/A</v>
      </c>
      <c r="S577" t="e">
        <f>VLOOKUP(#REF!,'מלאי לא תקין'!A:N,17,0)</f>
        <v>#REF!</v>
      </c>
      <c r="T577" t="e">
        <f t="shared" si="20"/>
        <v>#REF!</v>
      </c>
      <c r="U577" t="e">
        <f t="shared" si="21"/>
        <v>#REF!</v>
      </c>
    </row>
    <row r="578" spans="4:21" x14ac:dyDescent="0.2">
      <c r="D578" s="4"/>
      <c r="G578" s="5"/>
      <c r="H578" s="5"/>
      <c r="I578" s="4"/>
      <c r="J578" s="4"/>
      <c r="K578" s="5"/>
      <c r="Q578" t="e">
        <f>VLOOKUP(A578,'גיליון דאטה להכל'!A:E,5,0)</f>
        <v>#N/A</v>
      </c>
      <c r="R578" t="e">
        <f>VLOOKUP(A578,'לעדכן בסינתזה דאטה אריזה 42+24'!$A:$C,3,0)</f>
        <v>#N/A</v>
      </c>
      <c r="S578" t="e">
        <f>VLOOKUP(#REF!,'מלאי לא תקין'!A:N,17,0)</f>
        <v>#REF!</v>
      </c>
      <c r="T578" t="e">
        <f t="shared" si="20"/>
        <v>#REF!</v>
      </c>
      <c r="U578" t="e">
        <f t="shared" si="21"/>
        <v>#REF!</v>
      </c>
    </row>
    <row r="579" spans="4:21" x14ac:dyDescent="0.2">
      <c r="D579" s="4"/>
      <c r="G579" s="5"/>
      <c r="H579" s="5"/>
      <c r="I579" s="4"/>
      <c r="J579" s="4"/>
      <c r="K579" s="5"/>
      <c r="Q579" t="e">
        <f>VLOOKUP(A579,'גיליון דאטה להכל'!A:E,5,0)</f>
        <v>#N/A</v>
      </c>
      <c r="R579" t="e">
        <f>VLOOKUP(A579,'לעדכן בסינתזה דאטה אריזה 42+24'!$A:$C,3,0)</f>
        <v>#N/A</v>
      </c>
      <c r="S579" t="e">
        <f>VLOOKUP(#REF!,'מלאי לא תקין'!A:N,17,0)</f>
        <v>#REF!</v>
      </c>
      <c r="T579" t="e">
        <f t="shared" si="20"/>
        <v>#REF!</v>
      </c>
      <c r="U579" t="e">
        <f t="shared" si="21"/>
        <v>#REF!</v>
      </c>
    </row>
    <row r="580" spans="4:21" x14ac:dyDescent="0.2">
      <c r="D580" s="4"/>
      <c r="G580" s="5"/>
      <c r="H580" s="5"/>
      <c r="I580" s="4"/>
      <c r="J580" s="4"/>
      <c r="K580" s="5"/>
      <c r="Q580" t="e">
        <f>VLOOKUP(A580,'גיליון דאטה להכל'!A:E,5,0)</f>
        <v>#N/A</v>
      </c>
      <c r="R580" t="e">
        <f>VLOOKUP(A580,'לעדכן בסינתזה דאטה אריזה 42+24'!$A:$C,3,0)</f>
        <v>#N/A</v>
      </c>
      <c r="S580" t="e">
        <f>VLOOKUP(#REF!,'מלאי לא תקין'!A:N,17,0)</f>
        <v>#REF!</v>
      </c>
      <c r="T580" t="e">
        <f t="shared" si="20"/>
        <v>#REF!</v>
      </c>
      <c r="U580" t="e">
        <f t="shared" si="21"/>
        <v>#REF!</v>
      </c>
    </row>
    <row r="581" spans="4:21" x14ac:dyDescent="0.2">
      <c r="D581" s="4"/>
      <c r="G581" s="5"/>
      <c r="H581" s="5"/>
      <c r="I581" s="4"/>
      <c r="J581" s="4"/>
      <c r="K581" s="5"/>
      <c r="Q581" t="e">
        <f>VLOOKUP(A581,'גיליון דאטה להכל'!A:E,5,0)</f>
        <v>#N/A</v>
      </c>
      <c r="R581" t="e">
        <f>VLOOKUP(A581,'לעדכן בסינתזה דאטה אריזה 42+24'!$A:$C,3,0)</f>
        <v>#N/A</v>
      </c>
      <c r="S581" t="e">
        <f>VLOOKUP(#REF!,'מלאי לא תקין'!A:N,17,0)</f>
        <v>#REF!</v>
      </c>
      <c r="T581" t="e">
        <f t="shared" si="20"/>
        <v>#REF!</v>
      </c>
      <c r="U581" t="e">
        <f t="shared" si="21"/>
        <v>#REF!</v>
      </c>
    </row>
    <row r="582" spans="4:21" x14ac:dyDescent="0.2">
      <c r="D582" s="4"/>
      <c r="G582" s="5"/>
      <c r="H582" s="5"/>
      <c r="I582" s="4"/>
      <c r="J582" s="4"/>
      <c r="K582" s="5"/>
      <c r="Q582" t="e">
        <f>VLOOKUP(A582,'גיליון דאטה להכל'!A:E,5,0)</f>
        <v>#N/A</v>
      </c>
      <c r="R582" t="e">
        <f>VLOOKUP(A582,'לעדכן בסינתזה דאטה אריזה 42+24'!$A:$C,3,0)</f>
        <v>#N/A</v>
      </c>
      <c r="S582" t="e">
        <f>VLOOKUP(#REF!,'מלאי לא תקין'!A:N,17,0)</f>
        <v>#REF!</v>
      </c>
      <c r="T582" t="e">
        <f t="shared" si="20"/>
        <v>#REF!</v>
      </c>
      <c r="U582" t="e">
        <f t="shared" si="21"/>
        <v>#REF!</v>
      </c>
    </row>
    <row r="583" spans="4:21" x14ac:dyDescent="0.2">
      <c r="D583" s="4"/>
      <c r="G583" s="5"/>
      <c r="H583" s="7"/>
      <c r="I583" s="4"/>
      <c r="J583" s="4"/>
      <c r="K583" s="5"/>
      <c r="Q583" t="e">
        <f>VLOOKUP(A583,'גיליון דאטה להכל'!A:E,5,0)</f>
        <v>#N/A</v>
      </c>
      <c r="R583" t="e">
        <f>VLOOKUP(A583,'לעדכן בסינתזה דאטה אריזה 42+24'!$A:$C,3,0)</f>
        <v>#N/A</v>
      </c>
      <c r="S583" t="e">
        <f>VLOOKUP(#REF!,'מלאי לא תקין'!A:N,17,0)</f>
        <v>#REF!</v>
      </c>
      <c r="T583" t="e">
        <f t="shared" si="20"/>
        <v>#REF!</v>
      </c>
      <c r="U583" t="e">
        <f t="shared" si="21"/>
        <v>#REF!</v>
      </c>
    </row>
    <row r="584" spans="4:21" x14ac:dyDescent="0.2">
      <c r="D584" s="4"/>
      <c r="G584" s="5"/>
      <c r="H584" s="5"/>
      <c r="I584" s="4"/>
      <c r="J584" s="4"/>
      <c r="K584" s="5"/>
      <c r="Q584" t="e">
        <f>VLOOKUP(A584,'גיליון דאטה להכל'!A:E,5,0)</f>
        <v>#N/A</v>
      </c>
      <c r="R584" t="e">
        <f>VLOOKUP(A584,'לעדכן בסינתזה דאטה אריזה 42+24'!$A:$C,3,0)</f>
        <v>#N/A</v>
      </c>
      <c r="S584" t="e">
        <f>VLOOKUP(#REF!,'מלאי לא תקין'!A:N,17,0)</f>
        <v>#REF!</v>
      </c>
      <c r="T584" t="e">
        <f t="shared" si="20"/>
        <v>#REF!</v>
      </c>
      <c r="U584" t="e">
        <f t="shared" si="21"/>
        <v>#REF!</v>
      </c>
    </row>
    <row r="585" spans="4:21" x14ac:dyDescent="0.2">
      <c r="D585" s="4"/>
      <c r="G585" s="5"/>
      <c r="H585" s="5"/>
      <c r="I585" s="4"/>
      <c r="J585" s="4"/>
      <c r="K585" s="5"/>
      <c r="Q585" t="e">
        <f>VLOOKUP(A585,'גיליון דאטה להכל'!A:E,5,0)</f>
        <v>#N/A</v>
      </c>
      <c r="R585" t="e">
        <f>VLOOKUP(A585,'לעדכן בסינתזה דאטה אריזה 42+24'!$A:$C,3,0)</f>
        <v>#N/A</v>
      </c>
      <c r="S585" t="e">
        <f>VLOOKUP(#REF!,'מלאי לא תקין'!A:N,17,0)</f>
        <v>#REF!</v>
      </c>
      <c r="T585" t="e">
        <f t="shared" si="20"/>
        <v>#REF!</v>
      </c>
      <c r="U585" t="e">
        <f t="shared" si="21"/>
        <v>#REF!</v>
      </c>
    </row>
    <row r="586" spans="4:21" x14ac:dyDescent="0.2">
      <c r="D586" s="4"/>
      <c r="G586" s="5"/>
      <c r="H586" s="5"/>
      <c r="I586" s="4"/>
      <c r="J586" s="4"/>
      <c r="K586" s="5"/>
      <c r="Q586" t="e">
        <f>VLOOKUP(A586,'גיליון דאטה להכל'!A:E,5,0)</f>
        <v>#N/A</v>
      </c>
      <c r="R586" t="e">
        <f>VLOOKUP(A586,'לעדכן בסינתזה דאטה אריזה 42+24'!$A:$C,3,0)</f>
        <v>#N/A</v>
      </c>
      <c r="S586" t="e">
        <f>VLOOKUP(#REF!,'מלאי לא תקין'!A:N,17,0)</f>
        <v>#REF!</v>
      </c>
      <c r="T586" t="e">
        <f t="shared" si="20"/>
        <v>#REF!</v>
      </c>
      <c r="U586" t="e">
        <f t="shared" si="21"/>
        <v>#REF!</v>
      </c>
    </row>
    <row r="587" spans="4:21" x14ac:dyDescent="0.2">
      <c r="D587" s="4"/>
      <c r="G587" s="5"/>
      <c r="H587" s="5"/>
      <c r="I587" s="4"/>
      <c r="J587" s="4"/>
      <c r="K587" s="5"/>
      <c r="Q587" t="e">
        <f>VLOOKUP(A587,'גיליון דאטה להכל'!A:E,5,0)</f>
        <v>#N/A</v>
      </c>
      <c r="R587" t="e">
        <f>VLOOKUP(A587,'לעדכן בסינתזה דאטה אריזה 42+24'!$A:$C,3,0)</f>
        <v>#N/A</v>
      </c>
      <c r="S587" t="e">
        <f>VLOOKUP(#REF!,'מלאי לא תקין'!A:N,17,0)</f>
        <v>#REF!</v>
      </c>
      <c r="T587" t="e">
        <f t="shared" si="20"/>
        <v>#REF!</v>
      </c>
      <c r="U587" t="e">
        <f t="shared" si="21"/>
        <v>#REF!</v>
      </c>
    </row>
    <row r="588" spans="4:21" x14ac:dyDescent="0.2">
      <c r="D588" s="4"/>
      <c r="G588" s="5"/>
      <c r="H588" s="5"/>
      <c r="I588" s="4"/>
      <c r="J588" s="4"/>
      <c r="K588" s="5"/>
      <c r="Q588" t="e">
        <f>VLOOKUP(A588,'גיליון דאטה להכל'!A:E,5,0)</f>
        <v>#N/A</v>
      </c>
      <c r="R588" t="e">
        <f>VLOOKUP(A588,'לעדכן בסינתזה דאטה אריזה 42+24'!$A:$C,3,0)</f>
        <v>#N/A</v>
      </c>
      <c r="S588" t="e">
        <f>VLOOKUP(#REF!,'מלאי לא תקין'!A:N,17,0)</f>
        <v>#REF!</v>
      </c>
      <c r="T588" t="e">
        <f t="shared" si="20"/>
        <v>#REF!</v>
      </c>
      <c r="U588" t="e">
        <f t="shared" si="21"/>
        <v>#REF!</v>
      </c>
    </row>
    <row r="589" spans="4:21" x14ac:dyDescent="0.2">
      <c r="D589" s="4"/>
      <c r="G589" s="5"/>
      <c r="H589" s="7"/>
      <c r="I589" s="4"/>
      <c r="J589" s="4"/>
      <c r="K589" s="5"/>
      <c r="Q589" t="e">
        <f>VLOOKUP(A589,'גיליון דאטה להכל'!A:E,5,0)</f>
        <v>#N/A</v>
      </c>
      <c r="R589" t="e">
        <f>VLOOKUP(A589,'לעדכן בסינתזה דאטה אריזה 42+24'!$A:$C,3,0)</f>
        <v>#N/A</v>
      </c>
      <c r="S589" t="e">
        <f>VLOOKUP(#REF!,'מלאי לא תקין'!A:N,17,0)</f>
        <v>#REF!</v>
      </c>
      <c r="T589" t="e">
        <f t="shared" si="20"/>
        <v>#REF!</v>
      </c>
      <c r="U589" t="e">
        <f t="shared" si="21"/>
        <v>#REF!</v>
      </c>
    </row>
    <row r="590" spans="4:21" x14ac:dyDescent="0.2">
      <c r="D590" s="4"/>
      <c r="G590" s="5"/>
      <c r="H590" s="5"/>
      <c r="I590" s="4"/>
      <c r="J590" s="4"/>
      <c r="K590" s="5"/>
      <c r="Q590" t="e">
        <f>VLOOKUP(A590,'גיליון דאטה להכל'!A:E,5,0)</f>
        <v>#N/A</v>
      </c>
      <c r="R590" t="e">
        <f>VLOOKUP(A590,'לעדכן בסינתזה דאטה אריזה 42+24'!$A:$C,3,0)</f>
        <v>#N/A</v>
      </c>
      <c r="S590" t="e">
        <f>VLOOKUP(#REF!,'מלאי לא תקין'!A:N,17,0)</f>
        <v>#REF!</v>
      </c>
      <c r="T590" t="e">
        <f t="shared" si="20"/>
        <v>#REF!</v>
      </c>
      <c r="U590" t="e">
        <f t="shared" si="21"/>
        <v>#REF!</v>
      </c>
    </row>
    <row r="591" spans="4:21" x14ac:dyDescent="0.2">
      <c r="D591" s="4"/>
      <c r="G591" s="5"/>
      <c r="H591" s="5"/>
      <c r="I591" s="4"/>
      <c r="J591" s="4"/>
      <c r="K591" s="5"/>
      <c r="Q591" t="e">
        <f>VLOOKUP(A591,'גיליון דאטה להכל'!A:E,5,0)</f>
        <v>#N/A</v>
      </c>
      <c r="R591" t="e">
        <f>VLOOKUP(A591,'לעדכן בסינתזה דאטה אריזה 42+24'!$A:$C,3,0)</f>
        <v>#N/A</v>
      </c>
      <c r="S591" t="e">
        <f>VLOOKUP(#REF!,'מלאי לא תקין'!A:N,17,0)</f>
        <v>#REF!</v>
      </c>
      <c r="T591" t="e">
        <f t="shared" si="20"/>
        <v>#REF!</v>
      </c>
      <c r="U591" t="e">
        <f t="shared" si="21"/>
        <v>#REF!</v>
      </c>
    </row>
    <row r="592" spans="4:21" x14ac:dyDescent="0.2">
      <c r="D592" s="4"/>
      <c r="G592" s="5"/>
      <c r="H592" s="5"/>
      <c r="I592" s="4"/>
      <c r="J592" s="4"/>
      <c r="K592" s="5"/>
      <c r="Q592" t="e">
        <f>VLOOKUP(A592,'גיליון דאטה להכל'!A:E,5,0)</f>
        <v>#N/A</v>
      </c>
      <c r="R592" t="e">
        <f>VLOOKUP(A592,'לעדכן בסינתזה דאטה אריזה 42+24'!$A:$C,3,0)</f>
        <v>#N/A</v>
      </c>
      <c r="S592" t="e">
        <f>VLOOKUP(#REF!,'מלאי לא תקין'!A:N,17,0)</f>
        <v>#REF!</v>
      </c>
      <c r="T592" t="e">
        <f t="shared" si="20"/>
        <v>#REF!</v>
      </c>
      <c r="U592" t="e">
        <f t="shared" si="21"/>
        <v>#REF!</v>
      </c>
    </row>
    <row r="593" spans="4:21" x14ac:dyDescent="0.2">
      <c r="D593" s="4"/>
      <c r="G593" s="5"/>
      <c r="H593" s="5"/>
      <c r="I593" s="4"/>
      <c r="J593" s="4"/>
      <c r="K593" s="5"/>
      <c r="Q593" t="e">
        <f>VLOOKUP(A593,'גיליון דאטה להכל'!A:E,5,0)</f>
        <v>#N/A</v>
      </c>
      <c r="R593" t="e">
        <f>VLOOKUP(A593,'לעדכן בסינתזה דאטה אריזה 42+24'!$A:$C,3,0)</f>
        <v>#N/A</v>
      </c>
      <c r="S593" t="e">
        <f>VLOOKUP(#REF!,'מלאי לא תקין'!A:N,17,0)</f>
        <v>#REF!</v>
      </c>
      <c r="T593" t="e">
        <f t="shared" si="20"/>
        <v>#REF!</v>
      </c>
      <c r="U593" t="e">
        <f t="shared" si="21"/>
        <v>#REF!</v>
      </c>
    </row>
    <row r="594" spans="4:21" x14ac:dyDescent="0.2">
      <c r="D594" s="4"/>
      <c r="G594" s="5"/>
      <c r="H594" s="5"/>
      <c r="I594" s="4"/>
      <c r="J594" s="4"/>
      <c r="K594" s="5"/>
      <c r="Q594" t="e">
        <f>VLOOKUP(A594,'גיליון דאטה להכל'!A:E,5,0)</f>
        <v>#N/A</v>
      </c>
      <c r="R594" t="e">
        <f>VLOOKUP(A594,'לעדכן בסינתזה דאטה אריזה 42+24'!$A:$C,3,0)</f>
        <v>#N/A</v>
      </c>
      <c r="S594" t="e">
        <f>VLOOKUP(#REF!,'מלאי לא תקין'!A:N,17,0)</f>
        <v>#REF!</v>
      </c>
      <c r="T594" t="e">
        <f t="shared" si="20"/>
        <v>#REF!</v>
      </c>
      <c r="U594" t="e">
        <f t="shared" si="21"/>
        <v>#REF!</v>
      </c>
    </row>
    <row r="595" spans="4:21" x14ac:dyDescent="0.2">
      <c r="D595" s="4"/>
      <c r="G595" s="5"/>
      <c r="H595" s="7"/>
      <c r="I595" s="4"/>
      <c r="J595" s="4"/>
      <c r="K595" s="5"/>
      <c r="Q595" t="e">
        <f>VLOOKUP(A595,'גיליון דאטה להכל'!A:E,5,0)</f>
        <v>#N/A</v>
      </c>
      <c r="R595" t="e">
        <f>VLOOKUP(A595,'לעדכן בסינתזה דאטה אריזה 42+24'!$A:$C,3,0)</f>
        <v>#N/A</v>
      </c>
      <c r="S595" t="e">
        <f>VLOOKUP(#REF!,'מלאי לא תקין'!A:N,17,0)</f>
        <v>#REF!</v>
      </c>
      <c r="T595" t="e">
        <f t="shared" si="20"/>
        <v>#REF!</v>
      </c>
      <c r="U595" t="e">
        <f t="shared" si="21"/>
        <v>#REF!</v>
      </c>
    </row>
    <row r="596" spans="4:21" x14ac:dyDescent="0.2">
      <c r="D596" s="4"/>
      <c r="G596" s="5"/>
      <c r="H596" s="5"/>
      <c r="I596" s="4"/>
      <c r="J596" s="4"/>
      <c r="K596" s="5"/>
      <c r="Q596" t="e">
        <f>VLOOKUP(A596,'גיליון דאטה להכל'!A:E,5,0)</f>
        <v>#N/A</v>
      </c>
      <c r="R596" t="e">
        <f>VLOOKUP(A596,'לעדכן בסינתזה דאטה אריזה 42+24'!$A:$C,3,0)</f>
        <v>#N/A</v>
      </c>
      <c r="S596" t="e">
        <f>VLOOKUP(#REF!,'מלאי לא תקין'!A:N,17,0)</f>
        <v>#REF!</v>
      </c>
      <c r="T596" t="e">
        <f t="shared" si="20"/>
        <v>#REF!</v>
      </c>
      <c r="U596" t="e">
        <f t="shared" si="21"/>
        <v>#REF!</v>
      </c>
    </row>
    <row r="597" spans="4:21" x14ac:dyDescent="0.2">
      <c r="D597" s="4"/>
      <c r="G597" s="5"/>
      <c r="H597" s="5"/>
      <c r="I597" s="4"/>
      <c r="J597" s="4"/>
      <c r="K597" s="5"/>
      <c r="Q597" t="e">
        <f>VLOOKUP(A597,'גיליון דאטה להכל'!A:E,5,0)</f>
        <v>#N/A</v>
      </c>
      <c r="R597" t="e">
        <f>VLOOKUP(A597,'לעדכן בסינתזה דאטה אריזה 42+24'!$A:$C,3,0)</f>
        <v>#N/A</v>
      </c>
      <c r="S597" t="e">
        <f>VLOOKUP(#REF!,'מלאי לא תקין'!A:N,17,0)</f>
        <v>#REF!</v>
      </c>
      <c r="T597" t="e">
        <f t="shared" si="20"/>
        <v>#REF!</v>
      </c>
      <c r="U597" t="e">
        <f t="shared" si="21"/>
        <v>#REF!</v>
      </c>
    </row>
    <row r="598" spans="4:21" x14ac:dyDescent="0.2">
      <c r="D598" s="4"/>
      <c r="G598" s="5"/>
      <c r="H598" s="5"/>
      <c r="I598" s="4"/>
      <c r="J598" s="4"/>
      <c r="K598" s="5"/>
      <c r="Q598" t="e">
        <f>VLOOKUP(A598,'גיליון דאטה להכל'!A:E,5,0)</f>
        <v>#N/A</v>
      </c>
      <c r="R598" t="e">
        <f>VLOOKUP(A598,'לעדכן בסינתזה דאטה אריזה 42+24'!$A:$C,3,0)</f>
        <v>#N/A</v>
      </c>
      <c r="S598" t="e">
        <f>VLOOKUP(#REF!,'מלאי לא תקין'!A:N,17,0)</f>
        <v>#REF!</v>
      </c>
      <c r="T598" t="e">
        <f t="shared" si="20"/>
        <v>#REF!</v>
      </c>
      <c r="U598" t="e">
        <f t="shared" si="21"/>
        <v>#REF!</v>
      </c>
    </row>
    <row r="599" spans="4:21" x14ac:dyDescent="0.2">
      <c r="D599" s="4"/>
      <c r="G599" s="5"/>
      <c r="H599" s="5"/>
      <c r="I599" s="4"/>
      <c r="J599" s="4"/>
      <c r="K599" s="5"/>
      <c r="Q599" t="e">
        <f>VLOOKUP(A599,'גיליון דאטה להכל'!A:E,5,0)</f>
        <v>#N/A</v>
      </c>
      <c r="R599" t="e">
        <f>VLOOKUP(A599,'לעדכן בסינתזה דאטה אריזה 42+24'!$A:$C,3,0)</f>
        <v>#N/A</v>
      </c>
      <c r="S599" t="e">
        <f>VLOOKUP(#REF!,'מלאי לא תקין'!A:N,17,0)</f>
        <v>#REF!</v>
      </c>
      <c r="T599" t="e">
        <f t="shared" si="20"/>
        <v>#REF!</v>
      </c>
      <c r="U599" t="e">
        <f t="shared" si="21"/>
        <v>#REF!</v>
      </c>
    </row>
    <row r="600" spans="4:21" x14ac:dyDescent="0.2">
      <c r="D600" s="4"/>
      <c r="G600" s="5"/>
      <c r="H600" s="5"/>
      <c r="I600" s="4"/>
      <c r="J600" s="4"/>
      <c r="K600" s="5"/>
      <c r="Q600" t="e">
        <f>VLOOKUP(A600,'גיליון דאטה להכל'!A:E,5,0)</f>
        <v>#N/A</v>
      </c>
      <c r="R600" t="e">
        <f>VLOOKUP(A600,'לעדכן בסינתזה דאטה אריזה 42+24'!$A:$C,3,0)</f>
        <v>#N/A</v>
      </c>
      <c r="S600" t="e">
        <f>VLOOKUP(#REF!,'מלאי לא תקין'!A:N,17,0)</f>
        <v>#REF!</v>
      </c>
      <c r="T600" t="e">
        <f t="shared" si="20"/>
        <v>#REF!</v>
      </c>
      <c r="U600" t="e">
        <f t="shared" si="21"/>
        <v>#REF!</v>
      </c>
    </row>
    <row r="601" spans="4:21" x14ac:dyDescent="0.2">
      <c r="D601" s="4"/>
      <c r="G601" s="5"/>
      <c r="H601" s="7"/>
      <c r="I601" s="4"/>
      <c r="J601" s="4"/>
      <c r="K601" s="5"/>
      <c r="Q601" t="e">
        <f>VLOOKUP(A601,'גיליון דאטה להכל'!A:E,5,0)</f>
        <v>#N/A</v>
      </c>
      <c r="R601" t="e">
        <f>VLOOKUP(A601,'לעדכן בסינתזה דאטה אריזה 42+24'!$A:$C,3,0)</f>
        <v>#N/A</v>
      </c>
      <c r="S601" t="e">
        <f>VLOOKUP(#REF!,'מלאי לא תקין'!A:N,17,0)</f>
        <v>#REF!</v>
      </c>
      <c r="T601" t="e">
        <f t="shared" si="20"/>
        <v>#REF!</v>
      </c>
      <c r="U601" t="e">
        <f t="shared" si="21"/>
        <v>#REF!</v>
      </c>
    </row>
    <row r="602" spans="4:21" x14ac:dyDescent="0.2">
      <c r="D602" s="4"/>
      <c r="G602" s="5"/>
      <c r="H602" s="5"/>
      <c r="I602" s="4"/>
      <c r="J602" s="4"/>
      <c r="K602" s="5"/>
      <c r="Q602" t="e">
        <f>VLOOKUP(A602,'גיליון דאטה להכל'!A:E,5,0)</f>
        <v>#N/A</v>
      </c>
      <c r="R602" t="e">
        <f>VLOOKUP(A602,'לעדכן בסינתזה דאטה אריזה 42+24'!$A:$C,3,0)</f>
        <v>#N/A</v>
      </c>
      <c r="S602" t="e">
        <f>VLOOKUP(#REF!,'מלאי לא תקין'!A:N,17,0)</f>
        <v>#REF!</v>
      </c>
      <c r="T602" t="e">
        <f t="shared" si="20"/>
        <v>#REF!</v>
      </c>
      <c r="U602" t="e">
        <f t="shared" si="21"/>
        <v>#REF!</v>
      </c>
    </row>
    <row r="603" spans="4:21" x14ac:dyDescent="0.2">
      <c r="D603" s="4"/>
      <c r="G603" s="5"/>
      <c r="H603" s="5"/>
      <c r="I603" s="4"/>
      <c r="J603" s="4"/>
      <c r="K603" s="5"/>
      <c r="Q603" t="e">
        <f>VLOOKUP(A603,'גיליון דאטה להכל'!A:E,5,0)</f>
        <v>#N/A</v>
      </c>
      <c r="R603" t="e">
        <f>VLOOKUP(A603,'לעדכן בסינתזה דאטה אריזה 42+24'!$A:$C,3,0)</f>
        <v>#N/A</v>
      </c>
      <c r="S603" t="e">
        <f>VLOOKUP(#REF!,'מלאי לא תקין'!A:N,17,0)</f>
        <v>#REF!</v>
      </c>
      <c r="T603" t="e">
        <f t="shared" si="20"/>
        <v>#REF!</v>
      </c>
      <c r="U603" t="e">
        <f t="shared" si="21"/>
        <v>#REF!</v>
      </c>
    </row>
    <row r="604" spans="4:21" x14ac:dyDescent="0.2">
      <c r="D604" s="4"/>
      <c r="G604" s="5"/>
      <c r="H604" s="5"/>
      <c r="I604" s="4"/>
      <c r="J604" s="4"/>
      <c r="K604" s="5"/>
      <c r="Q604" t="e">
        <f>VLOOKUP(A604,'גיליון דאטה להכל'!A:E,5,0)</f>
        <v>#N/A</v>
      </c>
      <c r="R604" t="e">
        <f>VLOOKUP(A604,'לעדכן בסינתזה דאטה אריזה 42+24'!$A:$C,3,0)</f>
        <v>#N/A</v>
      </c>
      <c r="S604" t="e">
        <f>VLOOKUP(#REF!,'מלאי לא תקין'!A:N,17,0)</f>
        <v>#REF!</v>
      </c>
      <c r="T604" t="e">
        <f t="shared" si="20"/>
        <v>#REF!</v>
      </c>
      <c r="U604" t="e">
        <f t="shared" si="21"/>
        <v>#REF!</v>
      </c>
    </row>
    <row r="605" spans="4:21" x14ac:dyDescent="0.2">
      <c r="D605" s="4"/>
      <c r="G605" s="5"/>
      <c r="H605" s="5"/>
      <c r="I605" s="4"/>
      <c r="J605" s="4"/>
      <c r="K605" s="5"/>
      <c r="Q605" t="e">
        <f>VLOOKUP(A605,'גיליון דאטה להכל'!A:E,5,0)</f>
        <v>#N/A</v>
      </c>
      <c r="R605" t="e">
        <f>VLOOKUP(A605,'לעדכן בסינתזה דאטה אריזה 42+24'!$A:$C,3,0)</f>
        <v>#N/A</v>
      </c>
      <c r="S605" t="e">
        <f>VLOOKUP(#REF!,'מלאי לא תקין'!A:N,17,0)</f>
        <v>#REF!</v>
      </c>
      <c r="T605" t="e">
        <f t="shared" si="20"/>
        <v>#REF!</v>
      </c>
      <c r="U605" t="e">
        <f t="shared" si="21"/>
        <v>#REF!</v>
      </c>
    </row>
    <row r="606" spans="4:21" x14ac:dyDescent="0.2">
      <c r="D606" s="4"/>
      <c r="G606" s="5"/>
      <c r="H606" s="5"/>
      <c r="I606" s="4"/>
      <c r="J606" s="4"/>
      <c r="K606" s="5"/>
      <c r="Q606" t="e">
        <f>VLOOKUP(A606,'גיליון דאטה להכל'!A:E,5,0)</f>
        <v>#N/A</v>
      </c>
      <c r="R606" t="e">
        <f>VLOOKUP(A606,'לעדכן בסינתזה דאטה אריזה 42+24'!$A:$C,3,0)</f>
        <v>#N/A</v>
      </c>
      <c r="S606" t="e">
        <f>VLOOKUP(#REF!,'מלאי לא תקין'!A:N,17,0)</f>
        <v>#REF!</v>
      </c>
      <c r="T606" t="e">
        <f t="shared" si="20"/>
        <v>#REF!</v>
      </c>
      <c r="U606" t="e">
        <f t="shared" si="21"/>
        <v>#REF!</v>
      </c>
    </row>
    <row r="607" spans="4:21" x14ac:dyDescent="0.2">
      <c r="D607" s="4"/>
      <c r="G607" s="5"/>
      <c r="H607" s="7"/>
      <c r="I607" s="4"/>
      <c r="J607" s="4"/>
      <c r="K607" s="5"/>
      <c r="Q607" t="e">
        <f>VLOOKUP(A607,'גיליון דאטה להכל'!A:E,5,0)</f>
        <v>#N/A</v>
      </c>
      <c r="R607" t="e">
        <f>VLOOKUP(A607,'לעדכן בסינתזה דאטה אריזה 42+24'!$A:$C,3,0)</f>
        <v>#N/A</v>
      </c>
      <c r="S607" t="e">
        <f>VLOOKUP(#REF!,'מלאי לא תקין'!A:N,17,0)</f>
        <v>#REF!</v>
      </c>
      <c r="T607" t="e">
        <f t="shared" si="20"/>
        <v>#REF!</v>
      </c>
      <c r="U607" t="e">
        <f t="shared" si="21"/>
        <v>#REF!</v>
      </c>
    </row>
    <row r="608" spans="4:21" x14ac:dyDescent="0.2">
      <c r="D608" s="4"/>
      <c r="G608" s="5"/>
      <c r="H608" s="5"/>
      <c r="I608" s="4"/>
      <c r="J608" s="4"/>
      <c r="K608" s="5"/>
      <c r="Q608" t="e">
        <f>VLOOKUP(A608,'גיליון דאטה להכל'!A:E,5,0)</f>
        <v>#N/A</v>
      </c>
      <c r="R608" t="e">
        <f>VLOOKUP(A608,'לעדכן בסינתזה דאטה אריזה 42+24'!$A:$C,3,0)</f>
        <v>#N/A</v>
      </c>
      <c r="S608" t="e">
        <f>VLOOKUP(#REF!,'מלאי לא תקין'!A:N,17,0)</f>
        <v>#REF!</v>
      </c>
      <c r="T608" t="e">
        <f t="shared" si="20"/>
        <v>#REF!</v>
      </c>
      <c r="U608" t="e">
        <f t="shared" si="21"/>
        <v>#REF!</v>
      </c>
    </row>
    <row r="609" spans="4:21" x14ac:dyDescent="0.2">
      <c r="D609" s="4"/>
      <c r="G609" s="5"/>
      <c r="H609" s="5"/>
      <c r="I609" s="4"/>
      <c r="J609" s="4"/>
      <c r="K609" s="5"/>
      <c r="Q609" t="e">
        <f>VLOOKUP(A609,'גיליון דאטה להכל'!A:E,5,0)</f>
        <v>#N/A</v>
      </c>
      <c r="R609" t="e">
        <f>VLOOKUP(A609,'לעדכן בסינתזה דאטה אריזה 42+24'!$A:$C,3,0)</f>
        <v>#N/A</v>
      </c>
      <c r="S609" t="e">
        <f>VLOOKUP(#REF!,'מלאי לא תקין'!A:N,17,0)</f>
        <v>#REF!</v>
      </c>
      <c r="T609" t="e">
        <f t="shared" si="20"/>
        <v>#REF!</v>
      </c>
      <c r="U609" t="e">
        <f t="shared" si="21"/>
        <v>#REF!</v>
      </c>
    </row>
    <row r="610" spans="4:21" x14ac:dyDescent="0.2">
      <c r="D610" s="4"/>
      <c r="G610" s="5"/>
      <c r="H610" s="5"/>
      <c r="I610" s="4"/>
      <c r="J610" s="4"/>
      <c r="K610" s="5"/>
      <c r="Q610" t="e">
        <f>VLOOKUP(A610,'גיליון דאטה להכל'!A:E,5,0)</f>
        <v>#N/A</v>
      </c>
      <c r="R610" t="e">
        <f>VLOOKUP(A610,'לעדכן בסינתזה דאטה אריזה 42+24'!$A:$C,3,0)</f>
        <v>#N/A</v>
      </c>
      <c r="S610" t="e">
        <f>VLOOKUP(#REF!,'מלאי לא תקין'!A:N,17,0)</f>
        <v>#REF!</v>
      </c>
      <c r="T610" t="e">
        <f t="shared" si="20"/>
        <v>#REF!</v>
      </c>
      <c r="U610" t="e">
        <f t="shared" si="21"/>
        <v>#REF!</v>
      </c>
    </row>
    <row r="611" spans="4:21" x14ac:dyDescent="0.2">
      <c r="D611" s="4"/>
      <c r="G611" s="5"/>
      <c r="H611" s="5"/>
      <c r="I611" s="4"/>
      <c r="J611" s="4"/>
      <c r="K611" s="5"/>
      <c r="Q611" t="e">
        <f>VLOOKUP(A611,'גיליון דאטה להכל'!A:E,5,0)</f>
        <v>#N/A</v>
      </c>
      <c r="R611" t="e">
        <f>VLOOKUP(A611,'לעדכן בסינתזה דאטה אריזה 42+24'!$A:$C,3,0)</f>
        <v>#N/A</v>
      </c>
      <c r="S611" t="e">
        <f>VLOOKUP(#REF!,'מלאי לא תקין'!A:N,17,0)</f>
        <v>#REF!</v>
      </c>
      <c r="T611" t="e">
        <f t="shared" si="20"/>
        <v>#REF!</v>
      </c>
      <c r="U611" t="e">
        <f t="shared" si="21"/>
        <v>#REF!</v>
      </c>
    </row>
    <row r="612" spans="4:21" x14ac:dyDescent="0.2">
      <c r="D612" s="4"/>
      <c r="G612" s="5"/>
      <c r="H612" s="5"/>
      <c r="I612" s="4"/>
      <c r="J612" s="4"/>
      <c r="K612" s="5"/>
      <c r="Q612" t="e">
        <f>VLOOKUP(A612,'גיליון דאטה להכל'!A:E,5,0)</f>
        <v>#N/A</v>
      </c>
      <c r="R612" t="e">
        <f>VLOOKUP(A612,'לעדכן בסינתזה דאטה אריזה 42+24'!$A:$C,3,0)</f>
        <v>#N/A</v>
      </c>
      <c r="S612" t="e">
        <f>VLOOKUP(#REF!,'מלאי לא תקין'!A:N,17,0)</f>
        <v>#REF!</v>
      </c>
      <c r="T612" t="e">
        <f t="shared" si="20"/>
        <v>#REF!</v>
      </c>
      <c r="U612" t="e">
        <f t="shared" si="21"/>
        <v>#REF!</v>
      </c>
    </row>
    <row r="613" spans="4:21" x14ac:dyDescent="0.2">
      <c r="D613" s="4"/>
      <c r="G613" s="5"/>
      <c r="H613" s="7"/>
      <c r="I613" s="4"/>
      <c r="J613" s="4"/>
      <c r="K613" s="5"/>
      <c r="Q613" t="e">
        <f>VLOOKUP(A613,'גיליון דאטה להכל'!A:E,5,0)</f>
        <v>#N/A</v>
      </c>
      <c r="R613" t="e">
        <f>VLOOKUP(A613,'לעדכן בסינתזה דאטה אריזה 42+24'!$A:$C,3,0)</f>
        <v>#N/A</v>
      </c>
      <c r="S613" t="e">
        <f>VLOOKUP(#REF!,'מלאי לא תקין'!A:N,17,0)</f>
        <v>#REF!</v>
      </c>
      <c r="T613" t="e">
        <f t="shared" si="20"/>
        <v>#REF!</v>
      </c>
      <c r="U613" t="e">
        <f t="shared" si="21"/>
        <v>#REF!</v>
      </c>
    </row>
    <row r="614" spans="4:21" x14ac:dyDescent="0.2">
      <c r="D614" s="4"/>
      <c r="G614" s="5"/>
      <c r="H614" s="5"/>
      <c r="I614" s="4"/>
      <c r="J614" s="4"/>
      <c r="K614" s="5"/>
      <c r="Q614" t="e">
        <f>VLOOKUP(A614,'גיליון דאטה להכל'!A:E,5,0)</f>
        <v>#N/A</v>
      </c>
      <c r="R614" t="e">
        <f>VLOOKUP(A614,'לעדכן בסינתזה דאטה אריזה 42+24'!$A:$C,3,0)</f>
        <v>#N/A</v>
      </c>
      <c r="S614" t="e">
        <f>VLOOKUP(#REF!,'מלאי לא תקין'!A:N,17,0)</f>
        <v>#REF!</v>
      </c>
      <c r="T614" t="e">
        <f t="shared" si="20"/>
        <v>#REF!</v>
      </c>
      <c r="U614" t="e">
        <f t="shared" si="21"/>
        <v>#REF!</v>
      </c>
    </row>
    <row r="615" spans="4:21" x14ac:dyDescent="0.2">
      <c r="D615" s="4"/>
      <c r="G615" s="5"/>
      <c r="H615" s="5"/>
      <c r="I615" s="4"/>
      <c r="J615" s="4"/>
      <c r="K615" s="5"/>
      <c r="Q615" t="e">
        <f>VLOOKUP(A615,'גיליון דאטה להכל'!A:E,5,0)</f>
        <v>#N/A</v>
      </c>
      <c r="R615" t="e">
        <f>VLOOKUP(A615,'לעדכן בסינתזה דאטה אריזה 42+24'!$A:$C,3,0)</f>
        <v>#N/A</v>
      </c>
      <c r="S615" t="e">
        <f>VLOOKUP(#REF!,'מלאי לא תקין'!A:N,17,0)</f>
        <v>#REF!</v>
      </c>
      <c r="T615" t="e">
        <f t="shared" si="20"/>
        <v>#REF!</v>
      </c>
      <c r="U615" t="e">
        <f t="shared" si="21"/>
        <v>#REF!</v>
      </c>
    </row>
    <row r="616" spans="4:21" x14ac:dyDescent="0.2">
      <c r="D616" s="4"/>
      <c r="G616" s="5"/>
      <c r="H616" s="5"/>
      <c r="I616" s="4"/>
      <c r="J616" s="4"/>
      <c r="K616" s="5"/>
      <c r="Q616" t="e">
        <f>VLOOKUP(A616,'גיליון דאטה להכל'!A:E,5,0)</f>
        <v>#N/A</v>
      </c>
      <c r="R616" t="e">
        <f>VLOOKUP(A616,'לעדכן בסינתזה דאטה אריזה 42+24'!$A:$C,3,0)</f>
        <v>#N/A</v>
      </c>
      <c r="S616" t="e">
        <f>VLOOKUP(#REF!,'מלאי לא תקין'!A:N,17,0)</f>
        <v>#REF!</v>
      </c>
      <c r="T616" t="e">
        <f t="shared" si="20"/>
        <v>#REF!</v>
      </c>
      <c r="U616" t="e">
        <f t="shared" si="21"/>
        <v>#REF!</v>
      </c>
    </row>
    <row r="617" spans="4:21" x14ac:dyDescent="0.2">
      <c r="D617" s="4"/>
      <c r="G617" s="5"/>
      <c r="H617" s="5"/>
      <c r="I617" s="4"/>
      <c r="J617" s="4"/>
      <c r="K617" s="5"/>
      <c r="Q617" t="e">
        <f>VLOOKUP(A617,'גיליון דאטה להכל'!A:E,5,0)</f>
        <v>#N/A</v>
      </c>
      <c r="R617" t="e">
        <f>VLOOKUP(A617,'לעדכן בסינתזה דאטה אריזה 42+24'!$A:$C,3,0)</f>
        <v>#N/A</v>
      </c>
      <c r="S617" t="e">
        <f>VLOOKUP(#REF!,'מלאי לא תקין'!A:N,17,0)</f>
        <v>#REF!</v>
      </c>
      <c r="T617" t="e">
        <f t="shared" si="20"/>
        <v>#REF!</v>
      </c>
      <c r="U617" t="e">
        <f t="shared" si="21"/>
        <v>#REF!</v>
      </c>
    </row>
    <row r="618" spans="4:21" x14ac:dyDescent="0.2">
      <c r="D618" s="4"/>
      <c r="G618" s="5"/>
      <c r="H618" s="5"/>
      <c r="I618" s="4"/>
      <c r="J618" s="4"/>
      <c r="K618" s="5"/>
      <c r="Q618" t="e">
        <f>VLOOKUP(A618,'גיליון דאטה להכל'!A:E,5,0)</f>
        <v>#N/A</v>
      </c>
      <c r="R618" t="e">
        <f>VLOOKUP(A618,'לעדכן בסינתזה דאטה אריזה 42+24'!$A:$C,3,0)</f>
        <v>#N/A</v>
      </c>
      <c r="S618" t="e">
        <f>VLOOKUP(#REF!,'מלאי לא תקין'!A:N,17,0)</f>
        <v>#REF!</v>
      </c>
      <c r="T618" t="e">
        <f t="shared" si="20"/>
        <v>#REF!</v>
      </c>
      <c r="U618" t="e">
        <f t="shared" si="21"/>
        <v>#REF!</v>
      </c>
    </row>
    <row r="619" spans="4:21" x14ac:dyDescent="0.2">
      <c r="D619" s="4"/>
      <c r="G619" s="5"/>
      <c r="H619" s="7"/>
      <c r="I619" s="4"/>
      <c r="J619" s="4"/>
      <c r="K619" s="5"/>
      <c r="Q619" t="e">
        <f>VLOOKUP(A619,'גיליון דאטה להכל'!A:E,5,0)</f>
        <v>#N/A</v>
      </c>
      <c r="R619" t="e">
        <f>VLOOKUP(A619,'לעדכן בסינתזה דאטה אריזה 42+24'!$A:$C,3,0)</f>
        <v>#N/A</v>
      </c>
      <c r="S619" t="e">
        <f>VLOOKUP(#REF!,'מלאי לא תקין'!A:N,17,0)</f>
        <v>#REF!</v>
      </c>
      <c r="T619" t="e">
        <f t="shared" si="20"/>
        <v>#REF!</v>
      </c>
      <c r="U619" t="e">
        <f t="shared" si="21"/>
        <v>#REF!</v>
      </c>
    </row>
    <row r="620" spans="4:21" x14ac:dyDescent="0.2">
      <c r="D620" s="4"/>
      <c r="G620" s="5"/>
      <c r="H620" s="5"/>
      <c r="I620" s="4"/>
      <c r="J620" s="4"/>
      <c r="K620" s="5"/>
      <c r="Q620" t="e">
        <f>VLOOKUP(A620,'גיליון דאטה להכל'!A:E,5,0)</f>
        <v>#N/A</v>
      </c>
      <c r="R620" t="e">
        <f>VLOOKUP(A620,'לעדכן בסינתזה דאטה אריזה 42+24'!$A:$C,3,0)</f>
        <v>#N/A</v>
      </c>
      <c r="S620" t="e">
        <f>VLOOKUP(#REF!,'מלאי לא תקין'!A:N,17,0)</f>
        <v>#REF!</v>
      </c>
      <c r="T620" t="e">
        <f t="shared" si="20"/>
        <v>#REF!</v>
      </c>
      <c r="U620" t="e">
        <f t="shared" si="21"/>
        <v>#REF!</v>
      </c>
    </row>
    <row r="621" spans="4:21" x14ac:dyDescent="0.2">
      <c r="D621" s="4"/>
      <c r="G621" s="5"/>
      <c r="H621" s="5"/>
      <c r="I621" s="4"/>
      <c r="J621" s="4"/>
      <c r="K621" s="5"/>
      <c r="Q621" t="e">
        <f>VLOOKUP(A621,'גיליון דאטה להכל'!A:E,5,0)</f>
        <v>#N/A</v>
      </c>
      <c r="R621" t="e">
        <f>VLOOKUP(A621,'לעדכן בסינתזה דאטה אריזה 42+24'!$A:$C,3,0)</f>
        <v>#N/A</v>
      </c>
      <c r="S621" t="e">
        <f>VLOOKUP(#REF!,'מלאי לא תקין'!A:N,17,0)</f>
        <v>#REF!</v>
      </c>
      <c r="T621" t="e">
        <f t="shared" si="20"/>
        <v>#REF!</v>
      </c>
      <c r="U621" t="e">
        <f t="shared" si="21"/>
        <v>#REF!</v>
      </c>
    </row>
    <row r="622" spans="4:21" x14ac:dyDescent="0.2">
      <c r="D622" s="4"/>
      <c r="G622" s="5"/>
      <c r="H622" s="5"/>
      <c r="I622" s="4"/>
      <c r="J622" s="4"/>
      <c r="K622" s="5"/>
      <c r="Q622" t="e">
        <f>VLOOKUP(A622,'גיליון דאטה להכל'!A:E,5,0)</f>
        <v>#N/A</v>
      </c>
      <c r="R622" t="e">
        <f>VLOOKUP(A622,'לעדכן בסינתזה דאטה אריזה 42+24'!$A:$C,3,0)</f>
        <v>#N/A</v>
      </c>
      <c r="S622" t="e">
        <f>VLOOKUP(#REF!,'מלאי לא תקין'!A:N,17,0)</f>
        <v>#REF!</v>
      </c>
      <c r="T622" t="e">
        <f t="shared" si="20"/>
        <v>#REF!</v>
      </c>
      <c r="U622" t="e">
        <f t="shared" si="21"/>
        <v>#REF!</v>
      </c>
    </row>
    <row r="623" spans="4:21" x14ac:dyDescent="0.2">
      <c r="D623" s="4"/>
      <c r="G623" s="5"/>
      <c r="H623" s="5"/>
      <c r="I623" s="4"/>
      <c r="J623" s="4"/>
      <c r="K623" s="5"/>
      <c r="Q623" t="e">
        <f>VLOOKUP(A623,'גיליון דאטה להכל'!A:E,5,0)</f>
        <v>#N/A</v>
      </c>
      <c r="R623" t="e">
        <f>VLOOKUP(A623,'לעדכן בסינתזה דאטה אריזה 42+24'!$A:$C,3,0)</f>
        <v>#N/A</v>
      </c>
      <c r="S623" t="e">
        <f>VLOOKUP(#REF!,'מלאי לא תקין'!A:N,17,0)</f>
        <v>#REF!</v>
      </c>
      <c r="T623" t="e">
        <f t="shared" si="20"/>
        <v>#REF!</v>
      </c>
      <c r="U623" t="e">
        <f t="shared" si="21"/>
        <v>#REF!</v>
      </c>
    </row>
    <row r="624" spans="4:21" x14ac:dyDescent="0.2">
      <c r="D624" s="4"/>
      <c r="G624" s="5"/>
      <c r="H624" s="5"/>
      <c r="I624" s="4"/>
      <c r="J624" s="4"/>
      <c r="K624" s="5"/>
      <c r="Q624" t="e">
        <f>VLOOKUP(A624,'גיליון דאטה להכל'!A:E,5,0)</f>
        <v>#N/A</v>
      </c>
      <c r="R624" t="e">
        <f>VLOOKUP(A624,'לעדכן בסינתזה דאטה אריזה 42+24'!$A:$C,3,0)</f>
        <v>#N/A</v>
      </c>
      <c r="S624" t="e">
        <f>VLOOKUP(#REF!,'מלאי לא תקין'!A:N,17,0)</f>
        <v>#REF!</v>
      </c>
      <c r="T624" t="e">
        <f t="shared" si="20"/>
        <v>#REF!</v>
      </c>
      <c r="U624" t="e">
        <f t="shared" si="21"/>
        <v>#REF!</v>
      </c>
    </row>
    <row r="625" spans="4:21" x14ac:dyDescent="0.2">
      <c r="D625" s="4"/>
      <c r="G625" s="5"/>
      <c r="H625" s="7"/>
      <c r="I625" s="4"/>
      <c r="J625" s="4"/>
      <c r="K625" s="5"/>
      <c r="Q625" t="e">
        <f>VLOOKUP(A625,'גיליון דאטה להכל'!A:E,5,0)</f>
        <v>#N/A</v>
      </c>
      <c r="R625" t="e">
        <f>VLOOKUP(A625,'לעדכן בסינתזה דאטה אריזה 42+24'!$A:$C,3,0)</f>
        <v>#N/A</v>
      </c>
      <c r="S625" t="e">
        <f>VLOOKUP(#REF!,'מלאי לא תקין'!A:N,17,0)</f>
        <v>#REF!</v>
      </c>
      <c r="T625" t="e">
        <f t="shared" si="20"/>
        <v>#REF!</v>
      </c>
      <c r="U625" t="e">
        <f t="shared" si="21"/>
        <v>#REF!</v>
      </c>
    </row>
    <row r="626" spans="4:21" x14ac:dyDescent="0.2">
      <c r="D626" s="4"/>
      <c r="G626" s="5"/>
      <c r="H626" s="5"/>
      <c r="I626" s="4"/>
      <c r="J626" s="4"/>
      <c r="K626" s="5"/>
      <c r="Q626" t="e">
        <f>VLOOKUP(A626,'גיליון דאטה להכל'!A:E,5,0)</f>
        <v>#N/A</v>
      </c>
      <c r="R626" t="e">
        <f>VLOOKUP(A626,'לעדכן בסינתזה דאטה אריזה 42+24'!$A:$C,3,0)</f>
        <v>#N/A</v>
      </c>
      <c r="S626" t="e">
        <f>VLOOKUP(#REF!,'מלאי לא תקין'!A:N,17,0)</f>
        <v>#REF!</v>
      </c>
      <c r="T626" t="e">
        <f t="shared" si="20"/>
        <v>#REF!</v>
      </c>
      <c r="U626" t="e">
        <f t="shared" si="21"/>
        <v>#REF!</v>
      </c>
    </row>
    <row r="627" spans="4:21" x14ac:dyDescent="0.2">
      <c r="D627" s="4"/>
      <c r="G627" s="5"/>
      <c r="H627" s="5"/>
      <c r="I627" s="4"/>
      <c r="J627" s="4"/>
      <c r="K627" s="5"/>
      <c r="Q627" t="e">
        <f>VLOOKUP(A627,'גיליון דאטה להכל'!A:E,5,0)</f>
        <v>#N/A</v>
      </c>
      <c r="R627" t="e">
        <f>VLOOKUP(A627,'לעדכן בסינתזה דאטה אריזה 42+24'!$A:$C,3,0)</f>
        <v>#N/A</v>
      </c>
      <c r="S627" t="e">
        <f>VLOOKUP(#REF!,'מלאי לא תקין'!A:N,17,0)</f>
        <v>#REF!</v>
      </c>
      <c r="T627" t="e">
        <f t="shared" si="20"/>
        <v>#REF!</v>
      </c>
      <c r="U627" t="e">
        <f t="shared" si="21"/>
        <v>#REF!</v>
      </c>
    </row>
    <row r="628" spans="4:21" x14ac:dyDescent="0.2">
      <c r="D628" s="4"/>
      <c r="G628" s="5"/>
      <c r="H628" s="5"/>
      <c r="I628" s="4"/>
      <c r="J628" s="4"/>
      <c r="K628" s="5"/>
      <c r="Q628" t="e">
        <f>VLOOKUP(A628,'גיליון דאטה להכל'!A:E,5,0)</f>
        <v>#N/A</v>
      </c>
      <c r="R628" t="e">
        <f>VLOOKUP(A628,'לעדכן בסינתזה דאטה אריזה 42+24'!$A:$C,3,0)</f>
        <v>#N/A</v>
      </c>
      <c r="S628" t="e">
        <f>VLOOKUP(#REF!,'מלאי לא תקין'!A:N,17,0)</f>
        <v>#REF!</v>
      </c>
      <c r="T628" t="e">
        <f t="shared" si="20"/>
        <v>#REF!</v>
      </c>
      <c r="U628" t="e">
        <f t="shared" si="21"/>
        <v>#REF!</v>
      </c>
    </row>
    <row r="629" spans="4:21" x14ac:dyDescent="0.2">
      <c r="D629" s="4"/>
      <c r="G629" s="5"/>
      <c r="H629" s="5"/>
      <c r="I629" s="4"/>
      <c r="J629" s="4"/>
      <c r="K629" s="5"/>
      <c r="Q629" t="e">
        <f>VLOOKUP(A629,'גיליון דאטה להכל'!A:E,5,0)</f>
        <v>#N/A</v>
      </c>
      <c r="R629" t="e">
        <f>VLOOKUP(A629,'לעדכן בסינתזה דאטה אריזה 42+24'!$A:$C,3,0)</f>
        <v>#N/A</v>
      </c>
      <c r="S629" t="e">
        <f>VLOOKUP(#REF!,'מלאי לא תקין'!A:N,17,0)</f>
        <v>#REF!</v>
      </c>
      <c r="T629" t="e">
        <f t="shared" si="20"/>
        <v>#REF!</v>
      </c>
      <c r="U629" t="e">
        <f t="shared" si="21"/>
        <v>#REF!</v>
      </c>
    </row>
    <row r="630" spans="4:21" x14ac:dyDescent="0.2">
      <c r="D630" s="4"/>
      <c r="G630" s="5"/>
      <c r="H630" s="5"/>
      <c r="I630" s="4"/>
      <c r="J630" s="4"/>
      <c r="K630" s="5"/>
      <c r="Q630" t="e">
        <f>VLOOKUP(A630,'גיליון דאטה להכל'!A:E,5,0)</f>
        <v>#N/A</v>
      </c>
      <c r="R630" t="e">
        <f>VLOOKUP(A630,'לעדכן בסינתזה דאטה אריזה 42+24'!$A:$C,3,0)</f>
        <v>#N/A</v>
      </c>
      <c r="S630" t="e">
        <f>VLOOKUP(#REF!,'מלאי לא תקין'!A:N,17,0)</f>
        <v>#REF!</v>
      </c>
      <c r="T630" t="e">
        <f t="shared" ref="T630:T693" si="22">_xlfn.CONCAT(S630,Q630)</f>
        <v>#REF!</v>
      </c>
      <c r="U630" t="e">
        <f t="shared" ref="U630:U693" si="23">_xlfn.CONCAT(S630,O630)</f>
        <v>#REF!</v>
      </c>
    </row>
    <row r="631" spans="4:21" x14ac:dyDescent="0.2">
      <c r="D631" s="4"/>
      <c r="G631" s="5"/>
      <c r="H631" s="7"/>
      <c r="I631" s="4"/>
      <c r="J631" s="4"/>
      <c r="K631" s="5"/>
      <c r="Q631" t="e">
        <f>VLOOKUP(A631,'גיליון דאטה להכל'!A:E,5,0)</f>
        <v>#N/A</v>
      </c>
      <c r="R631" t="e">
        <f>VLOOKUP(A631,'לעדכן בסינתזה דאטה אריזה 42+24'!$A:$C,3,0)</f>
        <v>#N/A</v>
      </c>
      <c r="S631" t="e">
        <f>VLOOKUP(#REF!,'מלאי לא תקין'!A:N,17,0)</f>
        <v>#REF!</v>
      </c>
      <c r="T631" t="e">
        <f t="shared" si="22"/>
        <v>#REF!</v>
      </c>
      <c r="U631" t="e">
        <f t="shared" si="23"/>
        <v>#REF!</v>
      </c>
    </row>
    <row r="632" spans="4:21" x14ac:dyDescent="0.2">
      <c r="D632" s="4"/>
      <c r="G632" s="5"/>
      <c r="H632" s="5"/>
      <c r="I632" s="4"/>
      <c r="J632" s="4"/>
      <c r="K632" s="5"/>
      <c r="Q632" t="e">
        <f>VLOOKUP(A632,'גיליון דאטה להכל'!A:E,5,0)</f>
        <v>#N/A</v>
      </c>
      <c r="R632" t="e">
        <f>VLOOKUP(A632,'לעדכן בסינתזה דאטה אריזה 42+24'!$A:$C,3,0)</f>
        <v>#N/A</v>
      </c>
      <c r="S632" t="e">
        <f>VLOOKUP(#REF!,'מלאי לא תקין'!A:N,17,0)</f>
        <v>#REF!</v>
      </c>
      <c r="T632" t="e">
        <f t="shared" si="22"/>
        <v>#REF!</v>
      </c>
      <c r="U632" t="e">
        <f t="shared" si="23"/>
        <v>#REF!</v>
      </c>
    </row>
    <row r="633" spans="4:21" x14ac:dyDescent="0.2">
      <c r="D633" s="4"/>
      <c r="G633" s="5"/>
      <c r="H633" s="5"/>
      <c r="I633" s="4"/>
      <c r="J633" s="4"/>
      <c r="K633" s="5"/>
      <c r="Q633" t="e">
        <f>VLOOKUP(A633,'גיליון דאטה להכל'!A:E,5,0)</f>
        <v>#N/A</v>
      </c>
      <c r="R633" t="e">
        <f>VLOOKUP(A633,'לעדכן בסינתזה דאטה אריזה 42+24'!$A:$C,3,0)</f>
        <v>#N/A</v>
      </c>
      <c r="S633" t="e">
        <f>VLOOKUP(#REF!,'מלאי לא תקין'!A:N,17,0)</f>
        <v>#REF!</v>
      </c>
      <c r="T633" t="e">
        <f t="shared" si="22"/>
        <v>#REF!</v>
      </c>
      <c r="U633" t="e">
        <f t="shared" si="23"/>
        <v>#REF!</v>
      </c>
    </row>
    <row r="634" spans="4:21" x14ac:dyDescent="0.2">
      <c r="D634" s="4"/>
      <c r="G634" s="5"/>
      <c r="H634" s="5"/>
      <c r="I634" s="4"/>
      <c r="J634" s="4"/>
      <c r="K634" s="5"/>
      <c r="Q634" t="e">
        <f>VLOOKUP(A634,'גיליון דאטה להכל'!A:E,5,0)</f>
        <v>#N/A</v>
      </c>
      <c r="R634" t="e">
        <f>VLOOKUP(A634,'לעדכן בסינתזה דאטה אריזה 42+24'!$A:$C,3,0)</f>
        <v>#N/A</v>
      </c>
      <c r="S634" t="e">
        <f>VLOOKUP(#REF!,'מלאי לא תקין'!A:N,17,0)</f>
        <v>#REF!</v>
      </c>
      <c r="T634" t="e">
        <f t="shared" si="22"/>
        <v>#REF!</v>
      </c>
      <c r="U634" t="e">
        <f t="shared" si="23"/>
        <v>#REF!</v>
      </c>
    </row>
    <row r="635" spans="4:21" x14ac:dyDescent="0.2">
      <c r="D635" s="4"/>
      <c r="G635" s="5"/>
      <c r="H635" s="5"/>
      <c r="I635" s="4"/>
      <c r="J635" s="4"/>
      <c r="K635" s="5"/>
      <c r="Q635" t="e">
        <f>VLOOKUP(A635,'גיליון דאטה להכל'!A:E,5,0)</f>
        <v>#N/A</v>
      </c>
      <c r="R635" t="e">
        <f>VLOOKUP(A635,'לעדכן בסינתזה דאטה אריזה 42+24'!$A:$C,3,0)</f>
        <v>#N/A</v>
      </c>
      <c r="S635" t="e">
        <f>VLOOKUP(#REF!,'מלאי לא תקין'!A:N,17,0)</f>
        <v>#REF!</v>
      </c>
      <c r="T635" t="e">
        <f t="shared" si="22"/>
        <v>#REF!</v>
      </c>
      <c r="U635" t="e">
        <f t="shared" si="23"/>
        <v>#REF!</v>
      </c>
    </row>
    <row r="636" spans="4:21" x14ac:dyDescent="0.2">
      <c r="D636" s="4"/>
      <c r="G636" s="5"/>
      <c r="H636" s="5"/>
      <c r="I636" s="4"/>
      <c r="J636" s="4"/>
      <c r="K636" s="5"/>
      <c r="Q636" t="e">
        <f>VLOOKUP(A636,'גיליון דאטה להכל'!A:E,5,0)</f>
        <v>#N/A</v>
      </c>
      <c r="R636" t="e">
        <f>VLOOKUP(A636,'לעדכן בסינתזה דאטה אריזה 42+24'!$A:$C,3,0)</f>
        <v>#N/A</v>
      </c>
      <c r="S636" t="e">
        <f>VLOOKUP(#REF!,'מלאי לא תקין'!A:N,17,0)</f>
        <v>#REF!</v>
      </c>
      <c r="T636" t="e">
        <f t="shared" si="22"/>
        <v>#REF!</v>
      </c>
      <c r="U636" t="e">
        <f t="shared" si="23"/>
        <v>#REF!</v>
      </c>
    </row>
    <row r="637" spans="4:21" x14ac:dyDescent="0.2">
      <c r="D637" s="4"/>
      <c r="G637" s="5"/>
      <c r="H637" s="7"/>
      <c r="I637" s="4"/>
      <c r="J637" s="4"/>
      <c r="K637" s="5"/>
      <c r="Q637" t="e">
        <f>VLOOKUP(A637,'גיליון דאטה להכל'!A:E,5,0)</f>
        <v>#N/A</v>
      </c>
      <c r="R637" t="e">
        <f>VLOOKUP(A637,'לעדכן בסינתזה דאטה אריזה 42+24'!$A:$C,3,0)</f>
        <v>#N/A</v>
      </c>
      <c r="S637" t="e">
        <f>VLOOKUP(#REF!,'מלאי לא תקין'!A:N,17,0)</f>
        <v>#REF!</v>
      </c>
      <c r="T637" t="e">
        <f t="shared" si="22"/>
        <v>#REF!</v>
      </c>
      <c r="U637" t="e">
        <f t="shared" si="23"/>
        <v>#REF!</v>
      </c>
    </row>
    <row r="638" spans="4:21" x14ac:dyDescent="0.2">
      <c r="D638" s="4"/>
      <c r="G638" s="5"/>
      <c r="H638" s="5"/>
      <c r="I638" s="4"/>
      <c r="J638" s="4"/>
      <c r="K638" s="5"/>
      <c r="Q638" t="e">
        <f>VLOOKUP(A638,'גיליון דאטה להכל'!A:E,5,0)</f>
        <v>#N/A</v>
      </c>
      <c r="R638" t="e">
        <f>VLOOKUP(A638,'לעדכן בסינתזה דאטה אריזה 42+24'!$A:$C,3,0)</f>
        <v>#N/A</v>
      </c>
      <c r="S638" t="e">
        <f>VLOOKUP(#REF!,'מלאי לא תקין'!A:N,17,0)</f>
        <v>#REF!</v>
      </c>
      <c r="T638" t="e">
        <f t="shared" si="22"/>
        <v>#REF!</v>
      </c>
      <c r="U638" t="e">
        <f t="shared" si="23"/>
        <v>#REF!</v>
      </c>
    </row>
    <row r="639" spans="4:21" x14ac:dyDescent="0.2">
      <c r="D639" s="4"/>
      <c r="G639" s="5"/>
      <c r="H639" s="5"/>
      <c r="I639" s="4"/>
      <c r="J639" s="4"/>
      <c r="K639" s="5"/>
      <c r="Q639" t="e">
        <f>VLOOKUP(A639,'גיליון דאטה להכל'!A:E,5,0)</f>
        <v>#N/A</v>
      </c>
      <c r="R639" t="e">
        <f>VLOOKUP(A639,'לעדכן בסינתזה דאטה אריזה 42+24'!$A:$C,3,0)</f>
        <v>#N/A</v>
      </c>
      <c r="S639" t="e">
        <f>VLOOKUP(#REF!,'מלאי לא תקין'!A:N,17,0)</f>
        <v>#REF!</v>
      </c>
      <c r="T639" t="e">
        <f t="shared" si="22"/>
        <v>#REF!</v>
      </c>
      <c r="U639" t="e">
        <f t="shared" si="23"/>
        <v>#REF!</v>
      </c>
    </row>
    <row r="640" spans="4:21" x14ac:dyDescent="0.2">
      <c r="D640" s="4"/>
      <c r="G640" s="5"/>
      <c r="H640" s="5"/>
      <c r="I640" s="4"/>
      <c r="J640" s="4"/>
      <c r="K640" s="5"/>
      <c r="Q640" t="e">
        <f>VLOOKUP(A640,'גיליון דאטה להכל'!A:E,5,0)</f>
        <v>#N/A</v>
      </c>
      <c r="R640" t="e">
        <f>VLOOKUP(A640,'לעדכן בסינתזה דאטה אריזה 42+24'!$A:$C,3,0)</f>
        <v>#N/A</v>
      </c>
      <c r="S640" t="e">
        <f>VLOOKUP(#REF!,'מלאי לא תקין'!A:N,17,0)</f>
        <v>#REF!</v>
      </c>
      <c r="T640" t="e">
        <f t="shared" si="22"/>
        <v>#REF!</v>
      </c>
      <c r="U640" t="e">
        <f t="shared" si="23"/>
        <v>#REF!</v>
      </c>
    </row>
    <row r="641" spans="4:21" x14ac:dyDescent="0.2">
      <c r="D641" s="4"/>
      <c r="G641" s="5"/>
      <c r="H641" s="5"/>
      <c r="I641" s="4"/>
      <c r="J641" s="4"/>
      <c r="K641" s="5"/>
      <c r="Q641" t="e">
        <f>VLOOKUP(A641,'גיליון דאטה להכל'!A:E,5,0)</f>
        <v>#N/A</v>
      </c>
      <c r="R641" t="e">
        <f>VLOOKUP(A641,'לעדכן בסינתזה דאטה אריזה 42+24'!$A:$C,3,0)</f>
        <v>#N/A</v>
      </c>
      <c r="S641" t="e">
        <f>VLOOKUP(#REF!,'מלאי לא תקין'!A:N,17,0)</f>
        <v>#REF!</v>
      </c>
      <c r="T641" t="e">
        <f t="shared" si="22"/>
        <v>#REF!</v>
      </c>
      <c r="U641" t="e">
        <f t="shared" si="23"/>
        <v>#REF!</v>
      </c>
    </row>
    <row r="642" spans="4:21" x14ac:dyDescent="0.2">
      <c r="D642" s="4"/>
      <c r="G642" s="5"/>
      <c r="H642" s="7"/>
      <c r="I642" s="4"/>
      <c r="J642" s="4"/>
      <c r="K642" s="5"/>
      <c r="Q642" t="e">
        <f>VLOOKUP(A642,'גיליון דאטה להכל'!A:E,5,0)</f>
        <v>#N/A</v>
      </c>
      <c r="R642" t="e">
        <f>VLOOKUP(A642,'לעדכן בסינתזה דאטה אריזה 42+24'!$A:$C,3,0)</f>
        <v>#N/A</v>
      </c>
      <c r="S642" t="e">
        <f>VLOOKUP(#REF!,'מלאי לא תקין'!A:N,17,0)</f>
        <v>#REF!</v>
      </c>
      <c r="T642" t="e">
        <f t="shared" si="22"/>
        <v>#REF!</v>
      </c>
      <c r="U642" t="e">
        <f t="shared" si="23"/>
        <v>#REF!</v>
      </c>
    </row>
    <row r="643" spans="4:21" x14ac:dyDescent="0.2">
      <c r="D643" s="4"/>
      <c r="G643" s="5"/>
      <c r="H643" s="5"/>
      <c r="I643" s="4"/>
      <c r="J643" s="4"/>
      <c r="K643" s="5"/>
      <c r="Q643" t="e">
        <f>VLOOKUP(A643,'גיליון דאטה להכל'!A:E,5,0)</f>
        <v>#N/A</v>
      </c>
      <c r="R643" t="e">
        <f>VLOOKUP(A643,'לעדכן בסינתזה דאטה אריזה 42+24'!$A:$C,3,0)</f>
        <v>#N/A</v>
      </c>
      <c r="S643" t="e">
        <f>VLOOKUP(#REF!,'מלאי לא תקין'!A:N,17,0)</f>
        <v>#REF!</v>
      </c>
      <c r="T643" t="e">
        <f t="shared" si="22"/>
        <v>#REF!</v>
      </c>
      <c r="U643" t="e">
        <f t="shared" si="23"/>
        <v>#REF!</v>
      </c>
    </row>
    <row r="644" spans="4:21" x14ac:dyDescent="0.2">
      <c r="D644" s="4"/>
      <c r="G644" s="5"/>
      <c r="H644" s="5"/>
      <c r="I644" s="4"/>
      <c r="J644" s="4"/>
      <c r="K644" s="5"/>
      <c r="Q644" t="e">
        <f>VLOOKUP(A644,'גיליון דאטה להכל'!A:E,5,0)</f>
        <v>#N/A</v>
      </c>
      <c r="R644" t="e">
        <f>VLOOKUP(A644,'לעדכן בסינתזה דאטה אריזה 42+24'!$A:$C,3,0)</f>
        <v>#N/A</v>
      </c>
      <c r="S644" t="e">
        <f>VLOOKUP(#REF!,'מלאי לא תקין'!A:N,17,0)</f>
        <v>#REF!</v>
      </c>
      <c r="T644" t="e">
        <f t="shared" si="22"/>
        <v>#REF!</v>
      </c>
      <c r="U644" t="e">
        <f t="shared" si="23"/>
        <v>#REF!</v>
      </c>
    </row>
    <row r="645" spans="4:21" x14ac:dyDescent="0.2">
      <c r="D645" s="4"/>
      <c r="G645" s="5"/>
      <c r="H645" s="5"/>
      <c r="I645" s="4"/>
      <c r="J645" s="4"/>
      <c r="K645" s="5"/>
      <c r="Q645" t="e">
        <f>VLOOKUP(A645,'גיליון דאטה להכל'!A:E,5,0)</f>
        <v>#N/A</v>
      </c>
      <c r="R645" t="e">
        <f>VLOOKUP(A645,'לעדכן בסינתזה דאטה אריזה 42+24'!$A:$C,3,0)</f>
        <v>#N/A</v>
      </c>
      <c r="S645" t="e">
        <f>VLOOKUP(#REF!,'מלאי לא תקין'!A:N,17,0)</f>
        <v>#REF!</v>
      </c>
      <c r="T645" t="e">
        <f t="shared" si="22"/>
        <v>#REF!</v>
      </c>
      <c r="U645" t="e">
        <f t="shared" si="23"/>
        <v>#REF!</v>
      </c>
    </row>
    <row r="646" spans="4:21" x14ac:dyDescent="0.2">
      <c r="D646" s="4"/>
      <c r="G646" s="5"/>
      <c r="H646" s="5"/>
      <c r="I646" s="4"/>
      <c r="J646" s="4"/>
      <c r="K646" s="5"/>
      <c r="Q646" t="e">
        <f>VLOOKUP(A646,'גיליון דאטה להכל'!A:E,5,0)</f>
        <v>#N/A</v>
      </c>
      <c r="R646" t="e">
        <f>VLOOKUP(A646,'לעדכן בסינתזה דאטה אריזה 42+24'!$A:$C,3,0)</f>
        <v>#N/A</v>
      </c>
      <c r="S646" t="e">
        <f>VLOOKUP(#REF!,'מלאי לא תקין'!A:N,17,0)</f>
        <v>#REF!</v>
      </c>
      <c r="T646" t="e">
        <f t="shared" si="22"/>
        <v>#REF!</v>
      </c>
      <c r="U646" t="e">
        <f t="shared" si="23"/>
        <v>#REF!</v>
      </c>
    </row>
    <row r="647" spans="4:21" x14ac:dyDescent="0.2">
      <c r="D647" s="4"/>
      <c r="G647" s="5"/>
      <c r="H647" s="5"/>
      <c r="I647" s="4"/>
      <c r="J647" s="4"/>
      <c r="K647" s="5"/>
      <c r="Q647" t="e">
        <f>VLOOKUP(A647,'גיליון דאטה להכל'!A:E,5,0)</f>
        <v>#N/A</v>
      </c>
      <c r="R647" t="e">
        <f>VLOOKUP(A647,'לעדכן בסינתזה דאטה אריזה 42+24'!$A:$C,3,0)</f>
        <v>#N/A</v>
      </c>
      <c r="S647" t="e">
        <f>VLOOKUP(#REF!,'מלאי לא תקין'!A:N,17,0)</f>
        <v>#REF!</v>
      </c>
      <c r="T647" t="e">
        <f t="shared" si="22"/>
        <v>#REF!</v>
      </c>
      <c r="U647" t="e">
        <f t="shared" si="23"/>
        <v>#REF!</v>
      </c>
    </row>
    <row r="648" spans="4:21" x14ac:dyDescent="0.2">
      <c r="D648" s="4"/>
      <c r="G648" s="5"/>
      <c r="H648" s="7"/>
      <c r="I648" s="4"/>
      <c r="J648" s="4"/>
      <c r="K648" s="5"/>
      <c r="Q648" t="e">
        <f>VLOOKUP(A648,'גיליון דאטה להכל'!A:E,5,0)</f>
        <v>#N/A</v>
      </c>
      <c r="R648" t="e">
        <f>VLOOKUP(A648,'לעדכן בסינתזה דאטה אריזה 42+24'!$A:$C,3,0)</f>
        <v>#N/A</v>
      </c>
      <c r="S648" t="e">
        <f>VLOOKUP(#REF!,'מלאי לא תקין'!A:N,17,0)</f>
        <v>#REF!</v>
      </c>
      <c r="T648" t="e">
        <f t="shared" si="22"/>
        <v>#REF!</v>
      </c>
      <c r="U648" t="e">
        <f t="shared" si="23"/>
        <v>#REF!</v>
      </c>
    </row>
    <row r="649" spans="4:21" x14ac:dyDescent="0.2">
      <c r="D649" s="4"/>
      <c r="G649" s="5"/>
      <c r="H649" s="5"/>
      <c r="I649" s="4"/>
      <c r="J649" s="4"/>
      <c r="K649" s="5"/>
      <c r="Q649" t="e">
        <f>VLOOKUP(A649,'גיליון דאטה להכל'!A:E,5,0)</f>
        <v>#N/A</v>
      </c>
      <c r="R649" t="e">
        <f>VLOOKUP(A649,'לעדכן בסינתזה דאטה אריזה 42+24'!$A:$C,3,0)</f>
        <v>#N/A</v>
      </c>
      <c r="S649" t="e">
        <f>VLOOKUP(#REF!,'מלאי לא תקין'!A:N,17,0)</f>
        <v>#REF!</v>
      </c>
      <c r="T649" t="e">
        <f t="shared" si="22"/>
        <v>#REF!</v>
      </c>
      <c r="U649" t="e">
        <f t="shared" si="23"/>
        <v>#REF!</v>
      </c>
    </row>
    <row r="650" spans="4:21" x14ac:dyDescent="0.2">
      <c r="D650" s="4"/>
      <c r="G650" s="5"/>
      <c r="H650" s="5"/>
      <c r="I650" s="4"/>
      <c r="J650" s="4"/>
      <c r="K650" s="5"/>
      <c r="Q650" t="e">
        <f>VLOOKUP(A650,'גיליון דאטה להכל'!A:E,5,0)</f>
        <v>#N/A</v>
      </c>
      <c r="R650" t="e">
        <f>VLOOKUP(A650,'לעדכן בסינתזה דאטה אריזה 42+24'!$A:$C,3,0)</f>
        <v>#N/A</v>
      </c>
      <c r="S650" t="e">
        <f>VLOOKUP(#REF!,'מלאי לא תקין'!A:N,17,0)</f>
        <v>#REF!</v>
      </c>
      <c r="T650" t="e">
        <f t="shared" si="22"/>
        <v>#REF!</v>
      </c>
      <c r="U650" t="e">
        <f t="shared" si="23"/>
        <v>#REF!</v>
      </c>
    </row>
    <row r="651" spans="4:21" x14ac:dyDescent="0.2">
      <c r="D651" s="4"/>
      <c r="G651" s="5"/>
      <c r="H651" s="5"/>
      <c r="I651" s="4"/>
      <c r="J651" s="4"/>
      <c r="K651" s="5"/>
      <c r="Q651" t="e">
        <f>VLOOKUP(A651,'גיליון דאטה להכל'!A:E,5,0)</f>
        <v>#N/A</v>
      </c>
      <c r="R651" t="e">
        <f>VLOOKUP(A651,'לעדכן בסינתזה דאטה אריזה 42+24'!$A:$C,3,0)</f>
        <v>#N/A</v>
      </c>
      <c r="S651" t="e">
        <f>VLOOKUP(#REF!,'מלאי לא תקין'!A:N,17,0)</f>
        <v>#REF!</v>
      </c>
      <c r="T651" t="e">
        <f t="shared" si="22"/>
        <v>#REF!</v>
      </c>
      <c r="U651" t="e">
        <f t="shared" si="23"/>
        <v>#REF!</v>
      </c>
    </row>
    <row r="652" spans="4:21" x14ac:dyDescent="0.2">
      <c r="D652" s="4"/>
      <c r="G652" s="5"/>
      <c r="H652" s="5"/>
      <c r="I652" s="4"/>
      <c r="J652" s="4"/>
      <c r="K652" s="5"/>
      <c r="Q652" t="e">
        <f>VLOOKUP(A652,'גיליון דאטה להכל'!A:E,5,0)</f>
        <v>#N/A</v>
      </c>
      <c r="R652" t="e">
        <f>VLOOKUP(A652,'לעדכן בסינתזה דאטה אריזה 42+24'!$A:$C,3,0)</f>
        <v>#N/A</v>
      </c>
      <c r="S652" t="e">
        <f>VLOOKUP(#REF!,'מלאי לא תקין'!A:N,17,0)</f>
        <v>#REF!</v>
      </c>
      <c r="T652" t="e">
        <f t="shared" si="22"/>
        <v>#REF!</v>
      </c>
      <c r="U652" t="e">
        <f t="shared" si="23"/>
        <v>#REF!</v>
      </c>
    </row>
    <row r="653" spans="4:21" x14ac:dyDescent="0.2">
      <c r="D653" s="4"/>
      <c r="G653" s="5"/>
      <c r="H653" s="5"/>
      <c r="I653" s="4"/>
      <c r="J653" s="4"/>
      <c r="K653" s="5"/>
      <c r="Q653" t="e">
        <f>VLOOKUP(A653,'גיליון דאטה להכל'!A:E,5,0)</f>
        <v>#N/A</v>
      </c>
      <c r="R653" t="e">
        <f>VLOOKUP(A653,'לעדכן בסינתזה דאטה אריזה 42+24'!$A:$C,3,0)</f>
        <v>#N/A</v>
      </c>
      <c r="S653" t="e">
        <f>VLOOKUP(#REF!,'מלאי לא תקין'!A:N,17,0)</f>
        <v>#REF!</v>
      </c>
      <c r="T653" t="e">
        <f t="shared" si="22"/>
        <v>#REF!</v>
      </c>
      <c r="U653" t="e">
        <f t="shared" si="23"/>
        <v>#REF!</v>
      </c>
    </row>
    <row r="654" spans="4:21" x14ac:dyDescent="0.2">
      <c r="D654" s="4"/>
      <c r="G654" s="5"/>
      <c r="H654" s="7"/>
      <c r="I654" s="4"/>
      <c r="J654" s="4"/>
      <c r="K654" s="5"/>
      <c r="Q654" t="e">
        <f>VLOOKUP(A654,'גיליון דאטה להכל'!A:E,5,0)</f>
        <v>#N/A</v>
      </c>
      <c r="R654" t="e">
        <f>VLOOKUP(A654,'לעדכן בסינתזה דאטה אריזה 42+24'!$A:$C,3,0)</f>
        <v>#N/A</v>
      </c>
      <c r="S654" t="e">
        <f>VLOOKUP(#REF!,'מלאי לא תקין'!A:N,17,0)</f>
        <v>#REF!</v>
      </c>
      <c r="T654" t="e">
        <f t="shared" si="22"/>
        <v>#REF!</v>
      </c>
      <c r="U654" t="e">
        <f t="shared" si="23"/>
        <v>#REF!</v>
      </c>
    </row>
    <row r="655" spans="4:21" x14ac:dyDescent="0.2">
      <c r="D655" s="4"/>
      <c r="G655" s="5"/>
      <c r="H655" s="5"/>
      <c r="I655" s="4"/>
      <c r="J655" s="4"/>
      <c r="K655" s="5"/>
      <c r="Q655" t="e">
        <f>VLOOKUP(A655,'גיליון דאטה להכל'!A:E,5,0)</f>
        <v>#N/A</v>
      </c>
      <c r="R655" t="e">
        <f>VLOOKUP(A655,'לעדכן בסינתזה דאטה אריזה 42+24'!$A:$C,3,0)</f>
        <v>#N/A</v>
      </c>
      <c r="S655" t="e">
        <f>VLOOKUP(#REF!,'מלאי לא תקין'!A:N,17,0)</f>
        <v>#REF!</v>
      </c>
      <c r="T655" t="e">
        <f t="shared" si="22"/>
        <v>#REF!</v>
      </c>
      <c r="U655" t="e">
        <f t="shared" si="23"/>
        <v>#REF!</v>
      </c>
    </row>
    <row r="656" spans="4:21" x14ac:dyDescent="0.2">
      <c r="D656" s="4"/>
      <c r="G656" s="5"/>
      <c r="H656" s="5"/>
      <c r="I656" s="4"/>
      <c r="J656" s="4"/>
      <c r="K656" s="5"/>
      <c r="Q656" t="e">
        <f>VLOOKUP(A656,'גיליון דאטה להכל'!A:E,5,0)</f>
        <v>#N/A</v>
      </c>
      <c r="R656" t="e">
        <f>VLOOKUP(A656,'לעדכן בסינתזה דאטה אריזה 42+24'!$A:$C,3,0)</f>
        <v>#N/A</v>
      </c>
      <c r="S656" t="e">
        <f>VLOOKUP(#REF!,'מלאי לא תקין'!A:N,17,0)</f>
        <v>#REF!</v>
      </c>
      <c r="T656" t="e">
        <f t="shared" si="22"/>
        <v>#REF!</v>
      </c>
      <c r="U656" t="e">
        <f t="shared" si="23"/>
        <v>#REF!</v>
      </c>
    </row>
    <row r="657" spans="4:21" x14ac:dyDescent="0.2">
      <c r="D657" s="4"/>
      <c r="G657" s="5"/>
      <c r="H657" s="5"/>
      <c r="I657" s="4"/>
      <c r="J657" s="4"/>
      <c r="K657" s="5"/>
      <c r="Q657" t="e">
        <f>VLOOKUP(A657,'גיליון דאטה להכל'!A:E,5,0)</f>
        <v>#N/A</v>
      </c>
      <c r="R657" t="e">
        <f>VLOOKUP(A657,'לעדכן בסינתזה דאטה אריזה 42+24'!$A:$C,3,0)</f>
        <v>#N/A</v>
      </c>
      <c r="S657" t="e">
        <f>VLOOKUP(#REF!,'מלאי לא תקין'!A:N,17,0)</f>
        <v>#REF!</v>
      </c>
      <c r="T657" t="e">
        <f t="shared" si="22"/>
        <v>#REF!</v>
      </c>
      <c r="U657" t="e">
        <f t="shared" si="23"/>
        <v>#REF!</v>
      </c>
    </row>
    <row r="658" spans="4:21" x14ac:dyDescent="0.2">
      <c r="D658" s="4"/>
      <c r="G658" s="5"/>
      <c r="H658" s="5"/>
      <c r="I658" s="4"/>
      <c r="J658" s="4"/>
      <c r="K658" s="5"/>
      <c r="Q658" t="e">
        <f>VLOOKUP(A658,'גיליון דאטה להכל'!A:E,5,0)</f>
        <v>#N/A</v>
      </c>
      <c r="R658" t="e">
        <f>VLOOKUP(A658,'לעדכן בסינתזה דאטה אריזה 42+24'!$A:$C,3,0)</f>
        <v>#N/A</v>
      </c>
      <c r="S658" t="e">
        <f>VLOOKUP(#REF!,'מלאי לא תקין'!A:N,17,0)</f>
        <v>#REF!</v>
      </c>
      <c r="T658" t="e">
        <f t="shared" si="22"/>
        <v>#REF!</v>
      </c>
      <c r="U658" t="e">
        <f t="shared" si="23"/>
        <v>#REF!</v>
      </c>
    </row>
    <row r="659" spans="4:21" x14ac:dyDescent="0.2">
      <c r="D659" s="4"/>
      <c r="G659" s="5"/>
      <c r="H659" s="5"/>
      <c r="I659" s="4"/>
      <c r="J659" s="4"/>
      <c r="K659" s="5"/>
      <c r="Q659" t="e">
        <f>VLOOKUP(A659,'גיליון דאטה להכל'!A:E,5,0)</f>
        <v>#N/A</v>
      </c>
      <c r="R659" t="e">
        <f>VLOOKUP(A659,'לעדכן בסינתזה דאטה אריזה 42+24'!$A:$C,3,0)</f>
        <v>#N/A</v>
      </c>
      <c r="S659" t="e">
        <f>VLOOKUP(#REF!,'מלאי לא תקין'!A:N,17,0)</f>
        <v>#REF!</v>
      </c>
      <c r="T659" t="e">
        <f t="shared" si="22"/>
        <v>#REF!</v>
      </c>
      <c r="U659" t="e">
        <f t="shared" si="23"/>
        <v>#REF!</v>
      </c>
    </row>
    <row r="660" spans="4:21" x14ac:dyDescent="0.2">
      <c r="D660" s="4"/>
      <c r="G660" s="5"/>
      <c r="H660" s="5"/>
      <c r="I660" s="4"/>
      <c r="J660" s="4"/>
      <c r="K660" s="5"/>
      <c r="Q660" t="e">
        <f>VLOOKUP(A660,'גיליון דאטה להכל'!A:E,5,0)</f>
        <v>#N/A</v>
      </c>
      <c r="R660" t="e">
        <f>VLOOKUP(A660,'לעדכן בסינתזה דאטה אריזה 42+24'!$A:$C,3,0)</f>
        <v>#N/A</v>
      </c>
      <c r="S660" t="e">
        <f>VLOOKUP(#REF!,'מלאי לא תקין'!A:N,17,0)</f>
        <v>#REF!</v>
      </c>
      <c r="T660" t="e">
        <f t="shared" si="22"/>
        <v>#REF!</v>
      </c>
      <c r="U660" t="e">
        <f t="shared" si="23"/>
        <v>#REF!</v>
      </c>
    </row>
    <row r="661" spans="4:21" x14ac:dyDescent="0.2">
      <c r="D661" s="4"/>
      <c r="G661" s="5"/>
      <c r="H661" s="5"/>
      <c r="I661" s="4"/>
      <c r="J661" s="4"/>
      <c r="K661" s="5"/>
      <c r="Q661" t="e">
        <f>VLOOKUP(A661,'גיליון דאטה להכל'!A:E,5,0)</f>
        <v>#N/A</v>
      </c>
      <c r="R661" t="e">
        <f>VLOOKUP(A661,'לעדכן בסינתזה דאטה אריזה 42+24'!$A:$C,3,0)</f>
        <v>#N/A</v>
      </c>
      <c r="S661" t="e">
        <f>VLOOKUP(#REF!,'מלאי לא תקין'!A:N,17,0)</f>
        <v>#REF!</v>
      </c>
      <c r="T661" t="e">
        <f t="shared" si="22"/>
        <v>#REF!</v>
      </c>
      <c r="U661" t="e">
        <f t="shared" si="23"/>
        <v>#REF!</v>
      </c>
    </row>
    <row r="662" spans="4:21" x14ac:dyDescent="0.2">
      <c r="D662" s="4"/>
      <c r="G662" s="5"/>
      <c r="H662" s="5"/>
      <c r="I662" s="4"/>
      <c r="J662" s="4"/>
      <c r="K662" s="5"/>
      <c r="Q662" t="e">
        <f>VLOOKUP(A662,'גיליון דאטה להכל'!A:E,5,0)</f>
        <v>#N/A</v>
      </c>
      <c r="R662" t="e">
        <f>VLOOKUP(A662,'לעדכן בסינתזה דאטה אריזה 42+24'!$A:$C,3,0)</f>
        <v>#N/A</v>
      </c>
      <c r="S662" t="e">
        <f>VLOOKUP(#REF!,'מלאי לא תקין'!A:N,17,0)</f>
        <v>#REF!</v>
      </c>
      <c r="T662" t="e">
        <f t="shared" si="22"/>
        <v>#REF!</v>
      </c>
      <c r="U662" t="e">
        <f t="shared" si="23"/>
        <v>#REF!</v>
      </c>
    </row>
    <row r="663" spans="4:21" x14ac:dyDescent="0.2">
      <c r="D663" s="4"/>
      <c r="G663" s="5"/>
      <c r="H663" s="5"/>
      <c r="I663" s="4"/>
      <c r="J663" s="4"/>
      <c r="K663" s="5"/>
      <c r="Q663" t="e">
        <f>VLOOKUP(A663,'גיליון דאטה להכל'!A:E,5,0)</f>
        <v>#N/A</v>
      </c>
      <c r="R663" t="e">
        <f>VLOOKUP(A663,'לעדכן בסינתזה דאטה אריזה 42+24'!$A:$C,3,0)</f>
        <v>#N/A</v>
      </c>
      <c r="S663" t="e">
        <f>VLOOKUP(#REF!,'מלאי לא תקין'!A:N,17,0)</f>
        <v>#REF!</v>
      </c>
      <c r="T663" t="e">
        <f t="shared" si="22"/>
        <v>#REF!</v>
      </c>
      <c r="U663" t="e">
        <f t="shared" si="23"/>
        <v>#REF!</v>
      </c>
    </row>
    <row r="664" spans="4:21" x14ac:dyDescent="0.2">
      <c r="D664" s="4"/>
      <c r="G664" s="5"/>
      <c r="H664" s="7"/>
      <c r="I664" s="4"/>
      <c r="J664" s="4"/>
      <c r="K664" s="5"/>
      <c r="Q664" t="e">
        <f>VLOOKUP(A664,'גיליון דאטה להכל'!A:E,5,0)</f>
        <v>#N/A</v>
      </c>
      <c r="R664" t="e">
        <f>VLOOKUP(A664,'לעדכן בסינתזה דאטה אריזה 42+24'!$A:$C,3,0)</f>
        <v>#N/A</v>
      </c>
      <c r="S664" t="e">
        <f>VLOOKUP(#REF!,'מלאי לא תקין'!A:N,17,0)</f>
        <v>#REF!</v>
      </c>
      <c r="T664" t="e">
        <f t="shared" si="22"/>
        <v>#REF!</v>
      </c>
      <c r="U664" t="e">
        <f t="shared" si="23"/>
        <v>#REF!</v>
      </c>
    </row>
    <row r="665" spans="4:21" x14ac:dyDescent="0.2">
      <c r="D665" s="4"/>
      <c r="G665" s="5"/>
      <c r="H665" s="5"/>
      <c r="I665" s="4"/>
      <c r="J665" s="4"/>
      <c r="K665" s="5"/>
      <c r="Q665" t="e">
        <f>VLOOKUP(A665,'גיליון דאטה להכל'!A:E,5,0)</f>
        <v>#N/A</v>
      </c>
      <c r="R665" t="e">
        <f>VLOOKUP(A665,'לעדכן בסינתזה דאטה אריזה 42+24'!$A:$C,3,0)</f>
        <v>#N/A</v>
      </c>
      <c r="S665" t="e">
        <f>VLOOKUP(#REF!,'מלאי לא תקין'!A:N,17,0)</f>
        <v>#REF!</v>
      </c>
      <c r="T665" t="e">
        <f t="shared" si="22"/>
        <v>#REF!</v>
      </c>
      <c r="U665" t="e">
        <f t="shared" si="23"/>
        <v>#REF!</v>
      </c>
    </row>
    <row r="666" spans="4:21" x14ac:dyDescent="0.2">
      <c r="D666" s="4"/>
      <c r="G666" s="5"/>
      <c r="H666" s="5"/>
      <c r="I666" s="4"/>
      <c r="J666" s="4"/>
      <c r="K666" s="5"/>
      <c r="Q666" t="e">
        <f>VLOOKUP(A666,'גיליון דאטה להכל'!A:E,5,0)</f>
        <v>#N/A</v>
      </c>
      <c r="R666" t="e">
        <f>VLOOKUP(A666,'לעדכן בסינתזה דאטה אריזה 42+24'!$A:$C,3,0)</f>
        <v>#N/A</v>
      </c>
      <c r="S666" t="e">
        <f>VLOOKUP(#REF!,'מלאי לא תקין'!A:N,17,0)</f>
        <v>#REF!</v>
      </c>
      <c r="T666" t="e">
        <f t="shared" si="22"/>
        <v>#REF!</v>
      </c>
      <c r="U666" t="e">
        <f t="shared" si="23"/>
        <v>#REF!</v>
      </c>
    </row>
    <row r="667" spans="4:21" x14ac:dyDescent="0.2">
      <c r="D667" s="4"/>
      <c r="G667" s="5"/>
      <c r="H667" s="5"/>
      <c r="I667" s="4"/>
      <c r="J667" s="4"/>
      <c r="K667" s="5"/>
      <c r="Q667" t="e">
        <f>VLOOKUP(A667,'גיליון דאטה להכל'!A:E,5,0)</f>
        <v>#N/A</v>
      </c>
      <c r="R667" t="e">
        <f>VLOOKUP(A667,'לעדכן בסינתזה דאטה אריזה 42+24'!$A:$C,3,0)</f>
        <v>#N/A</v>
      </c>
      <c r="S667" t="e">
        <f>VLOOKUP(#REF!,'מלאי לא תקין'!A:N,17,0)</f>
        <v>#REF!</v>
      </c>
      <c r="T667" t="e">
        <f t="shared" si="22"/>
        <v>#REF!</v>
      </c>
      <c r="U667" t="e">
        <f t="shared" si="23"/>
        <v>#REF!</v>
      </c>
    </row>
    <row r="668" spans="4:21" x14ac:dyDescent="0.2">
      <c r="D668" s="4"/>
      <c r="G668" s="5"/>
      <c r="H668" s="5"/>
      <c r="I668" s="4"/>
      <c r="J668" s="4"/>
      <c r="K668" s="5"/>
      <c r="Q668" t="e">
        <f>VLOOKUP(A668,'גיליון דאטה להכל'!A:E,5,0)</f>
        <v>#N/A</v>
      </c>
      <c r="R668" t="e">
        <f>VLOOKUP(A668,'לעדכן בסינתזה דאטה אריזה 42+24'!$A:$C,3,0)</f>
        <v>#N/A</v>
      </c>
      <c r="S668" t="e">
        <f>VLOOKUP(#REF!,'מלאי לא תקין'!A:N,17,0)</f>
        <v>#REF!</v>
      </c>
      <c r="T668" t="e">
        <f t="shared" si="22"/>
        <v>#REF!</v>
      </c>
      <c r="U668" t="e">
        <f t="shared" si="23"/>
        <v>#REF!</v>
      </c>
    </row>
    <row r="669" spans="4:21" x14ac:dyDescent="0.2">
      <c r="D669" s="4"/>
      <c r="G669" s="5"/>
      <c r="H669" s="5"/>
      <c r="I669" s="4"/>
      <c r="J669" s="4"/>
      <c r="K669" s="5"/>
      <c r="Q669" t="e">
        <f>VLOOKUP(A669,'גיליון דאטה להכל'!A:E,5,0)</f>
        <v>#N/A</v>
      </c>
      <c r="R669" t="e">
        <f>VLOOKUP(A669,'לעדכן בסינתזה דאטה אריזה 42+24'!$A:$C,3,0)</f>
        <v>#N/A</v>
      </c>
      <c r="S669" t="e">
        <f>VLOOKUP(#REF!,'מלאי לא תקין'!A:N,17,0)</f>
        <v>#REF!</v>
      </c>
      <c r="T669" t="e">
        <f t="shared" si="22"/>
        <v>#REF!</v>
      </c>
      <c r="U669" t="e">
        <f t="shared" si="23"/>
        <v>#REF!</v>
      </c>
    </row>
    <row r="670" spans="4:21" x14ac:dyDescent="0.2">
      <c r="D670" s="4"/>
      <c r="G670" s="5"/>
      <c r="H670" s="7"/>
      <c r="I670" s="4"/>
      <c r="J670" s="4"/>
      <c r="K670" s="5"/>
      <c r="Q670" t="e">
        <f>VLOOKUP(A670,'גיליון דאטה להכל'!A:E,5,0)</f>
        <v>#N/A</v>
      </c>
      <c r="R670" t="e">
        <f>VLOOKUP(A670,'לעדכן בסינתזה דאטה אריזה 42+24'!$A:$C,3,0)</f>
        <v>#N/A</v>
      </c>
      <c r="S670" t="e">
        <f>VLOOKUP(#REF!,'מלאי לא תקין'!A:N,17,0)</f>
        <v>#REF!</v>
      </c>
      <c r="T670" t="e">
        <f t="shared" si="22"/>
        <v>#REF!</v>
      </c>
      <c r="U670" t="e">
        <f t="shared" si="23"/>
        <v>#REF!</v>
      </c>
    </row>
    <row r="671" spans="4:21" x14ac:dyDescent="0.2">
      <c r="D671" s="4"/>
      <c r="G671" s="5"/>
      <c r="H671" s="5"/>
      <c r="I671" s="4"/>
      <c r="J671" s="4"/>
      <c r="K671" s="5"/>
      <c r="Q671" t="e">
        <f>VLOOKUP(A671,'גיליון דאטה להכל'!A:E,5,0)</f>
        <v>#N/A</v>
      </c>
      <c r="R671" t="e">
        <f>VLOOKUP(A671,'לעדכן בסינתזה דאטה אריזה 42+24'!$A:$C,3,0)</f>
        <v>#N/A</v>
      </c>
      <c r="S671" t="e">
        <f>VLOOKUP(#REF!,'מלאי לא תקין'!A:N,17,0)</f>
        <v>#REF!</v>
      </c>
      <c r="T671" t="e">
        <f t="shared" si="22"/>
        <v>#REF!</v>
      </c>
      <c r="U671" t="e">
        <f t="shared" si="23"/>
        <v>#REF!</v>
      </c>
    </row>
    <row r="672" spans="4:21" x14ac:dyDescent="0.2">
      <c r="D672" s="4"/>
      <c r="G672" s="5"/>
      <c r="H672" s="5"/>
      <c r="I672" s="4"/>
      <c r="J672" s="4"/>
      <c r="K672" s="5"/>
      <c r="Q672" t="e">
        <f>VLOOKUP(A672,'גיליון דאטה להכל'!A:E,5,0)</f>
        <v>#N/A</v>
      </c>
      <c r="R672" t="e">
        <f>VLOOKUP(A672,'לעדכן בסינתזה דאטה אריזה 42+24'!$A:$C,3,0)</f>
        <v>#N/A</v>
      </c>
      <c r="S672" t="e">
        <f>VLOOKUP(#REF!,'מלאי לא תקין'!A:N,17,0)</f>
        <v>#REF!</v>
      </c>
      <c r="T672" t="e">
        <f t="shared" si="22"/>
        <v>#REF!</v>
      </c>
      <c r="U672" t="e">
        <f t="shared" si="23"/>
        <v>#REF!</v>
      </c>
    </row>
    <row r="673" spans="4:21" x14ac:dyDescent="0.2">
      <c r="D673" s="4"/>
      <c r="G673" s="5"/>
      <c r="H673" s="5"/>
      <c r="I673" s="4"/>
      <c r="J673" s="4"/>
      <c r="K673" s="5"/>
      <c r="Q673" t="e">
        <f>VLOOKUP(A673,'גיליון דאטה להכל'!A:E,5,0)</f>
        <v>#N/A</v>
      </c>
      <c r="R673" t="e">
        <f>VLOOKUP(A673,'לעדכן בסינתזה דאטה אריזה 42+24'!$A:$C,3,0)</f>
        <v>#N/A</v>
      </c>
      <c r="S673" t="e">
        <f>VLOOKUP(#REF!,'מלאי לא תקין'!A:N,17,0)</f>
        <v>#REF!</v>
      </c>
      <c r="T673" t="e">
        <f t="shared" si="22"/>
        <v>#REF!</v>
      </c>
      <c r="U673" t="e">
        <f t="shared" si="23"/>
        <v>#REF!</v>
      </c>
    </row>
    <row r="674" spans="4:21" x14ac:dyDescent="0.2">
      <c r="D674" s="4"/>
      <c r="G674" s="5"/>
      <c r="H674" s="5"/>
      <c r="I674" s="4"/>
      <c r="J674" s="4"/>
      <c r="K674" s="5"/>
      <c r="Q674" t="e">
        <f>VLOOKUP(A674,'גיליון דאטה להכל'!A:E,5,0)</f>
        <v>#N/A</v>
      </c>
      <c r="R674" t="e">
        <f>VLOOKUP(A674,'לעדכן בסינתזה דאטה אריזה 42+24'!$A:$C,3,0)</f>
        <v>#N/A</v>
      </c>
      <c r="S674" t="e">
        <f>VLOOKUP(#REF!,'מלאי לא תקין'!A:N,17,0)</f>
        <v>#REF!</v>
      </c>
      <c r="T674" t="e">
        <f t="shared" si="22"/>
        <v>#REF!</v>
      </c>
      <c r="U674" t="e">
        <f t="shared" si="23"/>
        <v>#REF!</v>
      </c>
    </row>
    <row r="675" spans="4:21" x14ac:dyDescent="0.2">
      <c r="D675" s="4"/>
      <c r="G675" s="5"/>
      <c r="H675" s="7"/>
      <c r="I675" s="4"/>
      <c r="J675" s="4"/>
      <c r="K675" s="5"/>
      <c r="Q675" t="e">
        <f>VLOOKUP(A675,'גיליון דאטה להכל'!A:E,5,0)</f>
        <v>#N/A</v>
      </c>
      <c r="R675" t="e">
        <f>VLOOKUP(A675,'לעדכן בסינתזה דאטה אריזה 42+24'!$A:$C,3,0)</f>
        <v>#N/A</v>
      </c>
      <c r="S675" t="e">
        <f>VLOOKUP(#REF!,'מלאי לא תקין'!A:N,17,0)</f>
        <v>#REF!</v>
      </c>
      <c r="T675" t="e">
        <f t="shared" si="22"/>
        <v>#REF!</v>
      </c>
      <c r="U675" t="e">
        <f t="shared" si="23"/>
        <v>#REF!</v>
      </c>
    </row>
    <row r="676" spans="4:21" x14ac:dyDescent="0.2">
      <c r="D676" s="4"/>
      <c r="G676" s="5"/>
      <c r="H676" s="5"/>
      <c r="I676" s="4"/>
      <c r="J676" s="4"/>
      <c r="K676" s="5"/>
      <c r="Q676" t="e">
        <f>VLOOKUP(A676,'גיליון דאטה להכל'!A:E,5,0)</f>
        <v>#N/A</v>
      </c>
      <c r="R676" t="e">
        <f>VLOOKUP(A676,'לעדכן בסינתזה דאטה אריזה 42+24'!$A:$C,3,0)</f>
        <v>#N/A</v>
      </c>
      <c r="S676" t="e">
        <f>VLOOKUP(#REF!,'מלאי לא תקין'!A:N,17,0)</f>
        <v>#REF!</v>
      </c>
      <c r="T676" t="e">
        <f t="shared" si="22"/>
        <v>#REF!</v>
      </c>
      <c r="U676" t="e">
        <f t="shared" si="23"/>
        <v>#REF!</v>
      </c>
    </row>
    <row r="677" spans="4:21" x14ac:dyDescent="0.2">
      <c r="D677" s="4"/>
      <c r="G677" s="5"/>
      <c r="H677" s="5"/>
      <c r="I677" s="4"/>
      <c r="J677" s="4"/>
      <c r="K677" s="5"/>
      <c r="Q677" t="e">
        <f>VLOOKUP(A677,'גיליון דאטה להכל'!A:E,5,0)</f>
        <v>#N/A</v>
      </c>
      <c r="R677" t="e">
        <f>VLOOKUP(A677,'לעדכן בסינתזה דאטה אריזה 42+24'!$A:$C,3,0)</f>
        <v>#N/A</v>
      </c>
      <c r="S677" t="e">
        <f>VLOOKUP(#REF!,'מלאי לא תקין'!A:N,17,0)</f>
        <v>#REF!</v>
      </c>
      <c r="T677" t="e">
        <f t="shared" si="22"/>
        <v>#REF!</v>
      </c>
      <c r="U677" t="e">
        <f t="shared" si="23"/>
        <v>#REF!</v>
      </c>
    </row>
    <row r="678" spans="4:21" x14ac:dyDescent="0.2">
      <c r="D678" s="4"/>
      <c r="G678" s="5"/>
      <c r="H678" s="5"/>
      <c r="I678" s="4"/>
      <c r="J678" s="4"/>
      <c r="K678" s="5"/>
      <c r="Q678" t="e">
        <f>VLOOKUP(A678,'גיליון דאטה להכל'!A:E,5,0)</f>
        <v>#N/A</v>
      </c>
      <c r="R678" t="e">
        <f>VLOOKUP(A678,'לעדכן בסינתזה דאטה אריזה 42+24'!$A:$C,3,0)</f>
        <v>#N/A</v>
      </c>
      <c r="S678" t="e">
        <f>VLOOKUP(#REF!,'מלאי לא תקין'!A:N,17,0)</f>
        <v>#REF!</v>
      </c>
      <c r="T678" t="e">
        <f t="shared" si="22"/>
        <v>#REF!</v>
      </c>
      <c r="U678" t="e">
        <f t="shared" si="23"/>
        <v>#REF!</v>
      </c>
    </row>
    <row r="679" spans="4:21" x14ac:dyDescent="0.2">
      <c r="D679" s="4"/>
      <c r="G679" s="5"/>
      <c r="H679" s="7"/>
      <c r="I679" s="4"/>
      <c r="J679" s="4"/>
      <c r="K679" s="5"/>
      <c r="Q679" t="e">
        <f>VLOOKUP(A679,'גיליון דאטה להכל'!A:E,5,0)</f>
        <v>#N/A</v>
      </c>
      <c r="R679" t="e">
        <f>VLOOKUP(A679,'לעדכן בסינתזה דאטה אריזה 42+24'!$A:$C,3,0)</f>
        <v>#N/A</v>
      </c>
      <c r="S679" t="e">
        <f>VLOOKUP(#REF!,'מלאי לא תקין'!A:N,17,0)</f>
        <v>#REF!</v>
      </c>
      <c r="T679" t="e">
        <f t="shared" si="22"/>
        <v>#REF!</v>
      </c>
      <c r="U679" t="e">
        <f t="shared" si="23"/>
        <v>#REF!</v>
      </c>
    </row>
    <row r="680" spans="4:21" x14ac:dyDescent="0.2">
      <c r="D680" s="4"/>
      <c r="G680" s="5"/>
      <c r="H680" s="5"/>
      <c r="I680" s="4"/>
      <c r="J680" s="4"/>
      <c r="K680" s="5"/>
      <c r="Q680" t="e">
        <f>VLOOKUP(A680,'גיליון דאטה להכל'!A:E,5,0)</f>
        <v>#N/A</v>
      </c>
      <c r="R680" t="e">
        <f>VLOOKUP(A680,'לעדכן בסינתזה דאטה אריזה 42+24'!$A:$C,3,0)</f>
        <v>#N/A</v>
      </c>
      <c r="S680" t="e">
        <f>VLOOKUP(#REF!,'מלאי לא תקין'!A:N,17,0)</f>
        <v>#REF!</v>
      </c>
      <c r="T680" t="e">
        <f t="shared" si="22"/>
        <v>#REF!</v>
      </c>
      <c r="U680" t="e">
        <f t="shared" si="23"/>
        <v>#REF!</v>
      </c>
    </row>
    <row r="681" spans="4:21" x14ac:dyDescent="0.2">
      <c r="D681" s="4"/>
      <c r="G681" s="5"/>
      <c r="H681" s="5"/>
      <c r="I681" s="4"/>
      <c r="J681" s="4"/>
      <c r="K681" s="5"/>
      <c r="Q681" t="e">
        <f>VLOOKUP(A681,'גיליון דאטה להכל'!A:E,5,0)</f>
        <v>#N/A</v>
      </c>
      <c r="R681" t="e">
        <f>VLOOKUP(A681,'לעדכן בסינתזה דאטה אריזה 42+24'!$A:$C,3,0)</f>
        <v>#N/A</v>
      </c>
      <c r="S681" t="e">
        <f>VLOOKUP(#REF!,'מלאי לא תקין'!A:N,17,0)</f>
        <v>#REF!</v>
      </c>
      <c r="T681" t="e">
        <f t="shared" si="22"/>
        <v>#REF!</v>
      </c>
      <c r="U681" t="e">
        <f t="shared" si="23"/>
        <v>#REF!</v>
      </c>
    </row>
    <row r="682" spans="4:21" x14ac:dyDescent="0.2">
      <c r="D682" s="4"/>
      <c r="G682" s="5"/>
      <c r="H682" s="5"/>
      <c r="I682" s="4"/>
      <c r="J682" s="4"/>
      <c r="K682" s="5"/>
      <c r="Q682" t="e">
        <f>VLOOKUP(A682,'גיליון דאטה להכל'!A:E,5,0)</f>
        <v>#N/A</v>
      </c>
      <c r="R682" t="e">
        <f>VLOOKUP(A682,'לעדכן בסינתזה דאטה אריזה 42+24'!$A:$C,3,0)</f>
        <v>#N/A</v>
      </c>
      <c r="S682" t="e">
        <f>VLOOKUP(#REF!,'מלאי לא תקין'!A:N,17,0)</f>
        <v>#REF!</v>
      </c>
      <c r="T682" t="e">
        <f t="shared" si="22"/>
        <v>#REF!</v>
      </c>
      <c r="U682" t="e">
        <f t="shared" si="23"/>
        <v>#REF!</v>
      </c>
    </row>
    <row r="683" spans="4:21" x14ac:dyDescent="0.2">
      <c r="D683" s="4"/>
      <c r="G683" s="5"/>
      <c r="H683" s="5"/>
      <c r="I683" s="4"/>
      <c r="J683" s="4"/>
      <c r="K683" s="5"/>
      <c r="Q683" t="e">
        <f>VLOOKUP(A683,'גיליון דאטה להכל'!A:E,5,0)</f>
        <v>#N/A</v>
      </c>
      <c r="R683" t="e">
        <f>VLOOKUP(A683,'לעדכן בסינתזה דאטה אריזה 42+24'!$A:$C,3,0)</f>
        <v>#N/A</v>
      </c>
      <c r="S683" t="e">
        <f>VLOOKUP(#REF!,'מלאי לא תקין'!A:N,17,0)</f>
        <v>#REF!</v>
      </c>
      <c r="T683" t="e">
        <f t="shared" si="22"/>
        <v>#REF!</v>
      </c>
      <c r="U683" t="e">
        <f t="shared" si="23"/>
        <v>#REF!</v>
      </c>
    </row>
    <row r="684" spans="4:21" x14ac:dyDescent="0.2">
      <c r="D684" s="4"/>
      <c r="G684" s="5"/>
      <c r="H684" s="5"/>
      <c r="I684" s="4"/>
      <c r="J684" s="4"/>
      <c r="K684" s="5"/>
      <c r="Q684" t="e">
        <f>VLOOKUP(A684,'גיליון דאטה להכל'!A:E,5,0)</f>
        <v>#N/A</v>
      </c>
      <c r="R684" t="e">
        <f>VLOOKUP(A684,'לעדכן בסינתזה דאטה אריזה 42+24'!$A:$C,3,0)</f>
        <v>#N/A</v>
      </c>
      <c r="S684" t="e">
        <f>VLOOKUP(#REF!,'מלאי לא תקין'!A:N,17,0)</f>
        <v>#REF!</v>
      </c>
      <c r="T684" t="e">
        <f t="shared" si="22"/>
        <v>#REF!</v>
      </c>
      <c r="U684" t="e">
        <f t="shared" si="23"/>
        <v>#REF!</v>
      </c>
    </row>
    <row r="685" spans="4:21" x14ac:dyDescent="0.2">
      <c r="D685" s="4"/>
      <c r="G685" s="5"/>
      <c r="H685" s="7"/>
      <c r="I685" s="4"/>
      <c r="J685" s="4"/>
      <c r="K685" s="5"/>
      <c r="Q685" t="e">
        <f>VLOOKUP(A685,'גיליון דאטה להכל'!A:E,5,0)</f>
        <v>#N/A</v>
      </c>
      <c r="R685" t="e">
        <f>VLOOKUP(A685,'לעדכן בסינתזה דאטה אריזה 42+24'!$A:$C,3,0)</f>
        <v>#N/A</v>
      </c>
      <c r="S685" t="e">
        <f>VLOOKUP(#REF!,'מלאי לא תקין'!A:N,17,0)</f>
        <v>#REF!</v>
      </c>
      <c r="T685" t="e">
        <f t="shared" si="22"/>
        <v>#REF!</v>
      </c>
      <c r="U685" t="e">
        <f t="shared" si="23"/>
        <v>#REF!</v>
      </c>
    </row>
    <row r="686" spans="4:21" x14ac:dyDescent="0.2">
      <c r="D686" s="4"/>
      <c r="G686" s="5"/>
      <c r="H686" s="5"/>
      <c r="I686" s="4"/>
      <c r="J686" s="4"/>
      <c r="K686" s="5"/>
      <c r="Q686" t="e">
        <f>VLOOKUP(A686,'גיליון דאטה להכל'!A:E,5,0)</f>
        <v>#N/A</v>
      </c>
      <c r="R686" t="e">
        <f>VLOOKUP(A686,'לעדכן בסינתזה דאטה אריזה 42+24'!$A:$C,3,0)</f>
        <v>#N/A</v>
      </c>
      <c r="S686" t="e">
        <f>VLOOKUP(#REF!,'מלאי לא תקין'!A:N,17,0)</f>
        <v>#REF!</v>
      </c>
      <c r="T686" t="e">
        <f t="shared" si="22"/>
        <v>#REF!</v>
      </c>
      <c r="U686" t="e">
        <f t="shared" si="23"/>
        <v>#REF!</v>
      </c>
    </row>
    <row r="687" spans="4:21" x14ac:dyDescent="0.2">
      <c r="D687" s="4"/>
      <c r="G687" s="5"/>
      <c r="H687" s="5"/>
      <c r="I687" s="4"/>
      <c r="J687" s="4"/>
      <c r="K687" s="5"/>
      <c r="Q687" t="e">
        <f>VLOOKUP(A687,'גיליון דאטה להכל'!A:E,5,0)</f>
        <v>#N/A</v>
      </c>
      <c r="R687" t="e">
        <f>VLOOKUP(A687,'לעדכן בסינתזה דאטה אריזה 42+24'!$A:$C,3,0)</f>
        <v>#N/A</v>
      </c>
      <c r="S687" t="e">
        <f>VLOOKUP(#REF!,'מלאי לא תקין'!A:N,17,0)</f>
        <v>#REF!</v>
      </c>
      <c r="T687" t="e">
        <f t="shared" si="22"/>
        <v>#REF!</v>
      </c>
      <c r="U687" t="e">
        <f t="shared" si="23"/>
        <v>#REF!</v>
      </c>
    </row>
    <row r="688" spans="4:21" x14ac:dyDescent="0.2">
      <c r="D688" s="4"/>
      <c r="G688" s="5"/>
      <c r="H688" s="5"/>
      <c r="I688" s="4"/>
      <c r="J688" s="4"/>
      <c r="K688" s="5"/>
      <c r="Q688" t="e">
        <f>VLOOKUP(A688,'גיליון דאטה להכל'!A:E,5,0)</f>
        <v>#N/A</v>
      </c>
      <c r="R688" t="e">
        <f>VLOOKUP(A688,'לעדכן בסינתזה דאטה אריזה 42+24'!$A:$C,3,0)</f>
        <v>#N/A</v>
      </c>
      <c r="S688" t="e">
        <f>VLOOKUP(#REF!,'מלאי לא תקין'!A:N,17,0)</f>
        <v>#REF!</v>
      </c>
      <c r="T688" t="e">
        <f t="shared" si="22"/>
        <v>#REF!</v>
      </c>
      <c r="U688" t="e">
        <f t="shared" si="23"/>
        <v>#REF!</v>
      </c>
    </row>
    <row r="689" spans="4:21" x14ac:dyDescent="0.2">
      <c r="D689" s="4"/>
      <c r="G689" s="5"/>
      <c r="H689" s="5"/>
      <c r="I689" s="4"/>
      <c r="J689" s="4"/>
      <c r="K689" s="5"/>
      <c r="Q689" t="e">
        <f>VLOOKUP(A689,'גיליון דאטה להכל'!A:E,5,0)</f>
        <v>#N/A</v>
      </c>
      <c r="R689" t="e">
        <f>VLOOKUP(A689,'לעדכן בסינתזה דאטה אריזה 42+24'!$A:$C,3,0)</f>
        <v>#N/A</v>
      </c>
      <c r="S689" t="e">
        <f>VLOOKUP(#REF!,'מלאי לא תקין'!A:N,17,0)</f>
        <v>#REF!</v>
      </c>
      <c r="T689" t="e">
        <f t="shared" si="22"/>
        <v>#REF!</v>
      </c>
      <c r="U689" t="e">
        <f t="shared" si="23"/>
        <v>#REF!</v>
      </c>
    </row>
    <row r="690" spans="4:21" x14ac:dyDescent="0.2">
      <c r="D690" s="4"/>
      <c r="G690" s="5"/>
      <c r="H690" s="5"/>
      <c r="I690" s="4"/>
      <c r="J690" s="4"/>
      <c r="K690" s="5"/>
      <c r="Q690" t="e">
        <f>VLOOKUP(A690,'גיליון דאטה להכל'!A:E,5,0)</f>
        <v>#N/A</v>
      </c>
      <c r="R690" t="e">
        <f>VLOOKUP(A690,'לעדכן בסינתזה דאטה אריזה 42+24'!$A:$C,3,0)</f>
        <v>#N/A</v>
      </c>
      <c r="S690" t="e">
        <f>VLOOKUP(#REF!,'מלאי לא תקין'!A:N,17,0)</f>
        <v>#REF!</v>
      </c>
      <c r="T690" t="e">
        <f t="shared" si="22"/>
        <v>#REF!</v>
      </c>
      <c r="U690" t="e">
        <f t="shared" si="23"/>
        <v>#REF!</v>
      </c>
    </row>
    <row r="691" spans="4:21" x14ac:dyDescent="0.2">
      <c r="D691" s="4"/>
      <c r="G691" s="5"/>
      <c r="H691" s="5"/>
      <c r="I691" s="4"/>
      <c r="J691" s="4"/>
      <c r="K691" s="5"/>
      <c r="Q691" t="e">
        <f>VLOOKUP(A691,'גיליון דאטה להכל'!A:E,5,0)</f>
        <v>#N/A</v>
      </c>
      <c r="R691" t="e">
        <f>VLOOKUP(A691,'לעדכן בסינתזה דאטה אריזה 42+24'!$A:$C,3,0)</f>
        <v>#N/A</v>
      </c>
      <c r="S691" t="e">
        <f>VLOOKUP(#REF!,'מלאי לא תקין'!A:N,17,0)</f>
        <v>#REF!</v>
      </c>
      <c r="T691" t="e">
        <f t="shared" si="22"/>
        <v>#REF!</v>
      </c>
      <c r="U691" t="e">
        <f t="shared" si="23"/>
        <v>#REF!</v>
      </c>
    </row>
    <row r="692" spans="4:21" x14ac:dyDescent="0.2">
      <c r="D692" s="4"/>
      <c r="G692" s="5"/>
      <c r="H692" s="5"/>
      <c r="I692" s="4"/>
      <c r="J692" s="4"/>
      <c r="K692" s="5"/>
      <c r="Q692" t="e">
        <f>VLOOKUP(A692,'גיליון דאטה להכל'!A:E,5,0)</f>
        <v>#N/A</v>
      </c>
      <c r="R692" t="e">
        <f>VLOOKUP(A692,'לעדכן בסינתזה דאטה אריזה 42+24'!$A:$C,3,0)</f>
        <v>#N/A</v>
      </c>
      <c r="S692" t="e">
        <f>VLOOKUP(#REF!,'מלאי לא תקין'!A:N,17,0)</f>
        <v>#REF!</v>
      </c>
      <c r="T692" t="e">
        <f t="shared" si="22"/>
        <v>#REF!</v>
      </c>
      <c r="U692" t="e">
        <f t="shared" si="23"/>
        <v>#REF!</v>
      </c>
    </row>
    <row r="693" spans="4:21" x14ac:dyDescent="0.2">
      <c r="D693" s="4"/>
      <c r="G693" s="5"/>
      <c r="H693" s="5"/>
      <c r="I693" s="4"/>
      <c r="J693" s="4"/>
      <c r="K693" s="5"/>
      <c r="Q693" t="e">
        <f>VLOOKUP(A693,'גיליון דאטה להכל'!A:E,5,0)</f>
        <v>#N/A</v>
      </c>
      <c r="R693" t="e">
        <f>VLOOKUP(A693,'לעדכן בסינתזה דאטה אריזה 42+24'!$A:$C,3,0)</f>
        <v>#N/A</v>
      </c>
      <c r="S693" t="e">
        <f>VLOOKUP(#REF!,'מלאי לא תקין'!A:N,17,0)</f>
        <v>#REF!</v>
      </c>
      <c r="T693" t="e">
        <f t="shared" si="22"/>
        <v>#REF!</v>
      </c>
      <c r="U693" t="e">
        <f t="shared" si="23"/>
        <v>#REF!</v>
      </c>
    </row>
    <row r="694" spans="4:21" x14ac:dyDescent="0.2">
      <c r="D694" s="4"/>
      <c r="G694" s="5"/>
      <c r="H694" s="5"/>
      <c r="I694" s="4"/>
      <c r="J694" s="4"/>
      <c r="K694" s="5"/>
      <c r="Q694" t="e">
        <f>VLOOKUP(A694,'גיליון דאטה להכל'!A:E,5,0)</f>
        <v>#N/A</v>
      </c>
      <c r="R694" t="e">
        <f>VLOOKUP(A694,'לעדכן בסינתזה דאטה אריזה 42+24'!$A:$C,3,0)</f>
        <v>#N/A</v>
      </c>
      <c r="S694" t="e">
        <f>VLOOKUP(#REF!,'מלאי לא תקין'!A:N,17,0)</f>
        <v>#REF!</v>
      </c>
      <c r="T694" t="e">
        <f t="shared" ref="T694:T757" si="24">_xlfn.CONCAT(S694,Q694)</f>
        <v>#REF!</v>
      </c>
      <c r="U694" t="e">
        <f t="shared" ref="U694:U757" si="25">_xlfn.CONCAT(S694,O694)</f>
        <v>#REF!</v>
      </c>
    </row>
    <row r="695" spans="4:21" x14ac:dyDescent="0.2">
      <c r="D695" s="4"/>
      <c r="G695" s="5"/>
      <c r="H695" s="5"/>
      <c r="I695" s="4"/>
      <c r="J695" s="4"/>
      <c r="K695" s="5"/>
      <c r="Q695" t="e">
        <f>VLOOKUP(A695,'גיליון דאטה להכל'!A:E,5,0)</f>
        <v>#N/A</v>
      </c>
      <c r="R695" t="e">
        <f>VLOOKUP(A695,'לעדכן בסינתזה דאטה אריזה 42+24'!$A:$C,3,0)</f>
        <v>#N/A</v>
      </c>
      <c r="S695" t="e">
        <f>VLOOKUP(#REF!,'מלאי לא תקין'!A:N,17,0)</f>
        <v>#REF!</v>
      </c>
      <c r="T695" t="e">
        <f t="shared" si="24"/>
        <v>#REF!</v>
      </c>
      <c r="U695" t="e">
        <f t="shared" si="25"/>
        <v>#REF!</v>
      </c>
    </row>
    <row r="696" spans="4:21" x14ac:dyDescent="0.2">
      <c r="D696" s="4"/>
      <c r="G696" s="5"/>
      <c r="H696" s="7"/>
      <c r="I696" s="4"/>
      <c r="J696" s="4"/>
      <c r="K696" s="5"/>
      <c r="Q696" t="e">
        <f>VLOOKUP(A696,'גיליון דאטה להכל'!A:E,5,0)</f>
        <v>#N/A</v>
      </c>
      <c r="R696" t="e">
        <f>VLOOKUP(A696,'לעדכן בסינתזה דאטה אריזה 42+24'!$A:$C,3,0)</f>
        <v>#N/A</v>
      </c>
      <c r="S696" t="e">
        <f>VLOOKUP(#REF!,'מלאי לא תקין'!A:N,17,0)</f>
        <v>#REF!</v>
      </c>
      <c r="T696" t="e">
        <f t="shared" si="24"/>
        <v>#REF!</v>
      </c>
      <c r="U696" t="e">
        <f t="shared" si="25"/>
        <v>#REF!</v>
      </c>
    </row>
    <row r="697" spans="4:21" x14ac:dyDescent="0.2">
      <c r="D697" s="4"/>
      <c r="G697" s="5"/>
      <c r="H697" s="5"/>
      <c r="I697" s="4"/>
      <c r="J697" s="4"/>
      <c r="K697" s="5"/>
      <c r="Q697" t="e">
        <f>VLOOKUP(A697,'גיליון דאטה להכל'!A:E,5,0)</f>
        <v>#N/A</v>
      </c>
      <c r="R697" t="e">
        <f>VLOOKUP(A697,'לעדכן בסינתזה דאטה אריזה 42+24'!$A:$C,3,0)</f>
        <v>#N/A</v>
      </c>
      <c r="S697" t="e">
        <f>VLOOKUP(#REF!,'מלאי לא תקין'!A:N,17,0)</f>
        <v>#REF!</v>
      </c>
      <c r="T697" t="e">
        <f t="shared" si="24"/>
        <v>#REF!</v>
      </c>
      <c r="U697" t="e">
        <f t="shared" si="25"/>
        <v>#REF!</v>
      </c>
    </row>
    <row r="698" spans="4:21" x14ac:dyDescent="0.2">
      <c r="D698" s="4"/>
      <c r="G698" s="5"/>
      <c r="H698" s="5"/>
      <c r="I698" s="4"/>
      <c r="J698" s="4"/>
      <c r="K698" s="5"/>
      <c r="Q698" t="e">
        <f>VLOOKUP(A698,'גיליון דאטה להכל'!A:E,5,0)</f>
        <v>#N/A</v>
      </c>
      <c r="R698" t="e">
        <f>VLOOKUP(A698,'לעדכן בסינתזה דאטה אריזה 42+24'!$A:$C,3,0)</f>
        <v>#N/A</v>
      </c>
      <c r="S698" t="e">
        <f>VLOOKUP(#REF!,'מלאי לא תקין'!A:N,17,0)</f>
        <v>#REF!</v>
      </c>
      <c r="T698" t="e">
        <f t="shared" si="24"/>
        <v>#REF!</v>
      </c>
      <c r="U698" t="e">
        <f t="shared" si="25"/>
        <v>#REF!</v>
      </c>
    </row>
    <row r="699" spans="4:21" x14ac:dyDescent="0.2">
      <c r="D699" s="4"/>
      <c r="G699" s="5"/>
      <c r="H699" s="5"/>
      <c r="I699" s="4"/>
      <c r="J699" s="4"/>
      <c r="K699" s="5"/>
      <c r="Q699" t="e">
        <f>VLOOKUP(A699,'גיליון דאטה להכל'!A:E,5,0)</f>
        <v>#N/A</v>
      </c>
      <c r="R699" t="e">
        <f>VLOOKUP(A699,'לעדכן בסינתזה דאטה אריזה 42+24'!$A:$C,3,0)</f>
        <v>#N/A</v>
      </c>
      <c r="S699" t="e">
        <f>VLOOKUP(#REF!,'מלאי לא תקין'!A:N,17,0)</f>
        <v>#REF!</v>
      </c>
      <c r="T699" t="e">
        <f t="shared" si="24"/>
        <v>#REF!</v>
      </c>
      <c r="U699" t="e">
        <f t="shared" si="25"/>
        <v>#REF!</v>
      </c>
    </row>
    <row r="700" spans="4:21" x14ac:dyDescent="0.2">
      <c r="D700" s="4"/>
      <c r="G700" s="5"/>
      <c r="H700" s="5"/>
      <c r="I700" s="4"/>
      <c r="J700" s="4"/>
      <c r="K700" s="5"/>
      <c r="Q700" t="e">
        <f>VLOOKUP(A700,'גיליון דאטה להכל'!A:E,5,0)</f>
        <v>#N/A</v>
      </c>
      <c r="R700" t="e">
        <f>VLOOKUP(A700,'לעדכן בסינתזה דאטה אריזה 42+24'!$A:$C,3,0)</f>
        <v>#N/A</v>
      </c>
      <c r="S700" t="e">
        <f>VLOOKUP(#REF!,'מלאי לא תקין'!A:N,17,0)</f>
        <v>#REF!</v>
      </c>
      <c r="T700" t="e">
        <f t="shared" si="24"/>
        <v>#REF!</v>
      </c>
      <c r="U700" t="e">
        <f t="shared" si="25"/>
        <v>#REF!</v>
      </c>
    </row>
    <row r="701" spans="4:21" x14ac:dyDescent="0.2">
      <c r="D701" s="4"/>
      <c r="G701" s="5"/>
      <c r="H701" s="5"/>
      <c r="I701" s="4"/>
      <c r="J701" s="4"/>
      <c r="K701" s="5"/>
      <c r="Q701" t="e">
        <f>VLOOKUP(A701,'גיליון דאטה להכל'!A:E,5,0)</f>
        <v>#N/A</v>
      </c>
      <c r="R701" t="e">
        <f>VLOOKUP(A701,'לעדכן בסינתזה דאטה אריזה 42+24'!$A:$C,3,0)</f>
        <v>#N/A</v>
      </c>
      <c r="S701" t="e">
        <f>VLOOKUP(#REF!,'מלאי לא תקין'!A:N,17,0)</f>
        <v>#REF!</v>
      </c>
      <c r="T701" t="e">
        <f t="shared" si="24"/>
        <v>#REF!</v>
      </c>
      <c r="U701" t="e">
        <f t="shared" si="25"/>
        <v>#REF!</v>
      </c>
    </row>
    <row r="702" spans="4:21" x14ac:dyDescent="0.2">
      <c r="D702" s="4"/>
      <c r="G702" s="5"/>
      <c r="H702" s="7"/>
      <c r="I702" s="4"/>
      <c r="J702" s="4"/>
      <c r="K702" s="5"/>
      <c r="Q702" t="e">
        <f>VLOOKUP(A702,'גיליון דאטה להכל'!A:E,5,0)</f>
        <v>#N/A</v>
      </c>
      <c r="R702" t="e">
        <f>VLOOKUP(A702,'לעדכן בסינתזה דאטה אריזה 42+24'!$A:$C,3,0)</f>
        <v>#N/A</v>
      </c>
      <c r="S702" t="e">
        <f>VLOOKUP(#REF!,'מלאי לא תקין'!A:N,17,0)</f>
        <v>#REF!</v>
      </c>
      <c r="T702" t="e">
        <f t="shared" si="24"/>
        <v>#REF!</v>
      </c>
      <c r="U702" t="e">
        <f t="shared" si="25"/>
        <v>#REF!</v>
      </c>
    </row>
    <row r="703" spans="4:21" x14ac:dyDescent="0.2">
      <c r="D703" s="4"/>
      <c r="G703" s="5"/>
      <c r="H703" s="5"/>
      <c r="I703" s="4"/>
      <c r="J703" s="4"/>
      <c r="K703" s="5"/>
      <c r="Q703" t="e">
        <f>VLOOKUP(A703,'גיליון דאטה להכל'!A:E,5,0)</f>
        <v>#N/A</v>
      </c>
      <c r="R703" t="e">
        <f>VLOOKUP(A703,'לעדכן בסינתזה דאטה אריזה 42+24'!$A:$C,3,0)</f>
        <v>#N/A</v>
      </c>
      <c r="S703" t="e">
        <f>VLOOKUP(#REF!,'מלאי לא תקין'!A:N,17,0)</f>
        <v>#REF!</v>
      </c>
      <c r="T703" t="e">
        <f t="shared" si="24"/>
        <v>#REF!</v>
      </c>
      <c r="U703" t="e">
        <f t="shared" si="25"/>
        <v>#REF!</v>
      </c>
    </row>
    <row r="704" spans="4:21" x14ac:dyDescent="0.2">
      <c r="D704" s="4"/>
      <c r="G704" s="5"/>
      <c r="H704" s="5"/>
      <c r="I704" s="4"/>
      <c r="J704" s="4"/>
      <c r="K704" s="5"/>
      <c r="Q704" t="e">
        <f>VLOOKUP(A704,'גיליון דאטה להכל'!A:E,5,0)</f>
        <v>#N/A</v>
      </c>
      <c r="R704" t="e">
        <f>VLOOKUP(A704,'לעדכן בסינתזה דאטה אריזה 42+24'!$A:$C,3,0)</f>
        <v>#N/A</v>
      </c>
      <c r="S704" t="e">
        <f>VLOOKUP(#REF!,'מלאי לא תקין'!A:N,17,0)</f>
        <v>#REF!</v>
      </c>
      <c r="T704" t="e">
        <f t="shared" si="24"/>
        <v>#REF!</v>
      </c>
      <c r="U704" t="e">
        <f t="shared" si="25"/>
        <v>#REF!</v>
      </c>
    </row>
    <row r="705" spans="4:21" x14ac:dyDescent="0.2">
      <c r="D705" s="4"/>
      <c r="G705" s="5"/>
      <c r="H705" s="5"/>
      <c r="I705" s="4"/>
      <c r="J705" s="4"/>
      <c r="K705" s="5"/>
      <c r="Q705" t="e">
        <f>VLOOKUP(A705,'גיליון דאטה להכל'!A:E,5,0)</f>
        <v>#N/A</v>
      </c>
      <c r="R705" t="e">
        <f>VLOOKUP(A705,'לעדכן בסינתזה דאטה אריזה 42+24'!$A:$C,3,0)</f>
        <v>#N/A</v>
      </c>
      <c r="S705" t="e">
        <f>VLOOKUP(#REF!,'מלאי לא תקין'!A:N,17,0)</f>
        <v>#REF!</v>
      </c>
      <c r="T705" t="e">
        <f t="shared" si="24"/>
        <v>#REF!</v>
      </c>
      <c r="U705" t="e">
        <f t="shared" si="25"/>
        <v>#REF!</v>
      </c>
    </row>
    <row r="706" spans="4:21" x14ac:dyDescent="0.2">
      <c r="D706" s="4"/>
      <c r="G706" s="5"/>
      <c r="H706" s="5"/>
      <c r="I706" s="4"/>
      <c r="J706" s="4"/>
      <c r="K706" s="5"/>
      <c r="Q706" t="e">
        <f>VLOOKUP(A706,'גיליון דאטה להכל'!A:E,5,0)</f>
        <v>#N/A</v>
      </c>
      <c r="R706" t="e">
        <f>VLOOKUP(A706,'לעדכן בסינתזה דאטה אריזה 42+24'!$A:$C,3,0)</f>
        <v>#N/A</v>
      </c>
      <c r="S706" t="e">
        <f>VLOOKUP(#REF!,'מלאי לא תקין'!A:N,17,0)</f>
        <v>#REF!</v>
      </c>
      <c r="T706" t="e">
        <f t="shared" si="24"/>
        <v>#REF!</v>
      </c>
      <c r="U706" t="e">
        <f t="shared" si="25"/>
        <v>#REF!</v>
      </c>
    </row>
    <row r="707" spans="4:21" x14ac:dyDescent="0.2">
      <c r="D707" s="4"/>
      <c r="G707" s="5"/>
      <c r="H707" s="7"/>
      <c r="I707" s="4"/>
      <c r="J707" s="4"/>
      <c r="K707" s="5"/>
      <c r="Q707" t="e">
        <f>VLOOKUP(A707,'גיליון דאטה להכל'!A:E,5,0)</f>
        <v>#N/A</v>
      </c>
      <c r="R707" t="e">
        <f>VLOOKUP(A707,'לעדכן בסינתזה דאטה אריזה 42+24'!$A:$C,3,0)</f>
        <v>#N/A</v>
      </c>
      <c r="S707" t="e">
        <f>VLOOKUP(#REF!,'מלאי לא תקין'!A:N,17,0)</f>
        <v>#REF!</v>
      </c>
      <c r="T707" t="e">
        <f t="shared" si="24"/>
        <v>#REF!</v>
      </c>
      <c r="U707" t="e">
        <f t="shared" si="25"/>
        <v>#REF!</v>
      </c>
    </row>
    <row r="708" spans="4:21" x14ac:dyDescent="0.2">
      <c r="D708" s="4"/>
      <c r="G708" s="5"/>
      <c r="H708" s="5"/>
      <c r="I708" s="4"/>
      <c r="J708" s="4"/>
      <c r="K708" s="5"/>
      <c r="Q708" t="e">
        <f>VLOOKUP(A708,'גיליון דאטה להכל'!A:E,5,0)</f>
        <v>#N/A</v>
      </c>
      <c r="R708" t="e">
        <f>VLOOKUP(A708,'לעדכן בסינתזה דאטה אריזה 42+24'!$A:$C,3,0)</f>
        <v>#N/A</v>
      </c>
      <c r="S708" t="e">
        <f>VLOOKUP(#REF!,'מלאי לא תקין'!A:N,17,0)</f>
        <v>#REF!</v>
      </c>
      <c r="T708" t="e">
        <f t="shared" si="24"/>
        <v>#REF!</v>
      </c>
      <c r="U708" t="e">
        <f t="shared" si="25"/>
        <v>#REF!</v>
      </c>
    </row>
    <row r="709" spans="4:21" x14ac:dyDescent="0.2">
      <c r="D709" s="4"/>
      <c r="G709" s="5"/>
      <c r="H709" s="5"/>
      <c r="I709" s="4"/>
      <c r="J709" s="4"/>
      <c r="K709" s="5"/>
      <c r="Q709" t="e">
        <f>VLOOKUP(A709,'גיליון דאטה להכל'!A:E,5,0)</f>
        <v>#N/A</v>
      </c>
      <c r="R709" t="e">
        <f>VLOOKUP(A709,'לעדכן בסינתזה דאטה אריזה 42+24'!$A:$C,3,0)</f>
        <v>#N/A</v>
      </c>
      <c r="S709" t="e">
        <f>VLOOKUP(#REF!,'מלאי לא תקין'!A:N,17,0)</f>
        <v>#REF!</v>
      </c>
      <c r="T709" t="e">
        <f t="shared" si="24"/>
        <v>#REF!</v>
      </c>
      <c r="U709" t="e">
        <f t="shared" si="25"/>
        <v>#REF!</v>
      </c>
    </row>
    <row r="710" spans="4:21" x14ac:dyDescent="0.2">
      <c r="D710" s="4"/>
      <c r="G710" s="5"/>
      <c r="H710" s="5"/>
      <c r="I710" s="4"/>
      <c r="J710" s="4"/>
      <c r="K710" s="5"/>
      <c r="Q710" t="e">
        <f>VLOOKUP(A710,'גיליון דאטה להכל'!A:E,5,0)</f>
        <v>#N/A</v>
      </c>
      <c r="R710" t="e">
        <f>VLOOKUP(A710,'לעדכן בסינתזה דאטה אריזה 42+24'!$A:$C,3,0)</f>
        <v>#N/A</v>
      </c>
      <c r="S710" t="e">
        <f>VLOOKUP(#REF!,'מלאי לא תקין'!A:N,17,0)</f>
        <v>#REF!</v>
      </c>
      <c r="T710" t="e">
        <f t="shared" si="24"/>
        <v>#REF!</v>
      </c>
      <c r="U710" t="e">
        <f t="shared" si="25"/>
        <v>#REF!</v>
      </c>
    </row>
    <row r="711" spans="4:21" x14ac:dyDescent="0.2">
      <c r="D711" s="4"/>
      <c r="G711" s="5"/>
      <c r="H711" s="5"/>
      <c r="I711" s="4"/>
      <c r="J711" s="4"/>
      <c r="K711" s="5"/>
      <c r="Q711" t="e">
        <f>VLOOKUP(A711,'גיליון דאטה להכל'!A:E,5,0)</f>
        <v>#N/A</v>
      </c>
      <c r="R711" t="e">
        <f>VLOOKUP(A711,'לעדכן בסינתזה דאטה אריזה 42+24'!$A:$C,3,0)</f>
        <v>#N/A</v>
      </c>
      <c r="S711" t="e">
        <f>VLOOKUP(#REF!,'מלאי לא תקין'!A:N,17,0)</f>
        <v>#REF!</v>
      </c>
      <c r="T711" t="e">
        <f t="shared" si="24"/>
        <v>#REF!</v>
      </c>
      <c r="U711" t="e">
        <f t="shared" si="25"/>
        <v>#REF!</v>
      </c>
    </row>
    <row r="712" spans="4:21" x14ac:dyDescent="0.2">
      <c r="D712" s="4"/>
      <c r="G712" s="5"/>
      <c r="H712" s="5"/>
      <c r="I712" s="4"/>
      <c r="J712" s="4"/>
      <c r="K712" s="5"/>
      <c r="Q712" t="e">
        <f>VLOOKUP(A712,'גיליון דאטה להכל'!A:E,5,0)</f>
        <v>#N/A</v>
      </c>
      <c r="R712" t="e">
        <f>VLOOKUP(A712,'לעדכן בסינתזה דאטה אריזה 42+24'!$A:$C,3,0)</f>
        <v>#N/A</v>
      </c>
      <c r="S712" t="e">
        <f>VLOOKUP(#REF!,'מלאי לא תקין'!A:N,17,0)</f>
        <v>#REF!</v>
      </c>
      <c r="T712" t="e">
        <f t="shared" si="24"/>
        <v>#REF!</v>
      </c>
      <c r="U712" t="e">
        <f t="shared" si="25"/>
        <v>#REF!</v>
      </c>
    </row>
    <row r="713" spans="4:21" x14ac:dyDescent="0.2">
      <c r="D713" s="4"/>
      <c r="G713" s="5"/>
      <c r="H713" s="7"/>
      <c r="I713" s="4"/>
      <c r="J713" s="4"/>
      <c r="K713" s="5"/>
      <c r="Q713" t="e">
        <f>VLOOKUP(A713,'גיליון דאטה להכל'!A:E,5,0)</f>
        <v>#N/A</v>
      </c>
      <c r="R713" t="e">
        <f>VLOOKUP(A713,'לעדכן בסינתזה דאטה אריזה 42+24'!$A:$C,3,0)</f>
        <v>#N/A</v>
      </c>
      <c r="S713" t="e">
        <f>VLOOKUP(#REF!,'מלאי לא תקין'!A:N,17,0)</f>
        <v>#REF!</v>
      </c>
      <c r="T713" t="e">
        <f t="shared" si="24"/>
        <v>#REF!</v>
      </c>
      <c r="U713" t="e">
        <f t="shared" si="25"/>
        <v>#REF!</v>
      </c>
    </row>
    <row r="714" spans="4:21" x14ac:dyDescent="0.2">
      <c r="D714" s="4"/>
      <c r="G714" s="5"/>
      <c r="H714" s="5"/>
      <c r="I714" s="4"/>
      <c r="J714" s="4"/>
      <c r="K714" s="5"/>
      <c r="Q714" t="e">
        <f>VLOOKUP(A714,'גיליון דאטה להכל'!A:E,5,0)</f>
        <v>#N/A</v>
      </c>
      <c r="R714" t="e">
        <f>VLOOKUP(A714,'לעדכן בסינתזה דאטה אריזה 42+24'!$A:$C,3,0)</f>
        <v>#N/A</v>
      </c>
      <c r="S714" t="e">
        <f>VLOOKUP(#REF!,'מלאי לא תקין'!A:N,17,0)</f>
        <v>#REF!</v>
      </c>
      <c r="T714" t="e">
        <f t="shared" si="24"/>
        <v>#REF!</v>
      </c>
      <c r="U714" t="e">
        <f t="shared" si="25"/>
        <v>#REF!</v>
      </c>
    </row>
    <row r="715" spans="4:21" x14ac:dyDescent="0.2">
      <c r="D715" s="4"/>
      <c r="G715" s="5"/>
      <c r="H715" s="5"/>
      <c r="I715" s="4"/>
      <c r="J715" s="4"/>
      <c r="K715" s="5"/>
      <c r="Q715" t="e">
        <f>VLOOKUP(A715,'גיליון דאטה להכל'!A:E,5,0)</f>
        <v>#N/A</v>
      </c>
      <c r="R715" t="e">
        <f>VLOOKUP(A715,'לעדכן בסינתזה דאטה אריזה 42+24'!$A:$C,3,0)</f>
        <v>#N/A</v>
      </c>
      <c r="S715" t="e">
        <f>VLOOKUP(#REF!,'מלאי לא תקין'!A:N,17,0)</f>
        <v>#REF!</v>
      </c>
      <c r="T715" t="e">
        <f t="shared" si="24"/>
        <v>#REF!</v>
      </c>
      <c r="U715" t="e">
        <f t="shared" si="25"/>
        <v>#REF!</v>
      </c>
    </row>
    <row r="716" spans="4:21" x14ac:dyDescent="0.2">
      <c r="D716" s="4"/>
      <c r="G716" s="5"/>
      <c r="H716" s="5"/>
      <c r="I716" s="4"/>
      <c r="J716" s="4"/>
      <c r="K716" s="5"/>
      <c r="Q716" t="e">
        <f>VLOOKUP(A716,'גיליון דאטה להכל'!A:E,5,0)</f>
        <v>#N/A</v>
      </c>
      <c r="R716" t="e">
        <f>VLOOKUP(A716,'לעדכן בסינתזה דאטה אריזה 42+24'!$A:$C,3,0)</f>
        <v>#N/A</v>
      </c>
      <c r="S716" t="e">
        <f>VLOOKUP(#REF!,'מלאי לא תקין'!A:N,17,0)</f>
        <v>#REF!</v>
      </c>
      <c r="T716" t="e">
        <f t="shared" si="24"/>
        <v>#REF!</v>
      </c>
      <c r="U716" t="e">
        <f t="shared" si="25"/>
        <v>#REF!</v>
      </c>
    </row>
    <row r="717" spans="4:21" x14ac:dyDescent="0.2">
      <c r="D717" s="4"/>
      <c r="G717" s="5"/>
      <c r="H717" s="5"/>
      <c r="I717" s="4"/>
      <c r="J717" s="4"/>
      <c r="K717" s="5"/>
      <c r="Q717" t="e">
        <f>VLOOKUP(A717,'גיליון דאטה להכל'!A:E,5,0)</f>
        <v>#N/A</v>
      </c>
      <c r="R717" t="e">
        <f>VLOOKUP(A717,'לעדכן בסינתזה דאטה אריזה 42+24'!$A:$C,3,0)</f>
        <v>#N/A</v>
      </c>
      <c r="S717" t="e">
        <f>VLOOKUP(#REF!,'מלאי לא תקין'!A:N,17,0)</f>
        <v>#REF!</v>
      </c>
      <c r="T717" t="e">
        <f t="shared" si="24"/>
        <v>#REF!</v>
      </c>
      <c r="U717" t="e">
        <f t="shared" si="25"/>
        <v>#REF!</v>
      </c>
    </row>
    <row r="718" spans="4:21" x14ac:dyDescent="0.2">
      <c r="D718" s="4"/>
      <c r="G718" s="5"/>
      <c r="H718" s="5"/>
      <c r="I718" s="4"/>
      <c r="J718" s="4"/>
      <c r="K718" s="5"/>
      <c r="Q718" t="e">
        <f>VLOOKUP(A718,'גיליון דאטה להכל'!A:E,5,0)</f>
        <v>#N/A</v>
      </c>
      <c r="R718" t="e">
        <f>VLOOKUP(A718,'לעדכן בסינתזה דאטה אריזה 42+24'!$A:$C,3,0)</f>
        <v>#N/A</v>
      </c>
      <c r="S718" t="e">
        <f>VLOOKUP(#REF!,'מלאי לא תקין'!A:N,17,0)</f>
        <v>#REF!</v>
      </c>
      <c r="T718" t="e">
        <f t="shared" si="24"/>
        <v>#REF!</v>
      </c>
      <c r="U718" t="e">
        <f t="shared" si="25"/>
        <v>#REF!</v>
      </c>
    </row>
    <row r="719" spans="4:21" x14ac:dyDescent="0.2">
      <c r="D719" s="4"/>
      <c r="G719" s="5"/>
      <c r="H719" s="7"/>
      <c r="I719" s="4"/>
      <c r="J719" s="4"/>
      <c r="K719" s="5"/>
      <c r="Q719" t="e">
        <f>VLOOKUP(A719,'גיליון דאטה להכל'!A:E,5,0)</f>
        <v>#N/A</v>
      </c>
      <c r="R719" t="e">
        <f>VLOOKUP(A719,'לעדכן בסינתזה דאטה אריזה 42+24'!$A:$C,3,0)</f>
        <v>#N/A</v>
      </c>
      <c r="S719" t="e">
        <f>VLOOKUP(#REF!,'מלאי לא תקין'!A:N,17,0)</f>
        <v>#REF!</v>
      </c>
      <c r="T719" t="e">
        <f t="shared" si="24"/>
        <v>#REF!</v>
      </c>
      <c r="U719" t="e">
        <f t="shared" si="25"/>
        <v>#REF!</v>
      </c>
    </row>
    <row r="720" spans="4:21" x14ac:dyDescent="0.2">
      <c r="D720" s="4"/>
      <c r="G720" s="5"/>
      <c r="H720" s="5"/>
      <c r="I720" s="4"/>
      <c r="J720" s="4"/>
      <c r="K720" s="5"/>
      <c r="Q720" t="e">
        <f>VLOOKUP(A720,'גיליון דאטה להכל'!A:E,5,0)</f>
        <v>#N/A</v>
      </c>
      <c r="R720" t="e">
        <f>VLOOKUP(A720,'לעדכן בסינתזה דאטה אריזה 42+24'!$A:$C,3,0)</f>
        <v>#N/A</v>
      </c>
      <c r="S720" t="e">
        <f>VLOOKUP(#REF!,'מלאי לא תקין'!A:N,17,0)</f>
        <v>#REF!</v>
      </c>
      <c r="T720" t="e">
        <f t="shared" si="24"/>
        <v>#REF!</v>
      </c>
      <c r="U720" t="e">
        <f t="shared" si="25"/>
        <v>#REF!</v>
      </c>
    </row>
    <row r="721" spans="4:21" x14ac:dyDescent="0.2">
      <c r="D721" s="4"/>
      <c r="G721" s="5"/>
      <c r="H721" s="5"/>
      <c r="I721" s="4"/>
      <c r="J721" s="4"/>
      <c r="K721" s="5"/>
      <c r="Q721" t="e">
        <f>VLOOKUP(A721,'גיליון דאטה להכל'!A:E,5,0)</f>
        <v>#N/A</v>
      </c>
      <c r="R721" t="e">
        <f>VLOOKUP(A721,'לעדכן בסינתזה דאטה אריזה 42+24'!$A:$C,3,0)</f>
        <v>#N/A</v>
      </c>
      <c r="S721" t="e">
        <f>VLOOKUP(#REF!,'מלאי לא תקין'!A:N,17,0)</f>
        <v>#REF!</v>
      </c>
      <c r="T721" t="e">
        <f t="shared" si="24"/>
        <v>#REF!</v>
      </c>
      <c r="U721" t="e">
        <f t="shared" si="25"/>
        <v>#REF!</v>
      </c>
    </row>
    <row r="722" spans="4:21" x14ac:dyDescent="0.2">
      <c r="D722" s="4"/>
      <c r="G722" s="5"/>
      <c r="H722" s="5"/>
      <c r="I722" s="4"/>
      <c r="J722" s="4"/>
      <c r="K722" s="5"/>
      <c r="Q722" t="e">
        <f>VLOOKUP(A722,'גיליון דאטה להכל'!A:E,5,0)</f>
        <v>#N/A</v>
      </c>
      <c r="R722" t="e">
        <f>VLOOKUP(A722,'לעדכן בסינתזה דאטה אריזה 42+24'!$A:$C,3,0)</f>
        <v>#N/A</v>
      </c>
      <c r="S722" t="e">
        <f>VLOOKUP(#REF!,'מלאי לא תקין'!A:N,17,0)</f>
        <v>#REF!</v>
      </c>
      <c r="T722" t="e">
        <f t="shared" si="24"/>
        <v>#REF!</v>
      </c>
      <c r="U722" t="e">
        <f t="shared" si="25"/>
        <v>#REF!</v>
      </c>
    </row>
    <row r="723" spans="4:21" x14ac:dyDescent="0.2">
      <c r="D723" s="4"/>
      <c r="G723" s="5"/>
      <c r="H723" s="5"/>
      <c r="I723" s="4"/>
      <c r="J723" s="4"/>
      <c r="K723" s="5"/>
      <c r="Q723" t="e">
        <f>VLOOKUP(A723,'גיליון דאטה להכל'!A:E,5,0)</f>
        <v>#N/A</v>
      </c>
      <c r="R723" t="e">
        <f>VLOOKUP(A723,'לעדכן בסינתזה דאטה אריזה 42+24'!$A:$C,3,0)</f>
        <v>#N/A</v>
      </c>
      <c r="S723" t="e">
        <f>VLOOKUP(#REF!,'מלאי לא תקין'!A:N,17,0)</f>
        <v>#REF!</v>
      </c>
      <c r="T723" t="e">
        <f t="shared" si="24"/>
        <v>#REF!</v>
      </c>
      <c r="U723" t="e">
        <f t="shared" si="25"/>
        <v>#REF!</v>
      </c>
    </row>
    <row r="724" spans="4:21" x14ac:dyDescent="0.2">
      <c r="D724" s="4"/>
      <c r="G724" s="5"/>
      <c r="H724" s="5"/>
      <c r="I724" s="4"/>
      <c r="J724" s="4"/>
      <c r="K724" s="5"/>
      <c r="Q724" t="e">
        <f>VLOOKUP(A724,'גיליון דאטה להכל'!A:E,5,0)</f>
        <v>#N/A</v>
      </c>
      <c r="R724" t="e">
        <f>VLOOKUP(A724,'לעדכן בסינתזה דאטה אריזה 42+24'!$A:$C,3,0)</f>
        <v>#N/A</v>
      </c>
      <c r="S724" t="e">
        <f>VLOOKUP(#REF!,'מלאי לא תקין'!A:N,17,0)</f>
        <v>#REF!</v>
      </c>
      <c r="T724" t="e">
        <f t="shared" si="24"/>
        <v>#REF!</v>
      </c>
      <c r="U724" t="e">
        <f t="shared" si="25"/>
        <v>#REF!</v>
      </c>
    </row>
    <row r="725" spans="4:21" x14ac:dyDescent="0.2">
      <c r="D725" s="4"/>
      <c r="G725" s="5"/>
      <c r="H725" s="7"/>
      <c r="I725" s="4"/>
      <c r="J725" s="4"/>
      <c r="K725" s="5"/>
      <c r="Q725" t="e">
        <f>VLOOKUP(A725,'גיליון דאטה להכל'!A:E,5,0)</f>
        <v>#N/A</v>
      </c>
      <c r="R725" t="e">
        <f>VLOOKUP(A725,'לעדכן בסינתזה דאטה אריזה 42+24'!$A:$C,3,0)</f>
        <v>#N/A</v>
      </c>
      <c r="S725" t="e">
        <f>VLOOKUP(#REF!,'מלאי לא תקין'!A:N,17,0)</f>
        <v>#REF!</v>
      </c>
      <c r="T725" t="e">
        <f t="shared" si="24"/>
        <v>#REF!</v>
      </c>
      <c r="U725" t="e">
        <f t="shared" si="25"/>
        <v>#REF!</v>
      </c>
    </row>
    <row r="726" spans="4:21" x14ac:dyDescent="0.2">
      <c r="D726" s="4"/>
      <c r="G726" s="5"/>
      <c r="H726" s="5"/>
      <c r="I726" s="4"/>
      <c r="J726" s="4"/>
      <c r="K726" s="5"/>
      <c r="Q726" t="e">
        <f>VLOOKUP(A726,'גיליון דאטה להכל'!A:E,5,0)</f>
        <v>#N/A</v>
      </c>
      <c r="R726" t="e">
        <f>VLOOKUP(A726,'לעדכן בסינתזה דאטה אריזה 42+24'!$A:$C,3,0)</f>
        <v>#N/A</v>
      </c>
      <c r="S726" t="e">
        <f>VLOOKUP(#REF!,'מלאי לא תקין'!A:N,17,0)</f>
        <v>#REF!</v>
      </c>
      <c r="T726" t="e">
        <f t="shared" si="24"/>
        <v>#REF!</v>
      </c>
      <c r="U726" t="e">
        <f t="shared" si="25"/>
        <v>#REF!</v>
      </c>
    </row>
    <row r="727" spans="4:21" x14ac:dyDescent="0.2">
      <c r="D727" s="4"/>
      <c r="G727" s="5"/>
      <c r="H727" s="5"/>
      <c r="I727" s="4"/>
      <c r="J727" s="4"/>
      <c r="K727" s="5"/>
      <c r="Q727" t="e">
        <f>VLOOKUP(A727,'גיליון דאטה להכל'!A:E,5,0)</f>
        <v>#N/A</v>
      </c>
      <c r="R727" t="e">
        <f>VLOOKUP(A727,'לעדכן בסינתזה דאטה אריזה 42+24'!$A:$C,3,0)</f>
        <v>#N/A</v>
      </c>
      <c r="S727" t="e">
        <f>VLOOKUP(#REF!,'מלאי לא תקין'!A:N,17,0)</f>
        <v>#REF!</v>
      </c>
      <c r="T727" t="e">
        <f t="shared" si="24"/>
        <v>#REF!</v>
      </c>
      <c r="U727" t="e">
        <f t="shared" si="25"/>
        <v>#REF!</v>
      </c>
    </row>
    <row r="728" spans="4:21" x14ac:dyDescent="0.2">
      <c r="D728" s="4"/>
      <c r="G728" s="5"/>
      <c r="H728" s="5"/>
      <c r="I728" s="4"/>
      <c r="J728" s="4"/>
      <c r="K728" s="5"/>
      <c r="Q728" t="e">
        <f>VLOOKUP(A728,'גיליון דאטה להכל'!A:E,5,0)</f>
        <v>#N/A</v>
      </c>
      <c r="R728" t="e">
        <f>VLOOKUP(A728,'לעדכן בסינתזה דאטה אריזה 42+24'!$A:$C,3,0)</f>
        <v>#N/A</v>
      </c>
      <c r="S728" t="e">
        <f>VLOOKUP(#REF!,'מלאי לא תקין'!A:N,17,0)</f>
        <v>#REF!</v>
      </c>
      <c r="T728" t="e">
        <f t="shared" si="24"/>
        <v>#REF!</v>
      </c>
      <c r="U728" t="e">
        <f t="shared" si="25"/>
        <v>#REF!</v>
      </c>
    </row>
    <row r="729" spans="4:21" x14ac:dyDescent="0.2">
      <c r="D729" s="4"/>
      <c r="G729" s="5"/>
      <c r="H729" s="5"/>
      <c r="I729" s="4"/>
      <c r="J729" s="4"/>
      <c r="K729" s="5"/>
      <c r="Q729" t="e">
        <f>VLOOKUP(A729,'גיליון דאטה להכל'!A:E,5,0)</f>
        <v>#N/A</v>
      </c>
      <c r="R729" t="e">
        <f>VLOOKUP(A729,'לעדכן בסינתזה דאטה אריזה 42+24'!$A:$C,3,0)</f>
        <v>#N/A</v>
      </c>
      <c r="S729" t="e">
        <f>VLOOKUP(#REF!,'מלאי לא תקין'!A:N,17,0)</f>
        <v>#REF!</v>
      </c>
      <c r="T729" t="e">
        <f t="shared" si="24"/>
        <v>#REF!</v>
      </c>
      <c r="U729" t="e">
        <f t="shared" si="25"/>
        <v>#REF!</v>
      </c>
    </row>
    <row r="730" spans="4:21" x14ac:dyDescent="0.2">
      <c r="D730" s="4"/>
      <c r="G730" s="5"/>
      <c r="H730" s="5"/>
      <c r="I730" s="4"/>
      <c r="J730" s="4"/>
      <c r="K730" s="5"/>
      <c r="Q730" t="e">
        <f>VLOOKUP(A730,'גיליון דאטה להכל'!A:E,5,0)</f>
        <v>#N/A</v>
      </c>
      <c r="R730" t="e">
        <f>VLOOKUP(A730,'לעדכן בסינתזה דאטה אריזה 42+24'!$A:$C,3,0)</f>
        <v>#N/A</v>
      </c>
      <c r="S730" t="e">
        <f>VLOOKUP(#REF!,'מלאי לא תקין'!A:N,17,0)</f>
        <v>#REF!</v>
      </c>
      <c r="T730" t="e">
        <f t="shared" si="24"/>
        <v>#REF!</v>
      </c>
      <c r="U730" t="e">
        <f t="shared" si="25"/>
        <v>#REF!</v>
      </c>
    </row>
    <row r="731" spans="4:21" x14ac:dyDescent="0.2">
      <c r="D731" s="4"/>
      <c r="G731" s="5"/>
      <c r="H731" s="7"/>
      <c r="I731" s="4"/>
      <c r="J731" s="4"/>
      <c r="K731" s="5"/>
      <c r="Q731" t="e">
        <f>VLOOKUP(A731,'גיליון דאטה להכל'!A:E,5,0)</f>
        <v>#N/A</v>
      </c>
      <c r="R731" t="e">
        <f>VLOOKUP(A731,'לעדכן בסינתזה דאטה אריזה 42+24'!$A:$C,3,0)</f>
        <v>#N/A</v>
      </c>
      <c r="S731" t="e">
        <f>VLOOKUP(#REF!,'מלאי לא תקין'!A:N,17,0)</f>
        <v>#REF!</v>
      </c>
      <c r="T731" t="e">
        <f t="shared" si="24"/>
        <v>#REF!</v>
      </c>
      <c r="U731" t="e">
        <f t="shared" si="25"/>
        <v>#REF!</v>
      </c>
    </row>
    <row r="732" spans="4:21" x14ac:dyDescent="0.2">
      <c r="D732" s="4"/>
      <c r="G732" s="5"/>
      <c r="H732" s="5"/>
      <c r="I732" s="4"/>
      <c r="J732" s="4"/>
      <c r="K732" s="5"/>
      <c r="Q732" t="e">
        <f>VLOOKUP(A732,'גיליון דאטה להכל'!A:E,5,0)</f>
        <v>#N/A</v>
      </c>
      <c r="R732" t="e">
        <f>VLOOKUP(A732,'לעדכן בסינתזה דאטה אריזה 42+24'!$A:$C,3,0)</f>
        <v>#N/A</v>
      </c>
      <c r="S732" t="e">
        <f>VLOOKUP(#REF!,'מלאי לא תקין'!A:N,17,0)</f>
        <v>#REF!</v>
      </c>
      <c r="T732" t="e">
        <f t="shared" si="24"/>
        <v>#REF!</v>
      </c>
      <c r="U732" t="e">
        <f t="shared" si="25"/>
        <v>#REF!</v>
      </c>
    </row>
    <row r="733" spans="4:21" x14ac:dyDescent="0.2">
      <c r="D733" s="4"/>
      <c r="G733" s="5"/>
      <c r="H733" s="5"/>
      <c r="I733" s="4"/>
      <c r="J733" s="4"/>
      <c r="K733" s="5"/>
      <c r="Q733" t="e">
        <f>VLOOKUP(A733,'גיליון דאטה להכל'!A:E,5,0)</f>
        <v>#N/A</v>
      </c>
      <c r="R733" t="e">
        <f>VLOOKUP(A733,'לעדכן בסינתזה דאטה אריזה 42+24'!$A:$C,3,0)</f>
        <v>#N/A</v>
      </c>
      <c r="S733" t="e">
        <f>VLOOKUP(#REF!,'מלאי לא תקין'!A:N,17,0)</f>
        <v>#REF!</v>
      </c>
      <c r="T733" t="e">
        <f t="shared" si="24"/>
        <v>#REF!</v>
      </c>
      <c r="U733" t="e">
        <f t="shared" si="25"/>
        <v>#REF!</v>
      </c>
    </row>
    <row r="734" spans="4:21" x14ac:dyDescent="0.2">
      <c r="D734" s="4"/>
      <c r="G734" s="5"/>
      <c r="H734" s="5"/>
      <c r="I734" s="4"/>
      <c r="J734" s="4"/>
      <c r="K734" s="5"/>
      <c r="Q734" t="e">
        <f>VLOOKUP(A734,'גיליון דאטה להכל'!A:E,5,0)</f>
        <v>#N/A</v>
      </c>
      <c r="R734" t="e">
        <f>VLOOKUP(A734,'לעדכן בסינתזה דאטה אריזה 42+24'!$A:$C,3,0)</f>
        <v>#N/A</v>
      </c>
      <c r="S734" t="e">
        <f>VLOOKUP(#REF!,'מלאי לא תקין'!A:N,17,0)</f>
        <v>#REF!</v>
      </c>
      <c r="T734" t="e">
        <f t="shared" si="24"/>
        <v>#REF!</v>
      </c>
      <c r="U734" t="e">
        <f t="shared" si="25"/>
        <v>#REF!</v>
      </c>
    </row>
    <row r="735" spans="4:21" x14ac:dyDescent="0.2">
      <c r="D735" s="4"/>
      <c r="G735" s="5"/>
      <c r="H735" s="5"/>
      <c r="I735" s="4"/>
      <c r="J735" s="4"/>
      <c r="K735" s="5"/>
      <c r="Q735" t="e">
        <f>VLOOKUP(A735,'גיליון דאטה להכל'!A:E,5,0)</f>
        <v>#N/A</v>
      </c>
      <c r="R735" t="e">
        <f>VLOOKUP(A735,'לעדכן בסינתזה דאטה אריזה 42+24'!$A:$C,3,0)</f>
        <v>#N/A</v>
      </c>
      <c r="S735" t="e">
        <f>VLOOKUP(#REF!,'מלאי לא תקין'!A:N,17,0)</f>
        <v>#REF!</v>
      </c>
      <c r="T735" t="e">
        <f t="shared" si="24"/>
        <v>#REF!</v>
      </c>
      <c r="U735" t="e">
        <f t="shared" si="25"/>
        <v>#REF!</v>
      </c>
    </row>
    <row r="736" spans="4:21" x14ac:dyDescent="0.2">
      <c r="D736" s="4"/>
      <c r="G736" s="5"/>
      <c r="H736" s="5"/>
      <c r="I736" s="4"/>
      <c r="J736" s="4"/>
      <c r="K736" s="5"/>
      <c r="Q736" t="e">
        <f>VLOOKUP(A736,'גיליון דאטה להכל'!A:E,5,0)</f>
        <v>#N/A</v>
      </c>
      <c r="R736" t="e">
        <f>VLOOKUP(A736,'לעדכן בסינתזה דאטה אריזה 42+24'!$A:$C,3,0)</f>
        <v>#N/A</v>
      </c>
      <c r="S736" t="e">
        <f>VLOOKUP(#REF!,'מלאי לא תקין'!A:N,17,0)</f>
        <v>#REF!</v>
      </c>
      <c r="T736" t="e">
        <f t="shared" si="24"/>
        <v>#REF!</v>
      </c>
      <c r="U736" t="e">
        <f t="shared" si="25"/>
        <v>#REF!</v>
      </c>
    </row>
    <row r="737" spans="4:21" x14ac:dyDescent="0.2">
      <c r="D737" s="4"/>
      <c r="G737" s="5"/>
      <c r="H737" s="7"/>
      <c r="I737" s="4"/>
      <c r="J737" s="4"/>
      <c r="K737" s="5"/>
      <c r="Q737" t="e">
        <f>VLOOKUP(A737,'גיליון דאטה להכל'!A:E,5,0)</f>
        <v>#N/A</v>
      </c>
      <c r="R737" t="e">
        <f>VLOOKUP(A737,'לעדכן בסינתזה דאטה אריזה 42+24'!$A:$C,3,0)</f>
        <v>#N/A</v>
      </c>
      <c r="S737" t="e">
        <f>VLOOKUP(#REF!,'מלאי לא תקין'!A:N,17,0)</f>
        <v>#REF!</v>
      </c>
      <c r="T737" t="e">
        <f t="shared" si="24"/>
        <v>#REF!</v>
      </c>
      <c r="U737" t="e">
        <f t="shared" si="25"/>
        <v>#REF!</v>
      </c>
    </row>
    <row r="738" spans="4:21" x14ac:dyDescent="0.2">
      <c r="D738" s="4"/>
      <c r="G738" s="5"/>
      <c r="H738" s="5"/>
      <c r="I738" s="4"/>
      <c r="J738" s="4"/>
      <c r="K738" s="5"/>
      <c r="Q738" t="e">
        <f>VLOOKUP(A738,'גיליון דאטה להכל'!A:E,5,0)</f>
        <v>#N/A</v>
      </c>
      <c r="R738" t="e">
        <f>VLOOKUP(A738,'לעדכן בסינתזה דאטה אריזה 42+24'!$A:$C,3,0)</f>
        <v>#N/A</v>
      </c>
      <c r="S738" t="e">
        <f>VLOOKUP(#REF!,'מלאי לא תקין'!A:N,17,0)</f>
        <v>#REF!</v>
      </c>
      <c r="T738" t="e">
        <f t="shared" si="24"/>
        <v>#REF!</v>
      </c>
      <c r="U738" t="e">
        <f t="shared" si="25"/>
        <v>#REF!</v>
      </c>
    </row>
    <row r="739" spans="4:21" x14ac:dyDescent="0.2">
      <c r="D739" s="4"/>
      <c r="G739" s="5"/>
      <c r="H739" s="5"/>
      <c r="I739" s="4"/>
      <c r="J739" s="4"/>
      <c r="K739" s="5"/>
      <c r="Q739" t="e">
        <f>VLOOKUP(A739,'גיליון דאטה להכל'!A:E,5,0)</f>
        <v>#N/A</v>
      </c>
      <c r="R739" t="e">
        <f>VLOOKUP(A739,'לעדכן בסינתזה דאטה אריזה 42+24'!$A:$C,3,0)</f>
        <v>#N/A</v>
      </c>
      <c r="S739" t="e">
        <f>VLOOKUP(#REF!,'מלאי לא תקין'!A:N,17,0)</f>
        <v>#REF!</v>
      </c>
      <c r="T739" t="e">
        <f t="shared" si="24"/>
        <v>#REF!</v>
      </c>
      <c r="U739" t="e">
        <f t="shared" si="25"/>
        <v>#REF!</v>
      </c>
    </row>
    <row r="740" spans="4:21" x14ac:dyDescent="0.2">
      <c r="D740" s="4"/>
      <c r="G740" s="5"/>
      <c r="H740" s="5"/>
      <c r="I740" s="4"/>
      <c r="J740" s="4"/>
      <c r="K740" s="5"/>
      <c r="Q740" t="e">
        <f>VLOOKUP(A740,'גיליון דאטה להכל'!A:E,5,0)</f>
        <v>#N/A</v>
      </c>
      <c r="R740" t="e">
        <f>VLOOKUP(A740,'לעדכן בסינתזה דאטה אריזה 42+24'!$A:$C,3,0)</f>
        <v>#N/A</v>
      </c>
      <c r="S740" t="e">
        <f>VLOOKUP(#REF!,'מלאי לא תקין'!A:N,17,0)</f>
        <v>#REF!</v>
      </c>
      <c r="T740" t="e">
        <f t="shared" si="24"/>
        <v>#REF!</v>
      </c>
      <c r="U740" t="e">
        <f t="shared" si="25"/>
        <v>#REF!</v>
      </c>
    </row>
    <row r="741" spans="4:21" x14ac:dyDescent="0.2">
      <c r="D741" s="4"/>
      <c r="G741" s="5"/>
      <c r="H741" s="5"/>
      <c r="I741" s="4"/>
      <c r="J741" s="4"/>
      <c r="K741" s="5"/>
      <c r="Q741" t="e">
        <f>VLOOKUP(A741,'גיליון דאטה להכל'!A:E,5,0)</f>
        <v>#N/A</v>
      </c>
      <c r="R741" t="e">
        <f>VLOOKUP(A741,'לעדכן בסינתזה דאטה אריזה 42+24'!$A:$C,3,0)</f>
        <v>#N/A</v>
      </c>
      <c r="S741" t="e">
        <f>VLOOKUP(#REF!,'מלאי לא תקין'!A:N,17,0)</f>
        <v>#REF!</v>
      </c>
      <c r="T741" t="e">
        <f t="shared" si="24"/>
        <v>#REF!</v>
      </c>
      <c r="U741" t="e">
        <f t="shared" si="25"/>
        <v>#REF!</v>
      </c>
    </row>
    <row r="742" spans="4:21" x14ac:dyDescent="0.2">
      <c r="D742" s="4"/>
      <c r="G742" s="5"/>
      <c r="H742" s="5"/>
      <c r="I742" s="4"/>
      <c r="J742" s="4"/>
      <c r="K742" s="5"/>
      <c r="Q742" t="e">
        <f>VLOOKUP(A742,'גיליון דאטה להכל'!A:E,5,0)</f>
        <v>#N/A</v>
      </c>
      <c r="R742" t="e">
        <f>VLOOKUP(A742,'לעדכן בסינתזה דאטה אריזה 42+24'!$A:$C,3,0)</f>
        <v>#N/A</v>
      </c>
      <c r="S742" t="e">
        <f>VLOOKUP(#REF!,'מלאי לא תקין'!A:N,17,0)</f>
        <v>#REF!</v>
      </c>
      <c r="T742" t="e">
        <f t="shared" si="24"/>
        <v>#REF!</v>
      </c>
      <c r="U742" t="e">
        <f t="shared" si="25"/>
        <v>#REF!</v>
      </c>
    </row>
    <row r="743" spans="4:21" x14ac:dyDescent="0.2">
      <c r="D743" s="4"/>
      <c r="G743" s="5"/>
      <c r="H743" s="5"/>
      <c r="I743" s="4"/>
      <c r="J743" s="4"/>
      <c r="K743" s="5"/>
      <c r="Q743" t="e">
        <f>VLOOKUP(A743,'גיליון דאטה להכל'!A:E,5,0)</f>
        <v>#N/A</v>
      </c>
      <c r="R743" t="e">
        <f>VLOOKUP(A743,'לעדכן בסינתזה דאטה אריזה 42+24'!$A:$C,3,0)</f>
        <v>#N/A</v>
      </c>
      <c r="S743" t="e">
        <f>VLOOKUP(#REF!,'מלאי לא תקין'!A:N,17,0)</f>
        <v>#REF!</v>
      </c>
      <c r="T743" t="e">
        <f t="shared" si="24"/>
        <v>#REF!</v>
      </c>
      <c r="U743" t="e">
        <f t="shared" si="25"/>
        <v>#REF!</v>
      </c>
    </row>
    <row r="744" spans="4:21" x14ac:dyDescent="0.2">
      <c r="D744" s="4"/>
      <c r="G744" s="5"/>
      <c r="H744" s="5"/>
      <c r="I744" s="4"/>
      <c r="J744" s="4"/>
      <c r="K744" s="5"/>
      <c r="Q744" t="e">
        <f>VLOOKUP(A744,'גיליון דאטה להכל'!A:E,5,0)</f>
        <v>#N/A</v>
      </c>
      <c r="R744" t="e">
        <f>VLOOKUP(A744,'לעדכן בסינתזה דאטה אריזה 42+24'!$A:$C,3,0)</f>
        <v>#N/A</v>
      </c>
      <c r="S744" t="e">
        <f>VLOOKUP(#REF!,'מלאי לא תקין'!A:N,17,0)</f>
        <v>#REF!</v>
      </c>
      <c r="T744" t="e">
        <f t="shared" si="24"/>
        <v>#REF!</v>
      </c>
      <c r="U744" t="e">
        <f t="shared" si="25"/>
        <v>#REF!</v>
      </c>
    </row>
    <row r="745" spans="4:21" x14ac:dyDescent="0.2">
      <c r="D745" s="4"/>
      <c r="G745" s="5"/>
      <c r="H745" s="5"/>
      <c r="I745" s="4"/>
      <c r="J745" s="4"/>
      <c r="K745" s="5"/>
      <c r="Q745" t="e">
        <f>VLOOKUP(A745,'גיליון דאטה להכל'!A:E,5,0)</f>
        <v>#N/A</v>
      </c>
      <c r="R745" t="e">
        <f>VLOOKUP(A745,'לעדכן בסינתזה דאטה אריזה 42+24'!$A:$C,3,0)</f>
        <v>#N/A</v>
      </c>
      <c r="S745" t="e">
        <f>VLOOKUP(#REF!,'מלאי לא תקין'!A:N,17,0)</f>
        <v>#REF!</v>
      </c>
      <c r="T745" t="e">
        <f t="shared" si="24"/>
        <v>#REF!</v>
      </c>
      <c r="U745" t="e">
        <f t="shared" si="25"/>
        <v>#REF!</v>
      </c>
    </row>
    <row r="746" spans="4:21" x14ac:dyDescent="0.2">
      <c r="D746" s="4"/>
      <c r="G746" s="5"/>
      <c r="H746" s="5"/>
      <c r="I746" s="4"/>
      <c r="J746" s="4"/>
      <c r="K746" s="5"/>
      <c r="Q746" t="e">
        <f>VLOOKUP(A746,'גיליון דאטה להכל'!A:E,5,0)</f>
        <v>#N/A</v>
      </c>
      <c r="R746" t="e">
        <f>VLOOKUP(A746,'לעדכן בסינתזה דאטה אריזה 42+24'!$A:$C,3,0)</f>
        <v>#N/A</v>
      </c>
      <c r="S746" t="e">
        <f>VLOOKUP(#REF!,'מלאי לא תקין'!A:N,17,0)</f>
        <v>#REF!</v>
      </c>
      <c r="T746" t="e">
        <f t="shared" si="24"/>
        <v>#REF!</v>
      </c>
      <c r="U746" t="e">
        <f t="shared" si="25"/>
        <v>#REF!</v>
      </c>
    </row>
    <row r="747" spans="4:21" x14ac:dyDescent="0.2">
      <c r="D747" s="4"/>
      <c r="G747" s="5"/>
      <c r="H747" s="5"/>
      <c r="I747" s="4"/>
      <c r="J747" s="4"/>
      <c r="K747" s="5"/>
      <c r="Q747" t="e">
        <f>VLOOKUP(A747,'גיליון דאטה להכל'!A:E,5,0)</f>
        <v>#N/A</v>
      </c>
      <c r="R747" t="e">
        <f>VLOOKUP(A747,'לעדכן בסינתזה דאטה אריזה 42+24'!$A:$C,3,0)</f>
        <v>#N/A</v>
      </c>
      <c r="S747" t="e">
        <f>VLOOKUP(#REF!,'מלאי לא תקין'!A:N,17,0)</f>
        <v>#REF!</v>
      </c>
      <c r="T747" t="e">
        <f t="shared" si="24"/>
        <v>#REF!</v>
      </c>
      <c r="U747" t="e">
        <f t="shared" si="25"/>
        <v>#REF!</v>
      </c>
    </row>
    <row r="748" spans="4:21" x14ac:dyDescent="0.2">
      <c r="D748" s="4"/>
      <c r="G748" s="5"/>
      <c r="H748" s="5"/>
      <c r="I748" s="4"/>
      <c r="J748" s="4"/>
      <c r="K748" s="5"/>
      <c r="Q748" t="e">
        <f>VLOOKUP(A748,'גיליון דאטה להכל'!A:E,5,0)</f>
        <v>#N/A</v>
      </c>
      <c r="R748" t="e">
        <f>VLOOKUP(A748,'לעדכן בסינתזה דאטה אריזה 42+24'!$A:$C,3,0)</f>
        <v>#N/A</v>
      </c>
      <c r="S748" t="e">
        <f>VLOOKUP(#REF!,'מלאי לא תקין'!A:N,17,0)</f>
        <v>#REF!</v>
      </c>
      <c r="T748" t="e">
        <f t="shared" si="24"/>
        <v>#REF!</v>
      </c>
      <c r="U748" t="e">
        <f t="shared" si="25"/>
        <v>#REF!</v>
      </c>
    </row>
    <row r="749" spans="4:21" x14ac:dyDescent="0.2">
      <c r="D749" s="4"/>
      <c r="G749" s="5"/>
      <c r="H749" s="7"/>
      <c r="I749" s="4"/>
      <c r="J749" s="4"/>
      <c r="K749" s="5"/>
      <c r="Q749" t="e">
        <f>VLOOKUP(A749,'גיליון דאטה להכל'!A:E,5,0)</f>
        <v>#N/A</v>
      </c>
      <c r="R749" t="e">
        <f>VLOOKUP(A749,'לעדכן בסינתזה דאטה אריזה 42+24'!$A:$C,3,0)</f>
        <v>#N/A</v>
      </c>
      <c r="S749" t="e">
        <f>VLOOKUP(#REF!,'מלאי לא תקין'!A:N,17,0)</f>
        <v>#REF!</v>
      </c>
      <c r="T749" t="e">
        <f t="shared" si="24"/>
        <v>#REF!</v>
      </c>
      <c r="U749" t="e">
        <f t="shared" si="25"/>
        <v>#REF!</v>
      </c>
    </row>
    <row r="750" spans="4:21" x14ac:dyDescent="0.2">
      <c r="D750" s="4"/>
      <c r="G750" s="5"/>
      <c r="H750" s="5"/>
      <c r="I750" s="4"/>
      <c r="J750" s="4"/>
      <c r="K750" s="5"/>
      <c r="Q750" t="e">
        <f>VLOOKUP(A750,'גיליון דאטה להכל'!A:E,5,0)</f>
        <v>#N/A</v>
      </c>
      <c r="R750" t="e">
        <f>VLOOKUP(A750,'לעדכן בסינתזה דאטה אריזה 42+24'!$A:$C,3,0)</f>
        <v>#N/A</v>
      </c>
      <c r="S750" t="e">
        <f>VLOOKUP(#REF!,'מלאי לא תקין'!A:N,17,0)</f>
        <v>#REF!</v>
      </c>
      <c r="T750" t="e">
        <f t="shared" si="24"/>
        <v>#REF!</v>
      </c>
      <c r="U750" t="e">
        <f t="shared" si="25"/>
        <v>#REF!</v>
      </c>
    </row>
    <row r="751" spans="4:21" x14ac:dyDescent="0.2">
      <c r="D751" s="4"/>
      <c r="G751" s="5"/>
      <c r="H751" s="5"/>
      <c r="I751" s="4"/>
      <c r="J751" s="4"/>
      <c r="K751" s="5"/>
      <c r="Q751" t="e">
        <f>VLOOKUP(A751,'גיליון דאטה להכל'!A:E,5,0)</f>
        <v>#N/A</v>
      </c>
      <c r="R751" t="e">
        <f>VLOOKUP(A751,'לעדכן בסינתזה דאטה אריזה 42+24'!$A:$C,3,0)</f>
        <v>#N/A</v>
      </c>
      <c r="S751" t="e">
        <f>VLOOKUP(#REF!,'מלאי לא תקין'!A:N,17,0)</f>
        <v>#REF!</v>
      </c>
      <c r="T751" t="e">
        <f t="shared" si="24"/>
        <v>#REF!</v>
      </c>
      <c r="U751" t="e">
        <f t="shared" si="25"/>
        <v>#REF!</v>
      </c>
    </row>
    <row r="752" spans="4:21" x14ac:dyDescent="0.2">
      <c r="D752" s="4"/>
      <c r="G752" s="5"/>
      <c r="H752" s="5"/>
      <c r="I752" s="4"/>
      <c r="J752" s="4"/>
      <c r="K752" s="5"/>
      <c r="Q752" t="e">
        <f>VLOOKUP(A752,'גיליון דאטה להכל'!A:E,5,0)</f>
        <v>#N/A</v>
      </c>
      <c r="R752" t="e">
        <f>VLOOKUP(A752,'לעדכן בסינתזה דאטה אריזה 42+24'!$A:$C,3,0)</f>
        <v>#N/A</v>
      </c>
      <c r="S752" t="e">
        <f>VLOOKUP(#REF!,'מלאי לא תקין'!A:N,17,0)</f>
        <v>#REF!</v>
      </c>
      <c r="T752" t="e">
        <f t="shared" si="24"/>
        <v>#REF!</v>
      </c>
      <c r="U752" t="e">
        <f t="shared" si="25"/>
        <v>#REF!</v>
      </c>
    </row>
    <row r="753" spans="4:21" x14ac:dyDescent="0.2">
      <c r="D753" s="4"/>
      <c r="G753" s="5"/>
      <c r="H753" s="5"/>
      <c r="I753" s="4"/>
      <c r="J753" s="4"/>
      <c r="K753" s="5"/>
      <c r="Q753" t="e">
        <f>VLOOKUP(A753,'גיליון דאטה להכל'!A:E,5,0)</f>
        <v>#N/A</v>
      </c>
      <c r="R753" t="e">
        <f>VLOOKUP(A753,'לעדכן בסינתזה דאטה אריזה 42+24'!$A:$C,3,0)</f>
        <v>#N/A</v>
      </c>
      <c r="S753" t="e">
        <f>VLOOKUP(#REF!,'מלאי לא תקין'!A:N,17,0)</f>
        <v>#REF!</v>
      </c>
      <c r="T753" t="e">
        <f t="shared" si="24"/>
        <v>#REF!</v>
      </c>
      <c r="U753" t="e">
        <f t="shared" si="25"/>
        <v>#REF!</v>
      </c>
    </row>
    <row r="754" spans="4:21" x14ac:dyDescent="0.2">
      <c r="D754" s="4"/>
      <c r="G754" s="5"/>
      <c r="H754" s="5"/>
      <c r="I754" s="4"/>
      <c r="J754" s="4"/>
      <c r="K754" s="5"/>
      <c r="Q754" t="e">
        <f>VLOOKUP(A754,'גיליון דאטה להכל'!A:E,5,0)</f>
        <v>#N/A</v>
      </c>
      <c r="R754" t="e">
        <f>VLOOKUP(A754,'לעדכן בסינתזה דאטה אריזה 42+24'!$A:$C,3,0)</f>
        <v>#N/A</v>
      </c>
      <c r="S754" t="e">
        <f>VLOOKUP(#REF!,'מלאי לא תקין'!A:N,17,0)</f>
        <v>#REF!</v>
      </c>
      <c r="T754" t="e">
        <f t="shared" si="24"/>
        <v>#REF!</v>
      </c>
      <c r="U754" t="e">
        <f t="shared" si="25"/>
        <v>#REF!</v>
      </c>
    </row>
    <row r="755" spans="4:21" x14ac:dyDescent="0.2">
      <c r="D755" s="4"/>
      <c r="G755" s="5"/>
      <c r="H755" s="7"/>
      <c r="I755" s="4"/>
      <c r="J755" s="4"/>
      <c r="K755" s="5"/>
      <c r="Q755" t="e">
        <f>VLOOKUP(A755,'גיליון דאטה להכל'!A:E,5,0)</f>
        <v>#N/A</v>
      </c>
      <c r="R755" t="e">
        <f>VLOOKUP(A755,'לעדכן בסינתזה דאטה אריזה 42+24'!$A:$C,3,0)</f>
        <v>#N/A</v>
      </c>
      <c r="S755" t="e">
        <f>VLOOKUP(#REF!,'מלאי לא תקין'!A:N,17,0)</f>
        <v>#REF!</v>
      </c>
      <c r="T755" t="e">
        <f t="shared" si="24"/>
        <v>#REF!</v>
      </c>
      <c r="U755" t="e">
        <f t="shared" si="25"/>
        <v>#REF!</v>
      </c>
    </row>
    <row r="756" spans="4:21" x14ac:dyDescent="0.2">
      <c r="D756" s="4"/>
      <c r="G756" s="5"/>
      <c r="H756" s="5"/>
      <c r="I756" s="4"/>
      <c r="J756" s="4"/>
      <c r="K756" s="5"/>
      <c r="Q756" t="e">
        <f>VLOOKUP(A756,'גיליון דאטה להכל'!A:E,5,0)</f>
        <v>#N/A</v>
      </c>
      <c r="R756" t="e">
        <f>VLOOKUP(A756,'לעדכן בסינתזה דאטה אריזה 42+24'!$A:$C,3,0)</f>
        <v>#N/A</v>
      </c>
      <c r="S756" t="e">
        <f>VLOOKUP(#REF!,'מלאי לא תקין'!A:N,17,0)</f>
        <v>#REF!</v>
      </c>
      <c r="T756" t="e">
        <f t="shared" si="24"/>
        <v>#REF!</v>
      </c>
      <c r="U756" t="e">
        <f t="shared" si="25"/>
        <v>#REF!</v>
      </c>
    </row>
    <row r="757" spans="4:21" x14ac:dyDescent="0.2">
      <c r="D757" s="4"/>
      <c r="G757" s="5"/>
      <c r="H757" s="5"/>
      <c r="I757" s="4"/>
      <c r="J757" s="4"/>
      <c r="K757" s="5"/>
      <c r="Q757" t="e">
        <f>VLOOKUP(A757,'גיליון דאטה להכל'!A:E,5,0)</f>
        <v>#N/A</v>
      </c>
      <c r="R757" t="e">
        <f>VLOOKUP(A757,'לעדכן בסינתזה דאטה אריזה 42+24'!$A:$C,3,0)</f>
        <v>#N/A</v>
      </c>
      <c r="S757" t="e">
        <f>VLOOKUP(#REF!,'מלאי לא תקין'!A:N,17,0)</f>
        <v>#REF!</v>
      </c>
      <c r="T757" t="e">
        <f t="shared" si="24"/>
        <v>#REF!</v>
      </c>
      <c r="U757" t="e">
        <f t="shared" si="25"/>
        <v>#REF!</v>
      </c>
    </row>
    <row r="758" spans="4:21" x14ac:dyDescent="0.2">
      <c r="D758" s="4"/>
      <c r="G758" s="5"/>
      <c r="H758" s="5"/>
      <c r="I758" s="4"/>
      <c r="J758" s="4"/>
      <c r="K758" s="5"/>
      <c r="Q758" t="e">
        <f>VLOOKUP(A758,'גיליון דאטה להכל'!A:E,5,0)</f>
        <v>#N/A</v>
      </c>
      <c r="R758" t="e">
        <f>VLOOKUP(A758,'לעדכן בסינתזה דאטה אריזה 42+24'!$A:$C,3,0)</f>
        <v>#N/A</v>
      </c>
      <c r="S758" t="e">
        <f>VLOOKUP(#REF!,'מלאי לא תקין'!A:N,17,0)</f>
        <v>#REF!</v>
      </c>
      <c r="T758" t="e">
        <f t="shared" ref="T758:T821" si="26">_xlfn.CONCAT(S758,Q758)</f>
        <v>#REF!</v>
      </c>
      <c r="U758" t="e">
        <f t="shared" ref="U758:U821" si="27">_xlfn.CONCAT(S758,O758)</f>
        <v>#REF!</v>
      </c>
    </row>
    <row r="759" spans="4:21" x14ac:dyDescent="0.2">
      <c r="D759" s="4"/>
      <c r="G759" s="5"/>
      <c r="H759" s="5"/>
      <c r="I759" s="4"/>
      <c r="J759" s="4"/>
      <c r="K759" s="5"/>
      <c r="Q759" t="e">
        <f>VLOOKUP(A759,'גיליון דאטה להכל'!A:E,5,0)</f>
        <v>#N/A</v>
      </c>
      <c r="R759" t="e">
        <f>VLOOKUP(A759,'לעדכן בסינתזה דאטה אריזה 42+24'!$A:$C,3,0)</f>
        <v>#N/A</v>
      </c>
      <c r="S759" t="e">
        <f>VLOOKUP(#REF!,'מלאי לא תקין'!A:N,17,0)</f>
        <v>#REF!</v>
      </c>
      <c r="T759" t="e">
        <f t="shared" si="26"/>
        <v>#REF!</v>
      </c>
      <c r="U759" t="e">
        <f t="shared" si="27"/>
        <v>#REF!</v>
      </c>
    </row>
    <row r="760" spans="4:21" x14ac:dyDescent="0.2">
      <c r="D760" s="4"/>
      <c r="G760" s="5"/>
      <c r="H760" s="5"/>
      <c r="I760" s="4"/>
      <c r="J760" s="4"/>
      <c r="K760" s="5"/>
      <c r="Q760" t="e">
        <f>VLOOKUP(A760,'גיליון דאטה להכל'!A:E,5,0)</f>
        <v>#N/A</v>
      </c>
      <c r="R760" t="e">
        <f>VLOOKUP(A760,'לעדכן בסינתזה דאטה אריזה 42+24'!$A:$C,3,0)</f>
        <v>#N/A</v>
      </c>
      <c r="S760" t="e">
        <f>VLOOKUP(#REF!,'מלאי לא תקין'!A:N,17,0)</f>
        <v>#REF!</v>
      </c>
      <c r="T760" t="e">
        <f t="shared" si="26"/>
        <v>#REF!</v>
      </c>
      <c r="U760" t="e">
        <f t="shared" si="27"/>
        <v>#REF!</v>
      </c>
    </row>
    <row r="761" spans="4:21" x14ac:dyDescent="0.2">
      <c r="D761" s="4"/>
      <c r="G761" s="5"/>
      <c r="H761" s="7"/>
      <c r="I761" s="4"/>
      <c r="J761" s="4"/>
      <c r="K761" s="5"/>
      <c r="Q761" t="e">
        <f>VLOOKUP(A761,'גיליון דאטה להכל'!A:E,5,0)</f>
        <v>#N/A</v>
      </c>
      <c r="R761" t="e">
        <f>VLOOKUP(A761,'לעדכן בסינתזה דאטה אריזה 42+24'!$A:$C,3,0)</f>
        <v>#N/A</v>
      </c>
      <c r="S761" t="e">
        <f>VLOOKUP(#REF!,'מלאי לא תקין'!A:N,17,0)</f>
        <v>#REF!</v>
      </c>
      <c r="T761" t="e">
        <f t="shared" si="26"/>
        <v>#REF!</v>
      </c>
      <c r="U761" t="e">
        <f t="shared" si="27"/>
        <v>#REF!</v>
      </c>
    </row>
    <row r="762" spans="4:21" x14ac:dyDescent="0.2">
      <c r="D762" s="4"/>
      <c r="G762" s="5"/>
      <c r="H762" s="5"/>
      <c r="I762" s="4"/>
      <c r="J762" s="4"/>
      <c r="K762" s="5"/>
      <c r="Q762" t="e">
        <f>VLOOKUP(A762,'גיליון דאטה להכל'!A:E,5,0)</f>
        <v>#N/A</v>
      </c>
      <c r="R762" t="e">
        <f>VLOOKUP(A762,'לעדכן בסינתזה דאטה אריזה 42+24'!$A:$C,3,0)</f>
        <v>#N/A</v>
      </c>
      <c r="S762" t="e">
        <f>VLOOKUP(#REF!,'מלאי לא תקין'!A:N,17,0)</f>
        <v>#REF!</v>
      </c>
      <c r="T762" t="e">
        <f t="shared" si="26"/>
        <v>#REF!</v>
      </c>
      <c r="U762" t="e">
        <f t="shared" si="27"/>
        <v>#REF!</v>
      </c>
    </row>
    <row r="763" spans="4:21" x14ac:dyDescent="0.2">
      <c r="D763" s="4"/>
      <c r="G763" s="5"/>
      <c r="H763" s="5"/>
      <c r="I763" s="4"/>
      <c r="J763" s="4"/>
      <c r="K763" s="5"/>
      <c r="Q763" t="e">
        <f>VLOOKUP(A763,'גיליון דאטה להכל'!A:E,5,0)</f>
        <v>#N/A</v>
      </c>
      <c r="R763" t="e">
        <f>VLOOKUP(A763,'לעדכן בסינתזה דאטה אריזה 42+24'!$A:$C,3,0)</f>
        <v>#N/A</v>
      </c>
      <c r="S763" t="e">
        <f>VLOOKUP(#REF!,'מלאי לא תקין'!A:N,17,0)</f>
        <v>#REF!</v>
      </c>
      <c r="T763" t="e">
        <f t="shared" si="26"/>
        <v>#REF!</v>
      </c>
      <c r="U763" t="e">
        <f t="shared" si="27"/>
        <v>#REF!</v>
      </c>
    </row>
    <row r="764" spans="4:21" x14ac:dyDescent="0.2">
      <c r="D764" s="4"/>
      <c r="G764" s="5"/>
      <c r="H764" s="5"/>
      <c r="I764" s="4"/>
      <c r="J764" s="4"/>
      <c r="K764" s="5"/>
      <c r="Q764" t="e">
        <f>VLOOKUP(A764,'גיליון דאטה להכל'!A:E,5,0)</f>
        <v>#N/A</v>
      </c>
      <c r="R764" t="e">
        <f>VLOOKUP(A764,'לעדכן בסינתזה דאטה אריזה 42+24'!$A:$C,3,0)</f>
        <v>#N/A</v>
      </c>
      <c r="S764" t="e">
        <f>VLOOKUP(#REF!,'מלאי לא תקין'!A:N,17,0)</f>
        <v>#REF!</v>
      </c>
      <c r="T764" t="e">
        <f t="shared" si="26"/>
        <v>#REF!</v>
      </c>
      <c r="U764" t="e">
        <f t="shared" si="27"/>
        <v>#REF!</v>
      </c>
    </row>
    <row r="765" spans="4:21" x14ac:dyDescent="0.2">
      <c r="D765" s="4"/>
      <c r="G765" s="5"/>
      <c r="H765" s="5"/>
      <c r="I765" s="4"/>
      <c r="J765" s="4"/>
      <c r="K765" s="5"/>
      <c r="Q765" t="e">
        <f>VLOOKUP(A765,'גיליון דאטה להכל'!A:E,5,0)</f>
        <v>#N/A</v>
      </c>
      <c r="R765" t="e">
        <f>VLOOKUP(A765,'לעדכן בסינתזה דאטה אריזה 42+24'!$A:$C,3,0)</f>
        <v>#N/A</v>
      </c>
      <c r="S765" t="e">
        <f>VLOOKUP(#REF!,'מלאי לא תקין'!A:N,17,0)</f>
        <v>#REF!</v>
      </c>
      <c r="T765" t="e">
        <f t="shared" si="26"/>
        <v>#REF!</v>
      </c>
      <c r="U765" t="e">
        <f t="shared" si="27"/>
        <v>#REF!</v>
      </c>
    </row>
    <row r="766" spans="4:21" x14ac:dyDescent="0.2">
      <c r="D766" s="4"/>
      <c r="G766" s="5"/>
      <c r="H766" s="5"/>
      <c r="I766" s="4"/>
      <c r="J766" s="4"/>
      <c r="K766" s="5"/>
      <c r="Q766" t="e">
        <f>VLOOKUP(A766,'גיליון דאטה להכל'!A:E,5,0)</f>
        <v>#N/A</v>
      </c>
      <c r="R766" t="e">
        <f>VLOOKUP(A766,'לעדכן בסינתזה דאטה אריזה 42+24'!$A:$C,3,0)</f>
        <v>#N/A</v>
      </c>
      <c r="S766" t="e">
        <f>VLOOKUP(#REF!,'מלאי לא תקין'!A:N,17,0)</f>
        <v>#REF!</v>
      </c>
      <c r="T766" t="e">
        <f t="shared" si="26"/>
        <v>#REF!</v>
      </c>
      <c r="U766" t="e">
        <f t="shared" si="27"/>
        <v>#REF!</v>
      </c>
    </row>
    <row r="767" spans="4:21" x14ac:dyDescent="0.2">
      <c r="D767" s="4"/>
      <c r="G767" s="5"/>
      <c r="H767" s="7"/>
      <c r="I767" s="4"/>
      <c r="J767" s="4"/>
      <c r="K767" s="5"/>
      <c r="Q767" t="e">
        <f>VLOOKUP(A767,'גיליון דאטה להכל'!A:E,5,0)</f>
        <v>#N/A</v>
      </c>
      <c r="R767" t="e">
        <f>VLOOKUP(A767,'לעדכן בסינתזה דאטה אריזה 42+24'!$A:$C,3,0)</f>
        <v>#N/A</v>
      </c>
      <c r="S767" t="e">
        <f>VLOOKUP(#REF!,'מלאי לא תקין'!A:N,17,0)</f>
        <v>#REF!</v>
      </c>
      <c r="T767" t="e">
        <f t="shared" si="26"/>
        <v>#REF!</v>
      </c>
      <c r="U767" t="e">
        <f t="shared" si="27"/>
        <v>#REF!</v>
      </c>
    </row>
    <row r="768" spans="4:21" x14ac:dyDescent="0.2">
      <c r="D768" s="4"/>
      <c r="G768" s="5"/>
      <c r="H768" s="5"/>
      <c r="I768" s="4"/>
      <c r="J768" s="4"/>
      <c r="K768" s="5"/>
      <c r="Q768" t="e">
        <f>VLOOKUP(A768,'גיליון דאטה להכל'!A:E,5,0)</f>
        <v>#N/A</v>
      </c>
      <c r="R768" t="e">
        <f>VLOOKUP(A768,'לעדכן בסינתזה דאטה אריזה 42+24'!$A:$C,3,0)</f>
        <v>#N/A</v>
      </c>
      <c r="S768" t="e">
        <f>VLOOKUP(#REF!,'מלאי לא תקין'!A:N,17,0)</f>
        <v>#REF!</v>
      </c>
      <c r="T768" t="e">
        <f t="shared" si="26"/>
        <v>#REF!</v>
      </c>
      <c r="U768" t="e">
        <f t="shared" si="27"/>
        <v>#REF!</v>
      </c>
    </row>
    <row r="769" spans="4:21" x14ac:dyDescent="0.2">
      <c r="D769" s="4"/>
      <c r="G769" s="5"/>
      <c r="H769" s="5"/>
      <c r="I769" s="4"/>
      <c r="J769" s="4"/>
      <c r="K769" s="5"/>
      <c r="Q769" t="e">
        <f>VLOOKUP(A769,'גיליון דאטה להכל'!A:E,5,0)</f>
        <v>#N/A</v>
      </c>
      <c r="R769" t="e">
        <f>VLOOKUP(A769,'לעדכן בסינתזה דאטה אריזה 42+24'!$A:$C,3,0)</f>
        <v>#N/A</v>
      </c>
      <c r="S769" t="e">
        <f>VLOOKUP(#REF!,'מלאי לא תקין'!A:N,17,0)</f>
        <v>#REF!</v>
      </c>
      <c r="T769" t="e">
        <f t="shared" si="26"/>
        <v>#REF!</v>
      </c>
      <c r="U769" t="e">
        <f t="shared" si="27"/>
        <v>#REF!</v>
      </c>
    </row>
    <row r="770" spans="4:21" x14ac:dyDescent="0.2">
      <c r="D770" s="4"/>
      <c r="G770" s="5"/>
      <c r="H770" s="5"/>
      <c r="I770" s="4"/>
      <c r="J770" s="4"/>
      <c r="K770" s="5"/>
      <c r="Q770" t="e">
        <f>VLOOKUP(A770,'גיליון דאטה להכל'!A:E,5,0)</f>
        <v>#N/A</v>
      </c>
      <c r="R770" t="e">
        <f>VLOOKUP(A770,'לעדכן בסינתזה דאטה אריזה 42+24'!$A:$C,3,0)</f>
        <v>#N/A</v>
      </c>
      <c r="S770" t="e">
        <f>VLOOKUP(#REF!,'מלאי לא תקין'!A:N,17,0)</f>
        <v>#REF!</v>
      </c>
      <c r="T770" t="e">
        <f t="shared" si="26"/>
        <v>#REF!</v>
      </c>
      <c r="U770" t="e">
        <f t="shared" si="27"/>
        <v>#REF!</v>
      </c>
    </row>
    <row r="771" spans="4:21" x14ac:dyDescent="0.2">
      <c r="D771" s="4"/>
      <c r="G771" s="5"/>
      <c r="H771" s="5"/>
      <c r="I771" s="4"/>
      <c r="J771" s="4"/>
      <c r="K771" s="5"/>
      <c r="Q771" t="e">
        <f>VLOOKUP(A771,'גיליון דאטה להכל'!A:E,5,0)</f>
        <v>#N/A</v>
      </c>
      <c r="R771" t="e">
        <f>VLOOKUP(A771,'לעדכן בסינתזה דאטה אריזה 42+24'!$A:$C,3,0)</f>
        <v>#N/A</v>
      </c>
      <c r="S771" t="e">
        <f>VLOOKUP(#REF!,'מלאי לא תקין'!A:N,17,0)</f>
        <v>#REF!</v>
      </c>
      <c r="T771" t="e">
        <f t="shared" si="26"/>
        <v>#REF!</v>
      </c>
      <c r="U771" t="e">
        <f t="shared" si="27"/>
        <v>#REF!</v>
      </c>
    </row>
    <row r="772" spans="4:21" x14ac:dyDescent="0.2">
      <c r="D772" s="4"/>
      <c r="G772" s="5"/>
      <c r="H772" s="5"/>
      <c r="I772" s="4"/>
      <c r="J772" s="4"/>
      <c r="K772" s="5"/>
      <c r="Q772" t="e">
        <f>VLOOKUP(A772,'גיליון דאטה להכל'!A:E,5,0)</f>
        <v>#N/A</v>
      </c>
      <c r="R772" t="e">
        <f>VLOOKUP(A772,'לעדכן בסינתזה דאטה אריזה 42+24'!$A:$C,3,0)</f>
        <v>#N/A</v>
      </c>
      <c r="S772" t="e">
        <f>VLOOKUP(#REF!,'מלאי לא תקין'!A:N,17,0)</f>
        <v>#REF!</v>
      </c>
      <c r="T772" t="e">
        <f t="shared" si="26"/>
        <v>#REF!</v>
      </c>
      <c r="U772" t="e">
        <f t="shared" si="27"/>
        <v>#REF!</v>
      </c>
    </row>
    <row r="773" spans="4:21" x14ac:dyDescent="0.2">
      <c r="D773" s="4"/>
      <c r="G773" s="5"/>
      <c r="H773" s="7"/>
      <c r="I773" s="4"/>
      <c r="J773" s="4"/>
      <c r="K773" s="5"/>
      <c r="Q773" t="e">
        <f>VLOOKUP(A773,'גיליון דאטה להכל'!A:E,5,0)</f>
        <v>#N/A</v>
      </c>
      <c r="R773" t="e">
        <f>VLOOKUP(A773,'לעדכן בסינתזה דאטה אריזה 42+24'!$A:$C,3,0)</f>
        <v>#N/A</v>
      </c>
      <c r="S773" t="e">
        <f>VLOOKUP(#REF!,'מלאי לא תקין'!A:N,17,0)</f>
        <v>#REF!</v>
      </c>
      <c r="T773" t="e">
        <f t="shared" si="26"/>
        <v>#REF!</v>
      </c>
      <c r="U773" t="e">
        <f t="shared" si="27"/>
        <v>#REF!</v>
      </c>
    </row>
    <row r="774" spans="4:21" x14ac:dyDescent="0.2">
      <c r="D774" s="4"/>
      <c r="G774" s="5"/>
      <c r="H774" s="5"/>
      <c r="I774" s="4"/>
      <c r="J774" s="4"/>
      <c r="K774" s="5"/>
      <c r="Q774" t="e">
        <f>VLOOKUP(A774,'גיליון דאטה להכל'!A:E,5,0)</f>
        <v>#N/A</v>
      </c>
      <c r="R774" t="e">
        <f>VLOOKUP(A774,'לעדכן בסינתזה דאטה אריזה 42+24'!$A:$C,3,0)</f>
        <v>#N/A</v>
      </c>
      <c r="S774" t="e">
        <f>VLOOKUP(#REF!,'מלאי לא תקין'!A:N,17,0)</f>
        <v>#REF!</v>
      </c>
      <c r="T774" t="e">
        <f t="shared" si="26"/>
        <v>#REF!</v>
      </c>
      <c r="U774" t="e">
        <f t="shared" si="27"/>
        <v>#REF!</v>
      </c>
    </row>
    <row r="775" spans="4:21" x14ac:dyDescent="0.2">
      <c r="D775" s="4"/>
      <c r="G775" s="5"/>
      <c r="H775" s="5"/>
      <c r="I775" s="4"/>
      <c r="J775" s="4"/>
      <c r="K775" s="5"/>
      <c r="Q775" t="e">
        <f>VLOOKUP(A775,'גיליון דאטה להכל'!A:E,5,0)</f>
        <v>#N/A</v>
      </c>
      <c r="R775" t="e">
        <f>VLOOKUP(A775,'לעדכן בסינתזה דאטה אריזה 42+24'!$A:$C,3,0)</f>
        <v>#N/A</v>
      </c>
      <c r="S775" t="e">
        <f>VLOOKUP(#REF!,'מלאי לא תקין'!A:N,17,0)</f>
        <v>#REF!</v>
      </c>
      <c r="T775" t="e">
        <f t="shared" si="26"/>
        <v>#REF!</v>
      </c>
      <c r="U775" t="e">
        <f t="shared" si="27"/>
        <v>#REF!</v>
      </c>
    </row>
    <row r="776" spans="4:21" x14ac:dyDescent="0.2">
      <c r="D776" s="4"/>
      <c r="G776" s="5"/>
      <c r="H776" s="5"/>
      <c r="I776" s="4"/>
      <c r="J776" s="4"/>
      <c r="K776" s="5"/>
      <c r="Q776" t="e">
        <f>VLOOKUP(A776,'גיליון דאטה להכל'!A:E,5,0)</f>
        <v>#N/A</v>
      </c>
      <c r="R776" t="e">
        <f>VLOOKUP(A776,'לעדכן בסינתזה דאטה אריזה 42+24'!$A:$C,3,0)</f>
        <v>#N/A</v>
      </c>
      <c r="S776" t="e">
        <f>VLOOKUP(#REF!,'מלאי לא תקין'!A:N,17,0)</f>
        <v>#REF!</v>
      </c>
      <c r="T776" t="e">
        <f t="shared" si="26"/>
        <v>#REF!</v>
      </c>
      <c r="U776" t="e">
        <f t="shared" si="27"/>
        <v>#REF!</v>
      </c>
    </row>
    <row r="777" spans="4:21" x14ac:dyDescent="0.2">
      <c r="D777" s="4"/>
      <c r="G777" s="5"/>
      <c r="H777" s="5"/>
      <c r="I777" s="4"/>
      <c r="J777" s="4"/>
      <c r="K777" s="5"/>
      <c r="Q777" t="e">
        <f>VLOOKUP(A777,'גיליון דאטה להכל'!A:E,5,0)</f>
        <v>#N/A</v>
      </c>
      <c r="R777" t="e">
        <f>VLOOKUP(A777,'לעדכן בסינתזה דאטה אריזה 42+24'!$A:$C,3,0)</f>
        <v>#N/A</v>
      </c>
      <c r="S777" t="e">
        <f>VLOOKUP(#REF!,'מלאי לא תקין'!A:N,17,0)</f>
        <v>#REF!</v>
      </c>
      <c r="T777" t="e">
        <f t="shared" si="26"/>
        <v>#REF!</v>
      </c>
      <c r="U777" t="e">
        <f t="shared" si="27"/>
        <v>#REF!</v>
      </c>
    </row>
    <row r="778" spans="4:21" x14ac:dyDescent="0.2">
      <c r="D778" s="4"/>
      <c r="G778" s="5"/>
      <c r="H778" s="5"/>
      <c r="I778" s="4"/>
      <c r="J778" s="4"/>
      <c r="K778" s="5"/>
      <c r="Q778" t="e">
        <f>VLOOKUP(A778,'גיליון דאטה להכל'!A:E,5,0)</f>
        <v>#N/A</v>
      </c>
      <c r="R778" t="e">
        <f>VLOOKUP(A778,'לעדכן בסינתזה דאטה אריזה 42+24'!$A:$C,3,0)</f>
        <v>#N/A</v>
      </c>
      <c r="S778" t="e">
        <f>VLOOKUP(#REF!,'מלאי לא תקין'!A:N,17,0)</f>
        <v>#REF!</v>
      </c>
      <c r="T778" t="e">
        <f t="shared" si="26"/>
        <v>#REF!</v>
      </c>
      <c r="U778" t="e">
        <f t="shared" si="27"/>
        <v>#REF!</v>
      </c>
    </row>
    <row r="779" spans="4:21" x14ac:dyDescent="0.2">
      <c r="D779" s="4"/>
      <c r="G779" s="5"/>
      <c r="H779" s="7"/>
      <c r="I779" s="4"/>
      <c r="J779" s="4"/>
      <c r="K779" s="5"/>
      <c r="Q779" t="e">
        <f>VLOOKUP(A779,'גיליון דאטה להכל'!A:E,5,0)</f>
        <v>#N/A</v>
      </c>
      <c r="R779" t="e">
        <f>VLOOKUP(A779,'לעדכן בסינתזה דאטה אריזה 42+24'!$A:$C,3,0)</f>
        <v>#N/A</v>
      </c>
      <c r="S779" t="e">
        <f>VLOOKUP(#REF!,'מלאי לא תקין'!A:N,17,0)</f>
        <v>#REF!</v>
      </c>
      <c r="T779" t="e">
        <f t="shared" si="26"/>
        <v>#REF!</v>
      </c>
      <c r="U779" t="e">
        <f t="shared" si="27"/>
        <v>#REF!</v>
      </c>
    </row>
    <row r="780" spans="4:21" x14ac:dyDescent="0.2">
      <c r="D780" s="4"/>
      <c r="G780" s="5"/>
      <c r="H780" s="5"/>
      <c r="I780" s="4"/>
      <c r="J780" s="4"/>
      <c r="K780" s="5"/>
      <c r="Q780" t="e">
        <f>VLOOKUP(A780,'גיליון דאטה להכל'!A:E,5,0)</f>
        <v>#N/A</v>
      </c>
      <c r="R780" t="e">
        <f>VLOOKUP(A780,'לעדכן בסינתזה דאטה אריזה 42+24'!$A:$C,3,0)</f>
        <v>#N/A</v>
      </c>
      <c r="S780" t="e">
        <f>VLOOKUP(#REF!,'מלאי לא תקין'!A:N,17,0)</f>
        <v>#REF!</v>
      </c>
      <c r="T780" t="e">
        <f t="shared" si="26"/>
        <v>#REF!</v>
      </c>
      <c r="U780" t="e">
        <f t="shared" si="27"/>
        <v>#REF!</v>
      </c>
    </row>
    <row r="781" spans="4:21" x14ac:dyDescent="0.2">
      <c r="D781" s="4"/>
      <c r="G781" s="5"/>
      <c r="H781" s="5"/>
      <c r="I781" s="4"/>
      <c r="J781" s="4"/>
      <c r="K781" s="5"/>
      <c r="Q781" t="e">
        <f>VLOOKUP(A781,'גיליון דאטה להכל'!A:E,5,0)</f>
        <v>#N/A</v>
      </c>
      <c r="R781" t="e">
        <f>VLOOKUP(A781,'לעדכן בסינתזה דאטה אריזה 42+24'!$A:$C,3,0)</f>
        <v>#N/A</v>
      </c>
      <c r="S781" t="e">
        <f>VLOOKUP(#REF!,'מלאי לא תקין'!A:N,17,0)</f>
        <v>#REF!</v>
      </c>
      <c r="T781" t="e">
        <f t="shared" si="26"/>
        <v>#REF!</v>
      </c>
      <c r="U781" t="e">
        <f t="shared" si="27"/>
        <v>#REF!</v>
      </c>
    </row>
    <row r="782" spans="4:21" x14ac:dyDescent="0.2">
      <c r="D782" s="4"/>
      <c r="G782" s="5"/>
      <c r="H782" s="5"/>
      <c r="I782" s="4"/>
      <c r="J782" s="4"/>
      <c r="K782" s="5"/>
      <c r="Q782" t="e">
        <f>VLOOKUP(A782,'גיליון דאטה להכל'!A:E,5,0)</f>
        <v>#N/A</v>
      </c>
      <c r="R782" t="e">
        <f>VLOOKUP(A782,'לעדכן בסינתזה דאטה אריזה 42+24'!$A:$C,3,0)</f>
        <v>#N/A</v>
      </c>
      <c r="S782" t="e">
        <f>VLOOKUP(#REF!,'מלאי לא תקין'!A:N,17,0)</f>
        <v>#REF!</v>
      </c>
      <c r="T782" t="e">
        <f t="shared" si="26"/>
        <v>#REF!</v>
      </c>
      <c r="U782" t="e">
        <f t="shared" si="27"/>
        <v>#REF!</v>
      </c>
    </row>
    <row r="783" spans="4:21" x14ac:dyDescent="0.2">
      <c r="D783" s="4"/>
      <c r="G783" s="5"/>
      <c r="H783" s="5"/>
      <c r="I783" s="4"/>
      <c r="J783" s="4"/>
      <c r="K783" s="5"/>
      <c r="Q783" t="e">
        <f>VLOOKUP(A783,'גיליון דאטה להכל'!A:E,5,0)</f>
        <v>#N/A</v>
      </c>
      <c r="R783" t="e">
        <f>VLOOKUP(A783,'לעדכן בסינתזה דאטה אריזה 42+24'!$A:$C,3,0)</f>
        <v>#N/A</v>
      </c>
      <c r="S783" t="e">
        <f>VLOOKUP(#REF!,'מלאי לא תקין'!A:N,17,0)</f>
        <v>#REF!</v>
      </c>
      <c r="T783" t="e">
        <f t="shared" si="26"/>
        <v>#REF!</v>
      </c>
      <c r="U783" t="e">
        <f t="shared" si="27"/>
        <v>#REF!</v>
      </c>
    </row>
    <row r="784" spans="4:21" x14ac:dyDescent="0.2">
      <c r="D784" s="4"/>
      <c r="G784" s="5"/>
      <c r="H784" s="5"/>
      <c r="I784" s="4"/>
      <c r="J784" s="4"/>
      <c r="K784" s="5"/>
      <c r="Q784" t="e">
        <f>VLOOKUP(A784,'גיליון דאטה להכל'!A:E,5,0)</f>
        <v>#N/A</v>
      </c>
      <c r="R784" t="e">
        <f>VLOOKUP(A784,'לעדכן בסינתזה דאטה אריזה 42+24'!$A:$C,3,0)</f>
        <v>#N/A</v>
      </c>
      <c r="S784" t="e">
        <f>VLOOKUP(#REF!,'מלאי לא תקין'!A:N,17,0)</f>
        <v>#REF!</v>
      </c>
      <c r="T784" t="e">
        <f t="shared" si="26"/>
        <v>#REF!</v>
      </c>
      <c r="U784" t="e">
        <f t="shared" si="27"/>
        <v>#REF!</v>
      </c>
    </row>
    <row r="785" spans="4:21" x14ac:dyDescent="0.2">
      <c r="D785" s="4"/>
      <c r="G785" s="5"/>
      <c r="H785" s="7"/>
      <c r="I785" s="4"/>
      <c r="J785" s="4"/>
      <c r="K785" s="5"/>
      <c r="Q785" t="e">
        <f>VLOOKUP(A785,'גיליון דאטה להכל'!A:E,5,0)</f>
        <v>#N/A</v>
      </c>
      <c r="R785" t="e">
        <f>VLOOKUP(A785,'לעדכן בסינתזה דאטה אריזה 42+24'!$A:$C,3,0)</f>
        <v>#N/A</v>
      </c>
      <c r="S785" t="e">
        <f>VLOOKUP(#REF!,'מלאי לא תקין'!A:N,17,0)</f>
        <v>#REF!</v>
      </c>
      <c r="T785" t="e">
        <f t="shared" si="26"/>
        <v>#REF!</v>
      </c>
      <c r="U785" t="e">
        <f t="shared" si="27"/>
        <v>#REF!</v>
      </c>
    </row>
    <row r="786" spans="4:21" x14ac:dyDescent="0.2">
      <c r="D786" s="4"/>
      <c r="G786" s="5"/>
      <c r="H786" s="5"/>
      <c r="I786" s="4"/>
      <c r="J786" s="4"/>
      <c r="K786" s="5"/>
      <c r="Q786" t="e">
        <f>VLOOKUP(A786,'גיליון דאטה להכל'!A:E,5,0)</f>
        <v>#N/A</v>
      </c>
      <c r="R786" t="e">
        <f>VLOOKUP(A786,'לעדכן בסינתזה דאטה אריזה 42+24'!$A:$C,3,0)</f>
        <v>#N/A</v>
      </c>
      <c r="S786" t="e">
        <f>VLOOKUP(#REF!,'מלאי לא תקין'!A:N,17,0)</f>
        <v>#REF!</v>
      </c>
      <c r="T786" t="e">
        <f t="shared" si="26"/>
        <v>#REF!</v>
      </c>
      <c r="U786" t="e">
        <f t="shared" si="27"/>
        <v>#REF!</v>
      </c>
    </row>
    <row r="787" spans="4:21" x14ac:dyDescent="0.2">
      <c r="D787" s="4"/>
      <c r="G787" s="5"/>
      <c r="H787" s="5"/>
      <c r="I787" s="4"/>
      <c r="J787" s="4"/>
      <c r="K787" s="5"/>
      <c r="Q787" t="e">
        <f>VLOOKUP(A787,'גיליון דאטה להכל'!A:E,5,0)</f>
        <v>#N/A</v>
      </c>
      <c r="R787" t="e">
        <f>VLOOKUP(A787,'לעדכן בסינתזה דאטה אריזה 42+24'!$A:$C,3,0)</f>
        <v>#N/A</v>
      </c>
      <c r="S787" t="e">
        <f>VLOOKUP(#REF!,'מלאי לא תקין'!A:N,17,0)</f>
        <v>#REF!</v>
      </c>
      <c r="T787" t="e">
        <f t="shared" si="26"/>
        <v>#REF!</v>
      </c>
      <c r="U787" t="e">
        <f t="shared" si="27"/>
        <v>#REF!</v>
      </c>
    </row>
    <row r="788" spans="4:21" x14ac:dyDescent="0.2">
      <c r="D788" s="4"/>
      <c r="G788" s="5"/>
      <c r="H788" s="5"/>
      <c r="I788" s="4"/>
      <c r="J788" s="4"/>
      <c r="K788" s="5"/>
      <c r="Q788" t="e">
        <f>VLOOKUP(A788,'גיליון דאטה להכל'!A:E,5,0)</f>
        <v>#N/A</v>
      </c>
      <c r="R788" t="e">
        <f>VLOOKUP(A788,'לעדכן בסינתזה דאטה אריזה 42+24'!$A:$C,3,0)</f>
        <v>#N/A</v>
      </c>
      <c r="S788" t="e">
        <f>VLOOKUP(#REF!,'מלאי לא תקין'!A:N,17,0)</f>
        <v>#REF!</v>
      </c>
      <c r="T788" t="e">
        <f t="shared" si="26"/>
        <v>#REF!</v>
      </c>
      <c r="U788" t="e">
        <f t="shared" si="27"/>
        <v>#REF!</v>
      </c>
    </row>
    <row r="789" spans="4:21" x14ac:dyDescent="0.2">
      <c r="D789" s="4"/>
      <c r="G789" s="5"/>
      <c r="H789" s="5"/>
      <c r="I789" s="4"/>
      <c r="J789" s="4"/>
      <c r="K789" s="5"/>
      <c r="Q789" t="e">
        <f>VLOOKUP(A789,'גיליון דאטה להכל'!A:E,5,0)</f>
        <v>#N/A</v>
      </c>
      <c r="R789" t="e">
        <f>VLOOKUP(A789,'לעדכן בסינתזה דאטה אריזה 42+24'!$A:$C,3,0)</f>
        <v>#N/A</v>
      </c>
      <c r="S789" t="e">
        <f>VLOOKUP(#REF!,'מלאי לא תקין'!A:N,17,0)</f>
        <v>#REF!</v>
      </c>
      <c r="T789" t="e">
        <f t="shared" si="26"/>
        <v>#REF!</v>
      </c>
      <c r="U789" t="e">
        <f t="shared" si="27"/>
        <v>#REF!</v>
      </c>
    </row>
    <row r="790" spans="4:21" x14ac:dyDescent="0.2">
      <c r="D790" s="4"/>
      <c r="G790" s="5"/>
      <c r="H790" s="5"/>
      <c r="I790" s="4"/>
      <c r="J790" s="4"/>
      <c r="K790" s="5"/>
      <c r="Q790" t="e">
        <f>VLOOKUP(A790,'גיליון דאטה להכל'!A:E,5,0)</f>
        <v>#N/A</v>
      </c>
      <c r="R790" t="e">
        <f>VLOOKUP(A790,'לעדכן בסינתזה דאטה אריזה 42+24'!$A:$C,3,0)</f>
        <v>#N/A</v>
      </c>
      <c r="S790" t="e">
        <f>VLOOKUP(#REF!,'מלאי לא תקין'!A:N,17,0)</f>
        <v>#REF!</v>
      </c>
      <c r="T790" t="e">
        <f t="shared" si="26"/>
        <v>#REF!</v>
      </c>
      <c r="U790" t="e">
        <f t="shared" si="27"/>
        <v>#REF!</v>
      </c>
    </row>
    <row r="791" spans="4:21" x14ac:dyDescent="0.2">
      <c r="D791" s="4"/>
      <c r="G791" s="5"/>
      <c r="H791" s="7"/>
      <c r="I791" s="4"/>
      <c r="J791" s="4"/>
      <c r="K791" s="5"/>
      <c r="Q791" t="e">
        <f>VLOOKUP(A791,'גיליון דאטה להכל'!A:E,5,0)</f>
        <v>#N/A</v>
      </c>
      <c r="R791" t="e">
        <f>VLOOKUP(A791,'לעדכן בסינתזה דאטה אריזה 42+24'!$A:$C,3,0)</f>
        <v>#N/A</v>
      </c>
      <c r="S791" t="e">
        <f>VLOOKUP(#REF!,'מלאי לא תקין'!A:N,17,0)</f>
        <v>#REF!</v>
      </c>
      <c r="T791" t="e">
        <f t="shared" si="26"/>
        <v>#REF!</v>
      </c>
      <c r="U791" t="e">
        <f t="shared" si="27"/>
        <v>#REF!</v>
      </c>
    </row>
    <row r="792" spans="4:21" x14ac:dyDescent="0.2">
      <c r="D792" s="4"/>
      <c r="G792" s="5"/>
      <c r="H792" s="5"/>
      <c r="I792" s="4"/>
      <c r="J792" s="4"/>
      <c r="K792" s="5"/>
      <c r="Q792" t="e">
        <f>VLOOKUP(A792,'גיליון דאטה להכל'!A:E,5,0)</f>
        <v>#N/A</v>
      </c>
      <c r="R792" t="e">
        <f>VLOOKUP(A792,'לעדכן בסינתזה דאטה אריזה 42+24'!$A:$C,3,0)</f>
        <v>#N/A</v>
      </c>
      <c r="S792" t="e">
        <f>VLOOKUP(#REF!,'מלאי לא תקין'!A:N,17,0)</f>
        <v>#REF!</v>
      </c>
      <c r="T792" t="e">
        <f t="shared" si="26"/>
        <v>#REF!</v>
      </c>
      <c r="U792" t="e">
        <f t="shared" si="27"/>
        <v>#REF!</v>
      </c>
    </row>
    <row r="793" spans="4:21" x14ac:dyDescent="0.2">
      <c r="D793" s="4"/>
      <c r="G793" s="5"/>
      <c r="H793" s="5"/>
      <c r="I793" s="4"/>
      <c r="J793" s="4"/>
      <c r="K793" s="5"/>
      <c r="Q793" t="e">
        <f>VLOOKUP(A793,'גיליון דאטה להכל'!A:E,5,0)</f>
        <v>#N/A</v>
      </c>
      <c r="R793" t="e">
        <f>VLOOKUP(A793,'לעדכן בסינתזה דאטה אריזה 42+24'!$A:$C,3,0)</f>
        <v>#N/A</v>
      </c>
      <c r="S793" t="e">
        <f>VLOOKUP(#REF!,'מלאי לא תקין'!A:N,17,0)</f>
        <v>#REF!</v>
      </c>
      <c r="T793" t="e">
        <f t="shared" si="26"/>
        <v>#REF!</v>
      </c>
      <c r="U793" t="e">
        <f t="shared" si="27"/>
        <v>#REF!</v>
      </c>
    </row>
    <row r="794" spans="4:21" x14ac:dyDescent="0.2">
      <c r="D794" s="4"/>
      <c r="G794" s="5"/>
      <c r="H794" s="5"/>
      <c r="I794" s="4"/>
      <c r="J794" s="4"/>
      <c r="K794" s="5"/>
      <c r="Q794" t="e">
        <f>VLOOKUP(A794,'גיליון דאטה להכל'!A:E,5,0)</f>
        <v>#N/A</v>
      </c>
      <c r="R794" t="e">
        <f>VLOOKUP(A794,'לעדכן בסינתזה דאטה אריזה 42+24'!$A:$C,3,0)</f>
        <v>#N/A</v>
      </c>
      <c r="S794" t="e">
        <f>VLOOKUP(#REF!,'מלאי לא תקין'!A:N,17,0)</f>
        <v>#REF!</v>
      </c>
      <c r="T794" t="e">
        <f t="shared" si="26"/>
        <v>#REF!</v>
      </c>
      <c r="U794" t="e">
        <f t="shared" si="27"/>
        <v>#REF!</v>
      </c>
    </row>
    <row r="795" spans="4:21" x14ac:dyDescent="0.2">
      <c r="D795" s="4"/>
      <c r="G795" s="5"/>
      <c r="H795" s="5"/>
      <c r="I795" s="4"/>
      <c r="J795" s="4"/>
      <c r="K795" s="5"/>
      <c r="Q795" t="e">
        <f>VLOOKUP(A795,'גיליון דאטה להכל'!A:E,5,0)</f>
        <v>#N/A</v>
      </c>
      <c r="R795" t="e">
        <f>VLOOKUP(A795,'לעדכן בסינתזה דאטה אריזה 42+24'!$A:$C,3,0)</f>
        <v>#N/A</v>
      </c>
      <c r="S795" t="e">
        <f>VLOOKUP(#REF!,'מלאי לא תקין'!A:N,17,0)</f>
        <v>#REF!</v>
      </c>
      <c r="T795" t="e">
        <f t="shared" si="26"/>
        <v>#REF!</v>
      </c>
      <c r="U795" t="e">
        <f t="shared" si="27"/>
        <v>#REF!</v>
      </c>
    </row>
    <row r="796" spans="4:21" x14ac:dyDescent="0.2">
      <c r="D796" s="4"/>
      <c r="G796" s="5"/>
      <c r="H796" s="7"/>
      <c r="I796" s="4"/>
      <c r="J796" s="4"/>
      <c r="K796" s="5"/>
      <c r="Q796" t="e">
        <f>VLOOKUP(A796,'גיליון דאטה להכל'!A:E,5,0)</f>
        <v>#N/A</v>
      </c>
      <c r="R796" t="e">
        <f>VLOOKUP(A796,'לעדכן בסינתזה דאטה אריזה 42+24'!$A:$C,3,0)</f>
        <v>#N/A</v>
      </c>
      <c r="S796" t="e">
        <f>VLOOKUP(#REF!,'מלאי לא תקין'!A:N,17,0)</f>
        <v>#REF!</v>
      </c>
      <c r="T796" t="e">
        <f t="shared" si="26"/>
        <v>#REF!</v>
      </c>
      <c r="U796" t="e">
        <f t="shared" si="27"/>
        <v>#REF!</v>
      </c>
    </row>
    <row r="797" spans="4:21" x14ac:dyDescent="0.2">
      <c r="D797" s="4"/>
      <c r="G797" s="5"/>
      <c r="H797" s="5"/>
      <c r="I797" s="4"/>
      <c r="J797" s="4"/>
      <c r="K797" s="5"/>
      <c r="Q797" t="e">
        <f>VLOOKUP(A797,'גיליון דאטה להכל'!A:E,5,0)</f>
        <v>#N/A</v>
      </c>
      <c r="R797" t="e">
        <f>VLOOKUP(A797,'לעדכן בסינתזה דאטה אריזה 42+24'!$A:$C,3,0)</f>
        <v>#N/A</v>
      </c>
      <c r="S797" t="e">
        <f>VLOOKUP(#REF!,'מלאי לא תקין'!A:N,17,0)</f>
        <v>#REF!</v>
      </c>
      <c r="T797" t="e">
        <f t="shared" si="26"/>
        <v>#REF!</v>
      </c>
      <c r="U797" t="e">
        <f t="shared" si="27"/>
        <v>#REF!</v>
      </c>
    </row>
    <row r="798" spans="4:21" x14ac:dyDescent="0.2">
      <c r="D798" s="4"/>
      <c r="G798" s="5"/>
      <c r="H798" s="5"/>
      <c r="I798" s="4"/>
      <c r="J798" s="4"/>
      <c r="K798" s="5"/>
      <c r="Q798" t="e">
        <f>VLOOKUP(A798,'גיליון דאטה להכל'!A:E,5,0)</f>
        <v>#N/A</v>
      </c>
      <c r="R798" t="e">
        <f>VLOOKUP(A798,'לעדכן בסינתזה דאטה אריזה 42+24'!$A:$C,3,0)</f>
        <v>#N/A</v>
      </c>
      <c r="S798" t="e">
        <f>VLOOKUP(#REF!,'מלאי לא תקין'!A:N,17,0)</f>
        <v>#REF!</v>
      </c>
      <c r="T798" t="e">
        <f t="shared" si="26"/>
        <v>#REF!</v>
      </c>
      <c r="U798" t="e">
        <f t="shared" si="27"/>
        <v>#REF!</v>
      </c>
    </row>
    <row r="799" spans="4:21" x14ac:dyDescent="0.2">
      <c r="D799" s="4"/>
      <c r="G799" s="5"/>
      <c r="H799" s="5"/>
      <c r="I799" s="4"/>
      <c r="J799" s="4"/>
      <c r="K799" s="5"/>
      <c r="Q799" t="e">
        <f>VLOOKUP(A799,'גיליון דאטה להכל'!A:E,5,0)</f>
        <v>#N/A</v>
      </c>
      <c r="R799" t="e">
        <f>VLOOKUP(A799,'לעדכן בסינתזה דאטה אריזה 42+24'!$A:$C,3,0)</f>
        <v>#N/A</v>
      </c>
      <c r="S799" t="e">
        <f>VLOOKUP(#REF!,'מלאי לא תקין'!A:N,17,0)</f>
        <v>#REF!</v>
      </c>
      <c r="T799" t="e">
        <f t="shared" si="26"/>
        <v>#REF!</v>
      </c>
      <c r="U799" t="e">
        <f t="shared" si="27"/>
        <v>#REF!</v>
      </c>
    </row>
    <row r="800" spans="4:21" x14ac:dyDescent="0.2">
      <c r="D800" s="4"/>
      <c r="G800" s="5"/>
      <c r="H800" s="5"/>
      <c r="I800" s="4"/>
      <c r="J800" s="4"/>
      <c r="K800" s="5"/>
      <c r="Q800" t="e">
        <f>VLOOKUP(A800,'גיליון דאטה להכל'!A:E,5,0)</f>
        <v>#N/A</v>
      </c>
      <c r="R800" t="e">
        <f>VLOOKUP(A800,'לעדכן בסינתזה דאטה אריזה 42+24'!$A:$C,3,0)</f>
        <v>#N/A</v>
      </c>
      <c r="S800" t="e">
        <f>VLOOKUP(#REF!,'מלאי לא תקין'!A:N,17,0)</f>
        <v>#REF!</v>
      </c>
      <c r="T800" t="e">
        <f t="shared" si="26"/>
        <v>#REF!</v>
      </c>
      <c r="U800" t="e">
        <f t="shared" si="27"/>
        <v>#REF!</v>
      </c>
    </row>
    <row r="801" spans="4:21" x14ac:dyDescent="0.2">
      <c r="D801" s="4"/>
      <c r="G801" s="5"/>
      <c r="H801" s="5"/>
      <c r="I801" s="4"/>
      <c r="J801" s="4"/>
      <c r="K801" s="5"/>
      <c r="Q801" t="e">
        <f>VLOOKUP(A801,'גיליון דאטה להכל'!A:E,5,0)</f>
        <v>#N/A</v>
      </c>
      <c r="R801" t="e">
        <f>VLOOKUP(A801,'לעדכן בסינתזה דאטה אריזה 42+24'!$A:$C,3,0)</f>
        <v>#N/A</v>
      </c>
      <c r="S801" t="e">
        <f>VLOOKUP(#REF!,'מלאי לא תקין'!A:N,17,0)</f>
        <v>#REF!</v>
      </c>
      <c r="T801" t="e">
        <f t="shared" si="26"/>
        <v>#REF!</v>
      </c>
      <c r="U801" t="e">
        <f t="shared" si="27"/>
        <v>#REF!</v>
      </c>
    </row>
    <row r="802" spans="4:21" x14ac:dyDescent="0.2">
      <c r="D802" s="4"/>
      <c r="G802" s="5"/>
      <c r="H802" s="7"/>
      <c r="I802" s="4"/>
      <c r="J802" s="4"/>
      <c r="K802" s="5"/>
      <c r="Q802" t="e">
        <f>VLOOKUP(A802,'גיליון דאטה להכל'!A:E,5,0)</f>
        <v>#N/A</v>
      </c>
      <c r="R802" t="e">
        <f>VLOOKUP(A802,'לעדכן בסינתזה דאטה אריזה 42+24'!$A:$C,3,0)</f>
        <v>#N/A</v>
      </c>
      <c r="S802" t="e">
        <f>VLOOKUP(#REF!,'מלאי לא תקין'!A:N,17,0)</f>
        <v>#REF!</v>
      </c>
      <c r="T802" t="e">
        <f t="shared" si="26"/>
        <v>#REF!</v>
      </c>
      <c r="U802" t="e">
        <f t="shared" si="27"/>
        <v>#REF!</v>
      </c>
    </row>
    <row r="803" spans="4:21" x14ac:dyDescent="0.2">
      <c r="D803" s="4"/>
      <c r="G803" s="5"/>
      <c r="H803" s="5"/>
      <c r="I803" s="4"/>
      <c r="J803" s="4"/>
      <c r="K803" s="5"/>
      <c r="Q803" t="e">
        <f>VLOOKUP(A803,'גיליון דאטה להכל'!A:E,5,0)</f>
        <v>#N/A</v>
      </c>
      <c r="R803" t="e">
        <f>VLOOKUP(A803,'לעדכן בסינתזה דאטה אריזה 42+24'!$A:$C,3,0)</f>
        <v>#N/A</v>
      </c>
      <c r="S803" t="e">
        <f>VLOOKUP(#REF!,'מלאי לא תקין'!A:N,17,0)</f>
        <v>#REF!</v>
      </c>
      <c r="T803" t="e">
        <f t="shared" si="26"/>
        <v>#REF!</v>
      </c>
      <c r="U803" t="e">
        <f t="shared" si="27"/>
        <v>#REF!</v>
      </c>
    </row>
    <row r="804" spans="4:21" x14ac:dyDescent="0.2">
      <c r="D804" s="4"/>
      <c r="G804" s="5"/>
      <c r="H804" s="5"/>
      <c r="I804" s="4"/>
      <c r="J804" s="4"/>
      <c r="K804" s="5"/>
      <c r="Q804" t="e">
        <f>VLOOKUP(A804,'גיליון דאטה להכל'!A:E,5,0)</f>
        <v>#N/A</v>
      </c>
      <c r="R804" t="e">
        <f>VLOOKUP(A804,'לעדכן בסינתזה דאטה אריזה 42+24'!$A:$C,3,0)</f>
        <v>#N/A</v>
      </c>
      <c r="S804" t="e">
        <f>VLOOKUP(#REF!,'מלאי לא תקין'!A:N,17,0)</f>
        <v>#REF!</v>
      </c>
      <c r="T804" t="e">
        <f t="shared" si="26"/>
        <v>#REF!</v>
      </c>
      <c r="U804" t="e">
        <f t="shared" si="27"/>
        <v>#REF!</v>
      </c>
    </row>
    <row r="805" spans="4:21" x14ac:dyDescent="0.2">
      <c r="D805" s="4"/>
      <c r="G805" s="5"/>
      <c r="H805" s="5"/>
      <c r="I805" s="4"/>
      <c r="J805" s="4"/>
      <c r="K805" s="5"/>
      <c r="Q805" t="e">
        <f>VLOOKUP(A805,'גיליון דאטה להכל'!A:E,5,0)</f>
        <v>#N/A</v>
      </c>
      <c r="R805" t="e">
        <f>VLOOKUP(A805,'לעדכן בסינתזה דאטה אריזה 42+24'!$A:$C,3,0)</f>
        <v>#N/A</v>
      </c>
      <c r="S805" t="e">
        <f>VLOOKUP(#REF!,'מלאי לא תקין'!A:N,17,0)</f>
        <v>#REF!</v>
      </c>
      <c r="T805" t="e">
        <f t="shared" si="26"/>
        <v>#REF!</v>
      </c>
      <c r="U805" t="e">
        <f t="shared" si="27"/>
        <v>#REF!</v>
      </c>
    </row>
    <row r="806" spans="4:21" x14ac:dyDescent="0.2">
      <c r="D806" s="4"/>
      <c r="G806" s="5"/>
      <c r="H806" s="5"/>
      <c r="I806" s="4"/>
      <c r="J806" s="4"/>
      <c r="K806" s="5"/>
      <c r="Q806" t="e">
        <f>VLOOKUP(A806,'גיליון דאטה להכל'!A:E,5,0)</f>
        <v>#N/A</v>
      </c>
      <c r="R806" t="e">
        <f>VLOOKUP(A806,'לעדכן בסינתזה דאטה אריזה 42+24'!$A:$C,3,0)</f>
        <v>#N/A</v>
      </c>
      <c r="S806" t="e">
        <f>VLOOKUP(#REF!,'מלאי לא תקין'!A:N,17,0)</f>
        <v>#REF!</v>
      </c>
      <c r="T806" t="e">
        <f t="shared" si="26"/>
        <v>#REF!</v>
      </c>
      <c r="U806" t="e">
        <f t="shared" si="27"/>
        <v>#REF!</v>
      </c>
    </row>
    <row r="807" spans="4:21" x14ac:dyDescent="0.2">
      <c r="D807" s="4"/>
      <c r="G807" s="5"/>
      <c r="H807" s="5"/>
      <c r="I807" s="4"/>
      <c r="J807" s="4"/>
      <c r="K807" s="5"/>
      <c r="Q807" t="e">
        <f>VLOOKUP(A807,'גיליון דאטה להכל'!A:E,5,0)</f>
        <v>#N/A</v>
      </c>
      <c r="R807" t="e">
        <f>VLOOKUP(A807,'לעדכן בסינתזה דאטה אריזה 42+24'!$A:$C,3,0)</f>
        <v>#N/A</v>
      </c>
      <c r="S807" t="e">
        <f>VLOOKUP(#REF!,'מלאי לא תקין'!A:N,17,0)</f>
        <v>#REF!</v>
      </c>
      <c r="T807" t="e">
        <f t="shared" si="26"/>
        <v>#REF!</v>
      </c>
      <c r="U807" t="e">
        <f t="shared" si="27"/>
        <v>#REF!</v>
      </c>
    </row>
    <row r="808" spans="4:21" x14ac:dyDescent="0.2">
      <c r="D808" s="4"/>
      <c r="G808" s="5"/>
      <c r="H808" s="7"/>
      <c r="I808" s="4"/>
      <c r="J808" s="4"/>
      <c r="K808" s="5"/>
      <c r="Q808" t="e">
        <f>VLOOKUP(A808,'גיליון דאטה להכל'!A:E,5,0)</f>
        <v>#N/A</v>
      </c>
      <c r="R808" t="e">
        <f>VLOOKUP(A808,'לעדכן בסינתזה דאטה אריזה 42+24'!$A:$C,3,0)</f>
        <v>#N/A</v>
      </c>
      <c r="S808" t="e">
        <f>VLOOKUP(#REF!,'מלאי לא תקין'!A:N,17,0)</f>
        <v>#REF!</v>
      </c>
      <c r="T808" t="e">
        <f t="shared" si="26"/>
        <v>#REF!</v>
      </c>
      <c r="U808" t="e">
        <f t="shared" si="27"/>
        <v>#REF!</v>
      </c>
    </row>
    <row r="809" spans="4:21" x14ac:dyDescent="0.2">
      <c r="D809" s="4"/>
      <c r="G809" s="5"/>
      <c r="H809" s="5"/>
      <c r="I809" s="4"/>
      <c r="J809" s="4"/>
      <c r="K809" s="5"/>
      <c r="Q809" t="e">
        <f>VLOOKUP(A809,'גיליון דאטה להכל'!A:E,5,0)</f>
        <v>#N/A</v>
      </c>
      <c r="R809" t="e">
        <f>VLOOKUP(A809,'לעדכן בסינתזה דאטה אריזה 42+24'!$A:$C,3,0)</f>
        <v>#N/A</v>
      </c>
      <c r="S809" t="e">
        <f>VLOOKUP(#REF!,'מלאי לא תקין'!A:N,17,0)</f>
        <v>#REF!</v>
      </c>
      <c r="T809" t="e">
        <f t="shared" si="26"/>
        <v>#REF!</v>
      </c>
      <c r="U809" t="e">
        <f t="shared" si="27"/>
        <v>#REF!</v>
      </c>
    </row>
    <row r="810" spans="4:21" x14ac:dyDescent="0.2">
      <c r="D810" s="4"/>
      <c r="G810" s="5"/>
      <c r="H810" s="5"/>
      <c r="I810" s="4"/>
      <c r="J810" s="4"/>
      <c r="K810" s="5"/>
      <c r="Q810" t="e">
        <f>VLOOKUP(A810,'גיליון דאטה להכל'!A:E,5,0)</f>
        <v>#N/A</v>
      </c>
      <c r="R810" t="e">
        <f>VLOOKUP(A810,'לעדכן בסינתזה דאטה אריזה 42+24'!$A:$C,3,0)</f>
        <v>#N/A</v>
      </c>
      <c r="S810" t="e">
        <f>VLOOKUP(#REF!,'מלאי לא תקין'!A:N,17,0)</f>
        <v>#REF!</v>
      </c>
      <c r="T810" t="e">
        <f t="shared" si="26"/>
        <v>#REF!</v>
      </c>
      <c r="U810" t="e">
        <f t="shared" si="27"/>
        <v>#REF!</v>
      </c>
    </row>
    <row r="811" spans="4:21" x14ac:dyDescent="0.2">
      <c r="D811" s="4"/>
      <c r="G811" s="5"/>
      <c r="H811" s="5"/>
      <c r="I811" s="4"/>
      <c r="J811" s="4"/>
      <c r="K811" s="5"/>
      <c r="Q811" t="e">
        <f>VLOOKUP(A811,'גיליון דאטה להכל'!A:E,5,0)</f>
        <v>#N/A</v>
      </c>
      <c r="R811" t="e">
        <f>VLOOKUP(A811,'לעדכן בסינתזה דאטה אריזה 42+24'!$A:$C,3,0)</f>
        <v>#N/A</v>
      </c>
      <c r="S811" t="e">
        <f>VLOOKUP(#REF!,'מלאי לא תקין'!A:N,17,0)</f>
        <v>#REF!</v>
      </c>
      <c r="T811" t="e">
        <f t="shared" si="26"/>
        <v>#REF!</v>
      </c>
      <c r="U811" t="e">
        <f t="shared" si="27"/>
        <v>#REF!</v>
      </c>
    </row>
    <row r="812" spans="4:21" x14ac:dyDescent="0.2">
      <c r="D812" s="4"/>
      <c r="G812" s="5"/>
      <c r="H812" s="5"/>
      <c r="I812" s="4"/>
      <c r="J812" s="4"/>
      <c r="K812" s="5"/>
      <c r="Q812" t="e">
        <f>VLOOKUP(A812,'גיליון דאטה להכל'!A:E,5,0)</f>
        <v>#N/A</v>
      </c>
      <c r="R812" t="e">
        <f>VLOOKUP(A812,'לעדכן בסינתזה דאטה אריזה 42+24'!$A:$C,3,0)</f>
        <v>#N/A</v>
      </c>
      <c r="S812" t="e">
        <f>VLOOKUP(#REF!,'מלאי לא תקין'!A:N,17,0)</f>
        <v>#REF!</v>
      </c>
      <c r="T812" t="e">
        <f t="shared" si="26"/>
        <v>#REF!</v>
      </c>
      <c r="U812" t="e">
        <f t="shared" si="27"/>
        <v>#REF!</v>
      </c>
    </row>
    <row r="813" spans="4:21" x14ac:dyDescent="0.2">
      <c r="D813" s="4"/>
      <c r="G813" s="5"/>
      <c r="H813" s="5"/>
      <c r="I813" s="4"/>
      <c r="J813" s="4"/>
      <c r="K813" s="5"/>
      <c r="Q813" t="e">
        <f>VLOOKUP(A813,'גיליון דאטה להכל'!A:E,5,0)</f>
        <v>#N/A</v>
      </c>
      <c r="R813" t="e">
        <f>VLOOKUP(A813,'לעדכן בסינתזה דאטה אריזה 42+24'!$A:$C,3,0)</f>
        <v>#N/A</v>
      </c>
      <c r="S813" t="e">
        <f>VLOOKUP(#REF!,'מלאי לא תקין'!A:N,17,0)</f>
        <v>#REF!</v>
      </c>
      <c r="T813" t="e">
        <f t="shared" si="26"/>
        <v>#REF!</v>
      </c>
      <c r="U813" t="e">
        <f t="shared" si="27"/>
        <v>#REF!</v>
      </c>
    </row>
    <row r="814" spans="4:21" x14ac:dyDescent="0.2">
      <c r="D814" s="4"/>
      <c r="G814" s="5"/>
      <c r="H814" s="7"/>
      <c r="I814" s="4"/>
      <c r="J814" s="4"/>
      <c r="K814" s="5"/>
      <c r="Q814" t="e">
        <f>VLOOKUP(A814,'גיליון דאטה להכל'!A:E,5,0)</f>
        <v>#N/A</v>
      </c>
      <c r="R814" t="e">
        <f>VLOOKUP(A814,'לעדכן בסינתזה דאטה אריזה 42+24'!$A:$C,3,0)</f>
        <v>#N/A</v>
      </c>
      <c r="S814" t="e">
        <f>VLOOKUP(#REF!,'מלאי לא תקין'!A:N,17,0)</f>
        <v>#REF!</v>
      </c>
      <c r="T814" t="e">
        <f t="shared" si="26"/>
        <v>#REF!</v>
      </c>
      <c r="U814" t="e">
        <f t="shared" si="27"/>
        <v>#REF!</v>
      </c>
    </row>
    <row r="815" spans="4:21" x14ac:dyDescent="0.2">
      <c r="D815" s="4"/>
      <c r="G815" s="5"/>
      <c r="H815" s="5"/>
      <c r="I815" s="4"/>
      <c r="J815" s="4"/>
      <c r="K815" s="5"/>
      <c r="Q815" t="e">
        <f>VLOOKUP(A815,'גיליון דאטה להכל'!A:E,5,0)</f>
        <v>#N/A</v>
      </c>
      <c r="R815" t="e">
        <f>VLOOKUP(A815,'לעדכן בסינתזה דאטה אריזה 42+24'!$A:$C,3,0)</f>
        <v>#N/A</v>
      </c>
      <c r="S815" t="e">
        <f>VLOOKUP(#REF!,'מלאי לא תקין'!A:N,17,0)</f>
        <v>#REF!</v>
      </c>
      <c r="T815" t="e">
        <f t="shared" si="26"/>
        <v>#REF!</v>
      </c>
      <c r="U815" t="e">
        <f t="shared" si="27"/>
        <v>#REF!</v>
      </c>
    </row>
    <row r="816" spans="4:21" x14ac:dyDescent="0.2">
      <c r="D816" s="4"/>
      <c r="G816" s="5"/>
      <c r="H816" s="5"/>
      <c r="I816" s="4"/>
      <c r="J816" s="4"/>
      <c r="K816" s="5"/>
      <c r="Q816" t="e">
        <f>VLOOKUP(A816,'גיליון דאטה להכל'!A:E,5,0)</f>
        <v>#N/A</v>
      </c>
      <c r="R816" t="e">
        <f>VLOOKUP(A816,'לעדכן בסינתזה דאטה אריזה 42+24'!$A:$C,3,0)</f>
        <v>#N/A</v>
      </c>
      <c r="S816" t="e">
        <f>VLOOKUP(#REF!,'מלאי לא תקין'!A:N,17,0)</f>
        <v>#REF!</v>
      </c>
      <c r="T816" t="e">
        <f t="shared" si="26"/>
        <v>#REF!</v>
      </c>
      <c r="U816" t="e">
        <f t="shared" si="27"/>
        <v>#REF!</v>
      </c>
    </row>
    <row r="817" spans="4:21" x14ac:dyDescent="0.2">
      <c r="D817" s="4"/>
      <c r="G817" s="5"/>
      <c r="H817" s="5"/>
      <c r="I817" s="4"/>
      <c r="J817" s="4"/>
      <c r="K817" s="5"/>
      <c r="Q817" t="e">
        <f>VLOOKUP(A817,'גיליון דאטה להכל'!A:E,5,0)</f>
        <v>#N/A</v>
      </c>
      <c r="R817" t="e">
        <f>VLOOKUP(A817,'לעדכן בסינתזה דאטה אריזה 42+24'!$A:$C,3,0)</f>
        <v>#N/A</v>
      </c>
      <c r="S817" t="e">
        <f>VLOOKUP(#REF!,'מלאי לא תקין'!A:N,17,0)</f>
        <v>#REF!</v>
      </c>
      <c r="T817" t="e">
        <f t="shared" si="26"/>
        <v>#REF!</v>
      </c>
      <c r="U817" t="e">
        <f t="shared" si="27"/>
        <v>#REF!</v>
      </c>
    </row>
    <row r="818" spans="4:21" x14ac:dyDescent="0.2">
      <c r="D818" s="4"/>
      <c r="G818" s="5"/>
      <c r="H818" s="5"/>
      <c r="I818" s="4"/>
      <c r="J818" s="4"/>
      <c r="K818" s="5"/>
      <c r="Q818" t="e">
        <f>VLOOKUP(A818,'גיליון דאטה להכל'!A:E,5,0)</f>
        <v>#N/A</v>
      </c>
      <c r="R818" t="e">
        <f>VLOOKUP(A818,'לעדכן בסינתזה דאטה אריזה 42+24'!$A:$C,3,0)</f>
        <v>#N/A</v>
      </c>
      <c r="S818" t="e">
        <f>VLOOKUP(#REF!,'מלאי לא תקין'!A:N,17,0)</f>
        <v>#REF!</v>
      </c>
      <c r="T818" t="e">
        <f t="shared" si="26"/>
        <v>#REF!</v>
      </c>
      <c r="U818" t="e">
        <f t="shared" si="27"/>
        <v>#REF!</v>
      </c>
    </row>
    <row r="819" spans="4:21" x14ac:dyDescent="0.2">
      <c r="D819" s="4"/>
      <c r="G819" s="5"/>
      <c r="H819" s="5"/>
      <c r="I819" s="4"/>
      <c r="J819" s="4"/>
      <c r="K819" s="5"/>
      <c r="Q819" t="e">
        <f>VLOOKUP(A819,'גיליון דאטה להכל'!A:E,5,0)</f>
        <v>#N/A</v>
      </c>
      <c r="R819" t="e">
        <f>VLOOKUP(A819,'לעדכן בסינתזה דאטה אריזה 42+24'!$A:$C,3,0)</f>
        <v>#N/A</v>
      </c>
      <c r="S819" t="e">
        <f>VLOOKUP(#REF!,'מלאי לא תקין'!A:N,17,0)</f>
        <v>#REF!</v>
      </c>
      <c r="T819" t="e">
        <f t="shared" si="26"/>
        <v>#REF!</v>
      </c>
      <c r="U819" t="e">
        <f t="shared" si="27"/>
        <v>#REF!</v>
      </c>
    </row>
    <row r="820" spans="4:21" x14ac:dyDescent="0.2">
      <c r="D820" s="4"/>
      <c r="G820" s="5"/>
      <c r="H820" s="7"/>
      <c r="I820" s="4"/>
      <c r="J820" s="4"/>
      <c r="K820" s="5"/>
      <c r="Q820" t="e">
        <f>VLOOKUP(A820,'גיליון דאטה להכל'!A:E,5,0)</f>
        <v>#N/A</v>
      </c>
      <c r="R820" t="e">
        <f>VLOOKUP(A820,'לעדכן בסינתזה דאטה אריזה 42+24'!$A:$C,3,0)</f>
        <v>#N/A</v>
      </c>
      <c r="S820" t="e">
        <f>VLOOKUP(#REF!,'מלאי לא תקין'!A:N,17,0)</f>
        <v>#REF!</v>
      </c>
      <c r="T820" t="e">
        <f t="shared" si="26"/>
        <v>#REF!</v>
      </c>
      <c r="U820" t="e">
        <f t="shared" si="27"/>
        <v>#REF!</v>
      </c>
    </row>
    <row r="821" spans="4:21" x14ac:dyDescent="0.2">
      <c r="D821" s="4"/>
      <c r="G821" s="5"/>
      <c r="H821" s="5"/>
      <c r="I821" s="4"/>
      <c r="J821" s="4"/>
      <c r="K821" s="5"/>
      <c r="Q821" t="e">
        <f>VLOOKUP(A821,'גיליון דאטה להכל'!A:E,5,0)</f>
        <v>#N/A</v>
      </c>
      <c r="R821" t="e">
        <f>VLOOKUP(A821,'לעדכן בסינתזה דאטה אריזה 42+24'!$A:$C,3,0)</f>
        <v>#N/A</v>
      </c>
      <c r="S821" t="e">
        <f>VLOOKUP(#REF!,'מלאי לא תקין'!A:N,17,0)</f>
        <v>#REF!</v>
      </c>
      <c r="T821" t="e">
        <f t="shared" si="26"/>
        <v>#REF!</v>
      </c>
      <c r="U821" t="e">
        <f t="shared" si="27"/>
        <v>#REF!</v>
      </c>
    </row>
    <row r="822" spans="4:21" x14ac:dyDescent="0.2">
      <c r="D822" s="4"/>
      <c r="G822" s="5"/>
      <c r="H822" s="5"/>
      <c r="I822" s="4"/>
      <c r="J822" s="4"/>
      <c r="K822" s="5"/>
      <c r="Q822" t="e">
        <f>VLOOKUP(A822,'גיליון דאטה להכל'!A:E,5,0)</f>
        <v>#N/A</v>
      </c>
      <c r="R822" t="e">
        <f>VLOOKUP(A822,'לעדכן בסינתזה דאטה אריזה 42+24'!$A:$C,3,0)</f>
        <v>#N/A</v>
      </c>
      <c r="S822" t="e">
        <f>VLOOKUP(#REF!,'מלאי לא תקין'!A:N,17,0)</f>
        <v>#REF!</v>
      </c>
      <c r="T822" t="e">
        <f t="shared" ref="T822:T884" si="28">_xlfn.CONCAT(S822,Q822)</f>
        <v>#REF!</v>
      </c>
      <c r="U822" t="e">
        <f t="shared" ref="U822:U884" si="29">_xlfn.CONCAT(S822,O822)</f>
        <v>#REF!</v>
      </c>
    </row>
    <row r="823" spans="4:21" x14ac:dyDescent="0.2">
      <c r="D823" s="4"/>
      <c r="G823" s="5"/>
      <c r="H823" s="5"/>
      <c r="I823" s="4"/>
      <c r="J823" s="4"/>
      <c r="K823" s="5"/>
      <c r="Q823" t="e">
        <f>VLOOKUP(A823,'גיליון דאטה להכל'!A:E,5,0)</f>
        <v>#N/A</v>
      </c>
      <c r="R823" t="e">
        <f>VLOOKUP(A823,'לעדכן בסינתזה דאטה אריזה 42+24'!$A:$C,3,0)</f>
        <v>#N/A</v>
      </c>
      <c r="S823" t="e">
        <f>VLOOKUP(#REF!,'מלאי לא תקין'!A:N,17,0)</f>
        <v>#REF!</v>
      </c>
      <c r="T823" t="e">
        <f t="shared" si="28"/>
        <v>#REF!</v>
      </c>
      <c r="U823" t="e">
        <f t="shared" si="29"/>
        <v>#REF!</v>
      </c>
    </row>
    <row r="824" spans="4:21" x14ac:dyDescent="0.2">
      <c r="D824" s="4"/>
      <c r="G824" s="5"/>
      <c r="H824" s="5"/>
      <c r="I824" s="4"/>
      <c r="J824" s="4"/>
      <c r="K824" s="5"/>
      <c r="Q824" t="e">
        <f>VLOOKUP(A824,'גיליון דאטה להכל'!A:E,5,0)</f>
        <v>#N/A</v>
      </c>
      <c r="R824" t="e">
        <f>VLOOKUP(A824,'לעדכן בסינתזה דאטה אריזה 42+24'!$A:$C,3,0)</f>
        <v>#N/A</v>
      </c>
      <c r="S824" t="e">
        <f>VLOOKUP(#REF!,'מלאי לא תקין'!A:N,17,0)</f>
        <v>#REF!</v>
      </c>
      <c r="T824" t="e">
        <f t="shared" si="28"/>
        <v>#REF!</v>
      </c>
      <c r="U824" t="e">
        <f t="shared" si="29"/>
        <v>#REF!</v>
      </c>
    </row>
    <row r="825" spans="4:21" x14ac:dyDescent="0.2">
      <c r="D825" s="4"/>
      <c r="G825" s="5"/>
      <c r="H825" s="5"/>
      <c r="I825" s="4"/>
      <c r="J825" s="4"/>
      <c r="K825" s="5"/>
      <c r="Q825" t="e">
        <f>VLOOKUP(A825,'גיליון דאטה להכל'!A:E,5,0)</f>
        <v>#N/A</v>
      </c>
      <c r="R825" t="e">
        <f>VLOOKUP(A825,'לעדכן בסינתזה דאטה אריזה 42+24'!$A:$C,3,0)</f>
        <v>#N/A</v>
      </c>
      <c r="S825" t="e">
        <f>VLOOKUP(#REF!,'מלאי לא תקין'!A:N,17,0)</f>
        <v>#REF!</v>
      </c>
      <c r="T825" t="e">
        <f t="shared" si="28"/>
        <v>#REF!</v>
      </c>
      <c r="U825" t="e">
        <f t="shared" si="29"/>
        <v>#REF!</v>
      </c>
    </row>
    <row r="826" spans="4:21" x14ac:dyDescent="0.2">
      <c r="D826" s="4"/>
      <c r="G826" s="5"/>
      <c r="H826" s="7"/>
      <c r="I826" s="4"/>
      <c r="J826" s="4"/>
      <c r="K826" s="5"/>
      <c r="Q826" t="e">
        <f>VLOOKUP(A826,'גיליון דאטה להכל'!A:E,5,0)</f>
        <v>#N/A</v>
      </c>
      <c r="R826" t="e">
        <f>VLOOKUP(A826,'לעדכן בסינתזה דאטה אריזה 42+24'!$A:$C,3,0)</f>
        <v>#N/A</v>
      </c>
      <c r="S826" t="e">
        <f>VLOOKUP(#REF!,'מלאי לא תקין'!A:N,17,0)</f>
        <v>#REF!</v>
      </c>
      <c r="T826" t="e">
        <f t="shared" si="28"/>
        <v>#REF!</v>
      </c>
      <c r="U826" t="e">
        <f t="shared" si="29"/>
        <v>#REF!</v>
      </c>
    </row>
    <row r="827" spans="4:21" x14ac:dyDescent="0.2">
      <c r="D827" s="4"/>
      <c r="G827" s="5"/>
      <c r="H827" s="5"/>
      <c r="I827" s="4"/>
      <c r="J827" s="4"/>
      <c r="K827" s="5"/>
      <c r="Q827" t="e">
        <f>VLOOKUP(A827,'גיליון דאטה להכל'!A:E,5,0)</f>
        <v>#N/A</v>
      </c>
      <c r="R827" t="e">
        <f>VLOOKUP(A827,'לעדכן בסינתזה דאטה אריזה 42+24'!$A:$C,3,0)</f>
        <v>#N/A</v>
      </c>
      <c r="S827" t="e">
        <f>VLOOKUP(#REF!,'מלאי לא תקין'!A:N,17,0)</f>
        <v>#REF!</v>
      </c>
      <c r="T827" t="e">
        <f t="shared" si="28"/>
        <v>#REF!</v>
      </c>
      <c r="U827" t="e">
        <f t="shared" si="29"/>
        <v>#REF!</v>
      </c>
    </row>
    <row r="828" spans="4:21" x14ac:dyDescent="0.2">
      <c r="D828" s="4"/>
      <c r="G828" s="5"/>
      <c r="H828" s="5"/>
      <c r="I828" s="4"/>
      <c r="J828" s="4"/>
      <c r="K828" s="5"/>
      <c r="Q828" t="e">
        <f>VLOOKUP(A828,'גיליון דאטה להכל'!A:E,5,0)</f>
        <v>#N/A</v>
      </c>
      <c r="R828" t="e">
        <f>VLOOKUP(A828,'לעדכן בסינתזה דאטה אריזה 42+24'!$A:$C,3,0)</f>
        <v>#N/A</v>
      </c>
      <c r="S828" t="e">
        <f>VLOOKUP(#REF!,'מלאי לא תקין'!A:N,17,0)</f>
        <v>#REF!</v>
      </c>
      <c r="T828" t="e">
        <f t="shared" si="28"/>
        <v>#REF!</v>
      </c>
      <c r="U828" t="e">
        <f t="shared" si="29"/>
        <v>#REF!</v>
      </c>
    </row>
    <row r="829" spans="4:21" x14ac:dyDescent="0.2">
      <c r="D829" s="4"/>
      <c r="G829" s="5"/>
      <c r="H829" s="5"/>
      <c r="I829" s="4"/>
      <c r="J829" s="4"/>
      <c r="K829" s="5"/>
      <c r="Q829" t="e">
        <f>VLOOKUP(A829,'גיליון דאטה להכל'!A:E,5,0)</f>
        <v>#N/A</v>
      </c>
      <c r="R829" t="e">
        <f>VLOOKUP(A829,'לעדכן בסינתזה דאטה אריזה 42+24'!$A:$C,3,0)</f>
        <v>#N/A</v>
      </c>
      <c r="S829" t="e">
        <f>VLOOKUP(#REF!,'מלאי לא תקין'!A:N,17,0)</f>
        <v>#REF!</v>
      </c>
      <c r="T829" t="e">
        <f t="shared" si="28"/>
        <v>#REF!</v>
      </c>
      <c r="U829" t="e">
        <f t="shared" si="29"/>
        <v>#REF!</v>
      </c>
    </row>
    <row r="830" spans="4:21" x14ac:dyDescent="0.2">
      <c r="D830" s="4"/>
      <c r="G830" s="5"/>
      <c r="H830" s="5"/>
      <c r="I830" s="4"/>
      <c r="J830" s="4"/>
      <c r="K830" s="5"/>
      <c r="Q830" t="e">
        <f>VLOOKUP(A830,'גיליון דאטה להכל'!A:E,5,0)</f>
        <v>#N/A</v>
      </c>
      <c r="R830" t="e">
        <f>VLOOKUP(A830,'לעדכן בסינתזה דאטה אריזה 42+24'!$A:$C,3,0)</f>
        <v>#N/A</v>
      </c>
      <c r="S830" t="e">
        <f>VLOOKUP(#REF!,'מלאי לא תקין'!A:N,17,0)</f>
        <v>#REF!</v>
      </c>
      <c r="T830" t="e">
        <f t="shared" si="28"/>
        <v>#REF!</v>
      </c>
      <c r="U830" t="e">
        <f t="shared" si="29"/>
        <v>#REF!</v>
      </c>
    </row>
    <row r="831" spans="4:21" x14ac:dyDescent="0.2">
      <c r="D831" s="4"/>
      <c r="G831" s="5"/>
      <c r="H831" s="7"/>
      <c r="I831" s="4"/>
      <c r="J831" s="4"/>
      <c r="K831" s="5"/>
      <c r="Q831" t="e">
        <f>VLOOKUP(A831,'גיליון דאטה להכל'!A:E,5,0)</f>
        <v>#N/A</v>
      </c>
      <c r="R831" t="e">
        <f>VLOOKUP(A831,'לעדכן בסינתזה דאטה אריזה 42+24'!$A:$C,3,0)</f>
        <v>#N/A</v>
      </c>
      <c r="S831" t="e">
        <f>VLOOKUP(#REF!,'מלאי לא תקין'!A:N,17,0)</f>
        <v>#REF!</v>
      </c>
      <c r="T831" t="e">
        <f t="shared" si="28"/>
        <v>#REF!</v>
      </c>
      <c r="U831" t="e">
        <f t="shared" si="29"/>
        <v>#REF!</v>
      </c>
    </row>
    <row r="832" spans="4:21" x14ac:dyDescent="0.2">
      <c r="D832" s="4"/>
      <c r="G832" s="5"/>
      <c r="H832" s="5"/>
      <c r="I832" s="4"/>
      <c r="J832" s="4"/>
      <c r="K832" s="5"/>
      <c r="Q832" t="e">
        <f>VLOOKUP(A832,'גיליון דאטה להכל'!A:E,5,0)</f>
        <v>#N/A</v>
      </c>
      <c r="R832" t="e">
        <f>VLOOKUP(A832,'לעדכן בסינתזה דאטה אריזה 42+24'!$A:$C,3,0)</f>
        <v>#N/A</v>
      </c>
      <c r="S832" t="e">
        <f>VLOOKUP(#REF!,'מלאי לא תקין'!A:N,17,0)</f>
        <v>#REF!</v>
      </c>
      <c r="T832" t="e">
        <f t="shared" si="28"/>
        <v>#REF!</v>
      </c>
      <c r="U832" t="e">
        <f t="shared" si="29"/>
        <v>#REF!</v>
      </c>
    </row>
    <row r="833" spans="4:21" x14ac:dyDescent="0.2">
      <c r="D833" s="4"/>
      <c r="G833" s="5"/>
      <c r="H833" s="5"/>
      <c r="I833" s="4"/>
      <c r="J833" s="4"/>
      <c r="K833" s="5"/>
      <c r="Q833" t="e">
        <f>VLOOKUP(A833,'גיליון דאטה להכל'!A:E,5,0)</f>
        <v>#N/A</v>
      </c>
      <c r="R833" t="e">
        <f>VLOOKUP(A833,'לעדכן בסינתזה דאטה אריזה 42+24'!$A:$C,3,0)</f>
        <v>#N/A</v>
      </c>
      <c r="S833" t="e">
        <f>VLOOKUP(#REF!,'מלאי לא תקין'!A:N,17,0)</f>
        <v>#REF!</v>
      </c>
      <c r="T833" t="e">
        <f t="shared" si="28"/>
        <v>#REF!</v>
      </c>
      <c r="U833" t="e">
        <f t="shared" si="29"/>
        <v>#REF!</v>
      </c>
    </row>
    <row r="834" spans="4:21" x14ac:dyDescent="0.2">
      <c r="D834" s="4"/>
      <c r="G834" s="5"/>
      <c r="H834" s="5"/>
      <c r="I834" s="4"/>
      <c r="J834" s="4"/>
      <c r="K834" s="5"/>
      <c r="Q834" t="e">
        <f>VLOOKUP(A834,'גיליון דאטה להכל'!A:E,5,0)</f>
        <v>#N/A</v>
      </c>
      <c r="R834" t="e">
        <f>VLOOKUP(A834,'לעדכן בסינתזה דאטה אריזה 42+24'!$A:$C,3,0)</f>
        <v>#N/A</v>
      </c>
      <c r="S834" t="e">
        <f>VLOOKUP(#REF!,'מלאי לא תקין'!A:N,17,0)</f>
        <v>#REF!</v>
      </c>
      <c r="T834" t="e">
        <f t="shared" si="28"/>
        <v>#REF!</v>
      </c>
      <c r="U834" t="e">
        <f t="shared" si="29"/>
        <v>#REF!</v>
      </c>
    </row>
    <row r="835" spans="4:21" x14ac:dyDescent="0.2">
      <c r="D835" s="4"/>
      <c r="G835" s="5"/>
      <c r="H835" s="7"/>
      <c r="I835" s="4"/>
      <c r="J835" s="4"/>
      <c r="K835" s="5"/>
      <c r="Q835" t="e">
        <f>VLOOKUP(A835,'גיליון דאטה להכל'!A:E,5,0)</f>
        <v>#N/A</v>
      </c>
      <c r="R835" t="e">
        <f>VLOOKUP(A835,'לעדכן בסינתזה דאטה אריזה 42+24'!$A:$C,3,0)</f>
        <v>#N/A</v>
      </c>
      <c r="S835" t="e">
        <f>VLOOKUP(#REF!,'מלאי לא תקין'!A:N,17,0)</f>
        <v>#REF!</v>
      </c>
      <c r="T835" t="e">
        <f t="shared" si="28"/>
        <v>#REF!</v>
      </c>
      <c r="U835" t="e">
        <f t="shared" si="29"/>
        <v>#REF!</v>
      </c>
    </row>
    <row r="836" spans="4:21" x14ac:dyDescent="0.2">
      <c r="D836" s="4"/>
      <c r="G836" s="5"/>
      <c r="H836" s="5"/>
      <c r="I836" s="4"/>
      <c r="J836" s="4"/>
      <c r="K836" s="5"/>
      <c r="Q836" t="e">
        <f>VLOOKUP(A836,'גיליון דאטה להכל'!A:E,5,0)</f>
        <v>#N/A</v>
      </c>
      <c r="R836" t="e">
        <f>VLOOKUP(A836,'לעדכן בסינתזה דאטה אריזה 42+24'!$A:$C,3,0)</f>
        <v>#N/A</v>
      </c>
      <c r="S836" t="e">
        <f>VLOOKUP(#REF!,'מלאי לא תקין'!A:N,17,0)</f>
        <v>#REF!</v>
      </c>
      <c r="T836" t="e">
        <f t="shared" si="28"/>
        <v>#REF!</v>
      </c>
      <c r="U836" t="e">
        <f t="shared" si="29"/>
        <v>#REF!</v>
      </c>
    </row>
    <row r="837" spans="4:21" x14ac:dyDescent="0.2">
      <c r="D837" s="4"/>
      <c r="G837" s="5"/>
      <c r="H837" s="5"/>
      <c r="I837" s="4"/>
      <c r="J837" s="4"/>
      <c r="K837" s="5"/>
      <c r="Q837" t="e">
        <f>VLOOKUP(A837,'גיליון דאטה להכל'!A:E,5,0)</f>
        <v>#N/A</v>
      </c>
      <c r="R837" t="e">
        <f>VLOOKUP(A837,'לעדכן בסינתזה דאטה אריזה 42+24'!$A:$C,3,0)</f>
        <v>#N/A</v>
      </c>
      <c r="S837" t="e">
        <f>VLOOKUP(#REF!,'מלאי לא תקין'!A:N,17,0)</f>
        <v>#REF!</v>
      </c>
      <c r="T837" t="e">
        <f t="shared" si="28"/>
        <v>#REF!</v>
      </c>
      <c r="U837" t="e">
        <f t="shared" si="29"/>
        <v>#REF!</v>
      </c>
    </row>
    <row r="838" spans="4:21" x14ac:dyDescent="0.2">
      <c r="D838" s="4"/>
      <c r="G838" s="5"/>
      <c r="H838" s="5"/>
      <c r="I838" s="4"/>
      <c r="J838" s="4"/>
      <c r="K838" s="5"/>
      <c r="Q838" t="e">
        <f>VLOOKUP(A838,'גיליון דאטה להכל'!A:E,5,0)</f>
        <v>#N/A</v>
      </c>
      <c r="R838" t="e">
        <f>VLOOKUP(A838,'לעדכן בסינתזה דאטה אריזה 42+24'!$A:$C,3,0)</f>
        <v>#N/A</v>
      </c>
      <c r="S838" t="e">
        <f>VLOOKUP(#REF!,'מלאי לא תקין'!A:N,17,0)</f>
        <v>#REF!</v>
      </c>
      <c r="T838" t="e">
        <f t="shared" si="28"/>
        <v>#REF!</v>
      </c>
      <c r="U838" t="e">
        <f t="shared" si="29"/>
        <v>#REF!</v>
      </c>
    </row>
    <row r="839" spans="4:21" x14ac:dyDescent="0.2">
      <c r="D839" s="4"/>
      <c r="G839" s="5"/>
      <c r="H839" s="5"/>
      <c r="I839" s="4"/>
      <c r="J839" s="4"/>
      <c r="K839" s="5"/>
      <c r="Q839" t="e">
        <f>VLOOKUP(A839,'גיליון דאטה להכל'!A:E,5,0)</f>
        <v>#N/A</v>
      </c>
      <c r="R839" t="e">
        <f>VLOOKUP(A839,'לעדכן בסינתזה דאטה אריזה 42+24'!$A:$C,3,0)</f>
        <v>#N/A</v>
      </c>
      <c r="S839" t="e">
        <f>VLOOKUP(#REF!,'מלאי לא תקין'!A:N,17,0)</f>
        <v>#REF!</v>
      </c>
      <c r="T839" t="e">
        <f t="shared" si="28"/>
        <v>#REF!</v>
      </c>
      <c r="U839" t="e">
        <f t="shared" si="29"/>
        <v>#REF!</v>
      </c>
    </row>
    <row r="840" spans="4:21" x14ac:dyDescent="0.2">
      <c r="D840" s="4"/>
      <c r="G840" s="5"/>
      <c r="H840" s="7"/>
      <c r="I840" s="4"/>
      <c r="J840" s="4"/>
      <c r="K840" s="5"/>
      <c r="Q840" t="e">
        <f>VLOOKUP(A840,'גיליון דאטה להכל'!A:E,5,0)</f>
        <v>#N/A</v>
      </c>
      <c r="R840" t="e">
        <f>VLOOKUP(A840,'לעדכן בסינתזה דאטה אריזה 42+24'!$A:$C,3,0)</f>
        <v>#N/A</v>
      </c>
      <c r="S840" t="e">
        <f>VLOOKUP(#REF!,'מלאי לא תקין'!A:N,17,0)</f>
        <v>#REF!</v>
      </c>
      <c r="T840" t="e">
        <f t="shared" si="28"/>
        <v>#REF!</v>
      </c>
      <c r="U840" t="e">
        <f t="shared" si="29"/>
        <v>#REF!</v>
      </c>
    </row>
    <row r="841" spans="4:21" x14ac:dyDescent="0.2">
      <c r="D841" s="4"/>
      <c r="G841" s="5"/>
      <c r="H841" s="5"/>
      <c r="I841" s="4"/>
      <c r="J841" s="4"/>
      <c r="K841" s="5"/>
      <c r="Q841" t="e">
        <f>VLOOKUP(A841,'גיליון דאטה להכל'!A:E,5,0)</f>
        <v>#N/A</v>
      </c>
      <c r="R841" t="e">
        <f>VLOOKUP(A841,'לעדכן בסינתזה דאטה אריזה 42+24'!$A:$C,3,0)</f>
        <v>#N/A</v>
      </c>
      <c r="S841" t="e">
        <f>VLOOKUP(#REF!,'מלאי לא תקין'!A:N,17,0)</f>
        <v>#REF!</v>
      </c>
      <c r="T841" t="e">
        <f t="shared" si="28"/>
        <v>#REF!</v>
      </c>
      <c r="U841" t="e">
        <f t="shared" si="29"/>
        <v>#REF!</v>
      </c>
    </row>
    <row r="842" spans="4:21" x14ac:dyDescent="0.2">
      <c r="D842" s="4"/>
      <c r="G842" s="5"/>
      <c r="H842" s="5"/>
      <c r="I842" s="4"/>
      <c r="J842" s="4"/>
      <c r="K842" s="5"/>
      <c r="Q842" t="e">
        <f>VLOOKUP(A842,'גיליון דאטה להכל'!A:E,5,0)</f>
        <v>#N/A</v>
      </c>
      <c r="R842" t="e">
        <f>VLOOKUP(A842,'לעדכן בסינתזה דאטה אריזה 42+24'!$A:$C,3,0)</f>
        <v>#N/A</v>
      </c>
      <c r="S842" t="e">
        <f>VLOOKUP(#REF!,'מלאי לא תקין'!A:N,17,0)</f>
        <v>#REF!</v>
      </c>
      <c r="T842" t="e">
        <f t="shared" si="28"/>
        <v>#REF!</v>
      </c>
      <c r="U842" t="e">
        <f t="shared" si="29"/>
        <v>#REF!</v>
      </c>
    </row>
    <row r="843" spans="4:21" x14ac:dyDescent="0.2">
      <c r="D843" s="4"/>
      <c r="G843" s="5"/>
      <c r="H843" s="5"/>
      <c r="I843" s="4"/>
      <c r="J843" s="4"/>
      <c r="K843" s="5"/>
      <c r="Q843" t="e">
        <f>VLOOKUP(A843,'גיליון דאטה להכל'!A:E,5,0)</f>
        <v>#N/A</v>
      </c>
      <c r="R843" t="e">
        <f>VLOOKUP(A843,'לעדכן בסינתזה דאטה אריזה 42+24'!$A:$C,3,0)</f>
        <v>#N/A</v>
      </c>
      <c r="S843" t="e">
        <f>VLOOKUP(#REF!,'מלאי לא תקין'!A:N,17,0)</f>
        <v>#REF!</v>
      </c>
      <c r="T843" t="e">
        <f t="shared" si="28"/>
        <v>#REF!</v>
      </c>
      <c r="U843" t="e">
        <f t="shared" si="29"/>
        <v>#REF!</v>
      </c>
    </row>
    <row r="844" spans="4:21" x14ac:dyDescent="0.2">
      <c r="D844" s="4"/>
      <c r="G844" s="5"/>
      <c r="H844" s="5"/>
      <c r="I844" s="4"/>
      <c r="J844" s="4"/>
      <c r="K844" s="5"/>
      <c r="Q844" t="e">
        <f>VLOOKUP(A844,'גיליון דאטה להכל'!A:E,5,0)</f>
        <v>#N/A</v>
      </c>
      <c r="R844" t="e">
        <f>VLOOKUP(A844,'לעדכן בסינתזה דאטה אריזה 42+24'!$A:$C,3,0)</f>
        <v>#N/A</v>
      </c>
      <c r="S844" t="e">
        <f>VLOOKUP(#REF!,'מלאי לא תקין'!A:N,17,0)</f>
        <v>#REF!</v>
      </c>
      <c r="T844" t="e">
        <f t="shared" si="28"/>
        <v>#REF!</v>
      </c>
      <c r="U844" t="e">
        <f t="shared" si="29"/>
        <v>#REF!</v>
      </c>
    </row>
    <row r="845" spans="4:21" x14ac:dyDescent="0.2">
      <c r="D845" s="4"/>
      <c r="G845" s="5"/>
      <c r="H845" s="5"/>
      <c r="I845" s="4"/>
      <c r="J845" s="4"/>
      <c r="K845" s="5"/>
      <c r="Q845" t="e">
        <f>VLOOKUP(A845,'גיליון דאטה להכל'!A:E,5,0)</f>
        <v>#N/A</v>
      </c>
      <c r="R845" t="e">
        <f>VLOOKUP(A845,'לעדכן בסינתזה דאטה אריזה 42+24'!$A:$C,3,0)</f>
        <v>#N/A</v>
      </c>
      <c r="S845" t="e">
        <f>VLOOKUP(#REF!,'מלאי לא תקין'!A:N,17,0)</f>
        <v>#REF!</v>
      </c>
      <c r="T845" t="e">
        <f t="shared" si="28"/>
        <v>#REF!</v>
      </c>
      <c r="U845" t="e">
        <f t="shared" si="29"/>
        <v>#REF!</v>
      </c>
    </row>
    <row r="846" spans="4:21" x14ac:dyDescent="0.2">
      <c r="D846" s="4"/>
      <c r="G846" s="5"/>
      <c r="H846" s="7"/>
      <c r="I846" s="4"/>
      <c r="J846" s="4"/>
      <c r="K846" s="5"/>
      <c r="Q846" t="e">
        <f>VLOOKUP(A846,'גיליון דאטה להכל'!A:E,5,0)</f>
        <v>#N/A</v>
      </c>
      <c r="R846" t="e">
        <f>VLOOKUP(A846,'לעדכן בסינתזה דאטה אריזה 42+24'!$A:$C,3,0)</f>
        <v>#N/A</v>
      </c>
      <c r="S846" t="e">
        <f>VLOOKUP(#REF!,'מלאי לא תקין'!A:N,17,0)</f>
        <v>#REF!</v>
      </c>
      <c r="T846" t="e">
        <f t="shared" si="28"/>
        <v>#REF!</v>
      </c>
      <c r="U846" t="e">
        <f t="shared" si="29"/>
        <v>#REF!</v>
      </c>
    </row>
    <row r="847" spans="4:21" x14ac:dyDescent="0.2">
      <c r="D847" s="4"/>
      <c r="G847" s="5"/>
      <c r="H847" s="5"/>
      <c r="I847" s="4"/>
      <c r="J847" s="4"/>
      <c r="K847" s="5"/>
      <c r="Q847" t="e">
        <f>VLOOKUP(A847,'גיליון דאטה להכל'!A:E,5,0)</f>
        <v>#N/A</v>
      </c>
      <c r="R847" t="e">
        <f>VLOOKUP(A847,'לעדכן בסינתזה דאטה אריזה 42+24'!$A:$C,3,0)</f>
        <v>#N/A</v>
      </c>
      <c r="S847" t="e">
        <f>VLOOKUP(#REF!,'מלאי לא תקין'!A:N,17,0)</f>
        <v>#REF!</v>
      </c>
      <c r="T847" t="e">
        <f t="shared" si="28"/>
        <v>#REF!</v>
      </c>
      <c r="U847" t="e">
        <f t="shared" si="29"/>
        <v>#REF!</v>
      </c>
    </row>
    <row r="848" spans="4:21" x14ac:dyDescent="0.2">
      <c r="D848" s="4"/>
      <c r="G848" s="5"/>
      <c r="H848" s="5"/>
      <c r="I848" s="4"/>
      <c r="J848" s="4"/>
      <c r="K848" s="5"/>
      <c r="Q848" t="e">
        <f>VLOOKUP(A848,'גיליון דאטה להכל'!A:E,5,0)</f>
        <v>#N/A</v>
      </c>
      <c r="R848" t="e">
        <f>VLOOKUP(A848,'לעדכן בסינתזה דאטה אריזה 42+24'!$A:$C,3,0)</f>
        <v>#N/A</v>
      </c>
      <c r="S848" t="e">
        <f>VLOOKUP(#REF!,'מלאי לא תקין'!A:N,17,0)</f>
        <v>#REF!</v>
      </c>
      <c r="T848" t="e">
        <f t="shared" si="28"/>
        <v>#REF!</v>
      </c>
      <c r="U848" t="e">
        <f t="shared" si="29"/>
        <v>#REF!</v>
      </c>
    </row>
    <row r="849" spans="4:21" x14ac:dyDescent="0.2">
      <c r="D849" s="4"/>
      <c r="G849" s="5"/>
      <c r="H849" s="5"/>
      <c r="I849" s="4"/>
      <c r="J849" s="4"/>
      <c r="K849" s="5"/>
      <c r="Q849" t="e">
        <f>VLOOKUP(A849,'גיליון דאטה להכל'!A:E,5,0)</f>
        <v>#N/A</v>
      </c>
      <c r="R849" t="e">
        <f>VLOOKUP(A849,'לעדכן בסינתזה דאטה אריזה 42+24'!$A:$C,3,0)</f>
        <v>#N/A</v>
      </c>
      <c r="S849" t="e">
        <f>VLOOKUP(#REF!,'מלאי לא תקין'!A:N,17,0)</f>
        <v>#REF!</v>
      </c>
      <c r="T849" t="e">
        <f t="shared" si="28"/>
        <v>#REF!</v>
      </c>
      <c r="U849" t="e">
        <f t="shared" si="29"/>
        <v>#REF!</v>
      </c>
    </row>
    <row r="850" spans="4:21" x14ac:dyDescent="0.2">
      <c r="D850" s="4"/>
      <c r="G850" s="5"/>
      <c r="H850" s="5"/>
      <c r="I850" s="4"/>
      <c r="J850" s="4"/>
      <c r="K850" s="5"/>
      <c r="Q850" t="e">
        <f>VLOOKUP(A850,'גיליון דאטה להכל'!A:E,5,0)</f>
        <v>#N/A</v>
      </c>
      <c r="R850" t="e">
        <f>VLOOKUP(A850,'לעדכן בסינתזה דאטה אריזה 42+24'!$A:$C,3,0)</f>
        <v>#N/A</v>
      </c>
      <c r="S850" t="e">
        <f>VLOOKUP(#REF!,'מלאי לא תקין'!A:N,17,0)</f>
        <v>#REF!</v>
      </c>
      <c r="T850" t="e">
        <f t="shared" si="28"/>
        <v>#REF!</v>
      </c>
      <c r="U850" t="e">
        <f t="shared" si="29"/>
        <v>#REF!</v>
      </c>
    </row>
    <row r="851" spans="4:21" x14ac:dyDescent="0.2">
      <c r="D851" s="4"/>
      <c r="G851" s="5"/>
      <c r="H851" s="7"/>
      <c r="I851" s="4"/>
      <c r="J851" s="4"/>
      <c r="K851" s="5"/>
      <c r="Q851" t="e">
        <f>VLOOKUP(A851,'גיליון דאטה להכל'!A:E,5,0)</f>
        <v>#N/A</v>
      </c>
      <c r="R851" t="e">
        <f>VLOOKUP(A851,'לעדכן בסינתזה דאטה אריזה 42+24'!$A:$C,3,0)</f>
        <v>#N/A</v>
      </c>
      <c r="S851" t="e">
        <f>VLOOKUP(#REF!,'מלאי לא תקין'!A:N,17,0)</f>
        <v>#REF!</v>
      </c>
      <c r="T851" t="e">
        <f t="shared" si="28"/>
        <v>#REF!</v>
      </c>
      <c r="U851" t="e">
        <f t="shared" si="29"/>
        <v>#REF!</v>
      </c>
    </row>
    <row r="852" spans="4:21" x14ac:dyDescent="0.2">
      <c r="D852" s="4"/>
      <c r="G852" s="5"/>
      <c r="H852" s="5"/>
      <c r="I852" s="4"/>
      <c r="J852" s="4"/>
      <c r="K852" s="5"/>
      <c r="Q852" t="e">
        <f>VLOOKUP(A852,'גיליון דאטה להכל'!A:E,5,0)</f>
        <v>#N/A</v>
      </c>
      <c r="R852" t="e">
        <f>VLOOKUP(A852,'לעדכן בסינתזה דאטה אריזה 42+24'!$A:$C,3,0)</f>
        <v>#N/A</v>
      </c>
      <c r="S852" t="e">
        <f>VLOOKUP(#REF!,'מלאי לא תקין'!A:N,17,0)</f>
        <v>#REF!</v>
      </c>
      <c r="T852" t="e">
        <f t="shared" si="28"/>
        <v>#REF!</v>
      </c>
      <c r="U852" t="e">
        <f t="shared" si="29"/>
        <v>#REF!</v>
      </c>
    </row>
    <row r="853" spans="4:21" x14ac:dyDescent="0.2">
      <c r="D853" s="4"/>
      <c r="G853" s="5"/>
      <c r="H853" s="5"/>
      <c r="I853" s="4"/>
      <c r="J853" s="4"/>
      <c r="K853" s="5"/>
      <c r="Q853" t="e">
        <f>VLOOKUP(A853,'גיליון דאטה להכל'!A:E,5,0)</f>
        <v>#N/A</v>
      </c>
      <c r="R853" t="e">
        <f>VLOOKUP(A853,'לעדכן בסינתזה דאטה אריזה 42+24'!$A:$C,3,0)</f>
        <v>#N/A</v>
      </c>
      <c r="S853" t="e">
        <f>VLOOKUP(#REF!,'מלאי לא תקין'!A:N,17,0)</f>
        <v>#REF!</v>
      </c>
      <c r="T853" t="e">
        <f t="shared" si="28"/>
        <v>#REF!</v>
      </c>
      <c r="U853" t="e">
        <f t="shared" si="29"/>
        <v>#REF!</v>
      </c>
    </row>
    <row r="854" spans="4:21" x14ac:dyDescent="0.2">
      <c r="D854" s="4"/>
      <c r="G854" s="5"/>
      <c r="H854" s="5"/>
      <c r="I854" s="4"/>
      <c r="J854" s="4"/>
      <c r="K854" s="5"/>
      <c r="Q854" t="e">
        <f>VLOOKUP(A854,'גיליון דאטה להכל'!A:E,5,0)</f>
        <v>#N/A</v>
      </c>
      <c r="R854" t="e">
        <f>VLOOKUP(A854,'לעדכן בסינתזה דאטה אריזה 42+24'!$A:$C,3,0)</f>
        <v>#N/A</v>
      </c>
      <c r="S854" t="e">
        <f>VLOOKUP(#REF!,'מלאי לא תקין'!A:N,17,0)</f>
        <v>#REF!</v>
      </c>
      <c r="T854" t="e">
        <f t="shared" si="28"/>
        <v>#REF!</v>
      </c>
      <c r="U854" t="e">
        <f t="shared" si="29"/>
        <v>#REF!</v>
      </c>
    </row>
    <row r="855" spans="4:21" x14ac:dyDescent="0.2">
      <c r="D855" s="4"/>
      <c r="G855" s="5"/>
      <c r="H855" s="5"/>
      <c r="I855" s="4"/>
      <c r="J855" s="4"/>
      <c r="K855" s="5"/>
      <c r="Q855" t="e">
        <f>VLOOKUP(A855,'גיליון דאטה להכל'!A:E,5,0)</f>
        <v>#N/A</v>
      </c>
      <c r="R855" t="e">
        <f>VLOOKUP(A855,'לעדכן בסינתזה דאטה אריזה 42+24'!$A:$C,3,0)</f>
        <v>#N/A</v>
      </c>
      <c r="S855" t="e">
        <f>VLOOKUP(#REF!,'מלאי לא תקין'!A:N,17,0)</f>
        <v>#REF!</v>
      </c>
      <c r="T855" t="e">
        <f t="shared" si="28"/>
        <v>#REF!</v>
      </c>
      <c r="U855" t="e">
        <f t="shared" si="29"/>
        <v>#REF!</v>
      </c>
    </row>
    <row r="856" spans="4:21" x14ac:dyDescent="0.2">
      <c r="D856" s="4"/>
      <c r="G856" s="5"/>
      <c r="H856" s="5"/>
      <c r="I856" s="4"/>
      <c r="J856" s="4"/>
      <c r="K856" s="5"/>
      <c r="Q856" t="e">
        <f>VLOOKUP(A856,'גיליון דאטה להכל'!A:E,5,0)</f>
        <v>#N/A</v>
      </c>
      <c r="R856" t="e">
        <f>VLOOKUP(A856,'לעדכן בסינתזה דאטה אריזה 42+24'!$A:$C,3,0)</f>
        <v>#N/A</v>
      </c>
      <c r="S856" t="e">
        <f>VLOOKUP(#REF!,'מלאי לא תקין'!A:N,17,0)</f>
        <v>#REF!</v>
      </c>
      <c r="T856" t="e">
        <f t="shared" si="28"/>
        <v>#REF!</v>
      </c>
      <c r="U856" t="e">
        <f t="shared" si="29"/>
        <v>#REF!</v>
      </c>
    </row>
    <row r="857" spans="4:21" x14ac:dyDescent="0.2">
      <c r="D857" s="4"/>
      <c r="G857" s="5"/>
      <c r="H857" s="7"/>
      <c r="I857" s="4"/>
      <c r="J857" s="4"/>
      <c r="K857" s="5"/>
      <c r="Q857" t="e">
        <f>VLOOKUP(A857,'גיליון דאטה להכל'!A:E,5,0)</f>
        <v>#N/A</v>
      </c>
      <c r="R857" t="e">
        <f>VLOOKUP(A857,'לעדכן בסינתזה דאטה אריזה 42+24'!$A:$C,3,0)</f>
        <v>#N/A</v>
      </c>
      <c r="S857" t="e">
        <f>VLOOKUP(#REF!,'מלאי לא תקין'!A:N,17,0)</f>
        <v>#REF!</v>
      </c>
      <c r="T857" t="e">
        <f t="shared" si="28"/>
        <v>#REF!</v>
      </c>
      <c r="U857" t="e">
        <f t="shared" si="29"/>
        <v>#REF!</v>
      </c>
    </row>
    <row r="858" spans="4:21" x14ac:dyDescent="0.2">
      <c r="D858" s="4"/>
      <c r="G858" s="5"/>
      <c r="H858" s="5"/>
      <c r="I858" s="4"/>
      <c r="J858" s="4"/>
      <c r="K858" s="5"/>
      <c r="Q858" t="e">
        <f>VLOOKUP(A858,'גיליון דאטה להכל'!A:E,5,0)</f>
        <v>#N/A</v>
      </c>
      <c r="R858" t="e">
        <f>VLOOKUP(A858,'לעדכן בסינתזה דאטה אריזה 42+24'!$A:$C,3,0)</f>
        <v>#N/A</v>
      </c>
      <c r="S858" t="e">
        <f>VLOOKUP(#REF!,'מלאי לא תקין'!A:N,17,0)</f>
        <v>#REF!</v>
      </c>
      <c r="T858" t="e">
        <f t="shared" si="28"/>
        <v>#REF!</v>
      </c>
      <c r="U858" t="e">
        <f t="shared" si="29"/>
        <v>#REF!</v>
      </c>
    </row>
    <row r="859" spans="4:21" x14ac:dyDescent="0.2">
      <c r="D859" s="4"/>
      <c r="G859" s="5"/>
      <c r="H859" s="5"/>
      <c r="I859" s="4"/>
      <c r="J859" s="4"/>
      <c r="K859" s="5"/>
      <c r="Q859" t="e">
        <f>VLOOKUP(A859,'גיליון דאטה להכל'!A:E,5,0)</f>
        <v>#N/A</v>
      </c>
      <c r="R859" t="e">
        <f>VLOOKUP(A859,'לעדכן בסינתזה דאטה אריזה 42+24'!$A:$C,3,0)</f>
        <v>#N/A</v>
      </c>
      <c r="S859" t="e">
        <f>VLOOKUP(#REF!,'מלאי לא תקין'!A:N,17,0)</f>
        <v>#REF!</v>
      </c>
      <c r="T859" t="e">
        <f t="shared" si="28"/>
        <v>#REF!</v>
      </c>
      <c r="U859" t="e">
        <f t="shared" si="29"/>
        <v>#REF!</v>
      </c>
    </row>
    <row r="860" spans="4:21" x14ac:dyDescent="0.2">
      <c r="D860" s="4"/>
      <c r="G860" s="5"/>
      <c r="H860" s="5"/>
      <c r="I860" s="4"/>
      <c r="J860" s="4"/>
      <c r="K860" s="5"/>
      <c r="Q860" t="e">
        <f>VLOOKUP(A860,'גיליון דאטה להכל'!A:E,5,0)</f>
        <v>#N/A</v>
      </c>
      <c r="R860" t="e">
        <f>VLOOKUP(A860,'לעדכן בסינתזה דאטה אריזה 42+24'!$A:$C,3,0)</f>
        <v>#N/A</v>
      </c>
      <c r="S860" t="e">
        <f>VLOOKUP(#REF!,'מלאי לא תקין'!A:N,17,0)</f>
        <v>#REF!</v>
      </c>
      <c r="T860" t="e">
        <f t="shared" si="28"/>
        <v>#REF!</v>
      </c>
      <c r="U860" t="e">
        <f t="shared" si="29"/>
        <v>#REF!</v>
      </c>
    </row>
    <row r="861" spans="4:21" x14ac:dyDescent="0.2">
      <c r="D861" s="4"/>
      <c r="G861" s="5"/>
      <c r="H861" s="5"/>
      <c r="I861" s="4"/>
      <c r="J861" s="4"/>
      <c r="K861" s="5"/>
      <c r="Q861" t="e">
        <f>VLOOKUP(A861,'גיליון דאטה להכל'!A:E,5,0)</f>
        <v>#N/A</v>
      </c>
      <c r="R861" t="e">
        <f>VLOOKUP(A861,'לעדכן בסינתזה דאטה אריזה 42+24'!$A:$C,3,0)</f>
        <v>#N/A</v>
      </c>
      <c r="S861" t="e">
        <f>VLOOKUP(#REF!,'מלאי לא תקין'!A:N,17,0)</f>
        <v>#REF!</v>
      </c>
      <c r="T861" t="e">
        <f t="shared" si="28"/>
        <v>#REF!</v>
      </c>
      <c r="U861" t="e">
        <f t="shared" si="29"/>
        <v>#REF!</v>
      </c>
    </row>
    <row r="862" spans="4:21" x14ac:dyDescent="0.2">
      <c r="D862" s="4"/>
      <c r="G862" s="5"/>
      <c r="H862" s="7"/>
      <c r="I862" s="4"/>
      <c r="J862" s="4"/>
      <c r="K862" s="5"/>
      <c r="Q862" t="e">
        <f>VLOOKUP(A862,'גיליון דאטה להכל'!A:E,5,0)</f>
        <v>#N/A</v>
      </c>
      <c r="R862" t="e">
        <f>VLOOKUP(A862,'לעדכן בסינתזה דאטה אריזה 42+24'!$A:$C,3,0)</f>
        <v>#N/A</v>
      </c>
      <c r="S862" t="e">
        <f>VLOOKUP(#REF!,'מלאי לא תקין'!A:N,17,0)</f>
        <v>#REF!</v>
      </c>
      <c r="T862" t="e">
        <f t="shared" si="28"/>
        <v>#REF!</v>
      </c>
      <c r="U862" t="e">
        <f t="shared" si="29"/>
        <v>#REF!</v>
      </c>
    </row>
    <row r="863" spans="4:21" x14ac:dyDescent="0.2">
      <c r="D863" s="4"/>
      <c r="G863" s="5"/>
      <c r="H863" s="5"/>
      <c r="I863" s="4"/>
      <c r="J863" s="4"/>
      <c r="K863" s="5"/>
      <c r="Q863" t="e">
        <f>VLOOKUP(A863,'גיליון דאטה להכל'!A:E,5,0)</f>
        <v>#N/A</v>
      </c>
      <c r="R863" t="e">
        <f>VLOOKUP(A863,'לעדכן בסינתזה דאטה אריזה 42+24'!$A:$C,3,0)</f>
        <v>#N/A</v>
      </c>
      <c r="S863" t="e">
        <f>VLOOKUP(#REF!,'מלאי לא תקין'!A:N,17,0)</f>
        <v>#REF!</v>
      </c>
      <c r="T863" t="e">
        <f t="shared" si="28"/>
        <v>#REF!</v>
      </c>
      <c r="U863" t="e">
        <f t="shared" si="29"/>
        <v>#REF!</v>
      </c>
    </row>
    <row r="864" spans="4:21" x14ac:dyDescent="0.2">
      <c r="D864" s="4"/>
      <c r="G864" s="5"/>
      <c r="H864" s="5"/>
      <c r="I864" s="4"/>
      <c r="J864" s="4"/>
      <c r="K864" s="5"/>
      <c r="Q864" t="e">
        <f>VLOOKUP(A864,'גיליון דאטה להכל'!A:E,5,0)</f>
        <v>#N/A</v>
      </c>
      <c r="R864" t="e">
        <f>VLOOKUP(A864,'לעדכן בסינתזה דאטה אריזה 42+24'!$A:$C,3,0)</f>
        <v>#N/A</v>
      </c>
      <c r="S864" t="e">
        <f>VLOOKUP(#REF!,'מלאי לא תקין'!A:N,17,0)</f>
        <v>#REF!</v>
      </c>
      <c r="T864" t="e">
        <f t="shared" si="28"/>
        <v>#REF!</v>
      </c>
      <c r="U864" t="e">
        <f t="shared" si="29"/>
        <v>#REF!</v>
      </c>
    </row>
    <row r="865" spans="4:21" x14ac:dyDescent="0.2">
      <c r="D865" s="4"/>
      <c r="G865" s="5"/>
      <c r="H865" s="5"/>
      <c r="I865" s="4"/>
      <c r="J865" s="4"/>
      <c r="K865" s="5"/>
      <c r="Q865" t="e">
        <f>VLOOKUP(A865,'גיליון דאטה להכל'!A:E,5,0)</f>
        <v>#N/A</v>
      </c>
      <c r="R865" t="e">
        <f>VLOOKUP(A865,'לעדכן בסינתזה דאטה אריזה 42+24'!$A:$C,3,0)</f>
        <v>#N/A</v>
      </c>
      <c r="S865" t="e">
        <f>VLOOKUP(#REF!,'מלאי לא תקין'!A:N,17,0)</f>
        <v>#REF!</v>
      </c>
      <c r="T865" t="e">
        <f t="shared" si="28"/>
        <v>#REF!</v>
      </c>
      <c r="U865" t="e">
        <f t="shared" si="29"/>
        <v>#REF!</v>
      </c>
    </row>
    <row r="866" spans="4:21" x14ac:dyDescent="0.2">
      <c r="D866" s="4"/>
      <c r="G866" s="5"/>
      <c r="H866" s="5"/>
      <c r="I866" s="4"/>
      <c r="J866" s="4"/>
      <c r="K866" s="5"/>
      <c r="Q866" t="e">
        <f>VLOOKUP(A866,'גיליון דאטה להכל'!A:E,5,0)</f>
        <v>#N/A</v>
      </c>
      <c r="R866" t="e">
        <f>VLOOKUP(A866,'לעדכן בסינתזה דאטה אריזה 42+24'!$A:$C,3,0)</f>
        <v>#N/A</v>
      </c>
      <c r="S866" t="e">
        <f>VLOOKUP(#REF!,'מלאי לא תקין'!A:N,17,0)</f>
        <v>#REF!</v>
      </c>
      <c r="T866" t="e">
        <f t="shared" si="28"/>
        <v>#REF!</v>
      </c>
      <c r="U866" t="e">
        <f t="shared" si="29"/>
        <v>#REF!</v>
      </c>
    </row>
    <row r="867" spans="4:21" x14ac:dyDescent="0.2">
      <c r="D867" s="4"/>
      <c r="G867" s="5"/>
      <c r="H867" s="5"/>
      <c r="I867" s="4"/>
      <c r="J867" s="4"/>
      <c r="K867" s="5"/>
      <c r="Q867" t="e">
        <f>VLOOKUP(A867,'גיליון דאטה להכל'!A:E,5,0)</f>
        <v>#N/A</v>
      </c>
      <c r="R867" t="e">
        <f>VLOOKUP(A867,'לעדכן בסינתזה דאטה אריזה 42+24'!$A:$C,3,0)</f>
        <v>#N/A</v>
      </c>
      <c r="S867" t="e">
        <f>VLOOKUP(#REF!,'מלאי לא תקין'!A:N,17,0)</f>
        <v>#REF!</v>
      </c>
      <c r="T867" t="e">
        <f t="shared" si="28"/>
        <v>#REF!</v>
      </c>
      <c r="U867" t="e">
        <f t="shared" si="29"/>
        <v>#REF!</v>
      </c>
    </row>
    <row r="868" spans="4:21" x14ac:dyDescent="0.2">
      <c r="D868" s="4"/>
      <c r="G868" s="5"/>
      <c r="H868" s="7"/>
      <c r="I868" s="4"/>
      <c r="J868" s="4"/>
      <c r="K868" s="5"/>
      <c r="Q868" t="e">
        <f>VLOOKUP(A868,'גיליון דאטה להכל'!A:E,5,0)</f>
        <v>#N/A</v>
      </c>
      <c r="R868" t="e">
        <f>VLOOKUP(A868,'לעדכן בסינתזה דאטה אריזה 42+24'!$A:$C,3,0)</f>
        <v>#N/A</v>
      </c>
      <c r="S868" t="e">
        <f>VLOOKUP(#REF!,'מלאי לא תקין'!A:N,17,0)</f>
        <v>#REF!</v>
      </c>
      <c r="T868" t="e">
        <f t="shared" si="28"/>
        <v>#REF!</v>
      </c>
      <c r="U868" t="e">
        <f t="shared" si="29"/>
        <v>#REF!</v>
      </c>
    </row>
    <row r="869" spans="4:21" x14ac:dyDescent="0.2">
      <c r="D869" s="4"/>
      <c r="G869" s="5"/>
      <c r="H869" s="5"/>
      <c r="I869" s="4"/>
      <c r="J869" s="4"/>
      <c r="K869" s="5"/>
      <c r="Q869" t="e">
        <f>VLOOKUP(A869,'גיליון דאטה להכל'!A:E,5,0)</f>
        <v>#N/A</v>
      </c>
      <c r="R869" t="e">
        <f>VLOOKUP(A869,'לעדכן בסינתזה דאטה אריזה 42+24'!$A:$C,3,0)</f>
        <v>#N/A</v>
      </c>
      <c r="S869" t="e">
        <f>VLOOKUP(#REF!,'מלאי לא תקין'!A:N,17,0)</f>
        <v>#REF!</v>
      </c>
      <c r="T869" t="e">
        <f t="shared" si="28"/>
        <v>#REF!</v>
      </c>
      <c r="U869" t="e">
        <f t="shared" si="29"/>
        <v>#REF!</v>
      </c>
    </row>
    <row r="870" spans="4:21" x14ac:dyDescent="0.2">
      <c r="D870" s="4"/>
      <c r="G870" s="5"/>
      <c r="H870" s="5"/>
      <c r="I870" s="4"/>
      <c r="J870" s="4"/>
      <c r="K870" s="5"/>
      <c r="Q870" t="e">
        <f>VLOOKUP(A870,'גיליון דאטה להכל'!A:E,5,0)</f>
        <v>#N/A</v>
      </c>
      <c r="R870" t="e">
        <f>VLOOKUP(A870,'לעדכן בסינתזה דאטה אריזה 42+24'!$A:$C,3,0)</f>
        <v>#N/A</v>
      </c>
      <c r="S870" t="e">
        <f>VLOOKUP(#REF!,'מלאי לא תקין'!A:N,17,0)</f>
        <v>#REF!</v>
      </c>
      <c r="T870" t="e">
        <f t="shared" si="28"/>
        <v>#REF!</v>
      </c>
      <c r="U870" t="e">
        <f t="shared" si="29"/>
        <v>#REF!</v>
      </c>
    </row>
    <row r="871" spans="4:21" x14ac:dyDescent="0.2">
      <c r="D871" s="4"/>
      <c r="G871" s="5"/>
      <c r="H871" s="5"/>
      <c r="I871" s="4"/>
      <c r="J871" s="4"/>
      <c r="K871" s="5"/>
      <c r="Q871" t="e">
        <f>VLOOKUP(A871,'גיליון דאטה להכל'!A:E,5,0)</f>
        <v>#N/A</v>
      </c>
      <c r="R871" t="e">
        <f>VLOOKUP(A871,'לעדכן בסינתזה דאטה אריזה 42+24'!$A:$C,3,0)</f>
        <v>#N/A</v>
      </c>
      <c r="S871" t="e">
        <f>VLOOKUP(#REF!,'מלאי לא תקין'!A:N,17,0)</f>
        <v>#REF!</v>
      </c>
      <c r="T871" t="e">
        <f t="shared" si="28"/>
        <v>#REF!</v>
      </c>
      <c r="U871" t="e">
        <f t="shared" si="29"/>
        <v>#REF!</v>
      </c>
    </row>
    <row r="872" spans="4:21" x14ac:dyDescent="0.2">
      <c r="D872" s="4"/>
      <c r="G872" s="5"/>
      <c r="H872" s="5"/>
      <c r="I872" s="4"/>
      <c r="J872" s="4"/>
      <c r="K872" s="5"/>
      <c r="Q872" t="e">
        <f>VLOOKUP(A872,'גיליון דאטה להכל'!A:E,5,0)</f>
        <v>#N/A</v>
      </c>
      <c r="R872" t="e">
        <f>VLOOKUP(A872,'לעדכן בסינתזה דאטה אריזה 42+24'!$A:$C,3,0)</f>
        <v>#N/A</v>
      </c>
      <c r="S872" t="e">
        <f>VLOOKUP(#REF!,'מלאי לא תקין'!A:N,17,0)</f>
        <v>#REF!</v>
      </c>
      <c r="T872" t="e">
        <f t="shared" si="28"/>
        <v>#REF!</v>
      </c>
      <c r="U872" t="e">
        <f t="shared" si="29"/>
        <v>#REF!</v>
      </c>
    </row>
    <row r="873" spans="4:21" x14ac:dyDescent="0.2">
      <c r="D873" s="4"/>
      <c r="G873" s="5"/>
      <c r="H873" s="7"/>
      <c r="I873" s="4"/>
      <c r="J873" s="4"/>
      <c r="K873" s="5"/>
      <c r="Q873" t="e">
        <f>VLOOKUP(A873,'גיליון דאטה להכל'!A:E,5,0)</f>
        <v>#N/A</v>
      </c>
      <c r="R873" t="e">
        <f>VLOOKUP(A873,'לעדכן בסינתזה דאטה אריזה 42+24'!$A:$C,3,0)</f>
        <v>#N/A</v>
      </c>
      <c r="S873" t="e">
        <f>VLOOKUP(#REF!,'מלאי לא תקין'!A:N,17,0)</f>
        <v>#REF!</v>
      </c>
      <c r="T873" t="e">
        <f t="shared" si="28"/>
        <v>#REF!</v>
      </c>
      <c r="U873" t="e">
        <f t="shared" si="29"/>
        <v>#REF!</v>
      </c>
    </row>
    <row r="874" spans="4:21" x14ac:dyDescent="0.2">
      <c r="D874" s="4"/>
      <c r="G874" s="5"/>
      <c r="H874" s="5"/>
      <c r="I874" s="4"/>
      <c r="J874" s="4"/>
      <c r="K874" s="5"/>
      <c r="Q874" t="e">
        <f>VLOOKUP(A874,'גיליון דאטה להכל'!A:E,5,0)</f>
        <v>#N/A</v>
      </c>
      <c r="R874" t="e">
        <f>VLOOKUP(A874,'לעדכן בסינתזה דאטה אריזה 42+24'!$A:$C,3,0)</f>
        <v>#N/A</v>
      </c>
      <c r="S874" t="e">
        <f>VLOOKUP(#REF!,'מלאי לא תקין'!A:N,17,0)</f>
        <v>#REF!</v>
      </c>
      <c r="T874" t="e">
        <f t="shared" si="28"/>
        <v>#REF!</v>
      </c>
      <c r="U874" t="e">
        <f t="shared" si="29"/>
        <v>#REF!</v>
      </c>
    </row>
    <row r="875" spans="4:21" x14ac:dyDescent="0.2">
      <c r="D875" s="4"/>
      <c r="G875" s="5"/>
      <c r="H875" s="5"/>
      <c r="I875" s="4"/>
      <c r="J875" s="4"/>
      <c r="K875" s="5"/>
      <c r="Q875" t="e">
        <f>VLOOKUP(A875,'גיליון דאטה להכל'!A:E,5,0)</f>
        <v>#N/A</v>
      </c>
      <c r="R875" t="e">
        <f>VLOOKUP(A875,'לעדכן בסינתזה דאטה אריזה 42+24'!$A:$C,3,0)</f>
        <v>#N/A</v>
      </c>
      <c r="S875" t="e">
        <f>VLOOKUP(#REF!,'מלאי לא תקין'!A:N,17,0)</f>
        <v>#REF!</v>
      </c>
      <c r="T875" t="e">
        <f t="shared" si="28"/>
        <v>#REF!</v>
      </c>
      <c r="U875" t="e">
        <f t="shared" si="29"/>
        <v>#REF!</v>
      </c>
    </row>
    <row r="876" spans="4:21" x14ac:dyDescent="0.2">
      <c r="D876" s="4"/>
      <c r="G876" s="5"/>
      <c r="H876" s="5"/>
      <c r="I876" s="4"/>
      <c r="J876" s="4"/>
      <c r="K876" s="5"/>
      <c r="Q876" t="e">
        <f>VLOOKUP(A876,'גיליון דאטה להכל'!A:E,5,0)</f>
        <v>#N/A</v>
      </c>
      <c r="R876" t="e">
        <f>VLOOKUP(A876,'לעדכן בסינתזה דאטה אריזה 42+24'!$A:$C,3,0)</f>
        <v>#N/A</v>
      </c>
      <c r="S876" t="e">
        <f>VLOOKUP(#REF!,'מלאי לא תקין'!A:N,17,0)</f>
        <v>#REF!</v>
      </c>
      <c r="T876" t="e">
        <f t="shared" si="28"/>
        <v>#REF!</v>
      </c>
      <c r="U876" t="e">
        <f t="shared" si="29"/>
        <v>#REF!</v>
      </c>
    </row>
    <row r="877" spans="4:21" x14ac:dyDescent="0.2">
      <c r="D877" s="4"/>
      <c r="G877" s="5"/>
      <c r="H877" s="5"/>
      <c r="I877" s="4"/>
      <c r="J877" s="4"/>
      <c r="K877" s="5"/>
      <c r="Q877" t="e">
        <f>VLOOKUP(A877,'גיליון דאטה להכל'!A:E,5,0)</f>
        <v>#N/A</v>
      </c>
      <c r="R877" t="e">
        <f>VLOOKUP(A877,'לעדכן בסינתזה דאטה אריזה 42+24'!$A:$C,3,0)</f>
        <v>#N/A</v>
      </c>
      <c r="S877" t="e">
        <f>VLOOKUP(#REF!,'מלאי לא תקין'!A:N,17,0)</f>
        <v>#REF!</v>
      </c>
      <c r="T877" t="e">
        <f t="shared" si="28"/>
        <v>#REF!</v>
      </c>
      <c r="U877" t="e">
        <f t="shared" si="29"/>
        <v>#REF!</v>
      </c>
    </row>
    <row r="878" spans="4:21" x14ac:dyDescent="0.2">
      <c r="D878" s="4"/>
      <c r="G878" s="5"/>
      <c r="H878" s="5"/>
      <c r="I878" s="4"/>
      <c r="J878" s="4"/>
      <c r="K878" s="5"/>
      <c r="Q878" t="e">
        <f>VLOOKUP(A878,'גיליון דאטה להכל'!A:E,5,0)</f>
        <v>#N/A</v>
      </c>
      <c r="R878" t="e">
        <f>VLOOKUP(A878,'לעדכן בסינתזה דאטה אריזה 42+24'!$A:$C,3,0)</f>
        <v>#N/A</v>
      </c>
      <c r="S878" t="e">
        <f>VLOOKUP(#REF!,'מלאי לא תקין'!A:N,17,0)</f>
        <v>#REF!</v>
      </c>
      <c r="T878" t="e">
        <f t="shared" si="28"/>
        <v>#REF!</v>
      </c>
      <c r="U878" t="e">
        <f t="shared" si="29"/>
        <v>#REF!</v>
      </c>
    </row>
    <row r="879" spans="4:21" x14ac:dyDescent="0.2">
      <c r="D879" s="4"/>
      <c r="G879" s="5"/>
      <c r="H879" s="7"/>
      <c r="I879" s="4"/>
      <c r="J879" s="4"/>
      <c r="K879" s="5"/>
      <c r="Q879" t="e">
        <f>VLOOKUP(A879,'גיליון דאטה להכל'!A:E,5,0)</f>
        <v>#N/A</v>
      </c>
      <c r="R879" t="e">
        <f>VLOOKUP(A879,'לעדכן בסינתזה דאטה אריזה 42+24'!$A:$C,3,0)</f>
        <v>#N/A</v>
      </c>
      <c r="S879" t="e">
        <f>VLOOKUP(#REF!,'מלאי לא תקין'!A:N,17,0)</f>
        <v>#REF!</v>
      </c>
      <c r="T879" t="e">
        <f t="shared" si="28"/>
        <v>#REF!</v>
      </c>
      <c r="U879" t="e">
        <f t="shared" si="29"/>
        <v>#REF!</v>
      </c>
    </row>
    <row r="880" spans="4:21" x14ac:dyDescent="0.2">
      <c r="D880" s="4"/>
      <c r="G880" s="5"/>
      <c r="H880" s="5"/>
      <c r="I880" s="4"/>
      <c r="J880" s="4"/>
      <c r="K880" s="5"/>
      <c r="Q880" t="e">
        <f>VLOOKUP(A880,'גיליון דאטה להכל'!A:E,5,0)</f>
        <v>#N/A</v>
      </c>
      <c r="R880" t="e">
        <f>VLOOKUP(A880,'לעדכן בסינתזה דאטה אריזה 42+24'!$A:$C,3,0)</f>
        <v>#N/A</v>
      </c>
      <c r="S880" t="e">
        <f>VLOOKUP(#REF!,'מלאי לא תקין'!A:N,17,0)</f>
        <v>#REF!</v>
      </c>
      <c r="T880" t="e">
        <f t="shared" si="28"/>
        <v>#REF!</v>
      </c>
      <c r="U880" t="e">
        <f t="shared" si="29"/>
        <v>#REF!</v>
      </c>
    </row>
    <row r="881" spans="4:21" x14ac:dyDescent="0.2">
      <c r="D881" s="4"/>
      <c r="G881" s="5"/>
      <c r="H881" s="5"/>
      <c r="I881" s="4"/>
      <c r="J881" s="4"/>
      <c r="K881" s="5"/>
      <c r="Q881" t="e">
        <f>VLOOKUP(A881,'גיליון דאטה להכל'!A:E,5,0)</f>
        <v>#N/A</v>
      </c>
      <c r="R881" t="e">
        <f>VLOOKUP(A881,'לעדכן בסינתזה דאטה אריזה 42+24'!$A:$C,3,0)</f>
        <v>#N/A</v>
      </c>
      <c r="S881" t="e">
        <f>VLOOKUP(#REF!,'מלאי לא תקין'!A:N,17,0)</f>
        <v>#REF!</v>
      </c>
      <c r="T881" t="e">
        <f t="shared" si="28"/>
        <v>#REF!</v>
      </c>
      <c r="U881" t="e">
        <f t="shared" si="29"/>
        <v>#REF!</v>
      </c>
    </row>
    <row r="882" spans="4:21" x14ac:dyDescent="0.2">
      <c r="D882" s="4"/>
      <c r="G882" s="5"/>
      <c r="H882" s="5"/>
      <c r="I882" s="4"/>
      <c r="J882" s="4"/>
      <c r="K882" s="5"/>
      <c r="Q882" t="e">
        <f>VLOOKUP(A882,'גיליון דאטה להכל'!A:E,5,0)</f>
        <v>#N/A</v>
      </c>
      <c r="R882" t="e">
        <f>VLOOKUP(A882,'לעדכן בסינתזה דאטה אריזה 42+24'!$A:$C,3,0)</f>
        <v>#N/A</v>
      </c>
      <c r="S882" t="e">
        <f>VLOOKUP(#REF!,'מלאי לא תקין'!A:N,17,0)</f>
        <v>#REF!</v>
      </c>
      <c r="T882" t="e">
        <f t="shared" si="28"/>
        <v>#REF!</v>
      </c>
      <c r="U882" t="e">
        <f t="shared" si="29"/>
        <v>#REF!</v>
      </c>
    </row>
    <row r="883" spans="4:21" x14ac:dyDescent="0.2">
      <c r="D883" s="4"/>
      <c r="G883" s="5"/>
      <c r="H883" s="5"/>
      <c r="I883" s="4"/>
      <c r="J883" s="4"/>
      <c r="K883" s="5"/>
      <c r="Q883" t="e">
        <f>VLOOKUP(A883,'גיליון דאטה להכל'!A:E,5,0)</f>
        <v>#N/A</v>
      </c>
      <c r="R883" t="e">
        <f>VLOOKUP(A883,'לעדכן בסינתזה דאטה אריזה 42+24'!$A:$C,3,0)</f>
        <v>#N/A</v>
      </c>
      <c r="S883" t="e">
        <f>VLOOKUP(#REF!,'מלאי לא תקין'!A:N,17,0)</f>
        <v>#REF!</v>
      </c>
      <c r="T883" t="e">
        <f t="shared" si="28"/>
        <v>#REF!</v>
      </c>
      <c r="U883" t="e">
        <f t="shared" si="29"/>
        <v>#REF!</v>
      </c>
    </row>
    <row r="884" spans="4:21" x14ac:dyDescent="0.2">
      <c r="D884" s="4"/>
      <c r="G884" s="5"/>
      <c r="H884" s="5"/>
      <c r="I884" s="4"/>
      <c r="J884" s="4"/>
      <c r="K884" s="5"/>
      <c r="Q884" t="e">
        <f>VLOOKUP(A884,'גיליון דאטה להכל'!A:E,5,0)</f>
        <v>#N/A</v>
      </c>
      <c r="R884" t="e">
        <f>VLOOKUP(A884,'לעדכן בסינתזה דאטה אריזה 42+24'!$A:$C,3,0)</f>
        <v>#N/A</v>
      </c>
      <c r="S884" t="e">
        <f>VLOOKUP(#REF!,'מלאי לא תקין'!A:N,17,0)</f>
        <v>#REF!</v>
      </c>
      <c r="T884" t="e">
        <f t="shared" si="28"/>
        <v>#REF!</v>
      </c>
      <c r="U884" t="e">
        <f t="shared" si="29"/>
        <v>#REF!</v>
      </c>
    </row>
    <row r="885" spans="4:21" x14ac:dyDescent="0.2">
      <c r="D885" s="4"/>
      <c r="G885" s="5"/>
      <c r="H885" s="5"/>
      <c r="I885" s="4"/>
      <c r="J885" s="4"/>
      <c r="K885" s="5"/>
      <c r="Q885" t="e">
        <f>VLOOKUP(A885,'גיליון דאטה להכל'!A:E,5,0)</f>
        <v>#N/A</v>
      </c>
      <c r="R885" t="e">
        <f>VLOOKUP(A885,'לעדכן בסינתזה דאטה אריזה 42+24'!$A:$C,3,0)</f>
        <v>#N/A</v>
      </c>
      <c r="S885" t="e">
        <f>VLOOKUP(#REF!,'מלאי לא תקין'!A:N,17,0)</f>
        <v>#REF!</v>
      </c>
      <c r="T885" t="e">
        <f t="shared" ref="T885:T948" si="30">_xlfn.CONCAT(S885,Q885)</f>
        <v>#REF!</v>
      </c>
      <c r="U885" t="e">
        <f t="shared" ref="U885:U948" si="31">_xlfn.CONCAT(S885,O885)</f>
        <v>#REF!</v>
      </c>
    </row>
    <row r="886" spans="4:21" x14ac:dyDescent="0.2">
      <c r="D886" s="4"/>
      <c r="G886" s="5"/>
      <c r="H886" s="5"/>
      <c r="I886" s="4"/>
      <c r="J886" s="4"/>
      <c r="K886" s="5"/>
      <c r="Q886" t="e">
        <f>VLOOKUP(A886,'גיליון דאטה להכל'!A:E,5,0)</f>
        <v>#N/A</v>
      </c>
      <c r="R886" t="e">
        <f>VLOOKUP(A886,'לעדכן בסינתזה דאטה אריזה 42+24'!$A:$C,3,0)</f>
        <v>#N/A</v>
      </c>
      <c r="S886" t="e">
        <f>VLOOKUP(#REF!,'מלאי לא תקין'!A:N,17,0)</f>
        <v>#REF!</v>
      </c>
      <c r="T886" t="e">
        <f t="shared" si="30"/>
        <v>#REF!</v>
      </c>
      <c r="U886" t="e">
        <f t="shared" si="31"/>
        <v>#REF!</v>
      </c>
    </row>
    <row r="887" spans="4:21" x14ac:dyDescent="0.2">
      <c r="D887" s="4"/>
      <c r="G887" s="5"/>
      <c r="H887" s="5"/>
      <c r="I887" s="4"/>
      <c r="J887" s="4"/>
      <c r="K887" s="5"/>
      <c r="Q887" t="e">
        <f>VLOOKUP(A887,'גיליון דאטה להכל'!A:E,5,0)</f>
        <v>#N/A</v>
      </c>
      <c r="R887" t="e">
        <f>VLOOKUP(A887,'לעדכן בסינתזה דאטה אריזה 42+24'!$A:$C,3,0)</f>
        <v>#N/A</v>
      </c>
      <c r="S887" t="e">
        <f>VLOOKUP(#REF!,'מלאי לא תקין'!A:N,17,0)</f>
        <v>#REF!</v>
      </c>
      <c r="T887" t="e">
        <f t="shared" si="30"/>
        <v>#REF!</v>
      </c>
      <c r="U887" t="e">
        <f t="shared" si="31"/>
        <v>#REF!</v>
      </c>
    </row>
    <row r="888" spans="4:21" x14ac:dyDescent="0.2">
      <c r="D888" s="4"/>
      <c r="G888" s="5"/>
      <c r="H888" s="5"/>
      <c r="I888" s="4"/>
      <c r="J888" s="4"/>
      <c r="K888" s="5"/>
      <c r="Q888" t="e">
        <f>VLOOKUP(A888,'גיליון דאטה להכל'!A:E,5,0)</f>
        <v>#N/A</v>
      </c>
      <c r="R888" t="e">
        <f>VLOOKUP(A888,'לעדכן בסינתזה דאטה אריזה 42+24'!$A:$C,3,0)</f>
        <v>#N/A</v>
      </c>
      <c r="S888" t="e">
        <f>VLOOKUP(#REF!,'מלאי לא תקין'!A:N,17,0)</f>
        <v>#REF!</v>
      </c>
      <c r="T888" t="e">
        <f t="shared" si="30"/>
        <v>#REF!</v>
      </c>
      <c r="U888" t="e">
        <f t="shared" si="31"/>
        <v>#REF!</v>
      </c>
    </row>
    <row r="889" spans="4:21" x14ac:dyDescent="0.2">
      <c r="D889" s="4"/>
      <c r="G889" s="5"/>
      <c r="H889" s="7"/>
      <c r="I889" s="4"/>
      <c r="J889" s="4"/>
      <c r="K889" s="5"/>
      <c r="Q889" t="e">
        <f>VLOOKUP(A889,'גיליון דאטה להכל'!A:E,5,0)</f>
        <v>#N/A</v>
      </c>
      <c r="R889" t="e">
        <f>VLOOKUP(A889,'לעדכן בסינתזה דאטה אריזה 42+24'!$A:$C,3,0)</f>
        <v>#N/A</v>
      </c>
      <c r="S889" t="e">
        <f>VLOOKUP(#REF!,'מלאי לא תקין'!A:N,17,0)</f>
        <v>#REF!</v>
      </c>
      <c r="T889" t="e">
        <f t="shared" si="30"/>
        <v>#REF!</v>
      </c>
      <c r="U889" t="e">
        <f t="shared" si="31"/>
        <v>#REF!</v>
      </c>
    </row>
    <row r="890" spans="4:21" x14ac:dyDescent="0.2">
      <c r="D890" s="4"/>
      <c r="G890" s="5"/>
      <c r="H890" s="5"/>
      <c r="I890" s="4"/>
      <c r="J890" s="4"/>
      <c r="K890" s="5"/>
      <c r="Q890" t="e">
        <f>VLOOKUP(A890,'גיליון דאטה להכל'!A:E,5,0)</f>
        <v>#N/A</v>
      </c>
      <c r="R890" t="e">
        <f>VLOOKUP(A890,'לעדכן בסינתזה דאטה אריזה 42+24'!$A:$C,3,0)</f>
        <v>#N/A</v>
      </c>
      <c r="S890" t="e">
        <f>VLOOKUP(#REF!,'מלאי לא תקין'!A:N,17,0)</f>
        <v>#REF!</v>
      </c>
      <c r="T890" t="e">
        <f t="shared" si="30"/>
        <v>#REF!</v>
      </c>
      <c r="U890" t="e">
        <f t="shared" si="31"/>
        <v>#REF!</v>
      </c>
    </row>
    <row r="891" spans="4:21" x14ac:dyDescent="0.2">
      <c r="D891" s="4"/>
      <c r="G891" s="5"/>
      <c r="H891" s="5"/>
      <c r="I891" s="4"/>
      <c r="J891" s="4"/>
      <c r="K891" s="5"/>
      <c r="Q891" t="e">
        <f>VLOOKUP(A891,'גיליון דאטה להכל'!A:E,5,0)</f>
        <v>#N/A</v>
      </c>
      <c r="R891" t="e">
        <f>VLOOKUP(A891,'לעדכן בסינתזה דאטה אריזה 42+24'!$A:$C,3,0)</f>
        <v>#N/A</v>
      </c>
      <c r="S891" t="e">
        <f>VLOOKUP(#REF!,'מלאי לא תקין'!A:N,17,0)</f>
        <v>#REF!</v>
      </c>
      <c r="T891" t="e">
        <f t="shared" si="30"/>
        <v>#REF!</v>
      </c>
      <c r="U891" t="e">
        <f t="shared" si="31"/>
        <v>#REF!</v>
      </c>
    </row>
    <row r="892" spans="4:21" x14ac:dyDescent="0.2">
      <c r="D892" s="4"/>
      <c r="G892" s="5"/>
      <c r="H892" s="5"/>
      <c r="I892" s="4"/>
      <c r="J892" s="4"/>
      <c r="K892" s="5"/>
      <c r="Q892" t="e">
        <f>VLOOKUP(A892,'גיליון דאטה להכל'!A:E,5,0)</f>
        <v>#N/A</v>
      </c>
      <c r="R892" t="e">
        <f>VLOOKUP(A892,'לעדכן בסינתזה דאטה אריזה 42+24'!$A:$C,3,0)</f>
        <v>#N/A</v>
      </c>
      <c r="S892" t="e">
        <f>VLOOKUP(#REF!,'מלאי לא תקין'!A:N,17,0)</f>
        <v>#REF!</v>
      </c>
      <c r="T892" t="e">
        <f t="shared" si="30"/>
        <v>#REF!</v>
      </c>
      <c r="U892" t="e">
        <f t="shared" si="31"/>
        <v>#REF!</v>
      </c>
    </row>
    <row r="893" spans="4:21" x14ac:dyDescent="0.2">
      <c r="D893" s="4"/>
      <c r="G893" s="5"/>
      <c r="H893" s="5"/>
      <c r="I893" s="4"/>
      <c r="J893" s="4"/>
      <c r="K893" s="5"/>
      <c r="Q893" t="e">
        <f>VLOOKUP(A893,'גיליון דאטה להכל'!A:E,5,0)</f>
        <v>#N/A</v>
      </c>
      <c r="R893" t="e">
        <f>VLOOKUP(A893,'לעדכן בסינתזה דאטה אריזה 42+24'!$A:$C,3,0)</f>
        <v>#N/A</v>
      </c>
      <c r="S893" t="e">
        <f>VLOOKUP(#REF!,'מלאי לא תקין'!A:N,17,0)</f>
        <v>#REF!</v>
      </c>
      <c r="T893" t="e">
        <f t="shared" si="30"/>
        <v>#REF!</v>
      </c>
      <c r="U893" t="e">
        <f t="shared" si="31"/>
        <v>#REF!</v>
      </c>
    </row>
    <row r="894" spans="4:21" x14ac:dyDescent="0.2">
      <c r="D894" s="4"/>
      <c r="G894" s="5"/>
      <c r="H894" s="5"/>
      <c r="I894" s="4"/>
      <c r="J894" s="4"/>
      <c r="K894" s="5"/>
      <c r="Q894" t="e">
        <f>VLOOKUP(A894,'גיליון דאטה להכל'!A:E,5,0)</f>
        <v>#N/A</v>
      </c>
      <c r="R894" t="e">
        <f>VLOOKUP(A894,'לעדכן בסינתזה דאטה אריזה 42+24'!$A:$C,3,0)</f>
        <v>#N/A</v>
      </c>
      <c r="S894" t="e">
        <f>VLOOKUP(#REF!,'מלאי לא תקין'!A:N,17,0)</f>
        <v>#REF!</v>
      </c>
      <c r="T894" t="e">
        <f t="shared" si="30"/>
        <v>#REF!</v>
      </c>
      <c r="U894" t="e">
        <f t="shared" si="31"/>
        <v>#REF!</v>
      </c>
    </row>
    <row r="895" spans="4:21" x14ac:dyDescent="0.2">
      <c r="D895" s="4"/>
      <c r="G895" s="5"/>
      <c r="H895" s="5"/>
      <c r="I895" s="4"/>
      <c r="J895" s="4"/>
      <c r="K895" s="5"/>
      <c r="Q895" t="e">
        <f>VLOOKUP(A895,'גיליון דאטה להכל'!A:E,5,0)</f>
        <v>#N/A</v>
      </c>
      <c r="R895" t="e">
        <f>VLOOKUP(A895,'לעדכן בסינתזה דאטה אריזה 42+24'!$A:$C,3,0)</f>
        <v>#N/A</v>
      </c>
      <c r="S895" t="e">
        <f>VLOOKUP(#REF!,'מלאי לא תקין'!A:N,17,0)</f>
        <v>#REF!</v>
      </c>
      <c r="T895" t="e">
        <f t="shared" si="30"/>
        <v>#REF!</v>
      </c>
      <c r="U895" t="e">
        <f t="shared" si="31"/>
        <v>#REF!</v>
      </c>
    </row>
    <row r="896" spans="4:21" x14ac:dyDescent="0.2">
      <c r="D896" s="4"/>
      <c r="G896" s="5"/>
      <c r="H896" s="5"/>
      <c r="I896" s="4"/>
      <c r="J896" s="4"/>
      <c r="K896" s="5"/>
      <c r="Q896" t="e">
        <f>VLOOKUP(A896,'גיליון דאטה להכל'!A:E,5,0)</f>
        <v>#N/A</v>
      </c>
      <c r="R896" t="e">
        <f>VLOOKUP(A896,'לעדכן בסינתזה דאטה אריזה 42+24'!$A:$C,3,0)</f>
        <v>#N/A</v>
      </c>
      <c r="S896" t="e">
        <f>VLOOKUP(#REF!,'מלאי לא תקין'!A:N,17,0)</f>
        <v>#REF!</v>
      </c>
      <c r="T896" t="e">
        <f t="shared" si="30"/>
        <v>#REF!</v>
      </c>
      <c r="U896" t="e">
        <f t="shared" si="31"/>
        <v>#REF!</v>
      </c>
    </row>
    <row r="897" spans="4:21" x14ac:dyDescent="0.2">
      <c r="D897" s="4"/>
      <c r="G897" s="5"/>
      <c r="H897" s="5"/>
      <c r="I897" s="4"/>
      <c r="J897" s="4"/>
      <c r="K897" s="5"/>
      <c r="Q897" t="e">
        <f>VLOOKUP(A897,'גיליון דאטה להכל'!A:E,5,0)</f>
        <v>#N/A</v>
      </c>
      <c r="R897" t="e">
        <f>VLOOKUP(A897,'לעדכן בסינתזה דאטה אריזה 42+24'!$A:$C,3,0)</f>
        <v>#N/A</v>
      </c>
      <c r="S897" t="e">
        <f>VLOOKUP(#REF!,'מלאי לא תקין'!A:N,17,0)</f>
        <v>#REF!</v>
      </c>
      <c r="T897" t="e">
        <f t="shared" si="30"/>
        <v>#REF!</v>
      </c>
      <c r="U897" t="e">
        <f t="shared" si="31"/>
        <v>#REF!</v>
      </c>
    </row>
    <row r="898" spans="4:21" x14ac:dyDescent="0.2">
      <c r="D898" s="4"/>
      <c r="G898" s="5"/>
      <c r="H898" s="5"/>
      <c r="I898" s="4"/>
      <c r="J898" s="4"/>
      <c r="K898" s="5"/>
      <c r="Q898" t="e">
        <f>VLOOKUP(A898,'גיליון דאטה להכל'!A:E,5,0)</f>
        <v>#N/A</v>
      </c>
      <c r="R898" t="e">
        <f>VLOOKUP(A898,'לעדכן בסינתזה דאטה אריזה 42+24'!$A:$C,3,0)</f>
        <v>#N/A</v>
      </c>
      <c r="S898" t="e">
        <f>VLOOKUP(#REF!,'מלאי לא תקין'!A:N,17,0)</f>
        <v>#REF!</v>
      </c>
      <c r="T898" t="e">
        <f t="shared" si="30"/>
        <v>#REF!</v>
      </c>
      <c r="U898" t="e">
        <f t="shared" si="31"/>
        <v>#REF!</v>
      </c>
    </row>
    <row r="899" spans="4:21" x14ac:dyDescent="0.2">
      <c r="D899" s="4"/>
      <c r="G899" s="5"/>
      <c r="H899" s="5"/>
      <c r="I899" s="4"/>
      <c r="J899" s="4"/>
      <c r="K899" s="5"/>
      <c r="Q899" t="e">
        <f>VLOOKUP(A899,'גיליון דאטה להכל'!A:E,5,0)</f>
        <v>#N/A</v>
      </c>
      <c r="R899" t="e">
        <f>VLOOKUP(A899,'לעדכן בסינתזה דאטה אריזה 42+24'!$A:$C,3,0)</f>
        <v>#N/A</v>
      </c>
      <c r="S899" t="e">
        <f>VLOOKUP(#REF!,'מלאי לא תקין'!A:N,17,0)</f>
        <v>#REF!</v>
      </c>
      <c r="T899" t="e">
        <f t="shared" si="30"/>
        <v>#REF!</v>
      </c>
      <c r="U899" t="e">
        <f t="shared" si="31"/>
        <v>#REF!</v>
      </c>
    </row>
    <row r="900" spans="4:21" x14ac:dyDescent="0.2">
      <c r="D900" s="4"/>
      <c r="G900" s="5"/>
      <c r="H900" s="7"/>
      <c r="I900" s="4"/>
      <c r="J900" s="4"/>
      <c r="K900" s="5"/>
      <c r="Q900" t="e">
        <f>VLOOKUP(A900,'גיליון דאטה להכל'!A:E,5,0)</f>
        <v>#N/A</v>
      </c>
      <c r="R900" t="e">
        <f>VLOOKUP(A900,'לעדכן בסינתזה דאטה אריזה 42+24'!$A:$C,3,0)</f>
        <v>#N/A</v>
      </c>
      <c r="S900" t="e">
        <f>VLOOKUP(#REF!,'מלאי לא תקין'!A:N,17,0)</f>
        <v>#REF!</v>
      </c>
      <c r="T900" t="e">
        <f t="shared" si="30"/>
        <v>#REF!</v>
      </c>
      <c r="U900" t="e">
        <f t="shared" si="31"/>
        <v>#REF!</v>
      </c>
    </row>
    <row r="901" spans="4:21" x14ac:dyDescent="0.2">
      <c r="D901" s="4"/>
      <c r="G901" s="5"/>
      <c r="H901" s="5"/>
      <c r="I901" s="4"/>
      <c r="J901" s="4"/>
      <c r="K901" s="5"/>
      <c r="Q901" t="e">
        <f>VLOOKUP(A901,'גיליון דאטה להכל'!A:E,5,0)</f>
        <v>#N/A</v>
      </c>
      <c r="R901" t="e">
        <f>VLOOKUP(A901,'לעדכן בסינתזה דאטה אריזה 42+24'!$A:$C,3,0)</f>
        <v>#N/A</v>
      </c>
      <c r="S901" t="e">
        <f>VLOOKUP(#REF!,'מלאי לא תקין'!A:N,17,0)</f>
        <v>#REF!</v>
      </c>
      <c r="T901" t="e">
        <f t="shared" si="30"/>
        <v>#REF!</v>
      </c>
      <c r="U901" t="e">
        <f t="shared" si="31"/>
        <v>#REF!</v>
      </c>
    </row>
    <row r="902" spans="4:21" x14ac:dyDescent="0.2">
      <c r="D902" s="4"/>
      <c r="G902" s="5"/>
      <c r="H902" s="5"/>
      <c r="I902" s="4"/>
      <c r="J902" s="4"/>
      <c r="K902" s="5"/>
      <c r="Q902" t="e">
        <f>VLOOKUP(A902,'גיליון דאטה להכל'!A:E,5,0)</f>
        <v>#N/A</v>
      </c>
      <c r="R902" t="e">
        <f>VLOOKUP(A902,'לעדכן בסינתזה דאטה אריזה 42+24'!$A:$C,3,0)</f>
        <v>#N/A</v>
      </c>
      <c r="S902" t="e">
        <f>VLOOKUP(#REF!,'מלאי לא תקין'!A:N,17,0)</f>
        <v>#REF!</v>
      </c>
      <c r="T902" t="e">
        <f t="shared" si="30"/>
        <v>#REF!</v>
      </c>
      <c r="U902" t="e">
        <f t="shared" si="31"/>
        <v>#REF!</v>
      </c>
    </row>
    <row r="903" spans="4:21" x14ac:dyDescent="0.2">
      <c r="D903" s="4"/>
      <c r="G903" s="5"/>
      <c r="H903" s="5"/>
      <c r="I903" s="4"/>
      <c r="J903" s="4"/>
      <c r="K903" s="5"/>
      <c r="Q903" t="e">
        <f>VLOOKUP(A903,'גיליון דאטה להכל'!A:E,5,0)</f>
        <v>#N/A</v>
      </c>
      <c r="R903" t="e">
        <f>VLOOKUP(A903,'לעדכן בסינתזה דאטה אריזה 42+24'!$A:$C,3,0)</f>
        <v>#N/A</v>
      </c>
      <c r="S903" t="e">
        <f>VLOOKUP(#REF!,'מלאי לא תקין'!A:N,17,0)</f>
        <v>#REF!</v>
      </c>
      <c r="T903" t="e">
        <f t="shared" si="30"/>
        <v>#REF!</v>
      </c>
      <c r="U903" t="e">
        <f t="shared" si="31"/>
        <v>#REF!</v>
      </c>
    </row>
    <row r="904" spans="4:21" x14ac:dyDescent="0.2">
      <c r="D904" s="4"/>
      <c r="G904" s="5"/>
      <c r="H904" s="5"/>
      <c r="I904" s="4"/>
      <c r="J904" s="4"/>
      <c r="K904" s="5"/>
      <c r="Q904" t="e">
        <f>VLOOKUP(A904,'גיליון דאטה להכל'!A:E,5,0)</f>
        <v>#N/A</v>
      </c>
      <c r="R904" t="e">
        <f>VLOOKUP(A904,'לעדכן בסינתזה דאטה אריזה 42+24'!$A:$C,3,0)</f>
        <v>#N/A</v>
      </c>
      <c r="S904" t="e">
        <f>VLOOKUP(#REF!,'מלאי לא תקין'!A:N,17,0)</f>
        <v>#REF!</v>
      </c>
      <c r="T904" t="e">
        <f t="shared" si="30"/>
        <v>#REF!</v>
      </c>
      <c r="U904" t="e">
        <f t="shared" si="31"/>
        <v>#REF!</v>
      </c>
    </row>
    <row r="905" spans="4:21" x14ac:dyDescent="0.2">
      <c r="D905" s="4"/>
      <c r="G905" s="5"/>
      <c r="H905" s="7"/>
      <c r="I905" s="4"/>
      <c r="J905" s="4"/>
      <c r="K905" s="5"/>
      <c r="Q905" t="e">
        <f>VLOOKUP(A905,'גיליון דאטה להכל'!A:E,5,0)</f>
        <v>#N/A</v>
      </c>
      <c r="R905" t="e">
        <f>VLOOKUP(A905,'לעדכן בסינתזה דאטה אריזה 42+24'!$A:$C,3,0)</f>
        <v>#N/A</v>
      </c>
      <c r="S905" t="e">
        <f>VLOOKUP(#REF!,'מלאי לא תקין'!A:N,17,0)</f>
        <v>#REF!</v>
      </c>
      <c r="T905" t="e">
        <f t="shared" si="30"/>
        <v>#REF!</v>
      </c>
      <c r="U905" t="e">
        <f t="shared" si="31"/>
        <v>#REF!</v>
      </c>
    </row>
    <row r="906" spans="4:21" x14ac:dyDescent="0.2">
      <c r="D906" s="4"/>
      <c r="G906" s="5"/>
      <c r="H906" s="5"/>
      <c r="I906" s="4"/>
      <c r="J906" s="4"/>
      <c r="K906" s="5"/>
      <c r="Q906" t="e">
        <f>VLOOKUP(A906,'גיליון דאטה להכל'!A:E,5,0)</f>
        <v>#N/A</v>
      </c>
      <c r="R906" t="e">
        <f>VLOOKUP(A906,'לעדכן בסינתזה דאטה אריזה 42+24'!$A:$C,3,0)</f>
        <v>#N/A</v>
      </c>
      <c r="S906" t="e">
        <f>VLOOKUP(#REF!,'מלאי לא תקין'!A:N,17,0)</f>
        <v>#REF!</v>
      </c>
      <c r="T906" t="e">
        <f t="shared" si="30"/>
        <v>#REF!</v>
      </c>
      <c r="U906" t="e">
        <f t="shared" si="31"/>
        <v>#REF!</v>
      </c>
    </row>
    <row r="907" spans="4:21" x14ac:dyDescent="0.2">
      <c r="D907" s="4"/>
      <c r="G907" s="5"/>
      <c r="H907" s="5"/>
      <c r="I907" s="4"/>
      <c r="J907" s="4"/>
      <c r="K907" s="5"/>
      <c r="Q907" t="e">
        <f>VLOOKUP(A907,'גיליון דאטה להכל'!A:E,5,0)</f>
        <v>#N/A</v>
      </c>
      <c r="R907" t="e">
        <f>VLOOKUP(A907,'לעדכן בסינתזה דאטה אריזה 42+24'!$A:$C,3,0)</f>
        <v>#N/A</v>
      </c>
      <c r="S907" t="e">
        <f>VLOOKUP(#REF!,'מלאי לא תקין'!A:N,17,0)</f>
        <v>#REF!</v>
      </c>
      <c r="T907" t="e">
        <f t="shared" si="30"/>
        <v>#REF!</v>
      </c>
      <c r="U907" t="e">
        <f t="shared" si="31"/>
        <v>#REF!</v>
      </c>
    </row>
    <row r="908" spans="4:21" x14ac:dyDescent="0.2">
      <c r="D908" s="4"/>
      <c r="G908" s="5"/>
      <c r="H908" s="5"/>
      <c r="I908" s="4"/>
      <c r="J908" s="4"/>
      <c r="K908" s="5"/>
      <c r="Q908" t="e">
        <f>VLOOKUP(A908,'גיליון דאטה להכל'!A:E,5,0)</f>
        <v>#N/A</v>
      </c>
      <c r="R908" t="e">
        <f>VLOOKUP(A908,'לעדכן בסינתזה דאטה אריזה 42+24'!$A:$C,3,0)</f>
        <v>#N/A</v>
      </c>
      <c r="S908" t="e">
        <f>VLOOKUP(#REF!,'מלאי לא תקין'!A:N,17,0)</f>
        <v>#REF!</v>
      </c>
      <c r="T908" t="e">
        <f t="shared" si="30"/>
        <v>#REF!</v>
      </c>
      <c r="U908" t="e">
        <f t="shared" si="31"/>
        <v>#REF!</v>
      </c>
    </row>
    <row r="909" spans="4:21" x14ac:dyDescent="0.2">
      <c r="D909" s="4"/>
      <c r="G909" s="5"/>
      <c r="H909" s="5"/>
      <c r="I909" s="4"/>
      <c r="J909" s="4"/>
      <c r="K909" s="5"/>
      <c r="Q909" t="e">
        <f>VLOOKUP(A909,'גיליון דאטה להכל'!A:E,5,0)</f>
        <v>#N/A</v>
      </c>
      <c r="R909" t="e">
        <f>VLOOKUP(A909,'לעדכן בסינתזה דאטה אריזה 42+24'!$A:$C,3,0)</f>
        <v>#N/A</v>
      </c>
      <c r="S909" t="e">
        <f>VLOOKUP(#REF!,'מלאי לא תקין'!A:N,17,0)</f>
        <v>#REF!</v>
      </c>
      <c r="T909" t="e">
        <f t="shared" si="30"/>
        <v>#REF!</v>
      </c>
      <c r="U909" t="e">
        <f t="shared" si="31"/>
        <v>#REF!</v>
      </c>
    </row>
    <row r="910" spans="4:21" x14ac:dyDescent="0.2">
      <c r="D910" s="4"/>
      <c r="G910" s="5"/>
      <c r="H910" s="5"/>
      <c r="I910" s="4"/>
      <c r="J910" s="4"/>
      <c r="K910" s="5"/>
      <c r="Q910" t="e">
        <f>VLOOKUP(A910,'גיליון דאטה להכל'!A:E,5,0)</f>
        <v>#N/A</v>
      </c>
      <c r="R910" t="e">
        <f>VLOOKUP(A910,'לעדכן בסינתזה דאטה אריזה 42+24'!$A:$C,3,0)</f>
        <v>#N/A</v>
      </c>
      <c r="S910" t="e">
        <f>VLOOKUP(#REF!,'מלאי לא תקין'!A:N,17,0)</f>
        <v>#REF!</v>
      </c>
      <c r="T910" t="e">
        <f t="shared" si="30"/>
        <v>#REF!</v>
      </c>
      <c r="U910" t="e">
        <f t="shared" si="31"/>
        <v>#REF!</v>
      </c>
    </row>
    <row r="911" spans="4:21" x14ac:dyDescent="0.2">
      <c r="D911" s="4"/>
      <c r="G911" s="5"/>
      <c r="H911" s="7"/>
      <c r="I911" s="4"/>
      <c r="J911" s="4"/>
      <c r="K911" s="5"/>
      <c r="Q911" t="e">
        <f>VLOOKUP(A911,'גיליון דאטה להכל'!A:E,5,0)</f>
        <v>#N/A</v>
      </c>
      <c r="R911" t="e">
        <f>VLOOKUP(A911,'לעדכן בסינתזה דאטה אריזה 42+24'!$A:$C,3,0)</f>
        <v>#N/A</v>
      </c>
      <c r="S911" t="e">
        <f>VLOOKUP(#REF!,'מלאי לא תקין'!A:N,17,0)</f>
        <v>#REF!</v>
      </c>
      <c r="T911" t="e">
        <f t="shared" si="30"/>
        <v>#REF!</v>
      </c>
      <c r="U911" t="e">
        <f t="shared" si="31"/>
        <v>#REF!</v>
      </c>
    </row>
    <row r="912" spans="4:21" x14ac:dyDescent="0.2">
      <c r="D912" s="4"/>
      <c r="G912" s="5"/>
      <c r="H912" s="5"/>
      <c r="I912" s="4"/>
      <c r="J912" s="4"/>
      <c r="K912" s="5"/>
      <c r="Q912" t="e">
        <f>VLOOKUP(A912,'גיליון דאטה להכל'!A:E,5,0)</f>
        <v>#N/A</v>
      </c>
      <c r="R912" t="e">
        <f>VLOOKUP(A912,'לעדכן בסינתזה דאטה אריזה 42+24'!$A:$C,3,0)</f>
        <v>#N/A</v>
      </c>
      <c r="S912" t="e">
        <f>VLOOKUP(#REF!,'מלאי לא תקין'!A:N,17,0)</f>
        <v>#REF!</v>
      </c>
      <c r="T912" t="e">
        <f t="shared" si="30"/>
        <v>#REF!</v>
      </c>
      <c r="U912" t="e">
        <f t="shared" si="31"/>
        <v>#REF!</v>
      </c>
    </row>
    <row r="913" spans="4:21" x14ac:dyDescent="0.2">
      <c r="D913" s="4"/>
      <c r="G913" s="5"/>
      <c r="H913" s="5"/>
      <c r="I913" s="4"/>
      <c r="J913" s="4"/>
      <c r="K913" s="5"/>
      <c r="Q913" t="e">
        <f>VLOOKUP(A913,'גיליון דאטה להכל'!A:E,5,0)</f>
        <v>#N/A</v>
      </c>
      <c r="R913" t="e">
        <f>VLOOKUP(A913,'לעדכן בסינתזה דאטה אריזה 42+24'!$A:$C,3,0)</f>
        <v>#N/A</v>
      </c>
      <c r="S913" t="e">
        <f>VLOOKUP(#REF!,'מלאי לא תקין'!A:N,17,0)</f>
        <v>#REF!</v>
      </c>
      <c r="T913" t="e">
        <f t="shared" si="30"/>
        <v>#REF!</v>
      </c>
      <c r="U913" t="e">
        <f t="shared" si="31"/>
        <v>#REF!</v>
      </c>
    </row>
    <row r="914" spans="4:21" x14ac:dyDescent="0.2">
      <c r="D914" s="4"/>
      <c r="G914" s="5"/>
      <c r="H914" s="5"/>
      <c r="I914" s="4"/>
      <c r="J914" s="4"/>
      <c r="K914" s="5"/>
      <c r="Q914" t="e">
        <f>VLOOKUP(A914,'גיליון דאטה להכל'!A:E,5,0)</f>
        <v>#N/A</v>
      </c>
      <c r="R914" t="e">
        <f>VLOOKUP(A914,'לעדכן בסינתזה דאטה אריזה 42+24'!$A:$C,3,0)</f>
        <v>#N/A</v>
      </c>
      <c r="S914" t="e">
        <f>VLOOKUP(#REF!,'מלאי לא תקין'!A:N,17,0)</f>
        <v>#REF!</v>
      </c>
      <c r="T914" t="e">
        <f t="shared" si="30"/>
        <v>#REF!</v>
      </c>
      <c r="U914" t="e">
        <f t="shared" si="31"/>
        <v>#REF!</v>
      </c>
    </row>
    <row r="915" spans="4:21" x14ac:dyDescent="0.2">
      <c r="D915" s="4"/>
      <c r="G915" s="5"/>
      <c r="H915" s="5"/>
      <c r="I915" s="4"/>
      <c r="J915" s="4"/>
      <c r="K915" s="5"/>
      <c r="Q915" t="e">
        <f>VLOOKUP(A915,'גיליון דאטה להכל'!A:E,5,0)</f>
        <v>#N/A</v>
      </c>
      <c r="R915" t="e">
        <f>VLOOKUP(A915,'לעדכן בסינתזה דאטה אריזה 42+24'!$A:$C,3,0)</f>
        <v>#N/A</v>
      </c>
      <c r="S915" t="e">
        <f>VLOOKUP(#REF!,'מלאי לא תקין'!A:N,17,0)</f>
        <v>#REF!</v>
      </c>
      <c r="T915" t="e">
        <f t="shared" si="30"/>
        <v>#REF!</v>
      </c>
      <c r="U915" t="e">
        <f t="shared" si="31"/>
        <v>#REF!</v>
      </c>
    </row>
    <row r="916" spans="4:21" x14ac:dyDescent="0.2">
      <c r="D916" s="4"/>
      <c r="G916" s="5"/>
      <c r="H916" s="7"/>
      <c r="I916" s="4"/>
      <c r="J916" s="4"/>
      <c r="K916" s="5"/>
      <c r="Q916" t="e">
        <f>VLOOKUP(A916,'גיליון דאטה להכל'!A:E,5,0)</f>
        <v>#N/A</v>
      </c>
      <c r="R916" t="e">
        <f>VLOOKUP(A916,'לעדכן בסינתזה דאטה אריזה 42+24'!$A:$C,3,0)</f>
        <v>#N/A</v>
      </c>
      <c r="S916" t="e">
        <f>VLOOKUP(#REF!,'מלאי לא תקין'!A:N,17,0)</f>
        <v>#REF!</v>
      </c>
      <c r="T916" t="e">
        <f t="shared" si="30"/>
        <v>#REF!</v>
      </c>
      <c r="U916" t="e">
        <f t="shared" si="31"/>
        <v>#REF!</v>
      </c>
    </row>
    <row r="917" spans="4:21" x14ac:dyDescent="0.2">
      <c r="D917" s="4"/>
      <c r="G917" s="5"/>
      <c r="H917" s="5"/>
      <c r="I917" s="4"/>
      <c r="J917" s="4"/>
      <c r="K917" s="5"/>
      <c r="Q917" t="e">
        <f>VLOOKUP(A917,'גיליון דאטה להכל'!A:E,5,0)</f>
        <v>#N/A</v>
      </c>
      <c r="R917" t="e">
        <f>VLOOKUP(A917,'לעדכן בסינתזה דאטה אריזה 42+24'!$A:$C,3,0)</f>
        <v>#N/A</v>
      </c>
      <c r="S917" t="e">
        <f>VLOOKUP(#REF!,'מלאי לא תקין'!A:N,17,0)</f>
        <v>#REF!</v>
      </c>
      <c r="T917" t="e">
        <f t="shared" si="30"/>
        <v>#REF!</v>
      </c>
      <c r="U917" t="e">
        <f t="shared" si="31"/>
        <v>#REF!</v>
      </c>
    </row>
    <row r="918" spans="4:21" x14ac:dyDescent="0.2">
      <c r="D918" s="4"/>
      <c r="G918" s="5"/>
      <c r="H918" s="5"/>
      <c r="I918" s="4"/>
      <c r="J918" s="4"/>
      <c r="K918" s="5"/>
      <c r="Q918" t="e">
        <f>VLOOKUP(A918,'גיליון דאטה להכל'!A:E,5,0)</f>
        <v>#N/A</v>
      </c>
      <c r="R918" t="e">
        <f>VLOOKUP(A918,'לעדכן בסינתזה דאטה אריזה 42+24'!$A:$C,3,0)</f>
        <v>#N/A</v>
      </c>
      <c r="S918" t="e">
        <f>VLOOKUP(#REF!,'מלאי לא תקין'!A:N,17,0)</f>
        <v>#REF!</v>
      </c>
      <c r="T918" t="e">
        <f t="shared" si="30"/>
        <v>#REF!</v>
      </c>
      <c r="U918" t="e">
        <f t="shared" si="31"/>
        <v>#REF!</v>
      </c>
    </row>
    <row r="919" spans="4:21" x14ac:dyDescent="0.2">
      <c r="D919" s="4"/>
      <c r="G919" s="5"/>
      <c r="H919" s="5"/>
      <c r="I919" s="4"/>
      <c r="J919" s="4"/>
      <c r="K919" s="5"/>
      <c r="Q919" t="e">
        <f>VLOOKUP(A919,'גיליון דאטה להכל'!A:E,5,0)</f>
        <v>#N/A</v>
      </c>
      <c r="R919" t="e">
        <f>VLOOKUP(A919,'לעדכן בסינתזה דאטה אריזה 42+24'!$A:$C,3,0)</f>
        <v>#N/A</v>
      </c>
      <c r="S919" t="e">
        <f>VLOOKUP(#REF!,'מלאי לא תקין'!A:N,17,0)</f>
        <v>#REF!</v>
      </c>
      <c r="T919" t="e">
        <f t="shared" si="30"/>
        <v>#REF!</v>
      </c>
      <c r="U919" t="e">
        <f t="shared" si="31"/>
        <v>#REF!</v>
      </c>
    </row>
    <row r="920" spans="4:21" x14ac:dyDescent="0.2">
      <c r="D920" s="4"/>
      <c r="G920" s="5"/>
      <c r="H920" s="5"/>
      <c r="I920" s="4"/>
      <c r="J920" s="4"/>
      <c r="K920" s="5"/>
      <c r="Q920" t="e">
        <f>VLOOKUP(A920,'גיליון דאטה להכל'!A:E,5,0)</f>
        <v>#N/A</v>
      </c>
      <c r="R920" t="e">
        <f>VLOOKUP(A920,'לעדכן בסינתזה דאטה אריזה 42+24'!$A:$C,3,0)</f>
        <v>#N/A</v>
      </c>
      <c r="S920" t="e">
        <f>VLOOKUP(#REF!,'מלאי לא תקין'!A:N,17,0)</f>
        <v>#REF!</v>
      </c>
      <c r="T920" t="e">
        <f t="shared" si="30"/>
        <v>#REF!</v>
      </c>
      <c r="U920" t="e">
        <f t="shared" si="31"/>
        <v>#REF!</v>
      </c>
    </row>
    <row r="921" spans="4:21" x14ac:dyDescent="0.2">
      <c r="D921" s="4"/>
      <c r="G921" s="5"/>
      <c r="H921" s="5"/>
      <c r="I921" s="4"/>
      <c r="J921" s="4"/>
      <c r="K921" s="5"/>
      <c r="Q921" t="e">
        <f>VLOOKUP(A921,'גיליון דאטה להכל'!A:E,5,0)</f>
        <v>#N/A</v>
      </c>
      <c r="R921" t="e">
        <f>VLOOKUP(A921,'לעדכן בסינתזה דאטה אריזה 42+24'!$A:$C,3,0)</f>
        <v>#N/A</v>
      </c>
      <c r="S921" t="e">
        <f>VLOOKUP(#REF!,'מלאי לא תקין'!A:N,17,0)</f>
        <v>#REF!</v>
      </c>
      <c r="T921" t="e">
        <f t="shared" si="30"/>
        <v>#REF!</v>
      </c>
      <c r="U921" t="e">
        <f t="shared" si="31"/>
        <v>#REF!</v>
      </c>
    </row>
    <row r="922" spans="4:21" x14ac:dyDescent="0.2">
      <c r="D922" s="4"/>
      <c r="G922" s="5"/>
      <c r="H922" s="7"/>
      <c r="I922" s="4"/>
      <c r="J922" s="4"/>
      <c r="K922" s="5"/>
      <c r="Q922" t="e">
        <f>VLOOKUP(A922,'גיליון דאטה להכל'!A:E,5,0)</f>
        <v>#N/A</v>
      </c>
      <c r="R922" t="e">
        <f>VLOOKUP(A922,'לעדכן בסינתזה דאטה אריזה 42+24'!$A:$C,3,0)</f>
        <v>#N/A</v>
      </c>
      <c r="S922" t="e">
        <f>VLOOKUP(#REF!,'מלאי לא תקין'!A:N,17,0)</f>
        <v>#REF!</v>
      </c>
      <c r="T922" t="e">
        <f t="shared" si="30"/>
        <v>#REF!</v>
      </c>
      <c r="U922" t="e">
        <f t="shared" si="31"/>
        <v>#REF!</v>
      </c>
    </row>
    <row r="923" spans="4:21" x14ac:dyDescent="0.2">
      <c r="D923" s="4"/>
      <c r="G923" s="5"/>
      <c r="H923" s="5"/>
      <c r="I923" s="4"/>
      <c r="J923" s="4"/>
      <c r="K923" s="5"/>
      <c r="Q923" t="e">
        <f>VLOOKUP(A923,'גיליון דאטה להכל'!A:E,5,0)</f>
        <v>#N/A</v>
      </c>
      <c r="R923" t="e">
        <f>VLOOKUP(A923,'לעדכן בסינתזה דאטה אריזה 42+24'!$A:$C,3,0)</f>
        <v>#N/A</v>
      </c>
      <c r="S923" t="e">
        <f>VLOOKUP(#REF!,'מלאי לא תקין'!A:N,17,0)</f>
        <v>#REF!</v>
      </c>
      <c r="T923" t="e">
        <f t="shared" si="30"/>
        <v>#REF!</v>
      </c>
      <c r="U923" t="e">
        <f t="shared" si="31"/>
        <v>#REF!</v>
      </c>
    </row>
    <row r="924" spans="4:21" x14ac:dyDescent="0.2">
      <c r="D924" s="4"/>
      <c r="G924" s="5"/>
      <c r="H924" s="5"/>
      <c r="I924" s="4"/>
      <c r="J924" s="4"/>
      <c r="K924" s="5"/>
      <c r="Q924" t="e">
        <f>VLOOKUP(A924,'גיליון דאטה להכל'!A:E,5,0)</f>
        <v>#N/A</v>
      </c>
      <c r="R924" t="e">
        <f>VLOOKUP(A924,'לעדכן בסינתזה דאטה אריזה 42+24'!$A:$C,3,0)</f>
        <v>#N/A</v>
      </c>
      <c r="S924" t="e">
        <f>VLOOKUP(#REF!,'מלאי לא תקין'!A:N,17,0)</f>
        <v>#REF!</v>
      </c>
      <c r="T924" t="e">
        <f t="shared" si="30"/>
        <v>#REF!</v>
      </c>
      <c r="U924" t="e">
        <f t="shared" si="31"/>
        <v>#REF!</v>
      </c>
    </row>
    <row r="925" spans="4:21" x14ac:dyDescent="0.2">
      <c r="D925" s="4"/>
      <c r="G925" s="5"/>
      <c r="H925" s="5"/>
      <c r="I925" s="4"/>
      <c r="J925" s="4"/>
      <c r="K925" s="5"/>
      <c r="Q925" t="e">
        <f>VLOOKUP(A925,'גיליון דאטה להכל'!A:E,5,0)</f>
        <v>#N/A</v>
      </c>
      <c r="R925" t="e">
        <f>VLOOKUP(A925,'לעדכן בסינתזה דאטה אריזה 42+24'!$A:$C,3,0)</f>
        <v>#N/A</v>
      </c>
      <c r="S925" t="e">
        <f>VLOOKUP(#REF!,'מלאי לא תקין'!A:N,17,0)</f>
        <v>#REF!</v>
      </c>
      <c r="T925" t="e">
        <f t="shared" si="30"/>
        <v>#REF!</v>
      </c>
      <c r="U925" t="e">
        <f t="shared" si="31"/>
        <v>#REF!</v>
      </c>
    </row>
    <row r="926" spans="4:21" x14ac:dyDescent="0.2">
      <c r="D926" s="4"/>
      <c r="G926" s="5"/>
      <c r="H926" s="5"/>
      <c r="I926" s="4"/>
      <c r="J926" s="4"/>
      <c r="K926" s="5"/>
      <c r="Q926" t="e">
        <f>VLOOKUP(A926,'גיליון דאטה להכל'!A:E,5,0)</f>
        <v>#N/A</v>
      </c>
      <c r="R926" t="e">
        <f>VLOOKUP(A926,'לעדכן בסינתזה דאטה אריזה 42+24'!$A:$C,3,0)</f>
        <v>#N/A</v>
      </c>
      <c r="S926" t="e">
        <f>VLOOKUP(#REF!,'מלאי לא תקין'!A:N,17,0)</f>
        <v>#REF!</v>
      </c>
      <c r="T926" t="e">
        <f t="shared" si="30"/>
        <v>#REF!</v>
      </c>
      <c r="U926" t="e">
        <f t="shared" si="31"/>
        <v>#REF!</v>
      </c>
    </row>
    <row r="927" spans="4:21" x14ac:dyDescent="0.2">
      <c r="D927" s="4"/>
      <c r="G927" s="5"/>
      <c r="H927" s="7"/>
      <c r="I927" s="4"/>
      <c r="J927" s="4"/>
      <c r="K927" s="5"/>
      <c r="Q927" t="e">
        <f>VLOOKUP(A927,'גיליון דאטה להכל'!A:E,5,0)</f>
        <v>#N/A</v>
      </c>
      <c r="R927" t="e">
        <f>VLOOKUP(A927,'לעדכן בסינתזה דאטה אריזה 42+24'!$A:$C,3,0)</f>
        <v>#N/A</v>
      </c>
      <c r="S927" t="e">
        <f>VLOOKUP(#REF!,'מלאי לא תקין'!A:N,17,0)</f>
        <v>#REF!</v>
      </c>
      <c r="T927" t="e">
        <f t="shared" si="30"/>
        <v>#REF!</v>
      </c>
      <c r="U927" t="e">
        <f t="shared" si="31"/>
        <v>#REF!</v>
      </c>
    </row>
    <row r="928" spans="4:21" x14ac:dyDescent="0.2">
      <c r="D928" s="4"/>
      <c r="G928" s="5"/>
      <c r="H928" s="5"/>
      <c r="I928" s="4"/>
      <c r="J928" s="4"/>
      <c r="K928" s="5"/>
      <c r="Q928" t="e">
        <f>VLOOKUP(A928,'גיליון דאטה להכל'!A:E,5,0)</f>
        <v>#N/A</v>
      </c>
      <c r="R928" t="e">
        <f>VLOOKUP(A928,'לעדכן בסינתזה דאטה אריזה 42+24'!$A:$C,3,0)</f>
        <v>#N/A</v>
      </c>
      <c r="S928" t="e">
        <f>VLOOKUP(#REF!,'מלאי לא תקין'!A:N,17,0)</f>
        <v>#REF!</v>
      </c>
      <c r="T928" t="e">
        <f t="shared" si="30"/>
        <v>#REF!</v>
      </c>
      <c r="U928" t="e">
        <f t="shared" si="31"/>
        <v>#REF!</v>
      </c>
    </row>
    <row r="929" spans="4:21" x14ac:dyDescent="0.2">
      <c r="D929" s="4"/>
      <c r="G929" s="5"/>
      <c r="H929" s="5"/>
      <c r="I929" s="4"/>
      <c r="J929" s="4"/>
      <c r="K929" s="5"/>
      <c r="Q929" t="e">
        <f>VLOOKUP(A929,'גיליון דאטה להכל'!A:E,5,0)</f>
        <v>#N/A</v>
      </c>
      <c r="R929" t="e">
        <f>VLOOKUP(A929,'לעדכן בסינתזה דאטה אריזה 42+24'!$A:$C,3,0)</f>
        <v>#N/A</v>
      </c>
      <c r="S929" t="e">
        <f>VLOOKUP(#REF!,'מלאי לא תקין'!A:N,17,0)</f>
        <v>#REF!</v>
      </c>
      <c r="T929" t="e">
        <f t="shared" si="30"/>
        <v>#REF!</v>
      </c>
      <c r="U929" t="e">
        <f t="shared" si="31"/>
        <v>#REF!</v>
      </c>
    </row>
    <row r="930" spans="4:21" x14ac:dyDescent="0.2">
      <c r="D930" s="4"/>
      <c r="G930" s="5"/>
      <c r="H930" s="5"/>
      <c r="I930" s="4"/>
      <c r="J930" s="4"/>
      <c r="K930" s="5"/>
      <c r="Q930" t="e">
        <f>VLOOKUP(A930,'גיליון דאטה להכל'!A:E,5,0)</f>
        <v>#N/A</v>
      </c>
      <c r="R930" t="e">
        <f>VLOOKUP(A930,'לעדכן בסינתזה דאטה אריזה 42+24'!$A:$C,3,0)</f>
        <v>#N/A</v>
      </c>
      <c r="S930" t="e">
        <f>VLOOKUP(#REF!,'מלאי לא תקין'!A:N,17,0)</f>
        <v>#REF!</v>
      </c>
      <c r="T930" t="e">
        <f t="shared" si="30"/>
        <v>#REF!</v>
      </c>
      <c r="U930" t="e">
        <f t="shared" si="31"/>
        <v>#REF!</v>
      </c>
    </row>
    <row r="931" spans="4:21" x14ac:dyDescent="0.2">
      <c r="D931" s="4"/>
      <c r="G931" s="5"/>
      <c r="H931" s="5"/>
      <c r="I931" s="4"/>
      <c r="J931" s="4"/>
      <c r="K931" s="5"/>
      <c r="Q931" t="e">
        <f>VLOOKUP(A931,'גיליון דאטה להכל'!A:E,5,0)</f>
        <v>#N/A</v>
      </c>
      <c r="R931" t="e">
        <f>VLOOKUP(A931,'לעדכן בסינתזה דאטה אריזה 42+24'!$A:$C,3,0)</f>
        <v>#N/A</v>
      </c>
      <c r="S931" t="e">
        <f>VLOOKUP(#REF!,'מלאי לא תקין'!A:N,17,0)</f>
        <v>#REF!</v>
      </c>
      <c r="T931" t="e">
        <f t="shared" si="30"/>
        <v>#REF!</v>
      </c>
      <c r="U931" t="e">
        <f t="shared" si="31"/>
        <v>#REF!</v>
      </c>
    </row>
    <row r="932" spans="4:21" x14ac:dyDescent="0.2">
      <c r="D932" s="4"/>
      <c r="G932" s="5"/>
      <c r="H932" s="5"/>
      <c r="I932" s="4"/>
      <c r="J932" s="4"/>
      <c r="K932" s="5"/>
      <c r="Q932" t="e">
        <f>VLOOKUP(A932,'גיליון דאטה להכל'!A:E,5,0)</f>
        <v>#N/A</v>
      </c>
      <c r="R932" t="e">
        <f>VLOOKUP(A932,'לעדכן בסינתזה דאטה אריזה 42+24'!$A:$C,3,0)</f>
        <v>#N/A</v>
      </c>
      <c r="S932" t="e">
        <f>VLOOKUP(#REF!,'מלאי לא תקין'!A:N,17,0)</f>
        <v>#REF!</v>
      </c>
      <c r="T932" t="e">
        <f t="shared" si="30"/>
        <v>#REF!</v>
      </c>
      <c r="U932" t="e">
        <f t="shared" si="31"/>
        <v>#REF!</v>
      </c>
    </row>
    <row r="933" spans="4:21" x14ac:dyDescent="0.2">
      <c r="D933" s="4"/>
      <c r="G933" s="5"/>
      <c r="H933" s="7"/>
      <c r="I933" s="4"/>
      <c r="J933" s="4"/>
      <c r="K933" s="5"/>
      <c r="Q933" t="e">
        <f>VLOOKUP(A933,'גיליון דאטה להכל'!A:E,5,0)</f>
        <v>#N/A</v>
      </c>
      <c r="R933" t="e">
        <f>VLOOKUP(A933,'לעדכן בסינתזה דאטה אריזה 42+24'!$A:$C,3,0)</f>
        <v>#N/A</v>
      </c>
      <c r="S933" t="e">
        <f>VLOOKUP(#REF!,'מלאי לא תקין'!A:N,17,0)</f>
        <v>#REF!</v>
      </c>
      <c r="T933" t="e">
        <f t="shared" si="30"/>
        <v>#REF!</v>
      </c>
      <c r="U933" t="e">
        <f t="shared" si="31"/>
        <v>#REF!</v>
      </c>
    </row>
    <row r="934" spans="4:21" x14ac:dyDescent="0.2">
      <c r="D934" s="4"/>
      <c r="G934" s="5"/>
      <c r="H934" s="5"/>
      <c r="I934" s="4"/>
      <c r="J934" s="4"/>
      <c r="K934" s="5"/>
      <c r="Q934" t="e">
        <f>VLOOKUP(A934,'גיליון דאטה להכל'!A:E,5,0)</f>
        <v>#N/A</v>
      </c>
      <c r="R934" t="e">
        <f>VLOOKUP(A934,'לעדכן בסינתזה דאטה אריזה 42+24'!$A:$C,3,0)</f>
        <v>#N/A</v>
      </c>
      <c r="S934" t="e">
        <f>VLOOKUP(#REF!,'מלאי לא תקין'!A:N,17,0)</f>
        <v>#REF!</v>
      </c>
      <c r="T934" t="e">
        <f t="shared" si="30"/>
        <v>#REF!</v>
      </c>
      <c r="U934" t="e">
        <f t="shared" si="31"/>
        <v>#REF!</v>
      </c>
    </row>
    <row r="935" spans="4:21" x14ac:dyDescent="0.2">
      <c r="D935" s="4"/>
      <c r="G935" s="5"/>
      <c r="H935" s="5"/>
      <c r="I935" s="4"/>
      <c r="J935" s="4"/>
      <c r="K935" s="5"/>
      <c r="Q935" t="e">
        <f>VLOOKUP(A935,'גיליון דאטה להכל'!A:E,5,0)</f>
        <v>#N/A</v>
      </c>
      <c r="R935" t="e">
        <f>VLOOKUP(A935,'לעדכן בסינתזה דאטה אריזה 42+24'!$A:$C,3,0)</f>
        <v>#N/A</v>
      </c>
      <c r="S935" t="e">
        <f>VLOOKUP(#REF!,'מלאי לא תקין'!A:N,17,0)</f>
        <v>#REF!</v>
      </c>
      <c r="T935" t="e">
        <f t="shared" si="30"/>
        <v>#REF!</v>
      </c>
      <c r="U935" t="e">
        <f t="shared" si="31"/>
        <v>#REF!</v>
      </c>
    </row>
    <row r="936" spans="4:21" x14ac:dyDescent="0.2">
      <c r="D936" s="4"/>
      <c r="G936" s="5"/>
      <c r="H936" s="5"/>
      <c r="I936" s="4"/>
      <c r="J936" s="4"/>
      <c r="K936" s="5"/>
      <c r="Q936" t="e">
        <f>VLOOKUP(A936,'גיליון דאטה להכל'!A:E,5,0)</f>
        <v>#N/A</v>
      </c>
      <c r="R936" t="e">
        <f>VLOOKUP(A936,'לעדכן בסינתזה דאטה אריזה 42+24'!$A:$C,3,0)</f>
        <v>#N/A</v>
      </c>
      <c r="S936" t="e">
        <f>VLOOKUP(#REF!,'מלאי לא תקין'!A:N,17,0)</f>
        <v>#REF!</v>
      </c>
      <c r="T936" t="e">
        <f t="shared" si="30"/>
        <v>#REF!</v>
      </c>
      <c r="U936" t="e">
        <f t="shared" si="31"/>
        <v>#REF!</v>
      </c>
    </row>
    <row r="937" spans="4:21" x14ac:dyDescent="0.2">
      <c r="D937" s="4"/>
      <c r="G937" s="5"/>
      <c r="H937" s="5"/>
      <c r="I937" s="4"/>
      <c r="J937" s="4"/>
      <c r="K937" s="5"/>
      <c r="Q937" t="e">
        <f>VLOOKUP(A937,'גיליון דאטה להכל'!A:E,5,0)</f>
        <v>#N/A</v>
      </c>
      <c r="R937" t="e">
        <f>VLOOKUP(A937,'לעדכן בסינתזה דאטה אריזה 42+24'!$A:$C,3,0)</f>
        <v>#N/A</v>
      </c>
      <c r="S937" t="e">
        <f>VLOOKUP(#REF!,'מלאי לא תקין'!A:N,17,0)</f>
        <v>#REF!</v>
      </c>
      <c r="T937" t="e">
        <f t="shared" si="30"/>
        <v>#REF!</v>
      </c>
      <c r="U937" t="e">
        <f t="shared" si="31"/>
        <v>#REF!</v>
      </c>
    </row>
    <row r="938" spans="4:21" x14ac:dyDescent="0.2">
      <c r="D938" s="4"/>
      <c r="G938" s="5"/>
      <c r="H938" s="7"/>
      <c r="I938" s="4"/>
      <c r="J938" s="4"/>
      <c r="K938" s="5"/>
      <c r="Q938" t="e">
        <f>VLOOKUP(A938,'גיליון דאטה להכל'!A:E,5,0)</f>
        <v>#N/A</v>
      </c>
      <c r="R938" t="e">
        <f>VLOOKUP(A938,'לעדכן בסינתזה דאטה אריזה 42+24'!$A:$C,3,0)</f>
        <v>#N/A</v>
      </c>
      <c r="S938" t="e">
        <f>VLOOKUP(#REF!,'מלאי לא תקין'!A:N,17,0)</f>
        <v>#REF!</v>
      </c>
      <c r="T938" t="e">
        <f t="shared" si="30"/>
        <v>#REF!</v>
      </c>
      <c r="U938" t="e">
        <f t="shared" si="31"/>
        <v>#REF!</v>
      </c>
    </row>
    <row r="939" spans="4:21" x14ac:dyDescent="0.2">
      <c r="D939" s="4"/>
      <c r="G939" s="5"/>
      <c r="H939" s="5"/>
      <c r="I939" s="4"/>
      <c r="J939" s="4"/>
      <c r="K939" s="5"/>
      <c r="Q939" t="e">
        <f>VLOOKUP(A939,'גיליון דאטה להכל'!A:E,5,0)</f>
        <v>#N/A</v>
      </c>
      <c r="R939" t="e">
        <f>VLOOKUP(A939,'לעדכן בסינתזה דאטה אריזה 42+24'!$A:$C,3,0)</f>
        <v>#N/A</v>
      </c>
      <c r="S939" t="e">
        <f>VLOOKUP(#REF!,'מלאי לא תקין'!A:N,17,0)</f>
        <v>#REF!</v>
      </c>
      <c r="T939" t="e">
        <f t="shared" si="30"/>
        <v>#REF!</v>
      </c>
      <c r="U939" t="e">
        <f t="shared" si="31"/>
        <v>#REF!</v>
      </c>
    </row>
    <row r="940" spans="4:21" x14ac:dyDescent="0.2">
      <c r="D940" s="4"/>
      <c r="G940" s="5"/>
      <c r="H940" s="5"/>
      <c r="I940" s="4"/>
      <c r="J940" s="4"/>
      <c r="K940" s="5"/>
      <c r="Q940" t="e">
        <f>VLOOKUP(A940,'גיליון דאטה להכל'!A:E,5,0)</f>
        <v>#N/A</v>
      </c>
      <c r="R940" t="e">
        <f>VLOOKUP(A940,'לעדכן בסינתזה דאטה אריזה 42+24'!$A:$C,3,0)</f>
        <v>#N/A</v>
      </c>
      <c r="S940" t="e">
        <f>VLOOKUP(#REF!,'מלאי לא תקין'!A:N,17,0)</f>
        <v>#REF!</v>
      </c>
      <c r="T940" t="e">
        <f t="shared" si="30"/>
        <v>#REF!</v>
      </c>
      <c r="U940" t="e">
        <f t="shared" si="31"/>
        <v>#REF!</v>
      </c>
    </row>
    <row r="941" spans="4:21" x14ac:dyDescent="0.2">
      <c r="D941" s="4"/>
      <c r="G941" s="5"/>
      <c r="H941" s="5"/>
      <c r="I941" s="4"/>
      <c r="J941" s="4"/>
      <c r="K941" s="5"/>
      <c r="Q941" t="e">
        <f>VLOOKUP(A941,'גיליון דאטה להכל'!A:E,5,0)</f>
        <v>#N/A</v>
      </c>
      <c r="R941" t="e">
        <f>VLOOKUP(A941,'לעדכן בסינתזה דאטה אריזה 42+24'!$A:$C,3,0)</f>
        <v>#N/A</v>
      </c>
      <c r="S941" t="e">
        <f>VLOOKUP(#REF!,'מלאי לא תקין'!A:N,17,0)</f>
        <v>#REF!</v>
      </c>
      <c r="T941" t="e">
        <f t="shared" si="30"/>
        <v>#REF!</v>
      </c>
      <c r="U941" t="e">
        <f t="shared" si="31"/>
        <v>#REF!</v>
      </c>
    </row>
    <row r="942" spans="4:21" x14ac:dyDescent="0.2">
      <c r="D942" s="4"/>
      <c r="G942" s="5"/>
      <c r="H942" s="5"/>
      <c r="I942" s="4"/>
      <c r="J942" s="4"/>
      <c r="K942" s="5"/>
      <c r="Q942" t="e">
        <f>VLOOKUP(A942,'גיליון דאטה להכל'!A:E,5,0)</f>
        <v>#N/A</v>
      </c>
      <c r="R942" t="e">
        <f>VLOOKUP(A942,'לעדכן בסינתזה דאטה אריזה 42+24'!$A:$C,3,0)</f>
        <v>#N/A</v>
      </c>
      <c r="S942" t="e">
        <f>VLOOKUP(#REF!,'מלאי לא תקין'!A:N,17,0)</f>
        <v>#REF!</v>
      </c>
      <c r="T942" t="e">
        <f t="shared" si="30"/>
        <v>#REF!</v>
      </c>
      <c r="U942" t="e">
        <f t="shared" si="31"/>
        <v>#REF!</v>
      </c>
    </row>
    <row r="943" spans="4:21" x14ac:dyDescent="0.2">
      <c r="D943" s="4"/>
      <c r="G943" s="5"/>
      <c r="H943" s="5"/>
      <c r="I943" s="4"/>
      <c r="J943" s="4"/>
      <c r="K943" s="5"/>
      <c r="Q943" t="e">
        <f>VLOOKUP(A943,'גיליון דאטה להכל'!A:E,5,0)</f>
        <v>#N/A</v>
      </c>
      <c r="R943" t="e">
        <f>VLOOKUP(A943,'לעדכן בסינתזה דאטה אריזה 42+24'!$A:$C,3,0)</f>
        <v>#N/A</v>
      </c>
      <c r="S943" t="e">
        <f>VLOOKUP(#REF!,'מלאי לא תקין'!A:N,17,0)</f>
        <v>#REF!</v>
      </c>
      <c r="T943" t="e">
        <f t="shared" si="30"/>
        <v>#REF!</v>
      </c>
      <c r="U943" t="e">
        <f t="shared" si="31"/>
        <v>#REF!</v>
      </c>
    </row>
    <row r="944" spans="4:21" x14ac:dyDescent="0.2">
      <c r="D944" s="4"/>
      <c r="G944" s="5"/>
      <c r="H944" s="7"/>
      <c r="I944" s="4"/>
      <c r="J944" s="4"/>
      <c r="K944" s="5"/>
      <c r="Q944" t="e">
        <f>VLOOKUP(A944,'גיליון דאטה להכל'!A:E,5,0)</f>
        <v>#N/A</v>
      </c>
      <c r="R944" t="e">
        <f>VLOOKUP(A944,'לעדכן בסינתזה דאטה אריזה 42+24'!$A:$C,3,0)</f>
        <v>#N/A</v>
      </c>
      <c r="S944" t="e">
        <f>VLOOKUP(#REF!,'מלאי לא תקין'!A:N,17,0)</f>
        <v>#REF!</v>
      </c>
      <c r="T944" t="e">
        <f t="shared" si="30"/>
        <v>#REF!</v>
      </c>
      <c r="U944" t="e">
        <f t="shared" si="31"/>
        <v>#REF!</v>
      </c>
    </row>
    <row r="945" spans="4:21" x14ac:dyDescent="0.2">
      <c r="D945" s="4"/>
      <c r="G945" s="5"/>
      <c r="H945" s="5"/>
      <c r="I945" s="4"/>
      <c r="J945" s="4"/>
      <c r="K945" s="5"/>
      <c r="Q945" t="e">
        <f>VLOOKUP(A945,'גיליון דאטה להכל'!A:E,5,0)</f>
        <v>#N/A</v>
      </c>
      <c r="R945" t="e">
        <f>VLOOKUP(A945,'לעדכן בסינתזה דאטה אריזה 42+24'!$A:$C,3,0)</f>
        <v>#N/A</v>
      </c>
      <c r="S945" t="e">
        <f>VLOOKUP(#REF!,'מלאי לא תקין'!A:N,17,0)</f>
        <v>#REF!</v>
      </c>
      <c r="T945" t="e">
        <f t="shared" si="30"/>
        <v>#REF!</v>
      </c>
      <c r="U945" t="e">
        <f t="shared" si="31"/>
        <v>#REF!</v>
      </c>
    </row>
    <row r="946" spans="4:21" x14ac:dyDescent="0.2">
      <c r="D946" s="4"/>
      <c r="G946" s="5"/>
      <c r="H946" s="5"/>
      <c r="I946" s="4"/>
      <c r="J946" s="4"/>
      <c r="K946" s="5"/>
      <c r="Q946" t="e">
        <f>VLOOKUP(A946,'גיליון דאטה להכל'!A:E,5,0)</f>
        <v>#N/A</v>
      </c>
      <c r="R946" t="e">
        <f>VLOOKUP(A946,'לעדכן בסינתזה דאטה אריזה 42+24'!$A:$C,3,0)</f>
        <v>#N/A</v>
      </c>
      <c r="S946" t="e">
        <f>VLOOKUP(#REF!,'מלאי לא תקין'!A:N,17,0)</f>
        <v>#REF!</v>
      </c>
      <c r="T946" t="e">
        <f t="shared" si="30"/>
        <v>#REF!</v>
      </c>
      <c r="U946" t="e">
        <f t="shared" si="31"/>
        <v>#REF!</v>
      </c>
    </row>
    <row r="947" spans="4:21" x14ac:dyDescent="0.2">
      <c r="D947" s="4"/>
      <c r="G947" s="5"/>
      <c r="H947" s="5"/>
      <c r="I947" s="4"/>
      <c r="J947" s="4"/>
      <c r="K947" s="5"/>
      <c r="Q947" t="e">
        <f>VLOOKUP(A947,'גיליון דאטה להכל'!A:E,5,0)</f>
        <v>#N/A</v>
      </c>
      <c r="R947" t="e">
        <f>VLOOKUP(A947,'לעדכן בסינתזה דאטה אריזה 42+24'!$A:$C,3,0)</f>
        <v>#N/A</v>
      </c>
      <c r="S947" t="e">
        <f>VLOOKUP(#REF!,'מלאי לא תקין'!A:N,17,0)</f>
        <v>#REF!</v>
      </c>
      <c r="T947" t="e">
        <f t="shared" si="30"/>
        <v>#REF!</v>
      </c>
      <c r="U947" t="e">
        <f t="shared" si="31"/>
        <v>#REF!</v>
      </c>
    </row>
    <row r="948" spans="4:21" x14ac:dyDescent="0.2">
      <c r="D948" s="4"/>
      <c r="G948" s="5"/>
      <c r="H948" s="5"/>
      <c r="I948" s="4"/>
      <c r="J948" s="4"/>
      <c r="K948" s="5"/>
      <c r="Q948" t="e">
        <f>VLOOKUP(A948,'גיליון דאטה להכל'!A:E,5,0)</f>
        <v>#N/A</v>
      </c>
      <c r="R948" t="e">
        <f>VLOOKUP(A948,'לעדכן בסינתזה דאטה אריזה 42+24'!$A:$C,3,0)</f>
        <v>#N/A</v>
      </c>
      <c r="S948" t="e">
        <f>VLOOKUP(#REF!,'מלאי לא תקין'!A:N,17,0)</f>
        <v>#REF!</v>
      </c>
      <c r="T948" t="e">
        <f t="shared" si="30"/>
        <v>#REF!</v>
      </c>
      <c r="U948" t="e">
        <f t="shared" si="31"/>
        <v>#REF!</v>
      </c>
    </row>
    <row r="949" spans="4:21" x14ac:dyDescent="0.2">
      <c r="D949" s="4"/>
      <c r="G949" s="5"/>
      <c r="H949" s="7"/>
      <c r="I949" s="4"/>
      <c r="J949" s="4"/>
      <c r="K949" s="5"/>
      <c r="Q949" t="e">
        <f>VLOOKUP(A949,'גיליון דאטה להכל'!A:E,5,0)</f>
        <v>#N/A</v>
      </c>
      <c r="R949" t="e">
        <f>VLOOKUP(A949,'לעדכן בסינתזה דאטה אריזה 42+24'!$A:$C,3,0)</f>
        <v>#N/A</v>
      </c>
      <c r="S949" t="e">
        <f>VLOOKUP(#REF!,'מלאי לא תקין'!A:N,17,0)</f>
        <v>#REF!</v>
      </c>
      <c r="T949" t="e">
        <f t="shared" ref="T949:T1012" si="32">_xlfn.CONCAT(S949,Q949)</f>
        <v>#REF!</v>
      </c>
      <c r="U949" t="e">
        <f t="shared" ref="U949:U1012" si="33">_xlfn.CONCAT(S949,O949)</f>
        <v>#REF!</v>
      </c>
    </row>
    <row r="950" spans="4:21" x14ac:dyDescent="0.2">
      <c r="D950" s="4"/>
      <c r="G950" s="5"/>
      <c r="H950" s="5"/>
      <c r="I950" s="4"/>
      <c r="J950" s="4"/>
      <c r="K950" s="5"/>
      <c r="Q950" t="e">
        <f>VLOOKUP(A950,'גיליון דאטה להכל'!A:E,5,0)</f>
        <v>#N/A</v>
      </c>
      <c r="R950" t="e">
        <f>VLOOKUP(A950,'לעדכן בסינתזה דאטה אריזה 42+24'!$A:$C,3,0)</f>
        <v>#N/A</v>
      </c>
      <c r="S950" t="e">
        <f>VLOOKUP(#REF!,'מלאי לא תקין'!A:N,17,0)</f>
        <v>#REF!</v>
      </c>
      <c r="T950" t="e">
        <f t="shared" si="32"/>
        <v>#REF!</v>
      </c>
      <c r="U950" t="e">
        <f t="shared" si="33"/>
        <v>#REF!</v>
      </c>
    </row>
    <row r="951" spans="4:21" x14ac:dyDescent="0.2">
      <c r="D951" s="4"/>
      <c r="G951" s="5"/>
      <c r="H951" s="5"/>
      <c r="I951" s="4"/>
      <c r="J951" s="4"/>
      <c r="K951" s="5"/>
      <c r="Q951" t="e">
        <f>VLOOKUP(A951,'גיליון דאטה להכל'!A:E,5,0)</f>
        <v>#N/A</v>
      </c>
      <c r="R951" t="e">
        <f>VLOOKUP(A951,'לעדכן בסינתזה דאטה אריזה 42+24'!$A:$C,3,0)</f>
        <v>#N/A</v>
      </c>
      <c r="S951" t="e">
        <f>VLOOKUP(#REF!,'מלאי לא תקין'!A:N,17,0)</f>
        <v>#REF!</v>
      </c>
      <c r="T951" t="e">
        <f t="shared" si="32"/>
        <v>#REF!</v>
      </c>
      <c r="U951" t="e">
        <f t="shared" si="33"/>
        <v>#REF!</v>
      </c>
    </row>
    <row r="952" spans="4:21" x14ac:dyDescent="0.2">
      <c r="D952" s="4"/>
      <c r="G952" s="5"/>
      <c r="H952" s="5"/>
      <c r="I952" s="4"/>
      <c r="J952" s="4"/>
      <c r="K952" s="5"/>
      <c r="Q952" t="e">
        <f>VLOOKUP(A952,'גיליון דאטה להכל'!A:E,5,0)</f>
        <v>#N/A</v>
      </c>
      <c r="R952" t="e">
        <f>VLOOKUP(A952,'לעדכן בסינתזה דאטה אריזה 42+24'!$A:$C,3,0)</f>
        <v>#N/A</v>
      </c>
      <c r="S952" t="e">
        <f>VLOOKUP(#REF!,'מלאי לא תקין'!A:N,17,0)</f>
        <v>#REF!</v>
      </c>
      <c r="T952" t="e">
        <f t="shared" si="32"/>
        <v>#REF!</v>
      </c>
      <c r="U952" t="e">
        <f t="shared" si="33"/>
        <v>#REF!</v>
      </c>
    </row>
    <row r="953" spans="4:21" x14ac:dyDescent="0.2">
      <c r="D953" s="4"/>
      <c r="G953" s="5"/>
      <c r="H953" s="5"/>
      <c r="I953" s="4"/>
      <c r="J953" s="4"/>
      <c r="K953" s="5"/>
      <c r="Q953" t="e">
        <f>VLOOKUP(A953,'גיליון דאטה להכל'!A:E,5,0)</f>
        <v>#N/A</v>
      </c>
      <c r="R953" t="e">
        <f>VLOOKUP(A953,'לעדכן בסינתזה דאטה אריזה 42+24'!$A:$C,3,0)</f>
        <v>#N/A</v>
      </c>
      <c r="S953" t="e">
        <f>VLOOKUP(#REF!,'מלאי לא תקין'!A:N,17,0)</f>
        <v>#REF!</v>
      </c>
      <c r="T953" t="e">
        <f t="shared" si="32"/>
        <v>#REF!</v>
      </c>
      <c r="U953" t="e">
        <f t="shared" si="33"/>
        <v>#REF!</v>
      </c>
    </row>
    <row r="954" spans="4:21" x14ac:dyDescent="0.2">
      <c r="D954" s="4"/>
      <c r="G954" s="5"/>
      <c r="H954" s="5"/>
      <c r="I954" s="4"/>
      <c r="J954" s="4"/>
      <c r="K954" s="5"/>
      <c r="Q954" t="e">
        <f>VLOOKUP(A954,'גיליון דאטה להכל'!A:E,5,0)</f>
        <v>#N/A</v>
      </c>
      <c r="R954" t="e">
        <f>VLOOKUP(A954,'לעדכן בסינתזה דאטה אריזה 42+24'!$A:$C,3,0)</f>
        <v>#N/A</v>
      </c>
      <c r="S954" t="e">
        <f>VLOOKUP(#REF!,'מלאי לא תקין'!A:N,17,0)</f>
        <v>#REF!</v>
      </c>
      <c r="T954" t="e">
        <f t="shared" si="32"/>
        <v>#REF!</v>
      </c>
      <c r="U954" t="e">
        <f t="shared" si="33"/>
        <v>#REF!</v>
      </c>
    </row>
    <row r="955" spans="4:21" x14ac:dyDescent="0.2">
      <c r="D955" s="4"/>
      <c r="G955" s="5"/>
      <c r="H955" s="7"/>
      <c r="I955" s="4"/>
      <c r="J955" s="4"/>
      <c r="K955" s="5"/>
      <c r="Q955" t="e">
        <f>VLOOKUP(A955,'גיליון דאטה להכל'!A:E,5,0)</f>
        <v>#N/A</v>
      </c>
      <c r="R955" t="e">
        <f>VLOOKUP(A955,'לעדכן בסינתזה דאטה אריזה 42+24'!$A:$C,3,0)</f>
        <v>#N/A</v>
      </c>
      <c r="S955" t="e">
        <f>VLOOKUP(#REF!,'מלאי לא תקין'!A:N,17,0)</f>
        <v>#REF!</v>
      </c>
      <c r="T955" t="e">
        <f t="shared" si="32"/>
        <v>#REF!</v>
      </c>
      <c r="U955" t="e">
        <f t="shared" si="33"/>
        <v>#REF!</v>
      </c>
    </row>
    <row r="956" spans="4:21" x14ac:dyDescent="0.2">
      <c r="D956" s="4"/>
      <c r="G956" s="5"/>
      <c r="H956" s="7"/>
      <c r="I956" s="4"/>
      <c r="J956" s="4"/>
      <c r="K956" s="5"/>
      <c r="Q956" t="e">
        <f>VLOOKUP(A956,'גיליון דאטה להכל'!A:E,5,0)</f>
        <v>#N/A</v>
      </c>
      <c r="R956" t="e">
        <f>VLOOKUP(A956,'לעדכן בסינתזה דאטה אריזה 42+24'!$A:$C,3,0)</f>
        <v>#N/A</v>
      </c>
      <c r="S956" t="e">
        <f>VLOOKUP(#REF!,'מלאי לא תקין'!A:N,17,0)</f>
        <v>#REF!</v>
      </c>
      <c r="T956" t="e">
        <f t="shared" si="32"/>
        <v>#REF!</v>
      </c>
      <c r="U956" t="e">
        <f t="shared" si="33"/>
        <v>#REF!</v>
      </c>
    </row>
    <row r="957" spans="4:21" x14ac:dyDescent="0.2">
      <c r="D957" s="4"/>
      <c r="G957" s="5"/>
      <c r="H957" s="5"/>
      <c r="I957" s="4"/>
      <c r="J957" s="4"/>
      <c r="K957" s="5"/>
      <c r="Q957" t="e">
        <f>VLOOKUP(A957,'גיליון דאטה להכל'!A:E,5,0)</f>
        <v>#N/A</v>
      </c>
      <c r="R957" t="e">
        <f>VLOOKUP(A957,'לעדכן בסינתזה דאטה אריזה 42+24'!$A:$C,3,0)</f>
        <v>#N/A</v>
      </c>
      <c r="S957" t="e">
        <f>VLOOKUP(#REF!,'מלאי לא תקין'!A:N,17,0)</f>
        <v>#REF!</v>
      </c>
      <c r="T957" t="e">
        <f t="shared" si="32"/>
        <v>#REF!</v>
      </c>
      <c r="U957" t="e">
        <f t="shared" si="33"/>
        <v>#REF!</v>
      </c>
    </row>
    <row r="958" spans="4:21" x14ac:dyDescent="0.2">
      <c r="D958" s="4"/>
      <c r="G958" s="5"/>
      <c r="H958" s="5"/>
      <c r="I958" s="4"/>
      <c r="J958" s="4"/>
      <c r="K958" s="5"/>
      <c r="Q958" t="e">
        <f>VLOOKUP(A958,'גיליון דאטה להכל'!A:E,5,0)</f>
        <v>#N/A</v>
      </c>
      <c r="R958" t="e">
        <f>VLOOKUP(A958,'לעדכן בסינתזה דאטה אריזה 42+24'!$A:$C,3,0)</f>
        <v>#N/A</v>
      </c>
      <c r="S958" t="e">
        <f>VLOOKUP(#REF!,'מלאי לא תקין'!A:N,17,0)</f>
        <v>#REF!</v>
      </c>
      <c r="T958" t="e">
        <f t="shared" si="32"/>
        <v>#REF!</v>
      </c>
      <c r="U958" t="e">
        <f t="shared" si="33"/>
        <v>#REF!</v>
      </c>
    </row>
    <row r="959" spans="4:21" x14ac:dyDescent="0.2">
      <c r="D959" s="4"/>
      <c r="G959" s="5"/>
      <c r="H959" s="5"/>
      <c r="I959" s="4"/>
      <c r="J959" s="4"/>
      <c r="K959" s="5"/>
      <c r="Q959" t="e">
        <f>VLOOKUP(A959,'גיליון דאטה להכל'!A:E,5,0)</f>
        <v>#N/A</v>
      </c>
      <c r="R959" t="e">
        <f>VLOOKUP(A959,'לעדכן בסינתזה דאטה אריזה 42+24'!$A:$C,3,0)</f>
        <v>#N/A</v>
      </c>
      <c r="S959" t="e">
        <f>VLOOKUP(#REF!,'מלאי לא תקין'!A:N,17,0)</f>
        <v>#REF!</v>
      </c>
      <c r="T959" t="e">
        <f t="shared" si="32"/>
        <v>#REF!</v>
      </c>
      <c r="U959" t="e">
        <f t="shared" si="33"/>
        <v>#REF!</v>
      </c>
    </row>
    <row r="960" spans="4:21" x14ac:dyDescent="0.2">
      <c r="D960" s="4"/>
      <c r="G960" s="5"/>
      <c r="H960" s="7"/>
      <c r="I960" s="4"/>
      <c r="J960" s="4"/>
      <c r="K960" s="5"/>
      <c r="Q960" t="e">
        <f>VLOOKUP(A960,'גיליון דאטה להכל'!A:E,5,0)</f>
        <v>#N/A</v>
      </c>
      <c r="R960" t="e">
        <f>VLOOKUP(A960,'לעדכן בסינתזה דאטה אריזה 42+24'!$A:$C,3,0)</f>
        <v>#N/A</v>
      </c>
      <c r="S960" t="e">
        <f>VLOOKUP(#REF!,'מלאי לא תקין'!A:N,17,0)</f>
        <v>#REF!</v>
      </c>
      <c r="T960" t="e">
        <f t="shared" si="32"/>
        <v>#REF!</v>
      </c>
      <c r="U960" t="e">
        <f t="shared" si="33"/>
        <v>#REF!</v>
      </c>
    </row>
    <row r="961" spans="4:21" x14ac:dyDescent="0.2">
      <c r="D961" s="4"/>
      <c r="G961" s="5"/>
      <c r="H961" s="5"/>
      <c r="I961" s="4"/>
      <c r="J961" s="4"/>
      <c r="K961" s="5"/>
      <c r="Q961" t="e">
        <f>VLOOKUP(A961,'גיליון דאטה להכל'!A:E,5,0)</f>
        <v>#N/A</v>
      </c>
      <c r="R961" t="e">
        <f>VLOOKUP(A961,'לעדכן בסינתזה דאטה אריזה 42+24'!$A:$C,3,0)</f>
        <v>#N/A</v>
      </c>
      <c r="S961" t="e">
        <f>VLOOKUP(#REF!,'מלאי לא תקין'!A:N,17,0)</f>
        <v>#REF!</v>
      </c>
      <c r="T961" t="e">
        <f t="shared" si="32"/>
        <v>#REF!</v>
      </c>
      <c r="U961" t="e">
        <f t="shared" si="33"/>
        <v>#REF!</v>
      </c>
    </row>
    <row r="962" spans="4:21" x14ac:dyDescent="0.2">
      <c r="D962" s="4"/>
      <c r="G962" s="5"/>
      <c r="H962" s="5"/>
      <c r="I962" s="4"/>
      <c r="J962" s="4"/>
      <c r="K962" s="5"/>
      <c r="Q962" t="e">
        <f>VLOOKUP(A962,'גיליון דאטה להכל'!A:E,5,0)</f>
        <v>#N/A</v>
      </c>
      <c r="R962" t="e">
        <f>VLOOKUP(A962,'לעדכן בסינתזה דאטה אריזה 42+24'!$A:$C,3,0)</f>
        <v>#N/A</v>
      </c>
      <c r="S962" t="e">
        <f>VLOOKUP(#REF!,'מלאי לא תקין'!A:N,17,0)</f>
        <v>#REF!</v>
      </c>
      <c r="T962" t="e">
        <f t="shared" si="32"/>
        <v>#REF!</v>
      </c>
      <c r="U962" t="e">
        <f t="shared" si="33"/>
        <v>#REF!</v>
      </c>
    </row>
    <row r="963" spans="4:21" x14ac:dyDescent="0.2">
      <c r="D963" s="4"/>
      <c r="G963" s="5"/>
      <c r="H963" s="5"/>
      <c r="I963" s="4"/>
      <c r="J963" s="4"/>
      <c r="K963" s="5"/>
      <c r="Q963" t="e">
        <f>VLOOKUP(A963,'גיליון דאטה להכל'!A:E,5,0)</f>
        <v>#N/A</v>
      </c>
      <c r="R963" t="e">
        <f>VLOOKUP(A963,'לעדכן בסינתזה דאטה אריזה 42+24'!$A:$C,3,0)</f>
        <v>#N/A</v>
      </c>
      <c r="S963" t="e">
        <f>VLOOKUP(#REF!,'מלאי לא תקין'!A:N,17,0)</f>
        <v>#REF!</v>
      </c>
      <c r="T963" t="e">
        <f t="shared" si="32"/>
        <v>#REF!</v>
      </c>
      <c r="U963" t="e">
        <f t="shared" si="33"/>
        <v>#REF!</v>
      </c>
    </row>
    <row r="964" spans="4:21" x14ac:dyDescent="0.2">
      <c r="D964" s="4"/>
      <c r="G964" s="5"/>
      <c r="H964" s="5"/>
      <c r="I964" s="4"/>
      <c r="J964" s="4"/>
      <c r="K964" s="5"/>
      <c r="Q964" t="e">
        <f>VLOOKUP(A964,'גיליון דאטה להכל'!A:E,5,0)</f>
        <v>#N/A</v>
      </c>
      <c r="R964" t="e">
        <f>VLOOKUP(A964,'לעדכן בסינתזה דאטה אריזה 42+24'!$A:$C,3,0)</f>
        <v>#N/A</v>
      </c>
      <c r="S964" t="e">
        <f>VLOOKUP(#REF!,'מלאי לא תקין'!A:N,17,0)</f>
        <v>#REF!</v>
      </c>
      <c r="T964" t="e">
        <f t="shared" si="32"/>
        <v>#REF!</v>
      </c>
      <c r="U964" t="e">
        <f t="shared" si="33"/>
        <v>#REF!</v>
      </c>
    </row>
    <row r="965" spans="4:21" x14ac:dyDescent="0.2">
      <c r="D965" s="4"/>
      <c r="G965" s="5"/>
      <c r="H965" s="5"/>
      <c r="I965" s="4"/>
      <c r="J965" s="4"/>
      <c r="K965" s="5"/>
      <c r="Q965" t="e">
        <f>VLOOKUP(A965,'גיליון דאטה להכל'!A:E,5,0)</f>
        <v>#N/A</v>
      </c>
      <c r="R965" t="e">
        <f>VLOOKUP(A965,'לעדכן בסינתזה דאטה אריזה 42+24'!$A:$C,3,0)</f>
        <v>#N/A</v>
      </c>
      <c r="S965" t="e">
        <f>VLOOKUP(#REF!,'מלאי לא תקין'!A:N,17,0)</f>
        <v>#REF!</v>
      </c>
      <c r="T965" t="e">
        <f t="shared" si="32"/>
        <v>#REF!</v>
      </c>
      <c r="U965" t="e">
        <f t="shared" si="33"/>
        <v>#REF!</v>
      </c>
    </row>
    <row r="966" spans="4:21" x14ac:dyDescent="0.2">
      <c r="D966" s="4"/>
      <c r="G966" s="5"/>
      <c r="H966" s="7"/>
      <c r="I966" s="4"/>
      <c r="J966" s="4"/>
      <c r="K966" s="5"/>
      <c r="Q966" t="e">
        <f>VLOOKUP(A966,'גיליון דאטה להכל'!A:E,5,0)</f>
        <v>#N/A</v>
      </c>
      <c r="R966" t="e">
        <f>VLOOKUP(A966,'לעדכן בסינתזה דאטה אריזה 42+24'!$A:$C,3,0)</f>
        <v>#N/A</v>
      </c>
      <c r="S966" t="e">
        <f>VLOOKUP(#REF!,'מלאי לא תקין'!A:N,17,0)</f>
        <v>#REF!</v>
      </c>
      <c r="T966" t="e">
        <f t="shared" si="32"/>
        <v>#REF!</v>
      </c>
      <c r="U966" t="e">
        <f t="shared" si="33"/>
        <v>#REF!</v>
      </c>
    </row>
    <row r="967" spans="4:21" x14ac:dyDescent="0.2">
      <c r="D967" s="4"/>
      <c r="G967" s="5"/>
      <c r="H967" s="5"/>
      <c r="I967" s="4"/>
      <c r="J967" s="4"/>
      <c r="K967" s="5"/>
      <c r="Q967" t="e">
        <f>VLOOKUP(A967,'גיליון דאטה להכל'!A:E,5,0)</f>
        <v>#N/A</v>
      </c>
      <c r="R967" t="e">
        <f>VLOOKUP(A967,'לעדכן בסינתזה דאטה אריזה 42+24'!$A:$C,3,0)</f>
        <v>#N/A</v>
      </c>
      <c r="S967" t="e">
        <f>VLOOKUP(#REF!,'מלאי לא תקין'!A:N,17,0)</f>
        <v>#REF!</v>
      </c>
      <c r="T967" t="e">
        <f t="shared" si="32"/>
        <v>#REF!</v>
      </c>
      <c r="U967" t="e">
        <f t="shared" si="33"/>
        <v>#REF!</v>
      </c>
    </row>
    <row r="968" spans="4:21" x14ac:dyDescent="0.2">
      <c r="D968" s="4"/>
      <c r="G968" s="5"/>
      <c r="H968" s="5"/>
      <c r="I968" s="4"/>
      <c r="J968" s="4"/>
      <c r="K968" s="5"/>
      <c r="Q968" t="e">
        <f>VLOOKUP(A968,'גיליון דאטה להכל'!A:E,5,0)</f>
        <v>#N/A</v>
      </c>
      <c r="R968" t="e">
        <f>VLOOKUP(A968,'לעדכן בסינתזה דאטה אריזה 42+24'!$A:$C,3,0)</f>
        <v>#N/A</v>
      </c>
      <c r="S968" t="e">
        <f>VLOOKUP(#REF!,'מלאי לא תקין'!A:N,17,0)</f>
        <v>#REF!</v>
      </c>
      <c r="T968" t="e">
        <f t="shared" si="32"/>
        <v>#REF!</v>
      </c>
      <c r="U968" t="e">
        <f t="shared" si="33"/>
        <v>#REF!</v>
      </c>
    </row>
    <row r="969" spans="4:21" x14ac:dyDescent="0.2">
      <c r="D969" s="4"/>
      <c r="G969" s="5"/>
      <c r="H969" s="5"/>
      <c r="I969" s="4"/>
      <c r="J969" s="4"/>
      <c r="K969" s="5"/>
      <c r="Q969" t="e">
        <f>VLOOKUP(A969,'גיליון דאטה להכל'!A:E,5,0)</f>
        <v>#N/A</v>
      </c>
      <c r="R969" t="e">
        <f>VLOOKUP(A969,'לעדכן בסינתזה דאטה אריזה 42+24'!$A:$C,3,0)</f>
        <v>#N/A</v>
      </c>
      <c r="S969" t="e">
        <f>VLOOKUP(#REF!,'מלאי לא תקין'!A:N,17,0)</f>
        <v>#REF!</v>
      </c>
      <c r="T969" t="e">
        <f t="shared" si="32"/>
        <v>#REF!</v>
      </c>
      <c r="U969" t="e">
        <f t="shared" si="33"/>
        <v>#REF!</v>
      </c>
    </row>
    <row r="970" spans="4:21" x14ac:dyDescent="0.2">
      <c r="D970" s="4"/>
      <c r="G970" s="5"/>
      <c r="H970" s="5"/>
      <c r="I970" s="4"/>
      <c r="J970" s="4"/>
      <c r="K970" s="5"/>
      <c r="Q970" t="e">
        <f>VLOOKUP(A970,'גיליון דאטה להכל'!A:E,5,0)</f>
        <v>#N/A</v>
      </c>
      <c r="R970" t="e">
        <f>VLOOKUP(A970,'לעדכן בסינתזה דאטה אריזה 42+24'!$A:$C,3,0)</f>
        <v>#N/A</v>
      </c>
      <c r="S970" t="e">
        <f>VLOOKUP(#REF!,'מלאי לא תקין'!A:N,17,0)</f>
        <v>#REF!</v>
      </c>
      <c r="T970" t="e">
        <f t="shared" si="32"/>
        <v>#REF!</v>
      </c>
      <c r="U970" t="e">
        <f t="shared" si="33"/>
        <v>#REF!</v>
      </c>
    </row>
    <row r="971" spans="4:21" x14ac:dyDescent="0.2">
      <c r="D971" s="4"/>
      <c r="G971" s="5"/>
      <c r="H971" s="5"/>
      <c r="I971" s="4"/>
      <c r="J971" s="4"/>
      <c r="K971" s="5"/>
      <c r="Q971" t="e">
        <f>VLOOKUP(A971,'גיליון דאטה להכל'!A:E,5,0)</f>
        <v>#N/A</v>
      </c>
      <c r="R971" t="e">
        <f>VLOOKUP(A971,'לעדכן בסינתזה דאטה אריזה 42+24'!$A:$C,3,0)</f>
        <v>#N/A</v>
      </c>
      <c r="S971" t="e">
        <f>VLOOKUP(#REF!,'מלאי לא תקין'!A:N,17,0)</f>
        <v>#REF!</v>
      </c>
      <c r="T971" t="e">
        <f t="shared" si="32"/>
        <v>#REF!</v>
      </c>
      <c r="U971" t="e">
        <f t="shared" si="33"/>
        <v>#REF!</v>
      </c>
    </row>
    <row r="972" spans="4:21" x14ac:dyDescent="0.2">
      <c r="D972" s="4"/>
      <c r="G972" s="5"/>
      <c r="H972" s="7"/>
      <c r="I972" s="4"/>
      <c r="J972" s="4"/>
      <c r="K972" s="5"/>
      <c r="Q972" t="e">
        <f>VLOOKUP(A972,'גיליון דאטה להכל'!A:E,5,0)</f>
        <v>#N/A</v>
      </c>
      <c r="R972" t="e">
        <f>VLOOKUP(A972,'לעדכן בסינתזה דאטה אריזה 42+24'!$A:$C,3,0)</f>
        <v>#N/A</v>
      </c>
      <c r="S972" t="e">
        <f>VLOOKUP(#REF!,'מלאי לא תקין'!A:N,17,0)</f>
        <v>#REF!</v>
      </c>
      <c r="T972" t="e">
        <f t="shared" si="32"/>
        <v>#REF!</v>
      </c>
      <c r="U972" t="e">
        <f t="shared" si="33"/>
        <v>#REF!</v>
      </c>
    </row>
    <row r="973" spans="4:21" x14ac:dyDescent="0.2">
      <c r="D973" s="4"/>
      <c r="G973" s="5"/>
      <c r="H973" s="5"/>
      <c r="I973" s="4"/>
      <c r="J973" s="4"/>
      <c r="K973" s="5"/>
      <c r="Q973" t="e">
        <f>VLOOKUP(A973,'גיליון דאטה להכל'!A:E,5,0)</f>
        <v>#N/A</v>
      </c>
      <c r="R973" t="e">
        <f>VLOOKUP(A973,'לעדכן בסינתזה דאטה אריזה 42+24'!$A:$C,3,0)</f>
        <v>#N/A</v>
      </c>
      <c r="S973" t="e">
        <f>VLOOKUP(#REF!,'מלאי לא תקין'!A:N,17,0)</f>
        <v>#REF!</v>
      </c>
      <c r="T973" t="e">
        <f t="shared" si="32"/>
        <v>#REF!</v>
      </c>
      <c r="U973" t="e">
        <f t="shared" si="33"/>
        <v>#REF!</v>
      </c>
    </row>
    <row r="974" spans="4:21" x14ac:dyDescent="0.2">
      <c r="D974" s="4"/>
      <c r="G974" s="5"/>
      <c r="H974" s="5"/>
      <c r="I974" s="4"/>
      <c r="J974" s="4"/>
      <c r="K974" s="5"/>
      <c r="Q974" t="e">
        <f>VLOOKUP(A974,'גיליון דאטה להכל'!A:E,5,0)</f>
        <v>#N/A</v>
      </c>
      <c r="R974" t="e">
        <f>VLOOKUP(A974,'לעדכן בסינתזה דאטה אריזה 42+24'!$A:$C,3,0)</f>
        <v>#N/A</v>
      </c>
      <c r="S974" t="e">
        <f>VLOOKUP(#REF!,'מלאי לא תקין'!A:N,17,0)</f>
        <v>#REF!</v>
      </c>
      <c r="T974" t="e">
        <f t="shared" si="32"/>
        <v>#REF!</v>
      </c>
      <c r="U974" t="e">
        <f t="shared" si="33"/>
        <v>#REF!</v>
      </c>
    </row>
    <row r="975" spans="4:21" x14ac:dyDescent="0.2">
      <c r="D975" s="4"/>
      <c r="G975" s="5"/>
      <c r="H975" s="5"/>
      <c r="I975" s="4"/>
      <c r="J975" s="4"/>
      <c r="K975" s="5"/>
      <c r="Q975" t="e">
        <f>VLOOKUP(A975,'גיליון דאטה להכל'!A:E,5,0)</f>
        <v>#N/A</v>
      </c>
      <c r="R975" t="e">
        <f>VLOOKUP(A975,'לעדכן בסינתזה דאטה אריזה 42+24'!$A:$C,3,0)</f>
        <v>#N/A</v>
      </c>
      <c r="S975" t="e">
        <f>VLOOKUP(#REF!,'מלאי לא תקין'!A:N,17,0)</f>
        <v>#REF!</v>
      </c>
      <c r="T975" t="e">
        <f t="shared" si="32"/>
        <v>#REF!</v>
      </c>
      <c r="U975" t="e">
        <f t="shared" si="33"/>
        <v>#REF!</v>
      </c>
    </row>
    <row r="976" spans="4:21" x14ac:dyDescent="0.2">
      <c r="D976" s="4"/>
      <c r="G976" s="5"/>
      <c r="H976" s="5"/>
      <c r="I976" s="4"/>
      <c r="J976" s="4"/>
      <c r="K976" s="5"/>
      <c r="Q976" t="e">
        <f>VLOOKUP(A976,'גיליון דאטה להכל'!A:E,5,0)</f>
        <v>#N/A</v>
      </c>
      <c r="R976" t="e">
        <f>VLOOKUP(A976,'לעדכן בסינתזה דאטה אריזה 42+24'!$A:$C,3,0)</f>
        <v>#N/A</v>
      </c>
      <c r="S976" t="e">
        <f>VLOOKUP(#REF!,'מלאי לא תקין'!A:N,17,0)</f>
        <v>#REF!</v>
      </c>
      <c r="T976" t="e">
        <f t="shared" si="32"/>
        <v>#REF!</v>
      </c>
      <c r="U976" t="e">
        <f t="shared" si="33"/>
        <v>#REF!</v>
      </c>
    </row>
    <row r="977" spans="4:21" x14ac:dyDescent="0.2">
      <c r="D977" s="4"/>
      <c r="G977" s="5"/>
      <c r="H977" s="5"/>
      <c r="I977" s="4"/>
      <c r="J977" s="4"/>
      <c r="K977" s="5"/>
      <c r="Q977" t="e">
        <f>VLOOKUP(A977,'גיליון דאטה להכל'!A:E,5,0)</f>
        <v>#N/A</v>
      </c>
      <c r="R977" t="e">
        <f>VLOOKUP(A977,'לעדכן בסינתזה דאטה אריזה 42+24'!$A:$C,3,0)</f>
        <v>#N/A</v>
      </c>
      <c r="S977" t="e">
        <f>VLOOKUP(#REF!,'מלאי לא תקין'!A:N,17,0)</f>
        <v>#REF!</v>
      </c>
      <c r="T977" t="e">
        <f t="shared" si="32"/>
        <v>#REF!</v>
      </c>
      <c r="U977" t="e">
        <f t="shared" si="33"/>
        <v>#REF!</v>
      </c>
    </row>
    <row r="978" spans="4:21" x14ac:dyDescent="0.2">
      <c r="D978" s="4"/>
      <c r="G978" s="5"/>
      <c r="H978" s="7"/>
      <c r="I978" s="4"/>
      <c r="J978" s="4"/>
      <c r="K978" s="5"/>
      <c r="Q978" t="e">
        <f>VLOOKUP(A978,'גיליון דאטה להכל'!A:E,5,0)</f>
        <v>#N/A</v>
      </c>
      <c r="R978" t="e">
        <f>VLOOKUP(A978,'לעדכן בסינתזה דאטה אריזה 42+24'!$A:$C,3,0)</f>
        <v>#N/A</v>
      </c>
      <c r="S978" t="e">
        <f>VLOOKUP(#REF!,'מלאי לא תקין'!A:N,17,0)</f>
        <v>#REF!</v>
      </c>
      <c r="T978" t="e">
        <f t="shared" si="32"/>
        <v>#REF!</v>
      </c>
      <c r="U978" t="e">
        <f t="shared" si="33"/>
        <v>#REF!</v>
      </c>
    </row>
    <row r="979" spans="4:21" x14ac:dyDescent="0.2">
      <c r="D979" s="4"/>
      <c r="G979" s="5"/>
      <c r="H979" s="5"/>
      <c r="I979" s="4"/>
      <c r="J979" s="4"/>
      <c r="K979" s="5"/>
      <c r="Q979" t="e">
        <f>VLOOKUP(A979,'גיליון דאטה להכל'!A:E,5,0)</f>
        <v>#N/A</v>
      </c>
      <c r="R979" t="e">
        <f>VLOOKUP(A979,'לעדכן בסינתזה דאטה אריזה 42+24'!$A:$C,3,0)</f>
        <v>#N/A</v>
      </c>
      <c r="S979" t="e">
        <f>VLOOKUP(#REF!,'מלאי לא תקין'!A:N,17,0)</f>
        <v>#REF!</v>
      </c>
      <c r="T979" t="e">
        <f t="shared" si="32"/>
        <v>#REF!</v>
      </c>
      <c r="U979" t="e">
        <f t="shared" si="33"/>
        <v>#REF!</v>
      </c>
    </row>
    <row r="980" spans="4:21" x14ac:dyDescent="0.2">
      <c r="D980" s="4"/>
      <c r="G980" s="5"/>
      <c r="H980" s="5"/>
      <c r="I980" s="4"/>
      <c r="J980" s="4"/>
      <c r="K980" s="5"/>
      <c r="Q980" t="e">
        <f>VLOOKUP(A980,'גיליון דאטה להכל'!A:E,5,0)</f>
        <v>#N/A</v>
      </c>
      <c r="R980" t="e">
        <f>VLOOKUP(A980,'לעדכן בסינתזה דאטה אריזה 42+24'!$A:$C,3,0)</f>
        <v>#N/A</v>
      </c>
      <c r="S980" t="e">
        <f>VLOOKUP(#REF!,'מלאי לא תקין'!A:N,17,0)</f>
        <v>#REF!</v>
      </c>
      <c r="T980" t="e">
        <f t="shared" si="32"/>
        <v>#REF!</v>
      </c>
      <c r="U980" t="e">
        <f t="shared" si="33"/>
        <v>#REF!</v>
      </c>
    </row>
    <row r="981" spans="4:21" x14ac:dyDescent="0.2">
      <c r="D981" s="4"/>
      <c r="G981" s="5"/>
      <c r="H981" s="5"/>
      <c r="I981" s="4"/>
      <c r="J981" s="4"/>
      <c r="K981" s="5"/>
      <c r="Q981" t="e">
        <f>VLOOKUP(A981,'גיליון דאטה להכל'!A:E,5,0)</f>
        <v>#N/A</v>
      </c>
      <c r="R981" t="e">
        <f>VLOOKUP(A981,'לעדכן בסינתזה דאטה אריזה 42+24'!$A:$C,3,0)</f>
        <v>#N/A</v>
      </c>
      <c r="S981" t="e">
        <f>VLOOKUP(#REF!,'מלאי לא תקין'!A:N,17,0)</f>
        <v>#REF!</v>
      </c>
      <c r="T981" t="e">
        <f t="shared" si="32"/>
        <v>#REF!</v>
      </c>
      <c r="U981" t="e">
        <f t="shared" si="33"/>
        <v>#REF!</v>
      </c>
    </row>
    <row r="982" spans="4:21" x14ac:dyDescent="0.2">
      <c r="D982" s="4"/>
      <c r="G982" s="5"/>
      <c r="H982" s="5"/>
      <c r="I982" s="4"/>
      <c r="J982" s="4"/>
      <c r="K982" s="5"/>
      <c r="Q982" t="e">
        <f>VLOOKUP(A982,'גיליון דאטה להכל'!A:E,5,0)</f>
        <v>#N/A</v>
      </c>
      <c r="R982" t="e">
        <f>VLOOKUP(A982,'לעדכן בסינתזה דאטה אריזה 42+24'!$A:$C,3,0)</f>
        <v>#N/A</v>
      </c>
      <c r="S982" t="e">
        <f>VLOOKUP(#REF!,'מלאי לא תקין'!A:N,17,0)</f>
        <v>#REF!</v>
      </c>
      <c r="T982" t="e">
        <f t="shared" si="32"/>
        <v>#REF!</v>
      </c>
      <c r="U982" t="e">
        <f t="shared" si="33"/>
        <v>#REF!</v>
      </c>
    </row>
    <row r="983" spans="4:21" x14ac:dyDescent="0.2">
      <c r="D983" s="4"/>
      <c r="G983" s="5"/>
      <c r="H983" s="7"/>
      <c r="I983" s="4"/>
      <c r="J983" s="4"/>
      <c r="K983" s="5"/>
      <c r="Q983" t="e">
        <f>VLOOKUP(A983,'גיליון דאטה להכל'!A:E,5,0)</f>
        <v>#N/A</v>
      </c>
      <c r="R983" t="e">
        <f>VLOOKUP(A983,'לעדכן בסינתזה דאטה אריזה 42+24'!$A:$C,3,0)</f>
        <v>#N/A</v>
      </c>
      <c r="S983" t="e">
        <f>VLOOKUP(#REF!,'מלאי לא תקין'!A:N,17,0)</f>
        <v>#REF!</v>
      </c>
      <c r="T983" t="e">
        <f t="shared" si="32"/>
        <v>#REF!</v>
      </c>
      <c r="U983" t="e">
        <f t="shared" si="33"/>
        <v>#REF!</v>
      </c>
    </row>
    <row r="984" spans="4:21" x14ac:dyDescent="0.2">
      <c r="D984" s="4"/>
      <c r="G984" s="5"/>
      <c r="H984" s="5"/>
      <c r="I984" s="4"/>
      <c r="J984" s="4"/>
      <c r="K984" s="5"/>
      <c r="Q984" t="e">
        <f>VLOOKUP(A984,'גיליון דאטה להכל'!A:E,5,0)</f>
        <v>#N/A</v>
      </c>
      <c r="R984" t="e">
        <f>VLOOKUP(A984,'לעדכן בסינתזה דאטה אריזה 42+24'!$A:$C,3,0)</f>
        <v>#N/A</v>
      </c>
      <c r="S984" t="e">
        <f>VLOOKUP(#REF!,'מלאי לא תקין'!A:N,17,0)</f>
        <v>#REF!</v>
      </c>
      <c r="T984" t="e">
        <f t="shared" si="32"/>
        <v>#REF!</v>
      </c>
      <c r="U984" t="e">
        <f t="shared" si="33"/>
        <v>#REF!</v>
      </c>
    </row>
    <row r="985" spans="4:21" x14ac:dyDescent="0.2">
      <c r="D985" s="4"/>
      <c r="G985" s="5"/>
      <c r="H985" s="5"/>
      <c r="I985" s="4"/>
      <c r="J985" s="4"/>
      <c r="K985" s="5"/>
      <c r="Q985" t="e">
        <f>VLOOKUP(A985,'גיליון דאטה להכל'!A:E,5,0)</f>
        <v>#N/A</v>
      </c>
      <c r="R985" t="e">
        <f>VLOOKUP(A985,'לעדכן בסינתזה דאטה אריזה 42+24'!$A:$C,3,0)</f>
        <v>#N/A</v>
      </c>
      <c r="S985" t="e">
        <f>VLOOKUP(#REF!,'מלאי לא תקין'!A:N,17,0)</f>
        <v>#REF!</v>
      </c>
      <c r="T985" t="e">
        <f t="shared" si="32"/>
        <v>#REF!</v>
      </c>
      <c r="U985" t="e">
        <f t="shared" si="33"/>
        <v>#REF!</v>
      </c>
    </row>
    <row r="986" spans="4:21" x14ac:dyDescent="0.2">
      <c r="D986" s="4"/>
      <c r="G986" s="5"/>
      <c r="H986" s="5"/>
      <c r="I986" s="4"/>
      <c r="J986" s="4"/>
      <c r="K986" s="5"/>
      <c r="Q986" t="e">
        <f>VLOOKUP(A986,'גיליון דאטה להכל'!A:E,5,0)</f>
        <v>#N/A</v>
      </c>
      <c r="R986" t="e">
        <f>VLOOKUP(A986,'לעדכן בסינתזה דאטה אריזה 42+24'!$A:$C,3,0)</f>
        <v>#N/A</v>
      </c>
      <c r="S986" t="e">
        <f>VLOOKUP(#REF!,'מלאי לא תקין'!A:N,17,0)</f>
        <v>#REF!</v>
      </c>
      <c r="T986" t="e">
        <f t="shared" si="32"/>
        <v>#REF!</v>
      </c>
      <c r="U986" t="e">
        <f t="shared" si="33"/>
        <v>#REF!</v>
      </c>
    </row>
    <row r="987" spans="4:21" x14ac:dyDescent="0.2">
      <c r="D987" s="4"/>
      <c r="G987" s="5"/>
      <c r="H987" s="5"/>
      <c r="I987" s="4"/>
      <c r="J987" s="4"/>
      <c r="K987" s="5"/>
      <c r="Q987" t="e">
        <f>VLOOKUP(A987,'גיליון דאטה להכל'!A:E,5,0)</f>
        <v>#N/A</v>
      </c>
      <c r="R987" t="e">
        <f>VLOOKUP(A987,'לעדכן בסינתזה דאטה אריזה 42+24'!$A:$C,3,0)</f>
        <v>#N/A</v>
      </c>
      <c r="S987" t="e">
        <f>VLOOKUP(#REF!,'מלאי לא תקין'!A:N,17,0)</f>
        <v>#REF!</v>
      </c>
      <c r="T987" t="e">
        <f t="shared" si="32"/>
        <v>#REF!</v>
      </c>
      <c r="U987" t="e">
        <f t="shared" si="33"/>
        <v>#REF!</v>
      </c>
    </row>
    <row r="988" spans="4:21" x14ac:dyDescent="0.2">
      <c r="D988" s="4"/>
      <c r="G988" s="5"/>
      <c r="H988" s="5"/>
      <c r="I988" s="4"/>
      <c r="J988" s="4"/>
      <c r="K988" s="5"/>
      <c r="Q988" t="e">
        <f>VLOOKUP(A988,'גיליון דאטה להכל'!A:E,5,0)</f>
        <v>#N/A</v>
      </c>
      <c r="R988" t="e">
        <f>VLOOKUP(A988,'לעדכן בסינתזה דאטה אריזה 42+24'!$A:$C,3,0)</f>
        <v>#N/A</v>
      </c>
      <c r="S988" t="e">
        <f>VLOOKUP(#REF!,'מלאי לא תקין'!A:N,17,0)</f>
        <v>#REF!</v>
      </c>
      <c r="T988" t="e">
        <f t="shared" si="32"/>
        <v>#REF!</v>
      </c>
      <c r="U988" t="e">
        <f t="shared" si="33"/>
        <v>#REF!</v>
      </c>
    </row>
    <row r="989" spans="4:21" x14ac:dyDescent="0.2">
      <c r="D989" s="4"/>
      <c r="G989" s="5"/>
      <c r="H989" s="7"/>
      <c r="I989" s="4"/>
      <c r="J989" s="4"/>
      <c r="K989" s="5"/>
      <c r="Q989" t="e">
        <f>VLOOKUP(A989,'גיליון דאטה להכל'!A:E,5,0)</f>
        <v>#N/A</v>
      </c>
      <c r="R989" t="e">
        <f>VLOOKUP(A989,'לעדכן בסינתזה דאטה אריזה 42+24'!$A:$C,3,0)</f>
        <v>#N/A</v>
      </c>
      <c r="S989" t="e">
        <f>VLOOKUP(#REF!,'מלאי לא תקין'!A:N,17,0)</f>
        <v>#REF!</v>
      </c>
      <c r="T989" t="e">
        <f t="shared" si="32"/>
        <v>#REF!</v>
      </c>
      <c r="U989" t="e">
        <f t="shared" si="33"/>
        <v>#REF!</v>
      </c>
    </row>
    <row r="990" spans="4:21" x14ac:dyDescent="0.2">
      <c r="D990" s="4"/>
      <c r="G990" s="5"/>
      <c r="H990" s="5"/>
      <c r="I990" s="4"/>
      <c r="J990" s="4"/>
      <c r="K990" s="5"/>
      <c r="Q990" t="e">
        <f>VLOOKUP(A990,'גיליון דאטה להכל'!A:E,5,0)</f>
        <v>#N/A</v>
      </c>
      <c r="R990" t="e">
        <f>VLOOKUP(A990,'לעדכן בסינתזה דאטה אריזה 42+24'!$A:$C,3,0)</f>
        <v>#N/A</v>
      </c>
      <c r="S990" t="e">
        <f>VLOOKUP(#REF!,'מלאי לא תקין'!A:N,17,0)</f>
        <v>#REF!</v>
      </c>
      <c r="T990" t="e">
        <f t="shared" si="32"/>
        <v>#REF!</v>
      </c>
      <c r="U990" t="e">
        <f t="shared" si="33"/>
        <v>#REF!</v>
      </c>
    </row>
    <row r="991" spans="4:21" x14ac:dyDescent="0.2">
      <c r="D991" s="4"/>
      <c r="G991" s="5"/>
      <c r="H991" s="5"/>
      <c r="I991" s="4"/>
      <c r="J991" s="4"/>
      <c r="K991" s="5"/>
      <c r="Q991" t="e">
        <f>VLOOKUP(A991,'גיליון דאטה להכל'!A:E,5,0)</f>
        <v>#N/A</v>
      </c>
      <c r="R991" t="e">
        <f>VLOOKUP(A991,'לעדכן בסינתזה דאטה אריזה 42+24'!$A:$C,3,0)</f>
        <v>#N/A</v>
      </c>
      <c r="S991" t="e">
        <f>VLOOKUP(#REF!,'מלאי לא תקין'!A:N,17,0)</f>
        <v>#REF!</v>
      </c>
      <c r="T991" t="e">
        <f t="shared" si="32"/>
        <v>#REF!</v>
      </c>
      <c r="U991" t="e">
        <f t="shared" si="33"/>
        <v>#REF!</v>
      </c>
    </row>
    <row r="992" spans="4:21" x14ac:dyDescent="0.2">
      <c r="D992" s="4"/>
      <c r="G992" s="5"/>
      <c r="H992" s="5"/>
      <c r="I992" s="4"/>
      <c r="J992" s="4"/>
      <c r="K992" s="5"/>
      <c r="Q992" t="e">
        <f>VLOOKUP(A992,'גיליון דאטה להכל'!A:E,5,0)</f>
        <v>#N/A</v>
      </c>
      <c r="R992" t="e">
        <f>VLOOKUP(A992,'לעדכן בסינתזה דאטה אריזה 42+24'!$A:$C,3,0)</f>
        <v>#N/A</v>
      </c>
      <c r="S992" t="e">
        <f>VLOOKUP(#REF!,'מלאי לא תקין'!A:N,17,0)</f>
        <v>#REF!</v>
      </c>
      <c r="T992" t="e">
        <f t="shared" si="32"/>
        <v>#REF!</v>
      </c>
      <c r="U992" t="e">
        <f t="shared" si="33"/>
        <v>#REF!</v>
      </c>
    </row>
    <row r="993" spans="4:21" x14ac:dyDescent="0.2">
      <c r="D993" s="4"/>
      <c r="G993" s="5"/>
      <c r="H993" s="5"/>
      <c r="I993" s="4"/>
      <c r="J993" s="4"/>
      <c r="K993" s="5"/>
      <c r="Q993" t="e">
        <f>VLOOKUP(A993,'גיליון דאטה להכל'!A:E,5,0)</f>
        <v>#N/A</v>
      </c>
      <c r="R993" t="e">
        <f>VLOOKUP(A993,'לעדכן בסינתזה דאטה אריזה 42+24'!$A:$C,3,0)</f>
        <v>#N/A</v>
      </c>
      <c r="S993" t="e">
        <f>VLOOKUP(#REF!,'מלאי לא תקין'!A:N,17,0)</f>
        <v>#REF!</v>
      </c>
      <c r="T993" t="e">
        <f t="shared" si="32"/>
        <v>#REF!</v>
      </c>
      <c r="U993" t="e">
        <f t="shared" si="33"/>
        <v>#REF!</v>
      </c>
    </row>
    <row r="994" spans="4:21" x14ac:dyDescent="0.2">
      <c r="D994" s="4"/>
      <c r="G994" s="5"/>
      <c r="H994" s="7"/>
      <c r="I994" s="4"/>
      <c r="J994" s="4"/>
      <c r="K994" s="5"/>
      <c r="Q994" t="e">
        <f>VLOOKUP(A994,'גיליון דאטה להכל'!A:E,5,0)</f>
        <v>#N/A</v>
      </c>
      <c r="R994" t="e">
        <f>VLOOKUP(A994,'לעדכן בסינתזה דאטה אריזה 42+24'!$A:$C,3,0)</f>
        <v>#N/A</v>
      </c>
      <c r="S994" t="e">
        <f>VLOOKUP(#REF!,'מלאי לא תקין'!A:N,17,0)</f>
        <v>#REF!</v>
      </c>
      <c r="T994" t="e">
        <f t="shared" si="32"/>
        <v>#REF!</v>
      </c>
      <c r="U994" t="e">
        <f t="shared" si="33"/>
        <v>#REF!</v>
      </c>
    </row>
    <row r="995" spans="4:21" x14ac:dyDescent="0.2">
      <c r="D995" s="4"/>
      <c r="G995" s="5"/>
      <c r="H995" s="5"/>
      <c r="I995" s="4"/>
      <c r="J995" s="4"/>
      <c r="K995" s="5"/>
      <c r="Q995" t="e">
        <f>VLOOKUP(A995,'גיליון דאטה להכל'!A:E,5,0)</f>
        <v>#N/A</v>
      </c>
      <c r="R995" t="e">
        <f>VLOOKUP(A995,'לעדכן בסינתזה דאטה אריזה 42+24'!$A:$C,3,0)</f>
        <v>#N/A</v>
      </c>
      <c r="S995" t="e">
        <f>VLOOKUP(#REF!,'מלאי לא תקין'!A:N,17,0)</f>
        <v>#REF!</v>
      </c>
      <c r="T995" t="e">
        <f t="shared" si="32"/>
        <v>#REF!</v>
      </c>
      <c r="U995" t="e">
        <f t="shared" si="33"/>
        <v>#REF!</v>
      </c>
    </row>
    <row r="996" spans="4:21" x14ac:dyDescent="0.2">
      <c r="D996" s="4"/>
      <c r="G996" s="5"/>
      <c r="H996" s="5"/>
      <c r="I996" s="4"/>
      <c r="J996" s="4"/>
      <c r="K996" s="5"/>
      <c r="Q996" t="e">
        <f>VLOOKUP(A996,'גיליון דאטה להכל'!A:E,5,0)</f>
        <v>#N/A</v>
      </c>
      <c r="R996" t="e">
        <f>VLOOKUP(A996,'לעדכן בסינתזה דאטה אריזה 42+24'!$A:$C,3,0)</f>
        <v>#N/A</v>
      </c>
      <c r="S996" t="e">
        <f>VLOOKUP(#REF!,'מלאי לא תקין'!A:N,17,0)</f>
        <v>#REF!</v>
      </c>
      <c r="T996" t="e">
        <f t="shared" si="32"/>
        <v>#REF!</v>
      </c>
      <c r="U996" t="e">
        <f t="shared" si="33"/>
        <v>#REF!</v>
      </c>
    </row>
    <row r="997" spans="4:21" x14ac:dyDescent="0.2">
      <c r="D997" s="4"/>
      <c r="G997" s="5"/>
      <c r="H997" s="5"/>
      <c r="I997" s="4"/>
      <c r="J997" s="4"/>
      <c r="K997" s="5"/>
      <c r="Q997" t="e">
        <f>VLOOKUP(A997,'גיליון דאטה להכל'!A:E,5,0)</f>
        <v>#N/A</v>
      </c>
      <c r="R997" t="e">
        <f>VLOOKUP(A997,'לעדכן בסינתזה דאטה אריזה 42+24'!$A:$C,3,0)</f>
        <v>#N/A</v>
      </c>
      <c r="S997" t="e">
        <f>VLOOKUP(#REF!,'מלאי לא תקין'!A:N,17,0)</f>
        <v>#REF!</v>
      </c>
      <c r="T997" t="e">
        <f t="shared" si="32"/>
        <v>#REF!</v>
      </c>
      <c r="U997" t="e">
        <f t="shared" si="33"/>
        <v>#REF!</v>
      </c>
    </row>
    <row r="998" spans="4:21" x14ac:dyDescent="0.2">
      <c r="D998" s="4"/>
      <c r="G998" s="5"/>
      <c r="H998" s="7"/>
      <c r="I998" s="4"/>
      <c r="J998" s="4"/>
      <c r="K998" s="5"/>
      <c r="Q998" t="e">
        <f>VLOOKUP(A998,'גיליון דאטה להכל'!A:E,5,0)</f>
        <v>#N/A</v>
      </c>
      <c r="R998" t="e">
        <f>VLOOKUP(A998,'לעדכן בסינתזה דאטה אריזה 42+24'!$A:$C,3,0)</f>
        <v>#N/A</v>
      </c>
      <c r="S998" t="e">
        <f>VLOOKUP(#REF!,'מלאי לא תקין'!A:N,17,0)</f>
        <v>#REF!</v>
      </c>
      <c r="T998" t="e">
        <f t="shared" si="32"/>
        <v>#REF!</v>
      </c>
      <c r="U998" t="e">
        <f t="shared" si="33"/>
        <v>#REF!</v>
      </c>
    </row>
    <row r="999" spans="4:21" x14ac:dyDescent="0.2">
      <c r="D999" s="4"/>
      <c r="G999" s="5"/>
      <c r="H999" s="5"/>
      <c r="I999" s="4"/>
      <c r="J999" s="4"/>
      <c r="K999" s="5"/>
      <c r="Q999" t="e">
        <f>VLOOKUP(A999,'גיליון דאטה להכל'!A:E,5,0)</f>
        <v>#N/A</v>
      </c>
      <c r="R999" t="e">
        <f>VLOOKUP(A999,'לעדכן בסינתזה דאטה אריזה 42+24'!$A:$C,3,0)</f>
        <v>#N/A</v>
      </c>
      <c r="S999" t="e">
        <f>VLOOKUP(#REF!,'מלאי לא תקין'!A:N,17,0)</f>
        <v>#REF!</v>
      </c>
      <c r="T999" t="e">
        <f t="shared" si="32"/>
        <v>#REF!</v>
      </c>
      <c r="U999" t="e">
        <f t="shared" si="33"/>
        <v>#REF!</v>
      </c>
    </row>
    <row r="1000" spans="4:21" x14ac:dyDescent="0.2">
      <c r="D1000" s="4"/>
      <c r="G1000" s="5"/>
      <c r="H1000" s="5"/>
      <c r="I1000" s="4"/>
      <c r="J1000" s="4"/>
      <c r="K1000" s="5"/>
      <c r="Q1000" t="e">
        <f>VLOOKUP(A1000,'גיליון דאטה להכל'!A:E,5,0)</f>
        <v>#N/A</v>
      </c>
      <c r="R1000" t="e">
        <f>VLOOKUP(A1000,'לעדכן בסינתזה דאטה אריזה 42+24'!$A:$C,3,0)</f>
        <v>#N/A</v>
      </c>
      <c r="S1000" t="e">
        <f>VLOOKUP(#REF!,'מלאי לא תקין'!A:N,17,0)</f>
        <v>#REF!</v>
      </c>
      <c r="T1000" t="e">
        <f t="shared" si="32"/>
        <v>#REF!</v>
      </c>
      <c r="U1000" t="e">
        <f t="shared" si="33"/>
        <v>#REF!</v>
      </c>
    </row>
    <row r="1001" spans="4:21" x14ac:dyDescent="0.2">
      <c r="D1001" s="4"/>
      <c r="G1001" s="5"/>
      <c r="H1001" s="5"/>
      <c r="I1001" s="4"/>
      <c r="J1001" s="4"/>
      <c r="K1001" s="5"/>
      <c r="Q1001" t="e">
        <f>VLOOKUP(A1001,'גיליון דאטה להכל'!A:E,5,0)</f>
        <v>#N/A</v>
      </c>
      <c r="R1001" t="e">
        <f>VLOOKUP(A1001,'לעדכן בסינתזה דאטה אריזה 42+24'!$A:$C,3,0)</f>
        <v>#N/A</v>
      </c>
      <c r="S1001" t="e">
        <f>VLOOKUP(#REF!,'מלאי לא תקין'!A:N,17,0)</f>
        <v>#REF!</v>
      </c>
      <c r="T1001" t="e">
        <f t="shared" si="32"/>
        <v>#REF!</v>
      </c>
      <c r="U1001" t="e">
        <f t="shared" si="33"/>
        <v>#REF!</v>
      </c>
    </row>
    <row r="1002" spans="4:21" x14ac:dyDescent="0.2">
      <c r="D1002" s="4"/>
      <c r="G1002" s="5"/>
      <c r="H1002" s="5"/>
      <c r="I1002" s="4"/>
      <c r="J1002" s="4"/>
      <c r="K1002" s="5"/>
      <c r="Q1002" t="e">
        <f>VLOOKUP(A1002,'גיליון דאטה להכל'!A:E,5,0)</f>
        <v>#N/A</v>
      </c>
      <c r="R1002" t="e">
        <f>VLOOKUP(A1002,'לעדכן בסינתזה דאטה אריזה 42+24'!$A:$C,3,0)</f>
        <v>#N/A</v>
      </c>
      <c r="S1002" t="e">
        <f>VLOOKUP(#REF!,'מלאי לא תקין'!A:N,17,0)</f>
        <v>#REF!</v>
      </c>
      <c r="T1002" t="e">
        <f t="shared" si="32"/>
        <v>#REF!</v>
      </c>
      <c r="U1002" t="e">
        <f t="shared" si="33"/>
        <v>#REF!</v>
      </c>
    </row>
    <row r="1003" spans="4:21" x14ac:dyDescent="0.2">
      <c r="D1003" s="4"/>
      <c r="G1003" s="5"/>
      <c r="H1003" s="7"/>
      <c r="I1003" s="4"/>
      <c r="J1003" s="4"/>
      <c r="K1003" s="5"/>
      <c r="Q1003" t="e">
        <f>VLOOKUP(A1003,'גיליון דאטה להכל'!A:E,5,0)</f>
        <v>#N/A</v>
      </c>
      <c r="R1003" t="e">
        <f>VLOOKUP(A1003,'לעדכן בסינתזה דאטה אריזה 42+24'!$A:$C,3,0)</f>
        <v>#N/A</v>
      </c>
      <c r="S1003" t="e">
        <f>VLOOKUP(#REF!,'מלאי לא תקין'!A:N,17,0)</f>
        <v>#REF!</v>
      </c>
      <c r="T1003" t="e">
        <f t="shared" si="32"/>
        <v>#REF!</v>
      </c>
      <c r="U1003" t="e">
        <f t="shared" si="33"/>
        <v>#REF!</v>
      </c>
    </row>
    <row r="1004" spans="4:21" x14ac:dyDescent="0.2">
      <c r="D1004" s="4"/>
      <c r="G1004" s="5"/>
      <c r="H1004" s="5"/>
      <c r="I1004" s="4"/>
      <c r="J1004" s="4"/>
      <c r="K1004" s="5"/>
      <c r="Q1004" t="e">
        <f>VLOOKUP(A1004,'גיליון דאטה להכל'!A:E,5,0)</f>
        <v>#N/A</v>
      </c>
      <c r="R1004" t="e">
        <f>VLOOKUP(A1004,'לעדכן בסינתזה דאטה אריזה 42+24'!$A:$C,3,0)</f>
        <v>#N/A</v>
      </c>
      <c r="S1004" t="e">
        <f>VLOOKUP(#REF!,'מלאי לא תקין'!A:N,17,0)</f>
        <v>#REF!</v>
      </c>
      <c r="T1004" t="e">
        <f t="shared" si="32"/>
        <v>#REF!</v>
      </c>
      <c r="U1004" t="e">
        <f t="shared" si="33"/>
        <v>#REF!</v>
      </c>
    </row>
    <row r="1005" spans="4:21" x14ac:dyDescent="0.2">
      <c r="D1005" s="4"/>
      <c r="G1005" s="5"/>
      <c r="H1005" s="5"/>
      <c r="I1005" s="4"/>
      <c r="J1005" s="4"/>
      <c r="K1005" s="5"/>
      <c r="Q1005" t="e">
        <f>VLOOKUP(A1005,'גיליון דאטה להכל'!A:E,5,0)</f>
        <v>#N/A</v>
      </c>
      <c r="R1005" t="e">
        <f>VLOOKUP(A1005,'לעדכן בסינתזה דאטה אריזה 42+24'!$A:$C,3,0)</f>
        <v>#N/A</v>
      </c>
      <c r="S1005" t="e">
        <f>VLOOKUP(#REF!,'מלאי לא תקין'!A:N,17,0)</f>
        <v>#REF!</v>
      </c>
      <c r="T1005" t="e">
        <f t="shared" si="32"/>
        <v>#REF!</v>
      </c>
      <c r="U1005" t="e">
        <f t="shared" si="33"/>
        <v>#REF!</v>
      </c>
    </row>
    <row r="1006" spans="4:21" x14ac:dyDescent="0.2">
      <c r="D1006" s="4"/>
      <c r="G1006" s="5"/>
      <c r="H1006" s="5"/>
      <c r="I1006" s="4"/>
      <c r="J1006" s="4"/>
      <c r="K1006" s="5"/>
      <c r="Q1006" t="e">
        <f>VLOOKUP(A1006,'גיליון דאטה להכל'!A:E,5,0)</f>
        <v>#N/A</v>
      </c>
      <c r="R1006" t="e">
        <f>VLOOKUP(A1006,'לעדכן בסינתזה דאטה אריזה 42+24'!$A:$C,3,0)</f>
        <v>#N/A</v>
      </c>
      <c r="S1006" t="e">
        <f>VLOOKUP(#REF!,'מלאי לא תקין'!A:N,17,0)</f>
        <v>#REF!</v>
      </c>
      <c r="T1006" t="e">
        <f t="shared" si="32"/>
        <v>#REF!</v>
      </c>
      <c r="U1006" t="e">
        <f t="shared" si="33"/>
        <v>#REF!</v>
      </c>
    </row>
    <row r="1007" spans="4:21" x14ac:dyDescent="0.2">
      <c r="D1007" s="4"/>
      <c r="G1007" s="5"/>
      <c r="H1007" s="5"/>
      <c r="I1007" s="4"/>
      <c r="J1007" s="4"/>
      <c r="K1007" s="5"/>
      <c r="Q1007" t="e">
        <f>VLOOKUP(A1007,'גיליון דאטה להכל'!A:E,5,0)</f>
        <v>#N/A</v>
      </c>
      <c r="R1007" t="e">
        <f>VLOOKUP(A1007,'לעדכן בסינתזה דאטה אריזה 42+24'!$A:$C,3,0)</f>
        <v>#N/A</v>
      </c>
      <c r="S1007" t="e">
        <f>VLOOKUP(#REF!,'מלאי לא תקין'!A:N,17,0)</f>
        <v>#REF!</v>
      </c>
      <c r="T1007" t="e">
        <f t="shared" si="32"/>
        <v>#REF!</v>
      </c>
      <c r="U1007" t="e">
        <f t="shared" si="33"/>
        <v>#REF!</v>
      </c>
    </row>
    <row r="1008" spans="4:21" x14ac:dyDescent="0.2">
      <c r="D1008" s="4"/>
      <c r="G1008" s="5"/>
      <c r="H1008" s="5"/>
      <c r="I1008" s="4"/>
      <c r="J1008" s="4"/>
      <c r="K1008" s="5"/>
      <c r="Q1008" t="e">
        <f>VLOOKUP(A1008,'גיליון דאטה להכל'!A:E,5,0)</f>
        <v>#N/A</v>
      </c>
      <c r="R1008" t="e">
        <f>VLOOKUP(A1008,'לעדכן בסינתזה דאטה אריזה 42+24'!$A:$C,3,0)</f>
        <v>#N/A</v>
      </c>
      <c r="S1008" t="e">
        <f>VLOOKUP(#REF!,'מלאי לא תקין'!A:N,17,0)</f>
        <v>#REF!</v>
      </c>
      <c r="T1008" t="e">
        <f t="shared" si="32"/>
        <v>#REF!</v>
      </c>
      <c r="U1008" t="e">
        <f t="shared" si="33"/>
        <v>#REF!</v>
      </c>
    </row>
    <row r="1009" spans="4:21" x14ac:dyDescent="0.2">
      <c r="D1009" s="4"/>
      <c r="G1009" s="5"/>
      <c r="H1009" s="7"/>
      <c r="I1009" s="4"/>
      <c r="J1009" s="4"/>
      <c r="K1009" s="5"/>
      <c r="Q1009" t="e">
        <f>VLOOKUP(A1009,'גיליון דאטה להכל'!A:E,5,0)</f>
        <v>#N/A</v>
      </c>
      <c r="R1009" t="e">
        <f>VLOOKUP(A1009,'לעדכן בסינתזה דאטה אריזה 42+24'!$A:$C,3,0)</f>
        <v>#N/A</v>
      </c>
      <c r="S1009" t="e">
        <f>VLOOKUP(#REF!,'מלאי לא תקין'!A:N,17,0)</f>
        <v>#REF!</v>
      </c>
      <c r="T1009" t="e">
        <f t="shared" si="32"/>
        <v>#REF!</v>
      </c>
      <c r="U1009" t="e">
        <f t="shared" si="33"/>
        <v>#REF!</v>
      </c>
    </row>
    <row r="1010" spans="4:21" x14ac:dyDescent="0.2">
      <c r="D1010" s="4"/>
      <c r="G1010" s="5"/>
      <c r="H1010" s="5"/>
      <c r="I1010" s="4"/>
      <c r="J1010" s="4"/>
      <c r="K1010" s="5"/>
      <c r="Q1010" t="e">
        <f>VLOOKUP(A1010,'גיליון דאטה להכל'!A:E,5,0)</f>
        <v>#N/A</v>
      </c>
      <c r="R1010" t="e">
        <f>VLOOKUP(A1010,'לעדכן בסינתזה דאטה אריזה 42+24'!$A:$C,3,0)</f>
        <v>#N/A</v>
      </c>
      <c r="S1010" t="e">
        <f>VLOOKUP(#REF!,'מלאי לא תקין'!A:N,17,0)</f>
        <v>#REF!</v>
      </c>
      <c r="T1010" t="e">
        <f t="shared" si="32"/>
        <v>#REF!</v>
      </c>
      <c r="U1010" t="e">
        <f t="shared" si="33"/>
        <v>#REF!</v>
      </c>
    </row>
    <row r="1011" spans="4:21" x14ac:dyDescent="0.2">
      <c r="D1011" s="4"/>
      <c r="G1011" s="5"/>
      <c r="H1011" s="5"/>
      <c r="I1011" s="4"/>
      <c r="J1011" s="4"/>
      <c r="K1011" s="5"/>
      <c r="Q1011" t="e">
        <f>VLOOKUP(A1011,'גיליון דאטה להכל'!A:E,5,0)</f>
        <v>#N/A</v>
      </c>
      <c r="R1011" t="e">
        <f>VLOOKUP(A1011,'לעדכן בסינתזה דאטה אריזה 42+24'!$A:$C,3,0)</f>
        <v>#N/A</v>
      </c>
      <c r="S1011" t="e">
        <f>VLOOKUP(#REF!,'מלאי לא תקין'!A:N,17,0)</f>
        <v>#REF!</v>
      </c>
      <c r="T1011" t="e">
        <f t="shared" si="32"/>
        <v>#REF!</v>
      </c>
      <c r="U1011" t="e">
        <f t="shared" si="33"/>
        <v>#REF!</v>
      </c>
    </row>
    <row r="1012" spans="4:21" x14ac:dyDescent="0.2">
      <c r="D1012" s="4"/>
      <c r="G1012" s="5"/>
      <c r="H1012" s="5"/>
      <c r="I1012" s="4"/>
      <c r="J1012" s="4"/>
      <c r="K1012" s="5"/>
      <c r="Q1012" t="e">
        <f>VLOOKUP(A1012,'גיליון דאטה להכל'!A:E,5,0)</f>
        <v>#N/A</v>
      </c>
      <c r="R1012" t="e">
        <f>VLOOKUP(A1012,'לעדכן בסינתזה דאטה אריזה 42+24'!$A:$C,3,0)</f>
        <v>#N/A</v>
      </c>
      <c r="S1012" t="e">
        <f>VLOOKUP(#REF!,'מלאי לא תקין'!A:N,17,0)</f>
        <v>#REF!</v>
      </c>
      <c r="T1012" t="e">
        <f t="shared" si="32"/>
        <v>#REF!</v>
      </c>
      <c r="U1012" t="e">
        <f t="shared" si="33"/>
        <v>#REF!</v>
      </c>
    </row>
    <row r="1013" spans="4:21" x14ac:dyDescent="0.2">
      <c r="D1013" s="4"/>
      <c r="G1013" s="5"/>
      <c r="H1013" s="5"/>
      <c r="I1013" s="4"/>
      <c r="J1013" s="4"/>
      <c r="K1013" s="5"/>
      <c r="Q1013" t="e">
        <f>VLOOKUP(A1013,'גיליון דאטה להכל'!A:E,5,0)</f>
        <v>#N/A</v>
      </c>
      <c r="R1013" t="e">
        <f>VLOOKUP(A1013,'לעדכן בסינתזה דאטה אריזה 42+24'!$A:$C,3,0)</f>
        <v>#N/A</v>
      </c>
      <c r="S1013" t="e">
        <f>VLOOKUP(#REF!,'מלאי לא תקין'!A:N,17,0)</f>
        <v>#REF!</v>
      </c>
      <c r="T1013" t="e">
        <f t="shared" ref="T1013:T1076" si="34">_xlfn.CONCAT(S1013,Q1013)</f>
        <v>#REF!</v>
      </c>
      <c r="U1013" t="e">
        <f t="shared" ref="U1013:U1076" si="35">_xlfn.CONCAT(S1013,O1013)</f>
        <v>#REF!</v>
      </c>
    </row>
    <row r="1014" spans="4:21" x14ac:dyDescent="0.2">
      <c r="D1014" s="4"/>
      <c r="G1014" s="5"/>
      <c r="H1014" s="7"/>
      <c r="I1014" s="4"/>
      <c r="J1014" s="4"/>
      <c r="K1014" s="5"/>
      <c r="Q1014" t="e">
        <f>VLOOKUP(A1014,'גיליון דאטה להכל'!A:E,5,0)</f>
        <v>#N/A</v>
      </c>
      <c r="R1014" t="e">
        <f>VLOOKUP(A1014,'לעדכן בסינתזה דאטה אריזה 42+24'!$A:$C,3,0)</f>
        <v>#N/A</v>
      </c>
      <c r="S1014" t="e">
        <f>VLOOKUP(#REF!,'מלאי לא תקין'!A:N,17,0)</f>
        <v>#REF!</v>
      </c>
      <c r="T1014" t="e">
        <f t="shared" si="34"/>
        <v>#REF!</v>
      </c>
      <c r="U1014" t="e">
        <f t="shared" si="35"/>
        <v>#REF!</v>
      </c>
    </row>
    <row r="1015" spans="4:21" x14ac:dyDescent="0.2">
      <c r="D1015" s="4"/>
      <c r="G1015" s="5"/>
      <c r="H1015" s="7"/>
      <c r="I1015" s="4"/>
      <c r="J1015" s="4"/>
      <c r="K1015" s="5"/>
      <c r="Q1015" t="e">
        <f>VLOOKUP(A1015,'גיליון דאטה להכל'!A:E,5,0)</f>
        <v>#N/A</v>
      </c>
      <c r="R1015" t="e">
        <f>VLOOKUP(A1015,'לעדכן בסינתזה דאטה אריזה 42+24'!$A:$C,3,0)</f>
        <v>#N/A</v>
      </c>
      <c r="S1015" t="e">
        <f>VLOOKUP(#REF!,'מלאי לא תקין'!A:N,17,0)</f>
        <v>#REF!</v>
      </c>
      <c r="T1015" t="e">
        <f t="shared" si="34"/>
        <v>#REF!</v>
      </c>
      <c r="U1015" t="e">
        <f t="shared" si="35"/>
        <v>#REF!</v>
      </c>
    </row>
    <row r="1016" spans="4:21" x14ac:dyDescent="0.2">
      <c r="D1016" s="4"/>
      <c r="G1016" s="5"/>
      <c r="H1016" s="5"/>
      <c r="I1016" s="4"/>
      <c r="J1016" s="4"/>
      <c r="K1016" s="5"/>
      <c r="Q1016" t="e">
        <f>VLOOKUP(A1016,'גיליון דאטה להכל'!A:E,5,0)</f>
        <v>#N/A</v>
      </c>
      <c r="R1016" t="e">
        <f>VLOOKUP(A1016,'לעדכן בסינתזה דאטה אריזה 42+24'!$A:$C,3,0)</f>
        <v>#N/A</v>
      </c>
      <c r="S1016" t="e">
        <f>VLOOKUP(#REF!,'מלאי לא תקין'!A:N,17,0)</f>
        <v>#REF!</v>
      </c>
      <c r="T1016" t="e">
        <f t="shared" si="34"/>
        <v>#REF!</v>
      </c>
      <c r="U1016" t="e">
        <f t="shared" si="35"/>
        <v>#REF!</v>
      </c>
    </row>
    <row r="1017" spans="4:21" x14ac:dyDescent="0.2">
      <c r="D1017" s="4"/>
      <c r="G1017" s="5"/>
      <c r="H1017" s="5"/>
      <c r="I1017" s="4"/>
      <c r="J1017" s="4"/>
      <c r="K1017" s="5"/>
      <c r="Q1017" t="e">
        <f>VLOOKUP(A1017,'גיליון דאטה להכל'!A:E,5,0)</f>
        <v>#N/A</v>
      </c>
      <c r="R1017" t="e">
        <f>VLOOKUP(A1017,'לעדכן בסינתזה דאטה אריזה 42+24'!$A:$C,3,0)</f>
        <v>#N/A</v>
      </c>
      <c r="S1017" t="e">
        <f>VLOOKUP(#REF!,'מלאי לא תקין'!A:N,17,0)</f>
        <v>#REF!</v>
      </c>
      <c r="T1017" t="e">
        <f t="shared" si="34"/>
        <v>#REF!</v>
      </c>
      <c r="U1017" t="e">
        <f t="shared" si="35"/>
        <v>#REF!</v>
      </c>
    </row>
    <row r="1018" spans="4:21" x14ac:dyDescent="0.2">
      <c r="D1018" s="4"/>
      <c r="G1018" s="5"/>
      <c r="H1018" s="5"/>
      <c r="I1018" s="4"/>
      <c r="J1018" s="4"/>
      <c r="K1018" s="5"/>
      <c r="Q1018" t="e">
        <f>VLOOKUP(A1018,'גיליון דאטה להכל'!A:E,5,0)</f>
        <v>#N/A</v>
      </c>
      <c r="R1018" t="e">
        <f>VLOOKUP(A1018,'לעדכן בסינתזה דאטה אריזה 42+24'!$A:$C,3,0)</f>
        <v>#N/A</v>
      </c>
      <c r="S1018" t="e">
        <f>VLOOKUP(#REF!,'מלאי לא תקין'!A:N,17,0)</f>
        <v>#REF!</v>
      </c>
      <c r="T1018" t="e">
        <f t="shared" si="34"/>
        <v>#REF!</v>
      </c>
      <c r="U1018" t="e">
        <f t="shared" si="35"/>
        <v>#REF!</v>
      </c>
    </row>
    <row r="1019" spans="4:21" x14ac:dyDescent="0.2">
      <c r="D1019" s="4"/>
      <c r="G1019" s="5"/>
      <c r="H1019" s="5"/>
      <c r="I1019" s="4"/>
      <c r="J1019" s="4"/>
      <c r="K1019" s="5"/>
      <c r="Q1019" t="e">
        <f>VLOOKUP(A1019,'גיליון דאטה להכל'!A:E,5,0)</f>
        <v>#N/A</v>
      </c>
      <c r="R1019" t="e">
        <f>VLOOKUP(A1019,'לעדכן בסינתזה דאטה אריזה 42+24'!$A:$C,3,0)</f>
        <v>#N/A</v>
      </c>
      <c r="S1019" t="e">
        <f>VLOOKUP(#REF!,'מלאי לא תקין'!A:N,17,0)</f>
        <v>#REF!</v>
      </c>
      <c r="T1019" t="e">
        <f t="shared" si="34"/>
        <v>#REF!</v>
      </c>
      <c r="U1019" t="e">
        <f t="shared" si="35"/>
        <v>#REF!</v>
      </c>
    </row>
    <row r="1020" spans="4:21" x14ac:dyDescent="0.2">
      <c r="D1020" s="4"/>
      <c r="G1020" s="5"/>
      <c r="H1020" s="5"/>
      <c r="I1020" s="4"/>
      <c r="J1020" s="4"/>
      <c r="K1020" s="5"/>
      <c r="Q1020" t="e">
        <f>VLOOKUP(A1020,'גיליון דאטה להכל'!A:E,5,0)</f>
        <v>#N/A</v>
      </c>
      <c r="R1020" t="e">
        <f>VLOOKUP(A1020,'לעדכן בסינתזה דאטה אריזה 42+24'!$A:$C,3,0)</f>
        <v>#N/A</v>
      </c>
      <c r="S1020" t="e">
        <f>VLOOKUP(#REF!,'מלאי לא תקין'!A:N,17,0)</f>
        <v>#REF!</v>
      </c>
      <c r="T1020" t="e">
        <f t="shared" si="34"/>
        <v>#REF!</v>
      </c>
      <c r="U1020" t="e">
        <f t="shared" si="35"/>
        <v>#REF!</v>
      </c>
    </row>
    <row r="1021" spans="4:21" x14ac:dyDescent="0.2">
      <c r="D1021" s="4"/>
      <c r="G1021" s="5"/>
      <c r="H1021" s="5"/>
      <c r="I1021" s="4"/>
      <c r="J1021" s="4"/>
      <c r="K1021" s="5"/>
      <c r="Q1021" t="e">
        <f>VLOOKUP(A1021,'גיליון דאטה להכל'!A:E,5,0)</f>
        <v>#N/A</v>
      </c>
      <c r="R1021" t="e">
        <f>VLOOKUP(A1021,'לעדכן בסינתזה דאטה אריזה 42+24'!$A:$C,3,0)</f>
        <v>#N/A</v>
      </c>
      <c r="S1021" t="e">
        <f>VLOOKUP(#REF!,'מלאי לא תקין'!A:N,17,0)</f>
        <v>#REF!</v>
      </c>
      <c r="T1021" t="e">
        <f t="shared" si="34"/>
        <v>#REF!</v>
      </c>
      <c r="U1021" t="e">
        <f t="shared" si="35"/>
        <v>#REF!</v>
      </c>
    </row>
    <row r="1022" spans="4:21" x14ac:dyDescent="0.2">
      <c r="D1022" s="4"/>
      <c r="G1022" s="5"/>
      <c r="H1022" s="5"/>
      <c r="I1022" s="4"/>
      <c r="J1022" s="4"/>
      <c r="K1022" s="5"/>
      <c r="Q1022" t="e">
        <f>VLOOKUP(A1022,'גיליון דאטה להכל'!A:E,5,0)</f>
        <v>#N/A</v>
      </c>
      <c r="R1022" t="e">
        <f>VLOOKUP(A1022,'לעדכן בסינתזה דאטה אריזה 42+24'!$A:$C,3,0)</f>
        <v>#N/A</v>
      </c>
      <c r="S1022" t="e">
        <f>VLOOKUP(#REF!,'מלאי לא תקין'!A:N,17,0)</f>
        <v>#REF!</v>
      </c>
      <c r="T1022" t="e">
        <f t="shared" si="34"/>
        <v>#REF!</v>
      </c>
      <c r="U1022" t="e">
        <f t="shared" si="35"/>
        <v>#REF!</v>
      </c>
    </row>
    <row r="1023" spans="4:21" x14ac:dyDescent="0.2">
      <c r="D1023" s="4"/>
      <c r="G1023" s="5"/>
      <c r="H1023" s="5"/>
      <c r="I1023" s="4"/>
      <c r="J1023" s="4"/>
      <c r="K1023" s="5"/>
      <c r="Q1023" t="e">
        <f>VLOOKUP(A1023,'גיליון דאטה להכל'!A:E,5,0)</f>
        <v>#N/A</v>
      </c>
      <c r="R1023" t="e">
        <f>VLOOKUP(A1023,'לעדכן בסינתזה דאטה אריזה 42+24'!$A:$C,3,0)</f>
        <v>#N/A</v>
      </c>
      <c r="S1023" t="e">
        <f>VLOOKUP(#REF!,'מלאי לא תקין'!A:N,17,0)</f>
        <v>#REF!</v>
      </c>
      <c r="T1023" t="e">
        <f t="shared" si="34"/>
        <v>#REF!</v>
      </c>
      <c r="U1023" t="e">
        <f t="shared" si="35"/>
        <v>#REF!</v>
      </c>
    </row>
    <row r="1024" spans="4:21" x14ac:dyDescent="0.2">
      <c r="D1024" s="4"/>
      <c r="G1024" s="5"/>
      <c r="H1024" s="7"/>
      <c r="I1024" s="4"/>
      <c r="J1024" s="4"/>
      <c r="K1024" s="5"/>
      <c r="Q1024" t="e">
        <f>VLOOKUP(A1024,'גיליון דאטה להכל'!A:E,5,0)</f>
        <v>#N/A</v>
      </c>
      <c r="R1024" t="e">
        <f>VLOOKUP(A1024,'לעדכן בסינתזה דאטה אריזה 42+24'!$A:$C,3,0)</f>
        <v>#N/A</v>
      </c>
      <c r="S1024" t="e">
        <f>VLOOKUP(#REF!,'מלאי לא תקין'!A:N,17,0)</f>
        <v>#REF!</v>
      </c>
      <c r="T1024" t="e">
        <f t="shared" si="34"/>
        <v>#REF!</v>
      </c>
      <c r="U1024" t="e">
        <f t="shared" si="35"/>
        <v>#REF!</v>
      </c>
    </row>
    <row r="1025" spans="4:21" x14ac:dyDescent="0.2">
      <c r="D1025" s="4"/>
      <c r="G1025" s="5"/>
      <c r="H1025" s="5"/>
      <c r="I1025" s="4"/>
      <c r="J1025" s="4"/>
      <c r="K1025" s="5"/>
      <c r="Q1025" t="e">
        <f>VLOOKUP(A1025,'גיליון דאטה להכל'!A:E,5,0)</f>
        <v>#N/A</v>
      </c>
      <c r="R1025" t="e">
        <f>VLOOKUP(A1025,'לעדכן בסינתזה דאטה אריזה 42+24'!$A:$C,3,0)</f>
        <v>#N/A</v>
      </c>
      <c r="S1025" t="e">
        <f>VLOOKUP(#REF!,'מלאי לא תקין'!A:N,17,0)</f>
        <v>#REF!</v>
      </c>
      <c r="T1025" t="e">
        <f t="shared" si="34"/>
        <v>#REF!</v>
      </c>
      <c r="U1025" t="e">
        <f t="shared" si="35"/>
        <v>#REF!</v>
      </c>
    </row>
    <row r="1026" spans="4:21" x14ac:dyDescent="0.2">
      <c r="D1026" s="4"/>
      <c r="G1026" s="5"/>
      <c r="H1026" s="5"/>
      <c r="I1026" s="4"/>
      <c r="J1026" s="4"/>
      <c r="K1026" s="5"/>
      <c r="Q1026" t="e">
        <f>VLOOKUP(A1026,'גיליון דאטה להכל'!A:E,5,0)</f>
        <v>#N/A</v>
      </c>
      <c r="R1026" t="e">
        <f>VLOOKUP(A1026,'לעדכן בסינתזה דאטה אריזה 42+24'!$A:$C,3,0)</f>
        <v>#N/A</v>
      </c>
      <c r="S1026" t="e">
        <f>VLOOKUP(#REF!,'מלאי לא תקין'!A:N,17,0)</f>
        <v>#REF!</v>
      </c>
      <c r="T1026" t="e">
        <f t="shared" si="34"/>
        <v>#REF!</v>
      </c>
      <c r="U1026" t="e">
        <f t="shared" si="35"/>
        <v>#REF!</v>
      </c>
    </row>
    <row r="1027" spans="4:21" x14ac:dyDescent="0.2">
      <c r="D1027" s="4"/>
      <c r="G1027" s="5"/>
      <c r="H1027" s="5"/>
      <c r="I1027" s="4"/>
      <c r="J1027" s="4"/>
      <c r="K1027" s="5"/>
      <c r="Q1027" t="e">
        <f>VLOOKUP(A1027,'גיליון דאטה להכל'!A:E,5,0)</f>
        <v>#N/A</v>
      </c>
      <c r="R1027" t="e">
        <f>VLOOKUP(A1027,'לעדכן בסינתזה דאטה אריזה 42+24'!$A:$C,3,0)</f>
        <v>#N/A</v>
      </c>
      <c r="S1027" t="e">
        <f>VLOOKUP(#REF!,'מלאי לא תקין'!A:N,17,0)</f>
        <v>#REF!</v>
      </c>
      <c r="T1027" t="e">
        <f t="shared" si="34"/>
        <v>#REF!</v>
      </c>
      <c r="U1027" t="e">
        <f t="shared" si="35"/>
        <v>#REF!</v>
      </c>
    </row>
    <row r="1028" spans="4:21" x14ac:dyDescent="0.2">
      <c r="D1028" s="4"/>
      <c r="G1028" s="5"/>
      <c r="H1028" s="5"/>
      <c r="I1028" s="4"/>
      <c r="J1028" s="4"/>
      <c r="K1028" s="5"/>
      <c r="Q1028" t="e">
        <f>VLOOKUP(A1028,'גיליון דאטה להכל'!A:E,5,0)</f>
        <v>#N/A</v>
      </c>
      <c r="R1028" t="e">
        <f>VLOOKUP(A1028,'לעדכן בסינתזה דאטה אריזה 42+24'!$A:$C,3,0)</f>
        <v>#N/A</v>
      </c>
      <c r="S1028" t="e">
        <f>VLOOKUP(#REF!,'מלאי לא תקין'!A:N,17,0)</f>
        <v>#REF!</v>
      </c>
      <c r="T1028" t="e">
        <f t="shared" si="34"/>
        <v>#REF!</v>
      </c>
      <c r="U1028" t="e">
        <f t="shared" si="35"/>
        <v>#REF!</v>
      </c>
    </row>
    <row r="1029" spans="4:21" x14ac:dyDescent="0.2">
      <c r="D1029" s="4"/>
      <c r="G1029" s="5"/>
      <c r="H1029" s="5"/>
      <c r="I1029" s="4"/>
      <c r="J1029" s="4"/>
      <c r="K1029" s="5"/>
      <c r="Q1029" t="e">
        <f>VLOOKUP(A1029,'גיליון דאטה להכל'!A:E,5,0)</f>
        <v>#N/A</v>
      </c>
      <c r="R1029" t="e">
        <f>VLOOKUP(A1029,'לעדכן בסינתזה דאטה אריזה 42+24'!$A:$C,3,0)</f>
        <v>#N/A</v>
      </c>
      <c r="S1029" t="e">
        <f>VLOOKUP(#REF!,'מלאי לא תקין'!A:N,17,0)</f>
        <v>#REF!</v>
      </c>
      <c r="T1029" t="e">
        <f t="shared" si="34"/>
        <v>#REF!</v>
      </c>
      <c r="U1029" t="e">
        <f t="shared" si="35"/>
        <v>#REF!</v>
      </c>
    </row>
    <row r="1030" spans="4:21" x14ac:dyDescent="0.2">
      <c r="D1030" s="4"/>
      <c r="G1030" s="5"/>
      <c r="H1030" s="7"/>
      <c r="I1030" s="4"/>
      <c r="J1030" s="4"/>
      <c r="K1030" s="5"/>
      <c r="Q1030" t="e">
        <f>VLOOKUP(A1030,'גיליון דאטה להכל'!A:E,5,0)</f>
        <v>#N/A</v>
      </c>
      <c r="R1030" t="e">
        <f>VLOOKUP(A1030,'לעדכן בסינתזה דאטה אריזה 42+24'!$A:$C,3,0)</f>
        <v>#N/A</v>
      </c>
      <c r="S1030" t="e">
        <f>VLOOKUP(#REF!,'מלאי לא תקין'!A:N,17,0)</f>
        <v>#REF!</v>
      </c>
      <c r="T1030" t="e">
        <f t="shared" si="34"/>
        <v>#REF!</v>
      </c>
      <c r="U1030" t="e">
        <f t="shared" si="35"/>
        <v>#REF!</v>
      </c>
    </row>
    <row r="1031" spans="4:21" x14ac:dyDescent="0.2">
      <c r="D1031" s="4"/>
      <c r="G1031" s="5"/>
      <c r="H1031" s="5"/>
      <c r="I1031" s="4"/>
      <c r="J1031" s="4"/>
      <c r="K1031" s="5"/>
      <c r="Q1031" t="e">
        <f>VLOOKUP(A1031,'גיליון דאטה להכל'!A:E,5,0)</f>
        <v>#N/A</v>
      </c>
      <c r="R1031" t="e">
        <f>VLOOKUP(A1031,'לעדכן בסינתזה דאטה אריזה 42+24'!$A:$C,3,0)</f>
        <v>#N/A</v>
      </c>
      <c r="S1031" t="e">
        <f>VLOOKUP(#REF!,'מלאי לא תקין'!A:N,17,0)</f>
        <v>#REF!</v>
      </c>
      <c r="T1031" t="e">
        <f t="shared" si="34"/>
        <v>#REF!</v>
      </c>
      <c r="U1031" t="e">
        <f t="shared" si="35"/>
        <v>#REF!</v>
      </c>
    </row>
    <row r="1032" spans="4:21" x14ac:dyDescent="0.2">
      <c r="D1032" s="4"/>
      <c r="G1032" s="5"/>
      <c r="H1032" s="5"/>
      <c r="I1032" s="4"/>
      <c r="J1032" s="4"/>
      <c r="K1032" s="5"/>
      <c r="Q1032" t="e">
        <f>VLOOKUP(A1032,'גיליון דאטה להכל'!A:E,5,0)</f>
        <v>#N/A</v>
      </c>
      <c r="R1032" t="e">
        <f>VLOOKUP(A1032,'לעדכן בסינתזה דאטה אריזה 42+24'!$A:$C,3,0)</f>
        <v>#N/A</v>
      </c>
      <c r="S1032" t="e">
        <f>VLOOKUP(#REF!,'מלאי לא תקין'!A:N,17,0)</f>
        <v>#REF!</v>
      </c>
      <c r="T1032" t="e">
        <f t="shared" si="34"/>
        <v>#REF!</v>
      </c>
      <c r="U1032" t="e">
        <f t="shared" si="35"/>
        <v>#REF!</v>
      </c>
    </row>
    <row r="1033" spans="4:21" x14ac:dyDescent="0.2">
      <c r="D1033" s="4"/>
      <c r="G1033" s="5"/>
      <c r="H1033" s="5"/>
      <c r="I1033" s="4"/>
      <c r="J1033" s="4"/>
      <c r="K1033" s="5"/>
      <c r="Q1033" t="e">
        <f>VLOOKUP(A1033,'גיליון דאטה להכל'!A:E,5,0)</f>
        <v>#N/A</v>
      </c>
      <c r="R1033" t="e">
        <f>VLOOKUP(A1033,'לעדכן בסינתזה דאטה אריזה 42+24'!$A:$C,3,0)</f>
        <v>#N/A</v>
      </c>
      <c r="S1033" t="e">
        <f>VLOOKUP(#REF!,'מלאי לא תקין'!A:N,17,0)</f>
        <v>#REF!</v>
      </c>
      <c r="T1033" t="e">
        <f t="shared" si="34"/>
        <v>#REF!</v>
      </c>
      <c r="U1033" t="e">
        <f t="shared" si="35"/>
        <v>#REF!</v>
      </c>
    </row>
    <row r="1034" spans="4:21" x14ac:dyDescent="0.2">
      <c r="D1034" s="4"/>
      <c r="G1034" s="5"/>
      <c r="H1034" s="5"/>
      <c r="I1034" s="4"/>
      <c r="J1034" s="4"/>
      <c r="K1034" s="5"/>
      <c r="Q1034" t="e">
        <f>VLOOKUP(A1034,'גיליון דאטה להכל'!A:E,5,0)</f>
        <v>#N/A</v>
      </c>
      <c r="R1034" t="e">
        <f>VLOOKUP(A1034,'לעדכן בסינתזה דאטה אריזה 42+24'!$A:$C,3,0)</f>
        <v>#N/A</v>
      </c>
      <c r="S1034" t="e">
        <f>VLOOKUP(#REF!,'מלאי לא תקין'!A:N,17,0)</f>
        <v>#REF!</v>
      </c>
      <c r="T1034" t="e">
        <f t="shared" si="34"/>
        <v>#REF!</v>
      </c>
      <c r="U1034" t="e">
        <f t="shared" si="35"/>
        <v>#REF!</v>
      </c>
    </row>
    <row r="1035" spans="4:21" x14ac:dyDescent="0.2">
      <c r="D1035" s="4"/>
      <c r="G1035" s="5"/>
      <c r="H1035" s="7"/>
      <c r="I1035" s="4"/>
      <c r="J1035" s="4"/>
      <c r="K1035" s="5"/>
      <c r="Q1035" t="e">
        <f>VLOOKUP(A1035,'גיליון דאטה להכל'!A:E,5,0)</f>
        <v>#N/A</v>
      </c>
      <c r="R1035" t="e">
        <f>VLOOKUP(A1035,'לעדכן בסינתזה דאטה אריזה 42+24'!$A:$C,3,0)</f>
        <v>#N/A</v>
      </c>
      <c r="S1035" t="e">
        <f>VLOOKUP(#REF!,'מלאי לא תקין'!A:N,17,0)</f>
        <v>#REF!</v>
      </c>
      <c r="T1035" t="e">
        <f t="shared" si="34"/>
        <v>#REF!</v>
      </c>
      <c r="U1035" t="e">
        <f t="shared" si="35"/>
        <v>#REF!</v>
      </c>
    </row>
    <row r="1036" spans="4:21" x14ac:dyDescent="0.2">
      <c r="D1036" s="4"/>
      <c r="G1036" s="5"/>
      <c r="H1036" s="5"/>
      <c r="I1036" s="4"/>
      <c r="J1036" s="4"/>
      <c r="K1036" s="5"/>
      <c r="Q1036" t="e">
        <f>VLOOKUP(A1036,'גיליון דאטה להכל'!A:E,5,0)</f>
        <v>#N/A</v>
      </c>
      <c r="R1036" t="e">
        <f>VLOOKUP(A1036,'לעדכן בסינתזה דאטה אריזה 42+24'!$A:$C,3,0)</f>
        <v>#N/A</v>
      </c>
      <c r="S1036" t="e">
        <f>VLOOKUP(#REF!,'מלאי לא תקין'!A:N,17,0)</f>
        <v>#REF!</v>
      </c>
      <c r="T1036" t="e">
        <f t="shared" si="34"/>
        <v>#REF!</v>
      </c>
      <c r="U1036" t="e">
        <f t="shared" si="35"/>
        <v>#REF!</v>
      </c>
    </row>
    <row r="1037" spans="4:21" x14ac:dyDescent="0.2">
      <c r="D1037" s="4"/>
      <c r="G1037" s="5"/>
      <c r="H1037" s="5"/>
      <c r="I1037" s="4"/>
      <c r="J1037" s="4"/>
      <c r="K1037" s="5"/>
      <c r="Q1037" t="e">
        <f>VLOOKUP(A1037,'גיליון דאטה להכל'!A:E,5,0)</f>
        <v>#N/A</v>
      </c>
      <c r="R1037" t="e">
        <f>VLOOKUP(A1037,'לעדכן בסינתזה דאטה אריזה 42+24'!$A:$C,3,0)</f>
        <v>#N/A</v>
      </c>
      <c r="S1037" t="e">
        <f>VLOOKUP(#REF!,'מלאי לא תקין'!A:N,17,0)</f>
        <v>#REF!</v>
      </c>
      <c r="T1037" t="e">
        <f t="shared" si="34"/>
        <v>#REF!</v>
      </c>
      <c r="U1037" t="e">
        <f t="shared" si="35"/>
        <v>#REF!</v>
      </c>
    </row>
    <row r="1038" spans="4:21" x14ac:dyDescent="0.2">
      <c r="D1038" s="4"/>
      <c r="G1038" s="5"/>
      <c r="H1038" s="5"/>
      <c r="I1038" s="4"/>
      <c r="J1038" s="4"/>
      <c r="K1038" s="5"/>
      <c r="Q1038" t="e">
        <f>VLOOKUP(A1038,'גיליון דאטה להכל'!A:E,5,0)</f>
        <v>#N/A</v>
      </c>
      <c r="R1038" t="e">
        <f>VLOOKUP(A1038,'לעדכן בסינתזה דאטה אריזה 42+24'!$A:$C,3,0)</f>
        <v>#N/A</v>
      </c>
      <c r="S1038" t="e">
        <f>VLOOKUP(#REF!,'מלאי לא תקין'!A:N,17,0)</f>
        <v>#REF!</v>
      </c>
      <c r="T1038" t="e">
        <f t="shared" si="34"/>
        <v>#REF!</v>
      </c>
      <c r="U1038" t="e">
        <f t="shared" si="35"/>
        <v>#REF!</v>
      </c>
    </row>
    <row r="1039" spans="4:21" x14ac:dyDescent="0.2">
      <c r="D1039" s="4"/>
      <c r="G1039" s="5"/>
      <c r="H1039" s="5"/>
      <c r="I1039" s="4"/>
      <c r="J1039" s="4"/>
      <c r="K1039" s="5"/>
      <c r="Q1039" t="e">
        <f>VLOOKUP(A1039,'גיליון דאטה להכל'!A:E,5,0)</f>
        <v>#N/A</v>
      </c>
      <c r="R1039" t="e">
        <f>VLOOKUP(A1039,'לעדכן בסינתזה דאטה אריזה 42+24'!$A:$C,3,0)</f>
        <v>#N/A</v>
      </c>
      <c r="S1039" t="e">
        <f>VLOOKUP(#REF!,'מלאי לא תקין'!A:N,17,0)</f>
        <v>#REF!</v>
      </c>
      <c r="T1039" t="e">
        <f t="shared" si="34"/>
        <v>#REF!</v>
      </c>
      <c r="U1039" t="e">
        <f t="shared" si="35"/>
        <v>#REF!</v>
      </c>
    </row>
    <row r="1040" spans="4:21" x14ac:dyDescent="0.2">
      <c r="D1040" s="4"/>
      <c r="G1040" s="5"/>
      <c r="H1040" s="7"/>
      <c r="I1040" s="4"/>
      <c r="J1040" s="4"/>
      <c r="K1040" s="5"/>
      <c r="Q1040" t="e">
        <f>VLOOKUP(A1040,'גיליון דאטה להכל'!A:E,5,0)</f>
        <v>#N/A</v>
      </c>
      <c r="R1040" t="e">
        <f>VLOOKUP(A1040,'לעדכן בסינתזה דאטה אריזה 42+24'!$A:$C,3,0)</f>
        <v>#N/A</v>
      </c>
      <c r="S1040" t="e">
        <f>VLOOKUP(#REF!,'מלאי לא תקין'!A:N,17,0)</f>
        <v>#REF!</v>
      </c>
      <c r="T1040" t="e">
        <f t="shared" si="34"/>
        <v>#REF!</v>
      </c>
      <c r="U1040" t="e">
        <f t="shared" si="35"/>
        <v>#REF!</v>
      </c>
    </row>
    <row r="1041" spans="4:21" x14ac:dyDescent="0.2">
      <c r="D1041" s="4"/>
      <c r="G1041" s="5"/>
      <c r="H1041" s="7"/>
      <c r="I1041" s="4"/>
      <c r="J1041" s="4"/>
      <c r="K1041" s="5"/>
      <c r="Q1041" t="e">
        <f>VLOOKUP(A1041,'גיליון דאטה להכל'!A:E,5,0)</f>
        <v>#N/A</v>
      </c>
      <c r="R1041" t="e">
        <f>VLOOKUP(A1041,'לעדכן בסינתזה דאטה אריזה 42+24'!$A:$C,3,0)</f>
        <v>#N/A</v>
      </c>
      <c r="S1041" t="e">
        <f>VLOOKUP(#REF!,'מלאי לא תקין'!A:N,17,0)</f>
        <v>#REF!</v>
      </c>
      <c r="T1041" t="e">
        <f t="shared" si="34"/>
        <v>#REF!</v>
      </c>
      <c r="U1041" t="e">
        <f t="shared" si="35"/>
        <v>#REF!</v>
      </c>
    </row>
    <row r="1042" spans="4:21" x14ac:dyDescent="0.2">
      <c r="D1042" s="4"/>
      <c r="G1042" s="5"/>
      <c r="H1042" s="5"/>
      <c r="I1042" s="4"/>
      <c r="J1042" s="4"/>
      <c r="K1042" s="5"/>
      <c r="Q1042" t="e">
        <f>VLOOKUP(A1042,'גיליון דאטה להכל'!A:E,5,0)</f>
        <v>#N/A</v>
      </c>
      <c r="R1042" t="e">
        <f>VLOOKUP(A1042,'לעדכן בסינתזה דאטה אריזה 42+24'!$A:$C,3,0)</f>
        <v>#N/A</v>
      </c>
      <c r="S1042" t="e">
        <f>VLOOKUP(#REF!,'מלאי לא תקין'!A:N,17,0)</f>
        <v>#REF!</v>
      </c>
      <c r="T1042" t="e">
        <f t="shared" si="34"/>
        <v>#REF!</v>
      </c>
      <c r="U1042" t="e">
        <f t="shared" si="35"/>
        <v>#REF!</v>
      </c>
    </row>
    <row r="1043" spans="4:21" x14ac:dyDescent="0.2">
      <c r="D1043" s="4"/>
      <c r="G1043" s="5"/>
      <c r="H1043" s="5"/>
      <c r="I1043" s="4"/>
      <c r="J1043" s="4"/>
      <c r="K1043" s="5"/>
      <c r="Q1043" t="e">
        <f>VLOOKUP(A1043,'גיליון דאטה להכל'!A:E,5,0)</f>
        <v>#N/A</v>
      </c>
      <c r="R1043" t="e">
        <f>VLOOKUP(A1043,'לעדכן בסינתזה דאטה אריזה 42+24'!$A:$C,3,0)</f>
        <v>#N/A</v>
      </c>
      <c r="S1043" t="e">
        <f>VLOOKUP(#REF!,'מלאי לא תקין'!A:N,17,0)</f>
        <v>#REF!</v>
      </c>
      <c r="T1043" t="e">
        <f t="shared" si="34"/>
        <v>#REF!</v>
      </c>
      <c r="U1043" t="e">
        <f t="shared" si="35"/>
        <v>#REF!</v>
      </c>
    </row>
    <row r="1044" spans="4:21" x14ac:dyDescent="0.2">
      <c r="D1044" s="4"/>
      <c r="G1044" s="5"/>
      <c r="H1044" s="5"/>
      <c r="I1044" s="4"/>
      <c r="J1044" s="4"/>
      <c r="K1044" s="5"/>
      <c r="Q1044" t="e">
        <f>VLOOKUP(A1044,'גיליון דאטה להכל'!A:E,5,0)</f>
        <v>#N/A</v>
      </c>
      <c r="R1044" t="e">
        <f>VLOOKUP(A1044,'לעדכן בסינתזה דאטה אריזה 42+24'!$A:$C,3,0)</f>
        <v>#N/A</v>
      </c>
      <c r="S1044" t="e">
        <f>VLOOKUP(#REF!,'מלאי לא תקין'!A:N,17,0)</f>
        <v>#REF!</v>
      </c>
      <c r="T1044" t="e">
        <f t="shared" si="34"/>
        <v>#REF!</v>
      </c>
      <c r="U1044" t="e">
        <f t="shared" si="35"/>
        <v>#REF!</v>
      </c>
    </row>
    <row r="1045" spans="4:21" x14ac:dyDescent="0.2">
      <c r="D1045" s="4"/>
      <c r="G1045" s="5"/>
      <c r="H1045" s="5"/>
      <c r="I1045" s="4"/>
      <c r="J1045" s="4"/>
      <c r="K1045" s="5"/>
      <c r="Q1045" t="e">
        <f>VLOOKUP(A1045,'גיליון דאטה להכל'!A:E,5,0)</f>
        <v>#N/A</v>
      </c>
      <c r="R1045" t="e">
        <f>VLOOKUP(A1045,'לעדכן בסינתזה דאטה אריזה 42+24'!$A:$C,3,0)</f>
        <v>#N/A</v>
      </c>
      <c r="S1045" t="e">
        <f>VLOOKUP(#REF!,'מלאי לא תקין'!A:N,17,0)</f>
        <v>#REF!</v>
      </c>
      <c r="T1045" t="e">
        <f t="shared" si="34"/>
        <v>#REF!</v>
      </c>
      <c r="U1045" t="e">
        <f t="shared" si="35"/>
        <v>#REF!</v>
      </c>
    </row>
    <row r="1046" spans="4:21" x14ac:dyDescent="0.2">
      <c r="D1046" s="4"/>
      <c r="G1046" s="5"/>
      <c r="H1046" s="5"/>
      <c r="I1046" s="4"/>
      <c r="J1046" s="4"/>
      <c r="K1046" s="5"/>
      <c r="Q1046" t="e">
        <f>VLOOKUP(A1046,'גיליון דאטה להכל'!A:E,5,0)</f>
        <v>#N/A</v>
      </c>
      <c r="R1046" t="e">
        <f>VLOOKUP(A1046,'לעדכן בסינתזה דאטה אריזה 42+24'!$A:$C,3,0)</f>
        <v>#N/A</v>
      </c>
      <c r="S1046" t="e">
        <f>VLOOKUP(#REF!,'מלאי לא תקין'!A:N,17,0)</f>
        <v>#REF!</v>
      </c>
      <c r="T1046" t="e">
        <f t="shared" si="34"/>
        <v>#REF!</v>
      </c>
      <c r="U1046" t="e">
        <f t="shared" si="35"/>
        <v>#REF!</v>
      </c>
    </row>
    <row r="1047" spans="4:21" x14ac:dyDescent="0.2">
      <c r="D1047" s="4"/>
      <c r="G1047" s="5"/>
      <c r="H1047" s="5"/>
      <c r="I1047" s="4"/>
      <c r="J1047" s="4"/>
      <c r="K1047" s="5"/>
      <c r="Q1047" t="e">
        <f>VLOOKUP(A1047,'גיליון דאטה להכל'!A:E,5,0)</f>
        <v>#N/A</v>
      </c>
      <c r="R1047" t="e">
        <f>VLOOKUP(A1047,'לעדכן בסינתזה דאטה אריזה 42+24'!$A:$C,3,0)</f>
        <v>#N/A</v>
      </c>
      <c r="S1047" t="e">
        <f>VLOOKUP(#REF!,'מלאי לא תקין'!A:N,17,0)</f>
        <v>#REF!</v>
      </c>
      <c r="T1047" t="e">
        <f t="shared" si="34"/>
        <v>#REF!</v>
      </c>
      <c r="U1047" t="e">
        <f t="shared" si="35"/>
        <v>#REF!</v>
      </c>
    </row>
    <row r="1048" spans="4:21" x14ac:dyDescent="0.2">
      <c r="D1048" s="4"/>
      <c r="G1048" s="5"/>
      <c r="H1048" s="7"/>
      <c r="I1048" s="4"/>
      <c r="J1048" s="4"/>
      <c r="K1048" s="5"/>
      <c r="Q1048" t="e">
        <f>VLOOKUP(A1048,'גיליון דאטה להכל'!A:E,5,0)</f>
        <v>#N/A</v>
      </c>
      <c r="R1048" t="e">
        <f>VLOOKUP(A1048,'לעדכן בסינתזה דאטה אריזה 42+24'!$A:$C,3,0)</f>
        <v>#N/A</v>
      </c>
      <c r="S1048" t="e">
        <f>VLOOKUP(#REF!,'מלאי לא תקין'!A:N,17,0)</f>
        <v>#REF!</v>
      </c>
      <c r="T1048" t="e">
        <f t="shared" si="34"/>
        <v>#REF!</v>
      </c>
      <c r="U1048" t="e">
        <f t="shared" si="35"/>
        <v>#REF!</v>
      </c>
    </row>
    <row r="1049" spans="4:21" x14ac:dyDescent="0.2">
      <c r="D1049" s="4"/>
      <c r="G1049" s="5"/>
      <c r="H1049" s="5"/>
      <c r="I1049" s="4"/>
      <c r="J1049" s="4"/>
      <c r="K1049" s="5"/>
      <c r="Q1049" t="e">
        <f>VLOOKUP(A1049,'גיליון דאטה להכל'!A:E,5,0)</f>
        <v>#N/A</v>
      </c>
      <c r="R1049" t="e">
        <f>VLOOKUP(A1049,'לעדכן בסינתזה דאטה אריזה 42+24'!$A:$C,3,0)</f>
        <v>#N/A</v>
      </c>
      <c r="S1049" t="e">
        <f>VLOOKUP(#REF!,'מלאי לא תקין'!A:N,17,0)</f>
        <v>#REF!</v>
      </c>
      <c r="T1049" t="e">
        <f t="shared" si="34"/>
        <v>#REF!</v>
      </c>
      <c r="U1049" t="e">
        <f t="shared" si="35"/>
        <v>#REF!</v>
      </c>
    </row>
    <row r="1050" spans="4:21" x14ac:dyDescent="0.2">
      <c r="D1050" s="4"/>
      <c r="G1050" s="5"/>
      <c r="H1050" s="5"/>
      <c r="I1050" s="4"/>
      <c r="J1050" s="4"/>
      <c r="K1050" s="5"/>
      <c r="Q1050" t="e">
        <f>VLOOKUP(A1050,'גיליון דאטה להכל'!A:E,5,0)</f>
        <v>#N/A</v>
      </c>
      <c r="R1050" t="e">
        <f>VLOOKUP(A1050,'לעדכן בסינתזה דאטה אריזה 42+24'!$A:$C,3,0)</f>
        <v>#N/A</v>
      </c>
      <c r="S1050" t="e">
        <f>VLOOKUP(#REF!,'מלאי לא תקין'!A:N,17,0)</f>
        <v>#REF!</v>
      </c>
      <c r="T1050" t="e">
        <f t="shared" si="34"/>
        <v>#REF!</v>
      </c>
      <c r="U1050" t="e">
        <f t="shared" si="35"/>
        <v>#REF!</v>
      </c>
    </row>
    <row r="1051" spans="4:21" x14ac:dyDescent="0.2">
      <c r="D1051" s="4"/>
      <c r="G1051" s="5"/>
      <c r="H1051" s="5"/>
      <c r="I1051" s="4"/>
      <c r="J1051" s="4"/>
      <c r="K1051" s="5"/>
      <c r="Q1051" t="e">
        <f>VLOOKUP(A1051,'גיליון דאטה להכל'!A:E,5,0)</f>
        <v>#N/A</v>
      </c>
      <c r="R1051" t="e">
        <f>VLOOKUP(A1051,'לעדכן בסינתזה דאטה אריזה 42+24'!$A:$C,3,0)</f>
        <v>#N/A</v>
      </c>
      <c r="S1051" t="e">
        <f>VLOOKUP(#REF!,'מלאי לא תקין'!A:N,17,0)</f>
        <v>#REF!</v>
      </c>
      <c r="T1051" t="e">
        <f t="shared" si="34"/>
        <v>#REF!</v>
      </c>
      <c r="U1051" t="e">
        <f t="shared" si="35"/>
        <v>#REF!</v>
      </c>
    </row>
    <row r="1052" spans="4:21" x14ac:dyDescent="0.2">
      <c r="D1052" s="4"/>
      <c r="G1052" s="5"/>
      <c r="H1052" s="5"/>
      <c r="I1052" s="4"/>
      <c r="J1052" s="4"/>
      <c r="K1052" s="5"/>
      <c r="Q1052" t="e">
        <f>VLOOKUP(A1052,'גיליון דאטה להכל'!A:E,5,0)</f>
        <v>#N/A</v>
      </c>
      <c r="R1052" t="e">
        <f>VLOOKUP(A1052,'לעדכן בסינתזה דאטה אריזה 42+24'!$A:$C,3,0)</f>
        <v>#N/A</v>
      </c>
      <c r="S1052" t="e">
        <f>VLOOKUP(#REF!,'מלאי לא תקין'!A:N,17,0)</f>
        <v>#REF!</v>
      </c>
      <c r="T1052" t="e">
        <f t="shared" si="34"/>
        <v>#REF!</v>
      </c>
      <c r="U1052" t="e">
        <f t="shared" si="35"/>
        <v>#REF!</v>
      </c>
    </row>
    <row r="1053" spans="4:21" x14ac:dyDescent="0.2">
      <c r="D1053" s="4"/>
      <c r="G1053" s="5"/>
      <c r="H1053" s="7"/>
      <c r="I1053" s="4"/>
      <c r="J1053" s="4"/>
      <c r="K1053" s="5"/>
      <c r="Q1053" t="e">
        <f>VLOOKUP(A1053,'גיליון דאטה להכל'!A:E,5,0)</f>
        <v>#N/A</v>
      </c>
      <c r="R1053" t="e">
        <f>VLOOKUP(A1053,'לעדכן בסינתזה דאטה אריזה 42+24'!$A:$C,3,0)</f>
        <v>#N/A</v>
      </c>
      <c r="S1053" t="e">
        <f>VLOOKUP(#REF!,'מלאי לא תקין'!A:N,17,0)</f>
        <v>#REF!</v>
      </c>
      <c r="T1053" t="e">
        <f t="shared" si="34"/>
        <v>#REF!</v>
      </c>
      <c r="U1053" t="e">
        <f t="shared" si="35"/>
        <v>#REF!</v>
      </c>
    </row>
    <row r="1054" spans="4:21" x14ac:dyDescent="0.2">
      <c r="D1054" s="4"/>
      <c r="G1054" s="5"/>
      <c r="H1054" s="5"/>
      <c r="I1054" s="4"/>
      <c r="J1054" s="4"/>
      <c r="K1054" s="5"/>
      <c r="Q1054" t="e">
        <f>VLOOKUP(A1054,'גיליון דאטה להכל'!A:E,5,0)</f>
        <v>#N/A</v>
      </c>
      <c r="R1054" t="e">
        <f>VLOOKUP(A1054,'לעדכן בסינתזה דאטה אריזה 42+24'!$A:$C,3,0)</f>
        <v>#N/A</v>
      </c>
      <c r="S1054" t="e">
        <f>VLOOKUP(#REF!,'מלאי לא תקין'!A:N,17,0)</f>
        <v>#REF!</v>
      </c>
      <c r="T1054" t="e">
        <f t="shared" si="34"/>
        <v>#REF!</v>
      </c>
      <c r="U1054" t="e">
        <f t="shared" si="35"/>
        <v>#REF!</v>
      </c>
    </row>
    <row r="1055" spans="4:21" x14ac:dyDescent="0.2">
      <c r="D1055" s="4"/>
      <c r="G1055" s="5"/>
      <c r="H1055" s="5"/>
      <c r="I1055" s="4"/>
      <c r="J1055" s="4"/>
      <c r="K1055" s="5"/>
      <c r="Q1055" t="e">
        <f>VLOOKUP(A1055,'גיליון דאטה להכל'!A:E,5,0)</f>
        <v>#N/A</v>
      </c>
      <c r="R1055" t="e">
        <f>VLOOKUP(A1055,'לעדכן בסינתזה דאטה אריזה 42+24'!$A:$C,3,0)</f>
        <v>#N/A</v>
      </c>
      <c r="S1055" t="e">
        <f>VLOOKUP(#REF!,'מלאי לא תקין'!A:N,17,0)</f>
        <v>#REF!</v>
      </c>
      <c r="T1055" t="e">
        <f t="shared" si="34"/>
        <v>#REF!</v>
      </c>
      <c r="U1055" t="e">
        <f t="shared" si="35"/>
        <v>#REF!</v>
      </c>
    </row>
    <row r="1056" spans="4:21" x14ac:dyDescent="0.2">
      <c r="D1056" s="4"/>
      <c r="G1056" s="5"/>
      <c r="H1056" s="5"/>
      <c r="I1056" s="4"/>
      <c r="J1056" s="4"/>
      <c r="K1056" s="5"/>
      <c r="Q1056" t="e">
        <f>VLOOKUP(A1056,'גיליון דאטה להכל'!A:E,5,0)</f>
        <v>#N/A</v>
      </c>
      <c r="R1056" t="e">
        <f>VLOOKUP(A1056,'לעדכן בסינתזה דאטה אריזה 42+24'!$A:$C,3,0)</f>
        <v>#N/A</v>
      </c>
      <c r="S1056" t="e">
        <f>VLOOKUP(#REF!,'מלאי לא תקין'!A:N,17,0)</f>
        <v>#REF!</v>
      </c>
      <c r="T1056" t="e">
        <f t="shared" si="34"/>
        <v>#REF!</v>
      </c>
      <c r="U1056" t="e">
        <f t="shared" si="35"/>
        <v>#REF!</v>
      </c>
    </row>
    <row r="1057" spans="4:21" x14ac:dyDescent="0.2">
      <c r="D1057" s="4"/>
      <c r="G1057" s="5"/>
      <c r="H1057" s="5"/>
      <c r="I1057" s="4"/>
      <c r="J1057" s="4"/>
      <c r="K1057" s="5"/>
      <c r="Q1057" t="e">
        <f>VLOOKUP(A1057,'גיליון דאטה להכל'!A:E,5,0)</f>
        <v>#N/A</v>
      </c>
      <c r="R1057" t="e">
        <f>VLOOKUP(A1057,'לעדכן בסינתזה דאטה אריזה 42+24'!$A:$C,3,0)</f>
        <v>#N/A</v>
      </c>
      <c r="S1057" t="e">
        <f>VLOOKUP(#REF!,'מלאי לא תקין'!A:N,17,0)</f>
        <v>#REF!</v>
      </c>
      <c r="T1057" t="e">
        <f t="shared" si="34"/>
        <v>#REF!</v>
      </c>
      <c r="U1057" t="e">
        <f t="shared" si="35"/>
        <v>#REF!</v>
      </c>
    </row>
    <row r="1058" spans="4:21" x14ac:dyDescent="0.2">
      <c r="D1058" s="4"/>
      <c r="G1058" s="5"/>
      <c r="H1058" s="5"/>
      <c r="I1058" s="4"/>
      <c r="J1058" s="4"/>
      <c r="K1058" s="5"/>
      <c r="Q1058" t="e">
        <f>VLOOKUP(A1058,'גיליון דאטה להכל'!A:E,5,0)</f>
        <v>#N/A</v>
      </c>
      <c r="R1058" t="e">
        <f>VLOOKUP(A1058,'לעדכן בסינתזה דאטה אריזה 42+24'!$A:$C,3,0)</f>
        <v>#N/A</v>
      </c>
      <c r="S1058" t="e">
        <f>VLOOKUP(#REF!,'מלאי לא תקין'!A:N,17,0)</f>
        <v>#REF!</v>
      </c>
      <c r="T1058" t="e">
        <f t="shared" si="34"/>
        <v>#REF!</v>
      </c>
      <c r="U1058" t="e">
        <f t="shared" si="35"/>
        <v>#REF!</v>
      </c>
    </row>
    <row r="1059" spans="4:21" x14ac:dyDescent="0.2">
      <c r="D1059" s="4"/>
      <c r="G1059" s="5"/>
      <c r="H1059" s="5"/>
      <c r="I1059" s="4"/>
      <c r="J1059" s="4"/>
      <c r="K1059" s="5"/>
      <c r="Q1059" t="e">
        <f>VLOOKUP(A1059,'גיליון דאטה להכל'!A:E,5,0)</f>
        <v>#N/A</v>
      </c>
      <c r="R1059" t="e">
        <f>VLOOKUP(A1059,'לעדכן בסינתזה דאטה אריזה 42+24'!$A:$C,3,0)</f>
        <v>#N/A</v>
      </c>
      <c r="S1059" t="e">
        <f>VLOOKUP(#REF!,'מלאי לא תקין'!A:N,17,0)</f>
        <v>#REF!</v>
      </c>
      <c r="T1059" t="e">
        <f t="shared" si="34"/>
        <v>#REF!</v>
      </c>
      <c r="U1059" t="e">
        <f t="shared" si="35"/>
        <v>#REF!</v>
      </c>
    </row>
    <row r="1060" spans="4:21" x14ac:dyDescent="0.2">
      <c r="D1060" s="4"/>
      <c r="G1060" s="5"/>
      <c r="H1060" s="5"/>
      <c r="I1060" s="4"/>
      <c r="J1060" s="4"/>
      <c r="K1060" s="5"/>
      <c r="Q1060" t="e">
        <f>VLOOKUP(A1060,'גיליון דאטה להכל'!A:E,5,0)</f>
        <v>#N/A</v>
      </c>
      <c r="R1060" t="e">
        <f>VLOOKUP(A1060,'לעדכן בסינתזה דאטה אריזה 42+24'!$A:$C,3,0)</f>
        <v>#N/A</v>
      </c>
      <c r="S1060" t="e">
        <f>VLOOKUP(#REF!,'מלאי לא תקין'!A:N,17,0)</f>
        <v>#REF!</v>
      </c>
      <c r="T1060" t="e">
        <f t="shared" si="34"/>
        <v>#REF!</v>
      </c>
      <c r="U1060" t="e">
        <f t="shared" si="35"/>
        <v>#REF!</v>
      </c>
    </row>
    <row r="1061" spans="4:21" x14ac:dyDescent="0.2">
      <c r="D1061" s="4"/>
      <c r="G1061" s="5"/>
      <c r="H1061" s="5"/>
      <c r="I1061" s="4"/>
      <c r="J1061" s="4"/>
      <c r="K1061" s="5"/>
      <c r="Q1061" t="e">
        <f>VLOOKUP(A1061,'גיליון דאטה להכל'!A:E,5,0)</f>
        <v>#N/A</v>
      </c>
      <c r="R1061" t="e">
        <f>VLOOKUP(A1061,'לעדכן בסינתזה דאטה אריזה 42+24'!$A:$C,3,0)</f>
        <v>#N/A</v>
      </c>
      <c r="S1061" t="e">
        <f>VLOOKUP(#REF!,'מלאי לא תקין'!A:N,17,0)</f>
        <v>#REF!</v>
      </c>
      <c r="T1061" t="e">
        <f t="shared" si="34"/>
        <v>#REF!</v>
      </c>
      <c r="U1061" t="e">
        <f t="shared" si="35"/>
        <v>#REF!</v>
      </c>
    </row>
    <row r="1062" spans="4:21" x14ac:dyDescent="0.2">
      <c r="D1062" s="4"/>
      <c r="G1062" s="5"/>
      <c r="H1062" s="5"/>
      <c r="I1062" s="4"/>
      <c r="J1062" s="4"/>
      <c r="K1062" s="5"/>
      <c r="Q1062" t="e">
        <f>VLOOKUP(A1062,'גיליון דאטה להכל'!A:E,5,0)</f>
        <v>#N/A</v>
      </c>
      <c r="R1062" t="e">
        <f>VLOOKUP(A1062,'לעדכן בסינתזה דאטה אריזה 42+24'!$A:$C,3,0)</f>
        <v>#N/A</v>
      </c>
      <c r="S1062" t="e">
        <f>VLOOKUP(#REF!,'מלאי לא תקין'!A:N,17,0)</f>
        <v>#REF!</v>
      </c>
      <c r="T1062" t="e">
        <f t="shared" si="34"/>
        <v>#REF!</v>
      </c>
      <c r="U1062" t="e">
        <f t="shared" si="35"/>
        <v>#REF!</v>
      </c>
    </row>
    <row r="1063" spans="4:21" x14ac:dyDescent="0.2">
      <c r="D1063" s="4"/>
      <c r="G1063" s="5"/>
      <c r="H1063" s="5"/>
      <c r="I1063" s="4"/>
      <c r="J1063" s="4"/>
      <c r="K1063" s="5"/>
      <c r="Q1063" t="e">
        <f>VLOOKUP(A1063,'גיליון דאטה להכל'!A:E,5,0)</f>
        <v>#N/A</v>
      </c>
      <c r="R1063" t="e">
        <f>VLOOKUP(A1063,'לעדכן בסינתזה דאטה אריזה 42+24'!$A:$C,3,0)</f>
        <v>#N/A</v>
      </c>
      <c r="S1063" t="e">
        <f>VLOOKUP(#REF!,'מלאי לא תקין'!A:N,17,0)</f>
        <v>#REF!</v>
      </c>
      <c r="T1063" t="e">
        <f t="shared" si="34"/>
        <v>#REF!</v>
      </c>
      <c r="U1063" t="e">
        <f t="shared" si="35"/>
        <v>#REF!</v>
      </c>
    </row>
    <row r="1064" spans="4:21" x14ac:dyDescent="0.2">
      <c r="D1064" s="4"/>
      <c r="G1064" s="5"/>
      <c r="H1064" s="5"/>
      <c r="I1064" s="4"/>
      <c r="J1064" s="4"/>
      <c r="K1064" s="5"/>
      <c r="Q1064" t="e">
        <f>VLOOKUP(A1064,'גיליון דאטה להכל'!A:E,5,0)</f>
        <v>#N/A</v>
      </c>
      <c r="R1064" t="e">
        <f>VLOOKUP(A1064,'לעדכן בסינתזה דאטה אריזה 42+24'!$A:$C,3,0)</f>
        <v>#N/A</v>
      </c>
      <c r="S1064" t="e">
        <f>VLOOKUP(#REF!,'מלאי לא תקין'!A:N,17,0)</f>
        <v>#REF!</v>
      </c>
      <c r="T1064" t="e">
        <f t="shared" si="34"/>
        <v>#REF!</v>
      </c>
      <c r="U1064" t="e">
        <f t="shared" si="35"/>
        <v>#REF!</v>
      </c>
    </row>
    <row r="1065" spans="4:21" x14ac:dyDescent="0.2">
      <c r="D1065" s="4"/>
      <c r="G1065" s="5"/>
      <c r="H1065" s="5"/>
      <c r="I1065" s="4"/>
      <c r="J1065" s="4"/>
      <c r="K1065" s="5"/>
      <c r="Q1065" t="e">
        <f>VLOOKUP(A1065,'גיליון דאטה להכל'!A:E,5,0)</f>
        <v>#N/A</v>
      </c>
      <c r="R1065" t="e">
        <f>VLOOKUP(A1065,'לעדכן בסינתזה דאטה אריזה 42+24'!$A:$C,3,0)</f>
        <v>#N/A</v>
      </c>
      <c r="S1065" t="e">
        <f>VLOOKUP(#REF!,'מלאי לא תקין'!A:N,17,0)</f>
        <v>#REF!</v>
      </c>
      <c r="T1065" t="e">
        <f t="shared" si="34"/>
        <v>#REF!</v>
      </c>
      <c r="U1065" t="e">
        <f t="shared" si="35"/>
        <v>#REF!</v>
      </c>
    </row>
    <row r="1066" spans="4:21" x14ac:dyDescent="0.2">
      <c r="D1066" s="4"/>
      <c r="G1066" s="5"/>
      <c r="H1066" s="7"/>
      <c r="I1066" s="4"/>
      <c r="J1066" s="4"/>
      <c r="K1066" s="5"/>
      <c r="Q1066" t="e">
        <f>VLOOKUP(A1066,'גיליון דאטה להכל'!A:E,5,0)</f>
        <v>#N/A</v>
      </c>
      <c r="R1066" t="e">
        <f>VLOOKUP(A1066,'לעדכן בסינתזה דאטה אריזה 42+24'!$A:$C,3,0)</f>
        <v>#N/A</v>
      </c>
      <c r="S1066" t="e">
        <f>VLOOKUP(#REF!,'מלאי לא תקין'!A:N,17,0)</f>
        <v>#REF!</v>
      </c>
      <c r="T1066" t="e">
        <f t="shared" si="34"/>
        <v>#REF!</v>
      </c>
      <c r="U1066" t="e">
        <f t="shared" si="35"/>
        <v>#REF!</v>
      </c>
    </row>
    <row r="1067" spans="4:21" x14ac:dyDescent="0.2">
      <c r="D1067" s="4"/>
      <c r="G1067" s="5"/>
      <c r="H1067" s="5"/>
      <c r="I1067" s="4"/>
      <c r="J1067" s="4"/>
      <c r="K1067" s="5"/>
      <c r="Q1067" t="e">
        <f>VLOOKUP(A1067,'גיליון דאטה להכל'!A:E,5,0)</f>
        <v>#N/A</v>
      </c>
      <c r="R1067" t="e">
        <f>VLOOKUP(A1067,'לעדכן בסינתזה דאטה אריזה 42+24'!$A:$C,3,0)</f>
        <v>#N/A</v>
      </c>
      <c r="S1067" t="e">
        <f>VLOOKUP(#REF!,'מלאי לא תקין'!A:N,17,0)</f>
        <v>#REF!</v>
      </c>
      <c r="T1067" t="e">
        <f t="shared" si="34"/>
        <v>#REF!</v>
      </c>
      <c r="U1067" t="e">
        <f t="shared" si="35"/>
        <v>#REF!</v>
      </c>
    </row>
    <row r="1068" spans="4:21" x14ac:dyDescent="0.2">
      <c r="D1068" s="4"/>
      <c r="G1068" s="5"/>
      <c r="H1068" s="5"/>
      <c r="I1068" s="4"/>
      <c r="J1068" s="4"/>
      <c r="K1068" s="5"/>
      <c r="Q1068" t="e">
        <f>VLOOKUP(A1068,'גיליון דאטה להכל'!A:E,5,0)</f>
        <v>#N/A</v>
      </c>
      <c r="R1068" t="e">
        <f>VLOOKUP(A1068,'לעדכן בסינתזה דאטה אריזה 42+24'!$A:$C,3,0)</f>
        <v>#N/A</v>
      </c>
      <c r="S1068" t="e">
        <f>VLOOKUP(#REF!,'מלאי לא תקין'!A:N,17,0)</f>
        <v>#REF!</v>
      </c>
      <c r="T1068" t="e">
        <f t="shared" si="34"/>
        <v>#REF!</v>
      </c>
      <c r="U1068" t="e">
        <f t="shared" si="35"/>
        <v>#REF!</v>
      </c>
    </row>
    <row r="1069" spans="4:21" x14ac:dyDescent="0.2">
      <c r="D1069" s="4"/>
      <c r="G1069" s="5"/>
      <c r="H1069" s="5"/>
      <c r="I1069" s="4"/>
      <c r="J1069" s="4"/>
      <c r="K1069" s="5"/>
      <c r="Q1069" t="e">
        <f>VLOOKUP(A1069,'גיליון דאטה להכל'!A:E,5,0)</f>
        <v>#N/A</v>
      </c>
      <c r="R1069" t="e">
        <f>VLOOKUP(A1069,'לעדכן בסינתזה דאטה אריזה 42+24'!$A:$C,3,0)</f>
        <v>#N/A</v>
      </c>
      <c r="S1069" t="e">
        <f>VLOOKUP(#REF!,'מלאי לא תקין'!A:N,17,0)</f>
        <v>#REF!</v>
      </c>
      <c r="T1069" t="e">
        <f t="shared" si="34"/>
        <v>#REF!</v>
      </c>
      <c r="U1069" t="e">
        <f t="shared" si="35"/>
        <v>#REF!</v>
      </c>
    </row>
    <row r="1070" spans="4:21" x14ac:dyDescent="0.2">
      <c r="D1070" s="4"/>
      <c r="G1070" s="5"/>
      <c r="H1070" s="5"/>
      <c r="I1070" s="4"/>
      <c r="J1070" s="4"/>
      <c r="K1070" s="5"/>
      <c r="Q1070" t="e">
        <f>VLOOKUP(A1070,'גיליון דאטה להכל'!A:E,5,0)</f>
        <v>#N/A</v>
      </c>
      <c r="R1070" t="e">
        <f>VLOOKUP(A1070,'לעדכן בסינתזה דאטה אריזה 42+24'!$A:$C,3,0)</f>
        <v>#N/A</v>
      </c>
      <c r="S1070" t="e">
        <f>VLOOKUP(#REF!,'מלאי לא תקין'!A:N,17,0)</f>
        <v>#REF!</v>
      </c>
      <c r="T1070" t="e">
        <f t="shared" si="34"/>
        <v>#REF!</v>
      </c>
      <c r="U1070" t="e">
        <f t="shared" si="35"/>
        <v>#REF!</v>
      </c>
    </row>
    <row r="1071" spans="4:21" x14ac:dyDescent="0.2">
      <c r="D1071" s="4"/>
      <c r="G1071" s="5"/>
      <c r="H1071" s="7"/>
      <c r="I1071" s="4"/>
      <c r="J1071" s="4"/>
      <c r="K1071" s="5"/>
      <c r="Q1071" t="e">
        <f>VLOOKUP(A1071,'גיליון דאטה להכל'!A:E,5,0)</f>
        <v>#N/A</v>
      </c>
      <c r="R1071" t="e">
        <f>VLOOKUP(A1071,'לעדכן בסינתזה דאטה אריזה 42+24'!$A:$C,3,0)</f>
        <v>#N/A</v>
      </c>
      <c r="S1071" t="e">
        <f>VLOOKUP(#REF!,'מלאי לא תקין'!A:N,17,0)</f>
        <v>#REF!</v>
      </c>
      <c r="T1071" t="e">
        <f t="shared" si="34"/>
        <v>#REF!</v>
      </c>
      <c r="U1071" t="e">
        <f t="shared" si="35"/>
        <v>#REF!</v>
      </c>
    </row>
    <row r="1072" spans="4:21" x14ac:dyDescent="0.2">
      <c r="D1072" s="4"/>
      <c r="G1072" s="5"/>
      <c r="H1072" s="5"/>
      <c r="I1072" s="4"/>
      <c r="J1072" s="4"/>
      <c r="K1072" s="5"/>
      <c r="Q1072" t="e">
        <f>VLOOKUP(A1072,'גיליון דאטה להכל'!A:E,5,0)</f>
        <v>#N/A</v>
      </c>
      <c r="R1072" t="e">
        <f>VLOOKUP(A1072,'לעדכן בסינתזה דאטה אריזה 42+24'!$A:$C,3,0)</f>
        <v>#N/A</v>
      </c>
      <c r="S1072" t="e">
        <f>VLOOKUP(#REF!,'מלאי לא תקין'!A:N,17,0)</f>
        <v>#REF!</v>
      </c>
      <c r="T1072" t="e">
        <f t="shared" si="34"/>
        <v>#REF!</v>
      </c>
      <c r="U1072" t="e">
        <f t="shared" si="35"/>
        <v>#REF!</v>
      </c>
    </row>
    <row r="1073" spans="4:21" x14ac:dyDescent="0.2">
      <c r="D1073" s="4"/>
      <c r="G1073" s="5"/>
      <c r="H1073" s="5"/>
      <c r="I1073" s="4"/>
      <c r="J1073" s="4"/>
      <c r="K1073" s="5"/>
      <c r="Q1073" t="e">
        <f>VLOOKUP(A1073,'גיליון דאטה להכל'!A:E,5,0)</f>
        <v>#N/A</v>
      </c>
      <c r="R1073" t="e">
        <f>VLOOKUP(A1073,'לעדכן בסינתזה דאטה אריזה 42+24'!$A:$C,3,0)</f>
        <v>#N/A</v>
      </c>
      <c r="S1073" t="e">
        <f>VLOOKUP(#REF!,'מלאי לא תקין'!A:N,17,0)</f>
        <v>#REF!</v>
      </c>
      <c r="T1073" t="e">
        <f t="shared" si="34"/>
        <v>#REF!</v>
      </c>
      <c r="U1073" t="e">
        <f t="shared" si="35"/>
        <v>#REF!</v>
      </c>
    </row>
    <row r="1074" spans="4:21" x14ac:dyDescent="0.2">
      <c r="D1074" s="4"/>
      <c r="G1074" s="5"/>
      <c r="H1074" s="5"/>
      <c r="I1074" s="4"/>
      <c r="J1074" s="4"/>
      <c r="K1074" s="5"/>
      <c r="Q1074" t="e">
        <f>VLOOKUP(A1074,'גיליון דאטה להכל'!A:E,5,0)</f>
        <v>#N/A</v>
      </c>
      <c r="R1074" t="e">
        <f>VLOOKUP(A1074,'לעדכן בסינתזה דאטה אריזה 42+24'!$A:$C,3,0)</f>
        <v>#N/A</v>
      </c>
      <c r="S1074" t="e">
        <f>VLOOKUP(#REF!,'מלאי לא תקין'!A:N,17,0)</f>
        <v>#REF!</v>
      </c>
      <c r="T1074" t="e">
        <f t="shared" si="34"/>
        <v>#REF!</v>
      </c>
      <c r="U1074" t="e">
        <f t="shared" si="35"/>
        <v>#REF!</v>
      </c>
    </row>
    <row r="1075" spans="4:21" x14ac:dyDescent="0.2">
      <c r="D1075" s="4"/>
      <c r="G1075" s="5"/>
      <c r="H1075" s="7"/>
      <c r="I1075" s="4"/>
      <c r="J1075" s="4"/>
      <c r="K1075" s="5"/>
      <c r="Q1075" t="e">
        <f>VLOOKUP(A1075,'גיליון דאטה להכל'!A:E,5,0)</f>
        <v>#N/A</v>
      </c>
      <c r="R1075" t="e">
        <f>VLOOKUP(A1075,'לעדכן בסינתזה דאטה אריזה 42+24'!$A:$C,3,0)</f>
        <v>#N/A</v>
      </c>
      <c r="S1075" t="e">
        <f>VLOOKUP(#REF!,'מלאי לא תקין'!A:N,17,0)</f>
        <v>#REF!</v>
      </c>
      <c r="T1075" t="e">
        <f t="shared" si="34"/>
        <v>#REF!</v>
      </c>
      <c r="U1075" t="e">
        <f t="shared" si="35"/>
        <v>#REF!</v>
      </c>
    </row>
    <row r="1076" spans="4:21" x14ac:dyDescent="0.2">
      <c r="D1076" s="4"/>
      <c r="G1076" s="5"/>
      <c r="H1076" s="5"/>
      <c r="I1076" s="4"/>
      <c r="J1076" s="4"/>
      <c r="K1076" s="5"/>
      <c r="Q1076" t="e">
        <f>VLOOKUP(A1076,'גיליון דאטה להכל'!A:E,5,0)</f>
        <v>#N/A</v>
      </c>
      <c r="R1076" t="e">
        <f>VLOOKUP(A1076,'לעדכן בסינתזה דאטה אריזה 42+24'!$A:$C,3,0)</f>
        <v>#N/A</v>
      </c>
      <c r="S1076" t="e">
        <f>VLOOKUP(#REF!,'מלאי לא תקין'!A:N,17,0)</f>
        <v>#REF!</v>
      </c>
      <c r="T1076" t="e">
        <f t="shared" si="34"/>
        <v>#REF!</v>
      </c>
      <c r="U1076" t="e">
        <f t="shared" si="35"/>
        <v>#REF!</v>
      </c>
    </row>
    <row r="1077" spans="4:21" x14ac:dyDescent="0.2">
      <c r="D1077" s="4"/>
      <c r="G1077" s="5"/>
      <c r="H1077" s="5"/>
      <c r="I1077" s="4"/>
      <c r="J1077" s="4"/>
      <c r="K1077" s="5"/>
      <c r="Q1077" t="e">
        <f>VLOOKUP(A1077,'גיליון דאטה להכל'!A:E,5,0)</f>
        <v>#N/A</v>
      </c>
      <c r="R1077" t="e">
        <f>VLOOKUP(A1077,'לעדכן בסינתזה דאטה אריזה 42+24'!$A:$C,3,0)</f>
        <v>#N/A</v>
      </c>
      <c r="S1077" t="e">
        <f>VLOOKUP(#REF!,'מלאי לא תקין'!A:N,17,0)</f>
        <v>#REF!</v>
      </c>
      <c r="T1077" t="e">
        <f t="shared" ref="T1077:T1140" si="36">_xlfn.CONCAT(S1077,Q1077)</f>
        <v>#REF!</v>
      </c>
      <c r="U1077" t="e">
        <f t="shared" ref="U1077:U1140" si="37">_xlfn.CONCAT(S1077,O1077)</f>
        <v>#REF!</v>
      </c>
    </row>
    <row r="1078" spans="4:21" x14ac:dyDescent="0.2">
      <c r="D1078" s="4"/>
      <c r="G1078" s="5"/>
      <c r="H1078" s="5"/>
      <c r="I1078" s="4"/>
      <c r="J1078" s="4"/>
      <c r="K1078" s="5"/>
      <c r="Q1078" t="e">
        <f>VLOOKUP(A1078,'גיליון דאטה להכל'!A:E,5,0)</f>
        <v>#N/A</v>
      </c>
      <c r="R1078" t="e">
        <f>VLOOKUP(A1078,'לעדכן בסינתזה דאטה אריזה 42+24'!$A:$C,3,0)</f>
        <v>#N/A</v>
      </c>
      <c r="S1078" t="e">
        <f>VLOOKUP(#REF!,'מלאי לא תקין'!A:N,17,0)</f>
        <v>#REF!</v>
      </c>
      <c r="T1078" t="e">
        <f t="shared" si="36"/>
        <v>#REF!</v>
      </c>
      <c r="U1078" t="e">
        <f t="shared" si="37"/>
        <v>#REF!</v>
      </c>
    </row>
    <row r="1079" spans="4:21" x14ac:dyDescent="0.2">
      <c r="D1079" s="4"/>
      <c r="G1079" s="5"/>
      <c r="H1079" s="5"/>
      <c r="I1079" s="4"/>
      <c r="J1079" s="4"/>
      <c r="K1079" s="5"/>
      <c r="Q1079" t="e">
        <f>VLOOKUP(A1079,'גיליון דאטה להכל'!A:E,5,0)</f>
        <v>#N/A</v>
      </c>
      <c r="R1079" t="e">
        <f>VLOOKUP(A1079,'לעדכן בסינתזה דאטה אריזה 42+24'!$A:$C,3,0)</f>
        <v>#N/A</v>
      </c>
      <c r="S1079" t="e">
        <f>VLOOKUP(#REF!,'מלאי לא תקין'!A:N,17,0)</f>
        <v>#REF!</v>
      </c>
      <c r="T1079" t="e">
        <f t="shared" si="36"/>
        <v>#REF!</v>
      </c>
      <c r="U1079" t="e">
        <f t="shared" si="37"/>
        <v>#REF!</v>
      </c>
    </row>
    <row r="1080" spans="4:21" x14ac:dyDescent="0.2">
      <c r="D1080" s="4"/>
      <c r="G1080" s="5"/>
      <c r="H1080" s="7"/>
      <c r="I1080" s="4"/>
      <c r="J1080" s="4"/>
      <c r="K1080" s="5"/>
      <c r="Q1080" t="e">
        <f>VLOOKUP(A1080,'גיליון דאטה להכל'!A:E,5,0)</f>
        <v>#N/A</v>
      </c>
      <c r="R1080" t="e">
        <f>VLOOKUP(A1080,'לעדכן בסינתזה דאטה אריזה 42+24'!$A:$C,3,0)</f>
        <v>#N/A</v>
      </c>
      <c r="S1080" t="e">
        <f>VLOOKUP(#REF!,'מלאי לא תקין'!A:N,17,0)</f>
        <v>#REF!</v>
      </c>
      <c r="T1080" t="e">
        <f t="shared" si="36"/>
        <v>#REF!</v>
      </c>
      <c r="U1080" t="e">
        <f t="shared" si="37"/>
        <v>#REF!</v>
      </c>
    </row>
    <row r="1081" spans="4:21" x14ac:dyDescent="0.2">
      <c r="D1081" s="4"/>
      <c r="G1081" s="5"/>
      <c r="H1081" s="5"/>
      <c r="I1081" s="4"/>
      <c r="J1081" s="4"/>
      <c r="K1081" s="5"/>
      <c r="Q1081" t="e">
        <f>VLOOKUP(A1081,'גיליון דאטה להכל'!A:E,5,0)</f>
        <v>#N/A</v>
      </c>
      <c r="R1081" t="e">
        <f>VLOOKUP(A1081,'לעדכן בסינתזה דאטה אריזה 42+24'!$A:$C,3,0)</f>
        <v>#N/A</v>
      </c>
      <c r="S1081" t="e">
        <f>VLOOKUP(#REF!,'מלאי לא תקין'!A:N,17,0)</f>
        <v>#REF!</v>
      </c>
      <c r="T1081" t="e">
        <f t="shared" si="36"/>
        <v>#REF!</v>
      </c>
      <c r="U1081" t="e">
        <f t="shared" si="37"/>
        <v>#REF!</v>
      </c>
    </row>
    <row r="1082" spans="4:21" x14ac:dyDescent="0.2">
      <c r="D1082" s="4"/>
      <c r="G1082" s="5"/>
      <c r="H1082" s="5"/>
      <c r="I1082" s="4"/>
      <c r="J1082" s="4"/>
      <c r="K1082" s="5"/>
      <c r="Q1082" t="e">
        <f>VLOOKUP(A1082,'גיליון דאטה להכל'!A:E,5,0)</f>
        <v>#N/A</v>
      </c>
      <c r="R1082" t="e">
        <f>VLOOKUP(A1082,'לעדכן בסינתזה דאטה אריזה 42+24'!$A:$C,3,0)</f>
        <v>#N/A</v>
      </c>
      <c r="S1082" t="e">
        <f>VLOOKUP(#REF!,'מלאי לא תקין'!A:N,17,0)</f>
        <v>#REF!</v>
      </c>
      <c r="T1082" t="e">
        <f t="shared" si="36"/>
        <v>#REF!</v>
      </c>
      <c r="U1082" t="e">
        <f t="shared" si="37"/>
        <v>#REF!</v>
      </c>
    </row>
    <row r="1083" spans="4:21" x14ac:dyDescent="0.2">
      <c r="D1083" s="4"/>
      <c r="G1083" s="5"/>
      <c r="H1083" s="5"/>
      <c r="I1083" s="4"/>
      <c r="J1083" s="4"/>
      <c r="K1083" s="5"/>
      <c r="Q1083" t="e">
        <f>VLOOKUP(A1083,'גיליון דאטה להכל'!A:E,5,0)</f>
        <v>#N/A</v>
      </c>
      <c r="R1083" t="e">
        <f>VLOOKUP(A1083,'לעדכן בסינתזה דאטה אריזה 42+24'!$A:$C,3,0)</f>
        <v>#N/A</v>
      </c>
      <c r="S1083" t="e">
        <f>VLOOKUP(#REF!,'מלאי לא תקין'!A:N,17,0)</f>
        <v>#REF!</v>
      </c>
      <c r="T1083" t="e">
        <f t="shared" si="36"/>
        <v>#REF!</v>
      </c>
      <c r="U1083" t="e">
        <f t="shared" si="37"/>
        <v>#REF!</v>
      </c>
    </row>
    <row r="1084" spans="4:21" x14ac:dyDescent="0.2">
      <c r="D1084" s="4"/>
      <c r="G1084" s="5"/>
      <c r="H1084" s="5"/>
      <c r="I1084" s="4"/>
      <c r="J1084" s="4"/>
      <c r="K1084" s="5"/>
      <c r="Q1084" t="e">
        <f>VLOOKUP(A1084,'גיליון דאטה להכל'!A:E,5,0)</f>
        <v>#N/A</v>
      </c>
      <c r="R1084" t="e">
        <f>VLOOKUP(A1084,'לעדכן בסינתזה דאטה אריזה 42+24'!$A:$C,3,0)</f>
        <v>#N/A</v>
      </c>
      <c r="S1084" t="e">
        <f>VLOOKUP(#REF!,'מלאי לא תקין'!A:N,17,0)</f>
        <v>#REF!</v>
      </c>
      <c r="T1084" t="e">
        <f t="shared" si="36"/>
        <v>#REF!</v>
      </c>
      <c r="U1084" t="e">
        <f t="shared" si="37"/>
        <v>#REF!</v>
      </c>
    </row>
    <row r="1085" spans="4:21" x14ac:dyDescent="0.2">
      <c r="D1085" s="4"/>
      <c r="G1085" s="5"/>
      <c r="H1085" s="7"/>
      <c r="I1085" s="4"/>
      <c r="J1085" s="4"/>
      <c r="K1085" s="5"/>
      <c r="Q1085" t="e">
        <f>VLOOKUP(A1085,'גיליון דאטה להכל'!A:E,5,0)</f>
        <v>#N/A</v>
      </c>
      <c r="R1085" t="e">
        <f>VLOOKUP(A1085,'לעדכן בסינתזה דאטה אריזה 42+24'!$A:$C,3,0)</f>
        <v>#N/A</v>
      </c>
      <c r="S1085" t="e">
        <f>VLOOKUP(#REF!,'מלאי לא תקין'!A:N,17,0)</f>
        <v>#REF!</v>
      </c>
      <c r="T1085" t="e">
        <f t="shared" si="36"/>
        <v>#REF!</v>
      </c>
      <c r="U1085" t="e">
        <f t="shared" si="37"/>
        <v>#REF!</v>
      </c>
    </row>
    <row r="1086" spans="4:21" x14ac:dyDescent="0.2">
      <c r="D1086" s="4"/>
      <c r="G1086" s="5"/>
      <c r="H1086" s="5"/>
      <c r="I1086" s="4"/>
      <c r="J1086" s="4"/>
      <c r="K1086" s="5"/>
      <c r="Q1086" t="e">
        <f>VLOOKUP(A1086,'גיליון דאטה להכל'!A:E,5,0)</f>
        <v>#N/A</v>
      </c>
      <c r="R1086" t="e">
        <f>VLOOKUP(A1086,'לעדכן בסינתזה דאטה אריזה 42+24'!$A:$C,3,0)</f>
        <v>#N/A</v>
      </c>
      <c r="S1086" t="e">
        <f>VLOOKUP(#REF!,'מלאי לא תקין'!A:N,17,0)</f>
        <v>#REF!</v>
      </c>
      <c r="T1086" t="e">
        <f t="shared" si="36"/>
        <v>#REF!</v>
      </c>
      <c r="U1086" t="e">
        <f t="shared" si="37"/>
        <v>#REF!</v>
      </c>
    </row>
    <row r="1087" spans="4:21" x14ac:dyDescent="0.2">
      <c r="D1087" s="4"/>
      <c r="G1087" s="5"/>
      <c r="H1087" s="5"/>
      <c r="I1087" s="4"/>
      <c r="J1087" s="4"/>
      <c r="K1087" s="5"/>
      <c r="Q1087" t="e">
        <f>VLOOKUP(A1087,'גיליון דאטה להכל'!A:E,5,0)</f>
        <v>#N/A</v>
      </c>
      <c r="R1087" t="e">
        <f>VLOOKUP(A1087,'לעדכן בסינתזה דאטה אריזה 42+24'!$A:$C,3,0)</f>
        <v>#N/A</v>
      </c>
      <c r="S1087" t="e">
        <f>VLOOKUP(#REF!,'מלאי לא תקין'!A:N,17,0)</f>
        <v>#REF!</v>
      </c>
      <c r="T1087" t="e">
        <f t="shared" si="36"/>
        <v>#REF!</v>
      </c>
      <c r="U1087" t="e">
        <f t="shared" si="37"/>
        <v>#REF!</v>
      </c>
    </row>
    <row r="1088" spans="4:21" x14ac:dyDescent="0.2">
      <c r="D1088" s="4"/>
      <c r="G1088" s="5"/>
      <c r="H1088" s="5"/>
      <c r="I1088" s="4"/>
      <c r="J1088" s="4"/>
      <c r="K1088" s="5"/>
      <c r="Q1088" t="e">
        <f>VLOOKUP(A1088,'גיליון דאטה להכל'!A:E,5,0)</f>
        <v>#N/A</v>
      </c>
      <c r="R1088" t="e">
        <f>VLOOKUP(A1088,'לעדכן בסינתזה דאטה אריזה 42+24'!$A:$C,3,0)</f>
        <v>#N/A</v>
      </c>
      <c r="S1088" t="e">
        <f>VLOOKUP(#REF!,'מלאי לא תקין'!A:N,17,0)</f>
        <v>#REF!</v>
      </c>
      <c r="T1088" t="e">
        <f t="shared" si="36"/>
        <v>#REF!</v>
      </c>
      <c r="U1088" t="e">
        <f t="shared" si="37"/>
        <v>#REF!</v>
      </c>
    </row>
    <row r="1089" spans="4:21" x14ac:dyDescent="0.2">
      <c r="D1089" s="4"/>
      <c r="G1089" s="5"/>
      <c r="H1089" s="5"/>
      <c r="I1089" s="4"/>
      <c r="J1089" s="4"/>
      <c r="K1089" s="5"/>
      <c r="Q1089" t="e">
        <f>VLOOKUP(A1089,'גיליון דאטה להכל'!A:E,5,0)</f>
        <v>#N/A</v>
      </c>
      <c r="R1089" t="e">
        <f>VLOOKUP(A1089,'לעדכן בסינתזה דאטה אריזה 42+24'!$A:$C,3,0)</f>
        <v>#N/A</v>
      </c>
      <c r="S1089" t="e">
        <f>VLOOKUP(#REF!,'מלאי לא תקין'!A:N,17,0)</f>
        <v>#REF!</v>
      </c>
      <c r="T1089" t="e">
        <f t="shared" si="36"/>
        <v>#REF!</v>
      </c>
      <c r="U1089" t="e">
        <f t="shared" si="37"/>
        <v>#REF!</v>
      </c>
    </row>
    <row r="1090" spans="4:21" x14ac:dyDescent="0.2">
      <c r="D1090" s="4"/>
      <c r="G1090" s="5"/>
      <c r="H1090" s="7"/>
      <c r="I1090" s="4"/>
      <c r="J1090" s="4"/>
      <c r="K1090" s="5"/>
      <c r="Q1090" t="e">
        <f>VLOOKUP(A1090,'גיליון דאטה להכל'!A:E,5,0)</f>
        <v>#N/A</v>
      </c>
      <c r="R1090" t="e">
        <f>VLOOKUP(A1090,'לעדכן בסינתזה דאטה אריזה 42+24'!$A:$C,3,0)</f>
        <v>#N/A</v>
      </c>
      <c r="S1090" t="e">
        <f>VLOOKUP(#REF!,'מלאי לא תקין'!A:N,17,0)</f>
        <v>#REF!</v>
      </c>
      <c r="T1090" t="e">
        <f t="shared" si="36"/>
        <v>#REF!</v>
      </c>
      <c r="U1090" t="e">
        <f t="shared" si="37"/>
        <v>#REF!</v>
      </c>
    </row>
    <row r="1091" spans="4:21" x14ac:dyDescent="0.2">
      <c r="D1091" s="4"/>
      <c r="G1091" s="5"/>
      <c r="H1091" s="5"/>
      <c r="I1091" s="4"/>
      <c r="J1091" s="4"/>
      <c r="K1091" s="5"/>
      <c r="Q1091" t="e">
        <f>VLOOKUP(A1091,'גיליון דאטה להכל'!A:E,5,0)</f>
        <v>#N/A</v>
      </c>
      <c r="R1091" t="e">
        <f>VLOOKUP(A1091,'לעדכן בסינתזה דאטה אריזה 42+24'!$A:$C,3,0)</f>
        <v>#N/A</v>
      </c>
      <c r="S1091" t="e">
        <f>VLOOKUP(#REF!,'מלאי לא תקין'!A:N,17,0)</f>
        <v>#REF!</v>
      </c>
      <c r="T1091" t="e">
        <f t="shared" si="36"/>
        <v>#REF!</v>
      </c>
      <c r="U1091" t="e">
        <f t="shared" si="37"/>
        <v>#REF!</v>
      </c>
    </row>
    <row r="1092" spans="4:21" x14ac:dyDescent="0.2">
      <c r="D1092" s="4"/>
      <c r="G1092" s="5"/>
      <c r="H1092" s="5"/>
      <c r="I1092" s="4"/>
      <c r="J1092" s="4"/>
      <c r="K1092" s="5"/>
      <c r="Q1092" t="e">
        <f>VLOOKUP(A1092,'גיליון דאטה להכל'!A:E,5,0)</f>
        <v>#N/A</v>
      </c>
      <c r="R1092" t="e">
        <f>VLOOKUP(A1092,'לעדכן בסינתזה דאטה אריזה 42+24'!$A:$C,3,0)</f>
        <v>#N/A</v>
      </c>
      <c r="S1092" t="e">
        <f>VLOOKUP(#REF!,'מלאי לא תקין'!A:N,17,0)</f>
        <v>#REF!</v>
      </c>
      <c r="T1092" t="e">
        <f t="shared" si="36"/>
        <v>#REF!</v>
      </c>
      <c r="U1092" t="e">
        <f t="shared" si="37"/>
        <v>#REF!</v>
      </c>
    </row>
    <row r="1093" spans="4:21" x14ac:dyDescent="0.2">
      <c r="D1093" s="4"/>
      <c r="G1093" s="5"/>
      <c r="H1093" s="5"/>
      <c r="I1093" s="4"/>
      <c r="J1093" s="4"/>
      <c r="K1093" s="5"/>
      <c r="Q1093" t="e">
        <f>VLOOKUP(A1093,'גיליון דאטה להכל'!A:E,5,0)</f>
        <v>#N/A</v>
      </c>
      <c r="R1093" t="e">
        <f>VLOOKUP(A1093,'לעדכן בסינתזה דאטה אריזה 42+24'!$A:$C,3,0)</f>
        <v>#N/A</v>
      </c>
      <c r="S1093" t="e">
        <f>VLOOKUP(#REF!,'מלאי לא תקין'!A:N,17,0)</f>
        <v>#REF!</v>
      </c>
      <c r="T1093" t="e">
        <f t="shared" si="36"/>
        <v>#REF!</v>
      </c>
      <c r="U1093" t="e">
        <f t="shared" si="37"/>
        <v>#REF!</v>
      </c>
    </row>
    <row r="1094" spans="4:21" x14ac:dyDescent="0.2">
      <c r="D1094" s="4"/>
      <c r="G1094" s="5"/>
      <c r="H1094" s="5"/>
      <c r="I1094" s="4"/>
      <c r="J1094" s="4"/>
      <c r="K1094" s="5"/>
      <c r="Q1094" t="e">
        <f>VLOOKUP(A1094,'גיליון דאטה להכל'!A:E,5,0)</f>
        <v>#N/A</v>
      </c>
      <c r="R1094" t="e">
        <f>VLOOKUP(A1094,'לעדכן בסינתזה דאטה אריזה 42+24'!$A:$C,3,0)</f>
        <v>#N/A</v>
      </c>
      <c r="S1094" t="e">
        <f>VLOOKUP(#REF!,'מלאי לא תקין'!A:N,17,0)</f>
        <v>#REF!</v>
      </c>
      <c r="T1094" t="e">
        <f t="shared" si="36"/>
        <v>#REF!</v>
      </c>
      <c r="U1094" t="e">
        <f t="shared" si="37"/>
        <v>#REF!</v>
      </c>
    </row>
    <row r="1095" spans="4:21" x14ac:dyDescent="0.2">
      <c r="D1095" s="4"/>
      <c r="G1095" s="5"/>
      <c r="H1095" s="7"/>
      <c r="I1095" s="4"/>
      <c r="J1095" s="4"/>
      <c r="K1095" s="5"/>
      <c r="Q1095" t="e">
        <f>VLOOKUP(A1095,'גיליון דאטה להכל'!A:E,5,0)</f>
        <v>#N/A</v>
      </c>
      <c r="R1095" t="e">
        <f>VLOOKUP(A1095,'לעדכן בסינתזה דאטה אריזה 42+24'!$A:$C,3,0)</f>
        <v>#N/A</v>
      </c>
      <c r="S1095" t="e">
        <f>VLOOKUP(#REF!,'מלאי לא תקין'!A:N,17,0)</f>
        <v>#REF!</v>
      </c>
      <c r="T1095" t="e">
        <f t="shared" si="36"/>
        <v>#REF!</v>
      </c>
      <c r="U1095" t="e">
        <f t="shared" si="37"/>
        <v>#REF!</v>
      </c>
    </row>
    <row r="1096" spans="4:21" x14ac:dyDescent="0.2">
      <c r="D1096" s="4"/>
      <c r="G1096" s="5"/>
      <c r="H1096" s="7"/>
      <c r="I1096" s="4"/>
      <c r="J1096" s="4"/>
      <c r="K1096" s="5"/>
      <c r="Q1096" t="e">
        <f>VLOOKUP(A1096,'גיליון דאטה להכל'!A:E,5,0)</f>
        <v>#N/A</v>
      </c>
      <c r="R1096" t="e">
        <f>VLOOKUP(A1096,'לעדכן בסינתזה דאטה אריזה 42+24'!$A:$C,3,0)</f>
        <v>#N/A</v>
      </c>
      <c r="S1096" t="e">
        <f>VLOOKUP(#REF!,'מלאי לא תקין'!A:N,17,0)</f>
        <v>#REF!</v>
      </c>
      <c r="T1096" t="e">
        <f t="shared" si="36"/>
        <v>#REF!</v>
      </c>
      <c r="U1096" t="e">
        <f t="shared" si="37"/>
        <v>#REF!</v>
      </c>
    </row>
    <row r="1097" spans="4:21" x14ac:dyDescent="0.2">
      <c r="D1097" s="4"/>
      <c r="G1097" s="5"/>
      <c r="H1097" s="5"/>
      <c r="I1097" s="4"/>
      <c r="J1097" s="4"/>
      <c r="K1097" s="5"/>
      <c r="Q1097" t="e">
        <f>VLOOKUP(A1097,'גיליון דאטה להכל'!A:E,5,0)</f>
        <v>#N/A</v>
      </c>
      <c r="R1097" t="e">
        <f>VLOOKUP(A1097,'לעדכן בסינתזה דאטה אריזה 42+24'!$A:$C,3,0)</f>
        <v>#N/A</v>
      </c>
      <c r="S1097" t="e">
        <f>VLOOKUP(#REF!,'מלאי לא תקין'!A:N,17,0)</f>
        <v>#REF!</v>
      </c>
      <c r="T1097" t="e">
        <f t="shared" si="36"/>
        <v>#REF!</v>
      </c>
      <c r="U1097" t="e">
        <f t="shared" si="37"/>
        <v>#REF!</v>
      </c>
    </row>
    <row r="1098" spans="4:21" x14ac:dyDescent="0.2">
      <c r="D1098" s="4"/>
      <c r="G1098" s="5"/>
      <c r="H1098" s="5"/>
      <c r="I1098" s="4"/>
      <c r="J1098" s="4"/>
      <c r="K1098" s="5"/>
      <c r="Q1098" t="e">
        <f>VLOOKUP(A1098,'גיליון דאטה להכל'!A:E,5,0)</f>
        <v>#N/A</v>
      </c>
      <c r="R1098" t="e">
        <f>VLOOKUP(A1098,'לעדכן בסינתזה דאטה אריזה 42+24'!$A:$C,3,0)</f>
        <v>#N/A</v>
      </c>
      <c r="S1098" t="e">
        <f>VLOOKUP(#REF!,'מלאי לא תקין'!A:N,17,0)</f>
        <v>#REF!</v>
      </c>
      <c r="T1098" t="e">
        <f t="shared" si="36"/>
        <v>#REF!</v>
      </c>
      <c r="U1098" t="e">
        <f t="shared" si="37"/>
        <v>#REF!</v>
      </c>
    </row>
    <row r="1099" spans="4:21" x14ac:dyDescent="0.2">
      <c r="D1099" s="4"/>
      <c r="G1099" s="5"/>
      <c r="H1099" s="5"/>
      <c r="I1099" s="4"/>
      <c r="J1099" s="4"/>
      <c r="K1099" s="5"/>
      <c r="Q1099" t="e">
        <f>VLOOKUP(A1099,'גיליון דאטה להכל'!A:E,5,0)</f>
        <v>#N/A</v>
      </c>
      <c r="R1099" t="e">
        <f>VLOOKUP(A1099,'לעדכן בסינתזה דאטה אריזה 42+24'!$A:$C,3,0)</f>
        <v>#N/A</v>
      </c>
      <c r="S1099" t="e">
        <f>VLOOKUP(#REF!,'מלאי לא תקין'!A:N,17,0)</f>
        <v>#REF!</v>
      </c>
      <c r="T1099" t="e">
        <f t="shared" si="36"/>
        <v>#REF!</v>
      </c>
      <c r="U1099" t="e">
        <f t="shared" si="37"/>
        <v>#REF!</v>
      </c>
    </row>
    <row r="1100" spans="4:21" x14ac:dyDescent="0.2">
      <c r="D1100" s="4"/>
      <c r="G1100" s="5"/>
      <c r="H1100" s="5"/>
      <c r="I1100" s="4"/>
      <c r="J1100" s="4"/>
      <c r="K1100" s="5"/>
      <c r="Q1100" t="e">
        <f>VLOOKUP(A1100,'גיליון דאטה להכל'!A:E,5,0)</f>
        <v>#N/A</v>
      </c>
      <c r="R1100" t="e">
        <f>VLOOKUP(A1100,'לעדכן בסינתזה דאטה אריזה 42+24'!$A:$C,3,0)</f>
        <v>#N/A</v>
      </c>
      <c r="S1100" t="e">
        <f>VLOOKUP(#REF!,'מלאי לא תקין'!A:N,17,0)</f>
        <v>#REF!</v>
      </c>
      <c r="T1100" t="e">
        <f t="shared" si="36"/>
        <v>#REF!</v>
      </c>
      <c r="U1100" t="e">
        <f t="shared" si="37"/>
        <v>#REF!</v>
      </c>
    </row>
    <row r="1101" spans="4:21" x14ac:dyDescent="0.2">
      <c r="D1101" s="4"/>
      <c r="G1101" s="5"/>
      <c r="H1101" s="7"/>
      <c r="I1101" s="4"/>
      <c r="J1101" s="4"/>
      <c r="K1101" s="5"/>
      <c r="Q1101" t="e">
        <f>VLOOKUP(A1101,'גיליון דאטה להכל'!A:E,5,0)</f>
        <v>#N/A</v>
      </c>
      <c r="R1101" t="e">
        <f>VLOOKUP(A1101,'לעדכן בסינתזה דאטה אריזה 42+24'!$A:$C,3,0)</f>
        <v>#N/A</v>
      </c>
      <c r="S1101" t="e">
        <f>VLOOKUP(#REF!,'מלאי לא תקין'!A:N,17,0)</f>
        <v>#REF!</v>
      </c>
      <c r="T1101" t="e">
        <f t="shared" si="36"/>
        <v>#REF!</v>
      </c>
      <c r="U1101" t="e">
        <f t="shared" si="37"/>
        <v>#REF!</v>
      </c>
    </row>
    <row r="1102" spans="4:21" x14ac:dyDescent="0.2">
      <c r="D1102" s="4"/>
      <c r="G1102" s="5"/>
      <c r="H1102" s="5"/>
      <c r="I1102" s="4"/>
      <c r="J1102" s="4"/>
      <c r="K1102" s="5"/>
      <c r="Q1102" t="e">
        <f>VLOOKUP(A1102,'גיליון דאטה להכל'!A:E,5,0)</f>
        <v>#N/A</v>
      </c>
      <c r="R1102" t="e">
        <f>VLOOKUP(A1102,'לעדכן בסינתזה דאטה אריזה 42+24'!$A:$C,3,0)</f>
        <v>#N/A</v>
      </c>
      <c r="S1102" t="e">
        <f>VLOOKUP(#REF!,'מלאי לא תקין'!A:N,17,0)</f>
        <v>#REF!</v>
      </c>
      <c r="T1102" t="e">
        <f t="shared" si="36"/>
        <v>#REF!</v>
      </c>
      <c r="U1102" t="e">
        <f t="shared" si="37"/>
        <v>#REF!</v>
      </c>
    </row>
    <row r="1103" spans="4:21" x14ac:dyDescent="0.2">
      <c r="D1103" s="4"/>
      <c r="G1103" s="5"/>
      <c r="H1103" s="5"/>
      <c r="I1103" s="4"/>
      <c r="J1103" s="4"/>
      <c r="K1103" s="5"/>
      <c r="Q1103" t="e">
        <f>VLOOKUP(A1103,'גיליון דאטה להכל'!A:E,5,0)</f>
        <v>#N/A</v>
      </c>
      <c r="R1103" t="e">
        <f>VLOOKUP(A1103,'לעדכן בסינתזה דאטה אריזה 42+24'!$A:$C,3,0)</f>
        <v>#N/A</v>
      </c>
      <c r="S1103" t="e">
        <f>VLOOKUP(#REF!,'מלאי לא תקין'!A:N,17,0)</f>
        <v>#REF!</v>
      </c>
      <c r="T1103" t="e">
        <f t="shared" si="36"/>
        <v>#REF!</v>
      </c>
      <c r="U1103" t="e">
        <f t="shared" si="37"/>
        <v>#REF!</v>
      </c>
    </row>
    <row r="1104" spans="4:21" x14ac:dyDescent="0.2">
      <c r="D1104" s="4"/>
      <c r="G1104" s="5"/>
      <c r="H1104" s="5"/>
      <c r="I1104" s="4"/>
      <c r="J1104" s="4"/>
      <c r="K1104" s="5"/>
      <c r="Q1104" t="e">
        <f>VLOOKUP(A1104,'גיליון דאטה להכל'!A:E,5,0)</f>
        <v>#N/A</v>
      </c>
      <c r="R1104" t="e">
        <f>VLOOKUP(A1104,'לעדכן בסינתזה דאטה אריזה 42+24'!$A:$C,3,0)</f>
        <v>#N/A</v>
      </c>
      <c r="S1104" t="e">
        <f>VLOOKUP(#REF!,'מלאי לא תקין'!A:N,17,0)</f>
        <v>#REF!</v>
      </c>
      <c r="T1104" t="e">
        <f t="shared" si="36"/>
        <v>#REF!</v>
      </c>
      <c r="U1104" t="e">
        <f t="shared" si="37"/>
        <v>#REF!</v>
      </c>
    </row>
    <row r="1105" spans="4:21" x14ac:dyDescent="0.2">
      <c r="D1105" s="4"/>
      <c r="G1105" s="5"/>
      <c r="H1105" s="5"/>
      <c r="I1105" s="4"/>
      <c r="J1105" s="4"/>
      <c r="K1105" s="5"/>
      <c r="Q1105" t="e">
        <f>VLOOKUP(A1105,'גיליון דאטה להכל'!A:E,5,0)</f>
        <v>#N/A</v>
      </c>
      <c r="R1105" t="e">
        <f>VLOOKUP(A1105,'לעדכן בסינתזה דאטה אריזה 42+24'!$A:$C,3,0)</f>
        <v>#N/A</v>
      </c>
      <c r="S1105" t="e">
        <f>VLOOKUP(#REF!,'מלאי לא תקין'!A:N,17,0)</f>
        <v>#REF!</v>
      </c>
      <c r="T1105" t="e">
        <f t="shared" si="36"/>
        <v>#REF!</v>
      </c>
      <c r="U1105" t="e">
        <f t="shared" si="37"/>
        <v>#REF!</v>
      </c>
    </row>
    <row r="1106" spans="4:21" x14ac:dyDescent="0.2">
      <c r="D1106" s="4"/>
      <c r="G1106" s="5"/>
      <c r="H1106" s="7"/>
      <c r="I1106" s="4"/>
      <c r="J1106" s="4"/>
      <c r="K1106" s="5"/>
      <c r="Q1106" t="e">
        <f>VLOOKUP(A1106,'גיליון דאטה להכל'!A:E,5,0)</f>
        <v>#N/A</v>
      </c>
      <c r="R1106" t="e">
        <f>VLOOKUP(A1106,'לעדכן בסינתזה דאטה אריזה 42+24'!$A:$C,3,0)</f>
        <v>#N/A</v>
      </c>
      <c r="S1106" t="e">
        <f>VLOOKUP(#REF!,'מלאי לא תקין'!A:N,17,0)</f>
        <v>#REF!</v>
      </c>
      <c r="T1106" t="e">
        <f t="shared" si="36"/>
        <v>#REF!</v>
      </c>
      <c r="U1106" t="e">
        <f t="shared" si="37"/>
        <v>#REF!</v>
      </c>
    </row>
    <row r="1107" spans="4:21" x14ac:dyDescent="0.2">
      <c r="D1107" s="4"/>
      <c r="G1107" s="5"/>
      <c r="H1107" s="5"/>
      <c r="I1107" s="4"/>
      <c r="J1107" s="4"/>
      <c r="K1107" s="5"/>
      <c r="Q1107" t="e">
        <f>VLOOKUP(A1107,'גיליון דאטה להכל'!A:E,5,0)</f>
        <v>#N/A</v>
      </c>
      <c r="R1107" t="e">
        <f>VLOOKUP(A1107,'לעדכן בסינתזה דאטה אריזה 42+24'!$A:$C,3,0)</f>
        <v>#N/A</v>
      </c>
      <c r="S1107" t="e">
        <f>VLOOKUP(#REF!,'מלאי לא תקין'!A:N,17,0)</f>
        <v>#REF!</v>
      </c>
      <c r="T1107" t="e">
        <f t="shared" si="36"/>
        <v>#REF!</v>
      </c>
      <c r="U1107" t="e">
        <f t="shared" si="37"/>
        <v>#REF!</v>
      </c>
    </row>
    <row r="1108" spans="4:21" x14ac:dyDescent="0.2">
      <c r="D1108" s="4"/>
      <c r="G1108" s="5"/>
      <c r="H1108" s="5"/>
      <c r="I1108" s="4"/>
      <c r="J1108" s="4"/>
      <c r="K1108" s="5"/>
      <c r="Q1108" t="e">
        <f>VLOOKUP(A1108,'גיליון דאטה להכל'!A:E,5,0)</f>
        <v>#N/A</v>
      </c>
      <c r="R1108" t="e">
        <f>VLOOKUP(A1108,'לעדכן בסינתזה דאטה אריזה 42+24'!$A:$C,3,0)</f>
        <v>#N/A</v>
      </c>
      <c r="S1108" t="e">
        <f>VLOOKUP(#REF!,'מלאי לא תקין'!A:N,17,0)</f>
        <v>#REF!</v>
      </c>
      <c r="T1108" t="e">
        <f t="shared" si="36"/>
        <v>#REF!</v>
      </c>
      <c r="U1108" t="e">
        <f t="shared" si="37"/>
        <v>#REF!</v>
      </c>
    </row>
    <row r="1109" spans="4:21" x14ac:dyDescent="0.2">
      <c r="D1109" s="4"/>
      <c r="G1109" s="5"/>
      <c r="H1109" s="5"/>
      <c r="I1109" s="4"/>
      <c r="J1109" s="4"/>
      <c r="K1109" s="5"/>
      <c r="Q1109" t="e">
        <f>VLOOKUP(A1109,'גיליון דאטה להכל'!A:E,5,0)</f>
        <v>#N/A</v>
      </c>
      <c r="R1109" t="e">
        <f>VLOOKUP(A1109,'לעדכן בסינתזה דאטה אריזה 42+24'!$A:$C,3,0)</f>
        <v>#N/A</v>
      </c>
      <c r="S1109" t="e">
        <f>VLOOKUP(#REF!,'מלאי לא תקין'!A:N,17,0)</f>
        <v>#REF!</v>
      </c>
      <c r="T1109" t="e">
        <f t="shared" si="36"/>
        <v>#REF!</v>
      </c>
      <c r="U1109" t="e">
        <f t="shared" si="37"/>
        <v>#REF!</v>
      </c>
    </row>
    <row r="1110" spans="4:21" x14ac:dyDescent="0.2">
      <c r="D1110" s="4"/>
      <c r="G1110" s="5"/>
      <c r="H1110" s="5"/>
      <c r="I1110" s="4"/>
      <c r="J1110" s="4"/>
      <c r="K1110" s="5"/>
      <c r="Q1110" t="e">
        <f>VLOOKUP(A1110,'גיליון דאטה להכל'!A:E,5,0)</f>
        <v>#N/A</v>
      </c>
      <c r="R1110" t="e">
        <f>VLOOKUP(A1110,'לעדכן בסינתזה דאטה אריזה 42+24'!$A:$C,3,0)</f>
        <v>#N/A</v>
      </c>
      <c r="S1110" t="e">
        <f>VLOOKUP(#REF!,'מלאי לא תקין'!A:N,17,0)</f>
        <v>#REF!</v>
      </c>
      <c r="T1110" t="e">
        <f t="shared" si="36"/>
        <v>#REF!</v>
      </c>
      <c r="U1110" t="e">
        <f t="shared" si="37"/>
        <v>#REF!</v>
      </c>
    </row>
    <row r="1111" spans="4:21" x14ac:dyDescent="0.2">
      <c r="D1111" s="4"/>
      <c r="G1111" s="5"/>
      <c r="H1111" s="5"/>
      <c r="I1111" s="4"/>
      <c r="J1111" s="4"/>
      <c r="K1111" s="5"/>
      <c r="Q1111" t="e">
        <f>VLOOKUP(A1111,'גיליון דאטה להכל'!A:E,5,0)</f>
        <v>#N/A</v>
      </c>
      <c r="R1111" t="e">
        <f>VLOOKUP(A1111,'לעדכן בסינתזה דאטה אריזה 42+24'!$A:$C,3,0)</f>
        <v>#N/A</v>
      </c>
      <c r="S1111" t="e">
        <f>VLOOKUP(#REF!,'מלאי לא תקין'!A:N,17,0)</f>
        <v>#REF!</v>
      </c>
      <c r="T1111" t="e">
        <f t="shared" si="36"/>
        <v>#REF!</v>
      </c>
      <c r="U1111" t="e">
        <f t="shared" si="37"/>
        <v>#REF!</v>
      </c>
    </row>
    <row r="1112" spans="4:21" x14ac:dyDescent="0.2">
      <c r="D1112" s="4"/>
      <c r="G1112" s="5"/>
      <c r="H1112" s="5"/>
      <c r="I1112" s="4"/>
      <c r="J1112" s="4"/>
      <c r="K1112" s="5"/>
      <c r="Q1112" t="e">
        <f>VLOOKUP(A1112,'גיליון דאטה להכל'!A:E,5,0)</f>
        <v>#N/A</v>
      </c>
      <c r="R1112" t="e">
        <f>VLOOKUP(A1112,'לעדכן בסינתזה דאטה אריזה 42+24'!$A:$C,3,0)</f>
        <v>#N/A</v>
      </c>
      <c r="S1112" t="e">
        <f>VLOOKUP(#REF!,'מלאי לא תקין'!A:N,17,0)</f>
        <v>#REF!</v>
      </c>
      <c r="T1112" t="e">
        <f t="shared" si="36"/>
        <v>#REF!</v>
      </c>
      <c r="U1112" t="e">
        <f t="shared" si="37"/>
        <v>#REF!</v>
      </c>
    </row>
    <row r="1113" spans="4:21" x14ac:dyDescent="0.2">
      <c r="D1113" s="4"/>
      <c r="G1113" s="5"/>
      <c r="H1113" s="5"/>
      <c r="I1113" s="4"/>
      <c r="J1113" s="4"/>
      <c r="K1113" s="5"/>
      <c r="Q1113" t="e">
        <f>VLOOKUP(A1113,'גיליון דאטה להכל'!A:E,5,0)</f>
        <v>#N/A</v>
      </c>
      <c r="R1113" t="e">
        <f>VLOOKUP(A1113,'לעדכן בסינתזה דאטה אריזה 42+24'!$A:$C,3,0)</f>
        <v>#N/A</v>
      </c>
      <c r="S1113" t="e">
        <f>VLOOKUP(#REF!,'מלאי לא תקין'!A:N,17,0)</f>
        <v>#REF!</v>
      </c>
      <c r="T1113" t="e">
        <f t="shared" si="36"/>
        <v>#REF!</v>
      </c>
      <c r="U1113" t="e">
        <f t="shared" si="37"/>
        <v>#REF!</v>
      </c>
    </row>
    <row r="1114" spans="4:21" x14ac:dyDescent="0.2">
      <c r="D1114" s="4"/>
      <c r="G1114" s="5"/>
      <c r="H1114" s="5"/>
      <c r="I1114" s="4"/>
      <c r="J1114" s="4"/>
      <c r="K1114" s="5"/>
      <c r="Q1114" t="e">
        <f>VLOOKUP(A1114,'גיליון דאטה להכל'!A:E,5,0)</f>
        <v>#N/A</v>
      </c>
      <c r="R1114" t="e">
        <f>VLOOKUP(A1114,'לעדכן בסינתזה דאטה אריזה 42+24'!$A:$C,3,0)</f>
        <v>#N/A</v>
      </c>
      <c r="S1114" t="e">
        <f>VLOOKUP(#REF!,'מלאי לא תקין'!A:N,17,0)</f>
        <v>#REF!</v>
      </c>
      <c r="T1114" t="e">
        <f t="shared" si="36"/>
        <v>#REF!</v>
      </c>
      <c r="U1114" t="e">
        <f t="shared" si="37"/>
        <v>#REF!</v>
      </c>
    </row>
    <row r="1115" spans="4:21" x14ac:dyDescent="0.2">
      <c r="D1115" s="4"/>
      <c r="G1115" s="5"/>
      <c r="H1115" s="5"/>
      <c r="I1115" s="4"/>
      <c r="J1115" s="4"/>
      <c r="K1115" s="5"/>
      <c r="Q1115" t="e">
        <f>VLOOKUP(A1115,'גיליון דאטה להכל'!A:E,5,0)</f>
        <v>#N/A</v>
      </c>
      <c r="R1115" t="e">
        <f>VLOOKUP(A1115,'לעדכן בסינתזה דאטה אריזה 42+24'!$A:$C,3,0)</f>
        <v>#N/A</v>
      </c>
      <c r="S1115" t="e">
        <f>VLOOKUP(#REF!,'מלאי לא תקין'!A:N,17,0)</f>
        <v>#REF!</v>
      </c>
      <c r="T1115" t="e">
        <f t="shared" si="36"/>
        <v>#REF!</v>
      </c>
      <c r="U1115" t="e">
        <f t="shared" si="37"/>
        <v>#REF!</v>
      </c>
    </row>
    <row r="1116" spans="4:21" x14ac:dyDescent="0.2">
      <c r="D1116" s="4"/>
      <c r="G1116" s="5"/>
      <c r="H1116" s="5"/>
      <c r="I1116" s="4"/>
      <c r="J1116" s="4"/>
      <c r="K1116" s="5"/>
      <c r="Q1116" t="e">
        <f>VLOOKUP(A1116,'גיליון דאטה להכל'!A:E,5,0)</f>
        <v>#N/A</v>
      </c>
      <c r="R1116" t="e">
        <f>VLOOKUP(A1116,'לעדכן בסינתזה דאטה אריזה 42+24'!$A:$C,3,0)</f>
        <v>#N/A</v>
      </c>
      <c r="S1116" t="e">
        <f>VLOOKUP(#REF!,'מלאי לא תקין'!A:N,17,0)</f>
        <v>#REF!</v>
      </c>
      <c r="T1116" t="e">
        <f t="shared" si="36"/>
        <v>#REF!</v>
      </c>
      <c r="U1116" t="e">
        <f t="shared" si="37"/>
        <v>#REF!</v>
      </c>
    </row>
    <row r="1117" spans="4:21" x14ac:dyDescent="0.2">
      <c r="D1117" s="4"/>
      <c r="G1117" s="5"/>
      <c r="H1117" s="7"/>
      <c r="I1117" s="4"/>
      <c r="J1117" s="4"/>
      <c r="K1117" s="5"/>
      <c r="Q1117" t="e">
        <f>VLOOKUP(A1117,'גיליון דאטה להכל'!A:E,5,0)</f>
        <v>#N/A</v>
      </c>
      <c r="R1117" t="e">
        <f>VLOOKUP(A1117,'לעדכן בסינתזה דאטה אריזה 42+24'!$A:$C,3,0)</f>
        <v>#N/A</v>
      </c>
      <c r="S1117" t="e">
        <f>VLOOKUP(#REF!,'מלאי לא תקין'!A:N,17,0)</f>
        <v>#REF!</v>
      </c>
      <c r="T1117" t="e">
        <f t="shared" si="36"/>
        <v>#REF!</v>
      </c>
      <c r="U1117" t="e">
        <f t="shared" si="37"/>
        <v>#REF!</v>
      </c>
    </row>
    <row r="1118" spans="4:21" x14ac:dyDescent="0.2">
      <c r="D1118" s="4"/>
      <c r="G1118" s="5"/>
      <c r="H1118" s="5"/>
      <c r="I1118" s="4"/>
      <c r="J1118" s="4"/>
      <c r="K1118" s="5"/>
      <c r="Q1118" t="e">
        <f>VLOOKUP(A1118,'גיליון דאטה להכל'!A:E,5,0)</f>
        <v>#N/A</v>
      </c>
      <c r="R1118" t="e">
        <f>VLOOKUP(A1118,'לעדכן בסינתזה דאטה אריזה 42+24'!$A:$C,3,0)</f>
        <v>#N/A</v>
      </c>
      <c r="S1118" t="e">
        <f>VLOOKUP(#REF!,'מלאי לא תקין'!A:N,17,0)</f>
        <v>#REF!</v>
      </c>
      <c r="T1118" t="e">
        <f t="shared" si="36"/>
        <v>#REF!</v>
      </c>
      <c r="U1118" t="e">
        <f t="shared" si="37"/>
        <v>#REF!</v>
      </c>
    </row>
    <row r="1119" spans="4:21" x14ac:dyDescent="0.2">
      <c r="D1119" s="4"/>
      <c r="G1119" s="5"/>
      <c r="H1119" s="5"/>
      <c r="I1119" s="4"/>
      <c r="J1119" s="4"/>
      <c r="K1119" s="5"/>
      <c r="Q1119" t="e">
        <f>VLOOKUP(A1119,'גיליון דאטה להכל'!A:E,5,0)</f>
        <v>#N/A</v>
      </c>
      <c r="R1119" t="e">
        <f>VLOOKUP(A1119,'לעדכן בסינתזה דאטה אריזה 42+24'!$A:$C,3,0)</f>
        <v>#N/A</v>
      </c>
      <c r="S1119" t="e">
        <f>VLOOKUP(#REF!,'מלאי לא תקין'!A:N,17,0)</f>
        <v>#REF!</v>
      </c>
      <c r="T1119" t="e">
        <f t="shared" si="36"/>
        <v>#REF!</v>
      </c>
      <c r="U1119" t="e">
        <f t="shared" si="37"/>
        <v>#REF!</v>
      </c>
    </row>
    <row r="1120" spans="4:21" x14ac:dyDescent="0.2">
      <c r="D1120" s="4"/>
      <c r="G1120" s="5"/>
      <c r="H1120" s="5"/>
      <c r="I1120" s="4"/>
      <c r="J1120" s="4"/>
      <c r="K1120" s="5"/>
      <c r="Q1120" t="e">
        <f>VLOOKUP(A1120,'גיליון דאטה להכל'!A:E,5,0)</f>
        <v>#N/A</v>
      </c>
      <c r="R1120" t="e">
        <f>VLOOKUP(A1120,'לעדכן בסינתזה דאטה אריזה 42+24'!$A:$C,3,0)</f>
        <v>#N/A</v>
      </c>
      <c r="S1120" t="e">
        <f>VLOOKUP(#REF!,'מלאי לא תקין'!A:N,17,0)</f>
        <v>#REF!</v>
      </c>
      <c r="T1120" t="e">
        <f t="shared" si="36"/>
        <v>#REF!</v>
      </c>
      <c r="U1120" t="e">
        <f t="shared" si="37"/>
        <v>#REF!</v>
      </c>
    </row>
    <row r="1121" spans="4:21" x14ac:dyDescent="0.2">
      <c r="D1121" s="4"/>
      <c r="G1121" s="5"/>
      <c r="H1121" s="5"/>
      <c r="I1121" s="4"/>
      <c r="J1121" s="4"/>
      <c r="K1121" s="5"/>
      <c r="Q1121" t="e">
        <f>VLOOKUP(A1121,'גיליון דאטה להכל'!A:E,5,0)</f>
        <v>#N/A</v>
      </c>
      <c r="R1121" t="e">
        <f>VLOOKUP(A1121,'לעדכן בסינתזה דאטה אריזה 42+24'!$A:$C,3,0)</f>
        <v>#N/A</v>
      </c>
      <c r="S1121" t="e">
        <f>VLOOKUP(#REF!,'מלאי לא תקין'!A:N,17,0)</f>
        <v>#REF!</v>
      </c>
      <c r="T1121" t="e">
        <f t="shared" si="36"/>
        <v>#REF!</v>
      </c>
      <c r="U1121" t="e">
        <f t="shared" si="37"/>
        <v>#REF!</v>
      </c>
    </row>
    <row r="1122" spans="4:21" x14ac:dyDescent="0.2">
      <c r="D1122" s="4"/>
      <c r="G1122" s="5"/>
      <c r="H1122" s="5"/>
      <c r="I1122" s="4"/>
      <c r="J1122" s="4"/>
      <c r="K1122" s="5"/>
      <c r="Q1122" t="e">
        <f>VLOOKUP(A1122,'גיליון דאטה להכל'!A:E,5,0)</f>
        <v>#N/A</v>
      </c>
      <c r="R1122" t="e">
        <f>VLOOKUP(A1122,'לעדכן בסינתזה דאטה אריזה 42+24'!$A:$C,3,0)</f>
        <v>#N/A</v>
      </c>
      <c r="S1122" t="e">
        <f>VLOOKUP(#REF!,'מלאי לא תקין'!A:N,17,0)</f>
        <v>#REF!</v>
      </c>
      <c r="T1122" t="e">
        <f t="shared" si="36"/>
        <v>#REF!</v>
      </c>
      <c r="U1122" t="e">
        <f t="shared" si="37"/>
        <v>#REF!</v>
      </c>
    </row>
    <row r="1123" spans="4:21" x14ac:dyDescent="0.2">
      <c r="D1123" s="4"/>
      <c r="G1123" s="5"/>
      <c r="H1123" s="5"/>
      <c r="I1123" s="4"/>
      <c r="J1123" s="4"/>
      <c r="K1123" s="5"/>
      <c r="Q1123" t="e">
        <f>VLOOKUP(A1123,'גיליון דאטה להכל'!A:E,5,0)</f>
        <v>#N/A</v>
      </c>
      <c r="R1123" t="e">
        <f>VLOOKUP(A1123,'לעדכן בסינתזה דאטה אריזה 42+24'!$A:$C,3,0)</f>
        <v>#N/A</v>
      </c>
      <c r="S1123" t="e">
        <f>VLOOKUP(#REF!,'מלאי לא תקין'!A:N,17,0)</f>
        <v>#REF!</v>
      </c>
      <c r="T1123" t="e">
        <f t="shared" si="36"/>
        <v>#REF!</v>
      </c>
      <c r="U1123" t="e">
        <f t="shared" si="37"/>
        <v>#REF!</v>
      </c>
    </row>
    <row r="1124" spans="4:21" x14ac:dyDescent="0.2">
      <c r="D1124" s="4"/>
      <c r="G1124" s="5"/>
      <c r="H1124" s="7"/>
      <c r="I1124" s="4"/>
      <c r="J1124" s="4"/>
      <c r="K1124" s="5"/>
      <c r="Q1124" t="e">
        <f>VLOOKUP(A1124,'גיליון דאטה להכל'!A:E,5,0)</f>
        <v>#N/A</v>
      </c>
      <c r="R1124" t="e">
        <f>VLOOKUP(A1124,'לעדכן בסינתזה דאטה אריזה 42+24'!$A:$C,3,0)</f>
        <v>#N/A</v>
      </c>
      <c r="S1124" t="e">
        <f>VLOOKUP(#REF!,'מלאי לא תקין'!A:N,17,0)</f>
        <v>#REF!</v>
      </c>
      <c r="T1124" t="e">
        <f t="shared" si="36"/>
        <v>#REF!</v>
      </c>
      <c r="U1124" t="e">
        <f t="shared" si="37"/>
        <v>#REF!</v>
      </c>
    </row>
    <row r="1125" spans="4:21" x14ac:dyDescent="0.2">
      <c r="D1125" s="4"/>
      <c r="G1125" s="5"/>
      <c r="H1125" s="5"/>
      <c r="I1125" s="4"/>
      <c r="J1125" s="4"/>
      <c r="K1125" s="5"/>
      <c r="Q1125" t="e">
        <f>VLOOKUP(A1125,'גיליון דאטה להכל'!A:E,5,0)</f>
        <v>#N/A</v>
      </c>
      <c r="R1125" t="e">
        <f>VLOOKUP(A1125,'לעדכן בסינתזה דאטה אריזה 42+24'!$A:$C,3,0)</f>
        <v>#N/A</v>
      </c>
      <c r="S1125" t="e">
        <f>VLOOKUP(#REF!,'מלאי לא תקין'!A:N,17,0)</f>
        <v>#REF!</v>
      </c>
      <c r="T1125" t="e">
        <f t="shared" si="36"/>
        <v>#REF!</v>
      </c>
      <c r="U1125" t="e">
        <f t="shared" si="37"/>
        <v>#REF!</v>
      </c>
    </row>
    <row r="1126" spans="4:21" x14ac:dyDescent="0.2">
      <c r="D1126" s="4"/>
      <c r="G1126" s="5"/>
      <c r="H1126" s="5"/>
      <c r="I1126" s="4"/>
      <c r="J1126" s="4"/>
      <c r="K1126" s="5"/>
      <c r="Q1126" t="e">
        <f>VLOOKUP(A1126,'גיליון דאטה להכל'!A:E,5,0)</f>
        <v>#N/A</v>
      </c>
      <c r="R1126" t="e">
        <f>VLOOKUP(A1126,'לעדכן בסינתזה דאטה אריזה 42+24'!$A:$C,3,0)</f>
        <v>#N/A</v>
      </c>
      <c r="S1126" t="e">
        <f>VLOOKUP(#REF!,'מלאי לא תקין'!A:N,17,0)</f>
        <v>#REF!</v>
      </c>
      <c r="T1126" t="e">
        <f t="shared" si="36"/>
        <v>#REF!</v>
      </c>
      <c r="U1126" t="e">
        <f t="shared" si="37"/>
        <v>#REF!</v>
      </c>
    </row>
    <row r="1127" spans="4:21" x14ac:dyDescent="0.2">
      <c r="D1127" s="4"/>
      <c r="G1127" s="5"/>
      <c r="H1127" s="5"/>
      <c r="I1127" s="4"/>
      <c r="J1127" s="4"/>
      <c r="K1127" s="5"/>
      <c r="Q1127" t="e">
        <f>VLOOKUP(A1127,'גיליון דאטה להכל'!A:E,5,0)</f>
        <v>#N/A</v>
      </c>
      <c r="R1127" t="e">
        <f>VLOOKUP(A1127,'לעדכן בסינתזה דאטה אריזה 42+24'!$A:$C,3,0)</f>
        <v>#N/A</v>
      </c>
      <c r="S1127" t="e">
        <f>VLOOKUP(#REF!,'מלאי לא תקין'!A:N,17,0)</f>
        <v>#REF!</v>
      </c>
      <c r="T1127" t="e">
        <f t="shared" si="36"/>
        <v>#REF!</v>
      </c>
      <c r="U1127" t="e">
        <f t="shared" si="37"/>
        <v>#REF!</v>
      </c>
    </row>
    <row r="1128" spans="4:21" x14ac:dyDescent="0.2">
      <c r="D1128" s="4"/>
      <c r="G1128" s="5"/>
      <c r="H1128" s="5"/>
      <c r="I1128" s="4"/>
      <c r="J1128" s="4"/>
      <c r="K1128" s="5"/>
      <c r="Q1128" t="e">
        <f>VLOOKUP(A1128,'גיליון דאטה להכל'!A:E,5,0)</f>
        <v>#N/A</v>
      </c>
      <c r="R1128" t="e">
        <f>VLOOKUP(A1128,'לעדכן בסינתזה דאטה אריזה 42+24'!$A:$C,3,0)</f>
        <v>#N/A</v>
      </c>
      <c r="S1128" t="e">
        <f>VLOOKUP(#REF!,'מלאי לא תקין'!A:N,17,0)</f>
        <v>#REF!</v>
      </c>
      <c r="T1128" t="e">
        <f t="shared" si="36"/>
        <v>#REF!</v>
      </c>
      <c r="U1128" t="e">
        <f t="shared" si="37"/>
        <v>#REF!</v>
      </c>
    </row>
    <row r="1129" spans="4:21" x14ac:dyDescent="0.2">
      <c r="D1129" s="4"/>
      <c r="G1129" s="5"/>
      <c r="H1129" s="7"/>
      <c r="I1129" s="4"/>
      <c r="J1129" s="4"/>
      <c r="K1129" s="5"/>
      <c r="Q1129" t="e">
        <f>VLOOKUP(A1129,'גיליון דאטה להכל'!A:E,5,0)</f>
        <v>#N/A</v>
      </c>
      <c r="R1129" t="e">
        <f>VLOOKUP(A1129,'לעדכן בסינתזה דאטה אריזה 42+24'!$A:$C,3,0)</f>
        <v>#N/A</v>
      </c>
      <c r="S1129" t="e">
        <f>VLOOKUP(#REF!,'מלאי לא תקין'!A:N,17,0)</f>
        <v>#REF!</v>
      </c>
      <c r="T1129" t="e">
        <f t="shared" si="36"/>
        <v>#REF!</v>
      </c>
      <c r="U1129" t="e">
        <f t="shared" si="37"/>
        <v>#REF!</v>
      </c>
    </row>
    <row r="1130" spans="4:21" x14ac:dyDescent="0.2">
      <c r="D1130" s="4"/>
      <c r="G1130" s="5"/>
      <c r="H1130" s="5"/>
      <c r="I1130" s="4"/>
      <c r="J1130" s="4"/>
      <c r="K1130" s="5"/>
      <c r="Q1130" t="e">
        <f>VLOOKUP(A1130,'גיליון דאטה להכל'!A:E,5,0)</f>
        <v>#N/A</v>
      </c>
      <c r="R1130" t="e">
        <f>VLOOKUP(A1130,'לעדכן בסינתזה דאטה אריזה 42+24'!$A:$C,3,0)</f>
        <v>#N/A</v>
      </c>
      <c r="S1130" t="e">
        <f>VLOOKUP(#REF!,'מלאי לא תקין'!A:N,17,0)</f>
        <v>#REF!</v>
      </c>
      <c r="T1130" t="e">
        <f t="shared" si="36"/>
        <v>#REF!</v>
      </c>
      <c r="U1130" t="e">
        <f t="shared" si="37"/>
        <v>#REF!</v>
      </c>
    </row>
    <row r="1131" spans="4:21" x14ac:dyDescent="0.2">
      <c r="D1131" s="4"/>
      <c r="G1131" s="5"/>
      <c r="H1131" s="5"/>
      <c r="I1131" s="4"/>
      <c r="J1131" s="4"/>
      <c r="K1131" s="5"/>
      <c r="Q1131" t="e">
        <f>VLOOKUP(A1131,'גיליון דאטה להכל'!A:E,5,0)</f>
        <v>#N/A</v>
      </c>
      <c r="R1131" t="e">
        <f>VLOOKUP(A1131,'לעדכן בסינתזה דאטה אריזה 42+24'!$A:$C,3,0)</f>
        <v>#N/A</v>
      </c>
      <c r="S1131" t="e">
        <f>VLOOKUP(#REF!,'מלאי לא תקין'!A:N,17,0)</f>
        <v>#REF!</v>
      </c>
      <c r="T1131" t="e">
        <f t="shared" si="36"/>
        <v>#REF!</v>
      </c>
      <c r="U1131" t="e">
        <f t="shared" si="37"/>
        <v>#REF!</v>
      </c>
    </row>
    <row r="1132" spans="4:21" x14ac:dyDescent="0.2">
      <c r="D1132" s="4"/>
      <c r="G1132" s="5"/>
      <c r="H1132" s="5"/>
      <c r="I1132" s="4"/>
      <c r="J1132" s="4"/>
      <c r="K1132" s="5"/>
      <c r="Q1132" t="e">
        <f>VLOOKUP(A1132,'גיליון דאטה להכל'!A:E,5,0)</f>
        <v>#N/A</v>
      </c>
      <c r="R1132" t="e">
        <f>VLOOKUP(A1132,'לעדכן בסינתזה דאטה אריזה 42+24'!$A:$C,3,0)</f>
        <v>#N/A</v>
      </c>
      <c r="S1132" t="e">
        <f>VLOOKUP(#REF!,'מלאי לא תקין'!A:N,17,0)</f>
        <v>#REF!</v>
      </c>
      <c r="T1132" t="e">
        <f t="shared" si="36"/>
        <v>#REF!</v>
      </c>
      <c r="U1132" t="e">
        <f t="shared" si="37"/>
        <v>#REF!</v>
      </c>
    </row>
    <row r="1133" spans="4:21" x14ac:dyDescent="0.2">
      <c r="D1133" s="4"/>
      <c r="G1133" s="5"/>
      <c r="H1133" s="5"/>
      <c r="I1133" s="4"/>
      <c r="J1133" s="4"/>
      <c r="K1133" s="5"/>
      <c r="Q1133" t="e">
        <f>VLOOKUP(A1133,'גיליון דאטה להכל'!A:E,5,0)</f>
        <v>#N/A</v>
      </c>
      <c r="R1133" t="e">
        <f>VLOOKUP(A1133,'לעדכן בסינתזה דאטה אריזה 42+24'!$A:$C,3,0)</f>
        <v>#N/A</v>
      </c>
      <c r="S1133" t="e">
        <f>VLOOKUP(#REF!,'מלאי לא תקין'!A:N,17,0)</f>
        <v>#REF!</v>
      </c>
      <c r="T1133" t="e">
        <f t="shared" si="36"/>
        <v>#REF!</v>
      </c>
      <c r="U1133" t="e">
        <f t="shared" si="37"/>
        <v>#REF!</v>
      </c>
    </row>
    <row r="1134" spans="4:21" x14ac:dyDescent="0.2">
      <c r="D1134" s="4"/>
      <c r="G1134" s="5"/>
      <c r="H1134" s="7"/>
      <c r="I1134" s="4"/>
      <c r="J1134" s="4"/>
      <c r="K1134" s="5"/>
      <c r="Q1134" t="e">
        <f>VLOOKUP(A1134,'גיליון דאטה להכל'!A:E,5,0)</f>
        <v>#N/A</v>
      </c>
      <c r="R1134" t="e">
        <f>VLOOKUP(A1134,'לעדכן בסינתזה דאטה אריזה 42+24'!$A:$C,3,0)</f>
        <v>#N/A</v>
      </c>
      <c r="S1134" t="e">
        <f>VLOOKUP(#REF!,'מלאי לא תקין'!A:N,17,0)</f>
        <v>#REF!</v>
      </c>
      <c r="T1134" t="e">
        <f t="shared" si="36"/>
        <v>#REF!</v>
      </c>
      <c r="U1134" t="e">
        <f t="shared" si="37"/>
        <v>#REF!</v>
      </c>
    </row>
    <row r="1135" spans="4:21" x14ac:dyDescent="0.2">
      <c r="D1135" s="4"/>
      <c r="G1135" s="5"/>
      <c r="H1135" s="5"/>
      <c r="I1135" s="4"/>
      <c r="J1135" s="4"/>
      <c r="K1135" s="5"/>
      <c r="Q1135" t="e">
        <f>VLOOKUP(A1135,'גיליון דאטה להכל'!A:E,5,0)</f>
        <v>#N/A</v>
      </c>
      <c r="R1135" t="e">
        <f>VLOOKUP(A1135,'לעדכן בסינתזה דאטה אריזה 42+24'!$A:$C,3,0)</f>
        <v>#N/A</v>
      </c>
      <c r="S1135" t="e">
        <f>VLOOKUP(#REF!,'מלאי לא תקין'!A:N,17,0)</f>
        <v>#REF!</v>
      </c>
      <c r="T1135" t="e">
        <f t="shared" si="36"/>
        <v>#REF!</v>
      </c>
      <c r="U1135" t="e">
        <f t="shared" si="37"/>
        <v>#REF!</v>
      </c>
    </row>
    <row r="1136" spans="4:21" x14ac:dyDescent="0.2">
      <c r="D1136" s="4"/>
      <c r="G1136" s="5"/>
      <c r="H1136" s="5"/>
      <c r="I1136" s="4"/>
      <c r="J1136" s="4"/>
      <c r="K1136" s="5"/>
      <c r="Q1136" t="e">
        <f>VLOOKUP(A1136,'גיליון דאטה להכל'!A:E,5,0)</f>
        <v>#N/A</v>
      </c>
      <c r="R1136" t="e">
        <f>VLOOKUP(A1136,'לעדכן בסינתזה דאטה אריזה 42+24'!$A:$C,3,0)</f>
        <v>#N/A</v>
      </c>
      <c r="S1136" t="e">
        <f>VLOOKUP(#REF!,'מלאי לא תקין'!A:N,17,0)</f>
        <v>#REF!</v>
      </c>
      <c r="T1136" t="e">
        <f t="shared" si="36"/>
        <v>#REF!</v>
      </c>
      <c r="U1136" t="e">
        <f t="shared" si="37"/>
        <v>#REF!</v>
      </c>
    </row>
    <row r="1137" spans="4:21" x14ac:dyDescent="0.2">
      <c r="D1137" s="4"/>
      <c r="G1137" s="5"/>
      <c r="H1137" s="5"/>
      <c r="I1137" s="4"/>
      <c r="J1137" s="4"/>
      <c r="K1137" s="5"/>
      <c r="Q1137" t="e">
        <f>VLOOKUP(A1137,'גיליון דאטה להכל'!A:E,5,0)</f>
        <v>#N/A</v>
      </c>
      <c r="R1137" t="e">
        <f>VLOOKUP(A1137,'לעדכן בסינתזה דאטה אריזה 42+24'!$A:$C,3,0)</f>
        <v>#N/A</v>
      </c>
      <c r="S1137" t="e">
        <f>VLOOKUP(#REF!,'מלאי לא תקין'!A:N,17,0)</f>
        <v>#REF!</v>
      </c>
      <c r="T1137" t="e">
        <f t="shared" si="36"/>
        <v>#REF!</v>
      </c>
      <c r="U1137" t="e">
        <f t="shared" si="37"/>
        <v>#REF!</v>
      </c>
    </row>
    <row r="1138" spans="4:21" x14ac:dyDescent="0.2">
      <c r="D1138" s="4"/>
      <c r="G1138" s="5"/>
      <c r="H1138" s="5"/>
      <c r="I1138" s="4"/>
      <c r="J1138" s="4"/>
      <c r="K1138" s="5"/>
      <c r="Q1138" t="e">
        <f>VLOOKUP(A1138,'גיליון דאטה להכל'!A:E,5,0)</f>
        <v>#N/A</v>
      </c>
      <c r="R1138" t="e">
        <f>VLOOKUP(A1138,'לעדכן בסינתזה דאטה אריזה 42+24'!$A:$C,3,0)</f>
        <v>#N/A</v>
      </c>
      <c r="S1138" t="e">
        <f>VLOOKUP(#REF!,'מלאי לא תקין'!A:N,17,0)</f>
        <v>#REF!</v>
      </c>
      <c r="T1138" t="e">
        <f t="shared" si="36"/>
        <v>#REF!</v>
      </c>
      <c r="U1138" t="e">
        <f t="shared" si="37"/>
        <v>#REF!</v>
      </c>
    </row>
    <row r="1139" spans="4:21" x14ac:dyDescent="0.2">
      <c r="D1139" s="4"/>
      <c r="G1139" s="5"/>
      <c r="H1139" s="7"/>
      <c r="I1139" s="4"/>
      <c r="J1139" s="4"/>
      <c r="K1139" s="5"/>
      <c r="Q1139" t="e">
        <f>VLOOKUP(A1139,'גיליון דאטה להכל'!A:E,5,0)</f>
        <v>#N/A</v>
      </c>
      <c r="R1139" t="e">
        <f>VLOOKUP(A1139,'לעדכן בסינתזה דאטה אריזה 42+24'!$A:$C,3,0)</f>
        <v>#N/A</v>
      </c>
      <c r="S1139" t="e">
        <f>VLOOKUP(#REF!,'מלאי לא תקין'!A:N,17,0)</f>
        <v>#REF!</v>
      </c>
      <c r="T1139" t="e">
        <f t="shared" si="36"/>
        <v>#REF!</v>
      </c>
      <c r="U1139" t="e">
        <f t="shared" si="37"/>
        <v>#REF!</v>
      </c>
    </row>
    <row r="1140" spans="4:21" x14ac:dyDescent="0.2">
      <c r="D1140" s="4"/>
      <c r="G1140" s="5"/>
      <c r="H1140" s="7"/>
      <c r="I1140" s="4"/>
      <c r="J1140" s="4"/>
      <c r="K1140" s="5"/>
      <c r="Q1140" t="e">
        <f>VLOOKUP(A1140,'גיליון דאטה להכל'!A:E,5,0)</f>
        <v>#N/A</v>
      </c>
      <c r="R1140" t="e">
        <f>VLOOKUP(A1140,'לעדכן בסינתזה דאטה אריזה 42+24'!$A:$C,3,0)</f>
        <v>#N/A</v>
      </c>
      <c r="S1140" t="e">
        <f>VLOOKUP(#REF!,'מלאי לא תקין'!A:N,17,0)</f>
        <v>#REF!</v>
      </c>
      <c r="T1140" t="e">
        <f t="shared" si="36"/>
        <v>#REF!</v>
      </c>
      <c r="U1140" t="e">
        <f t="shared" si="37"/>
        <v>#REF!</v>
      </c>
    </row>
    <row r="1141" spans="4:21" x14ac:dyDescent="0.2">
      <c r="D1141" s="4"/>
      <c r="G1141" s="5"/>
      <c r="H1141" s="5"/>
      <c r="I1141" s="4"/>
      <c r="J1141" s="4"/>
      <c r="K1141" s="5"/>
      <c r="Q1141" t="e">
        <f>VLOOKUP(A1141,'גיליון דאטה להכל'!A:E,5,0)</f>
        <v>#N/A</v>
      </c>
      <c r="R1141" t="e">
        <f>VLOOKUP(A1141,'לעדכן בסינתזה דאטה אריזה 42+24'!$A:$C,3,0)</f>
        <v>#N/A</v>
      </c>
      <c r="S1141" t="e">
        <f>VLOOKUP(#REF!,'מלאי לא תקין'!A:N,17,0)</f>
        <v>#REF!</v>
      </c>
      <c r="T1141" t="e">
        <f t="shared" ref="T1141:T1204" si="38">_xlfn.CONCAT(S1141,Q1141)</f>
        <v>#REF!</v>
      </c>
      <c r="U1141" t="e">
        <f t="shared" ref="U1141:U1204" si="39">_xlfn.CONCAT(S1141,O1141)</f>
        <v>#REF!</v>
      </c>
    </row>
    <row r="1142" spans="4:21" x14ac:dyDescent="0.2">
      <c r="D1142" s="4"/>
      <c r="G1142" s="5"/>
      <c r="H1142" s="5"/>
      <c r="I1142" s="4"/>
      <c r="J1142" s="4"/>
      <c r="K1142" s="5"/>
      <c r="Q1142" t="e">
        <f>VLOOKUP(A1142,'גיליון דאטה להכל'!A:E,5,0)</f>
        <v>#N/A</v>
      </c>
      <c r="R1142" t="e">
        <f>VLOOKUP(A1142,'לעדכן בסינתזה דאטה אריזה 42+24'!$A:$C,3,0)</f>
        <v>#N/A</v>
      </c>
      <c r="S1142" t="e">
        <f>VLOOKUP(#REF!,'מלאי לא תקין'!A:N,17,0)</f>
        <v>#REF!</v>
      </c>
      <c r="T1142" t="e">
        <f t="shared" si="38"/>
        <v>#REF!</v>
      </c>
      <c r="U1142" t="e">
        <f t="shared" si="39"/>
        <v>#REF!</v>
      </c>
    </row>
    <row r="1143" spans="4:21" x14ac:dyDescent="0.2">
      <c r="D1143" s="4"/>
      <c r="G1143" s="5"/>
      <c r="H1143" s="5"/>
      <c r="I1143" s="4"/>
      <c r="J1143" s="4"/>
      <c r="K1143" s="5"/>
      <c r="Q1143" t="e">
        <f>VLOOKUP(A1143,'גיליון דאטה להכל'!A:E,5,0)</f>
        <v>#N/A</v>
      </c>
      <c r="R1143" t="e">
        <f>VLOOKUP(A1143,'לעדכן בסינתזה דאטה אריזה 42+24'!$A:$C,3,0)</f>
        <v>#N/A</v>
      </c>
      <c r="S1143" t="e">
        <f>VLOOKUP(#REF!,'מלאי לא תקין'!A:N,17,0)</f>
        <v>#REF!</v>
      </c>
      <c r="T1143" t="e">
        <f t="shared" si="38"/>
        <v>#REF!</v>
      </c>
      <c r="U1143" t="e">
        <f t="shared" si="39"/>
        <v>#REF!</v>
      </c>
    </row>
    <row r="1144" spans="4:21" x14ac:dyDescent="0.2">
      <c r="D1144" s="4"/>
      <c r="G1144" s="5"/>
      <c r="H1144" s="5"/>
      <c r="I1144" s="4"/>
      <c r="J1144" s="4"/>
      <c r="K1144" s="5"/>
      <c r="Q1144" t="e">
        <f>VLOOKUP(A1144,'גיליון דאטה להכל'!A:E,5,0)</f>
        <v>#N/A</v>
      </c>
      <c r="R1144" t="e">
        <f>VLOOKUP(A1144,'לעדכן בסינתזה דאטה אריזה 42+24'!$A:$C,3,0)</f>
        <v>#N/A</v>
      </c>
      <c r="S1144" t="e">
        <f>VLOOKUP(#REF!,'מלאי לא תקין'!A:N,17,0)</f>
        <v>#REF!</v>
      </c>
      <c r="T1144" t="e">
        <f t="shared" si="38"/>
        <v>#REF!</v>
      </c>
      <c r="U1144" t="e">
        <f t="shared" si="39"/>
        <v>#REF!</v>
      </c>
    </row>
    <row r="1145" spans="4:21" x14ac:dyDescent="0.2">
      <c r="D1145" s="4"/>
      <c r="G1145" s="5"/>
      <c r="H1145" s="5"/>
      <c r="I1145" s="4"/>
      <c r="J1145" s="4"/>
      <c r="K1145" s="5"/>
      <c r="Q1145" t="e">
        <f>VLOOKUP(A1145,'גיליון דאטה להכל'!A:E,5,0)</f>
        <v>#N/A</v>
      </c>
      <c r="R1145" t="e">
        <f>VLOOKUP(A1145,'לעדכן בסינתזה דאטה אריזה 42+24'!$A:$C,3,0)</f>
        <v>#N/A</v>
      </c>
      <c r="S1145" t="e">
        <f>VLOOKUP(#REF!,'מלאי לא תקין'!A:N,17,0)</f>
        <v>#REF!</v>
      </c>
      <c r="T1145" t="e">
        <f t="shared" si="38"/>
        <v>#REF!</v>
      </c>
      <c r="U1145" t="e">
        <f t="shared" si="39"/>
        <v>#REF!</v>
      </c>
    </row>
    <row r="1146" spans="4:21" x14ac:dyDescent="0.2">
      <c r="D1146" s="4"/>
      <c r="G1146" s="5"/>
      <c r="H1146" s="5"/>
      <c r="I1146" s="4"/>
      <c r="J1146" s="4"/>
      <c r="K1146" s="5"/>
      <c r="Q1146" t="e">
        <f>VLOOKUP(A1146,'גיליון דאטה להכל'!A:E,5,0)</f>
        <v>#N/A</v>
      </c>
      <c r="R1146" t="e">
        <f>VLOOKUP(A1146,'לעדכן בסינתזה דאטה אריזה 42+24'!$A:$C,3,0)</f>
        <v>#N/A</v>
      </c>
      <c r="S1146" t="e">
        <f>VLOOKUP(#REF!,'מלאי לא תקין'!A:N,17,0)</f>
        <v>#REF!</v>
      </c>
      <c r="T1146" t="e">
        <f t="shared" si="38"/>
        <v>#REF!</v>
      </c>
      <c r="U1146" t="e">
        <f t="shared" si="39"/>
        <v>#REF!</v>
      </c>
    </row>
    <row r="1147" spans="4:21" x14ac:dyDescent="0.2">
      <c r="D1147" s="4"/>
      <c r="G1147" s="5"/>
      <c r="H1147" s="5"/>
      <c r="I1147" s="4"/>
      <c r="J1147" s="4"/>
      <c r="K1147" s="5"/>
      <c r="Q1147" t="e">
        <f>VLOOKUP(A1147,'גיליון דאטה להכל'!A:E,5,0)</f>
        <v>#N/A</v>
      </c>
      <c r="R1147" t="e">
        <f>VLOOKUP(A1147,'לעדכן בסינתזה דאטה אריזה 42+24'!$A:$C,3,0)</f>
        <v>#N/A</v>
      </c>
      <c r="S1147" t="e">
        <f>VLOOKUP(#REF!,'מלאי לא תקין'!A:N,17,0)</f>
        <v>#REF!</v>
      </c>
      <c r="T1147" t="e">
        <f t="shared" si="38"/>
        <v>#REF!</v>
      </c>
      <c r="U1147" t="e">
        <f t="shared" si="39"/>
        <v>#REF!</v>
      </c>
    </row>
    <row r="1148" spans="4:21" x14ac:dyDescent="0.2">
      <c r="D1148" s="4"/>
      <c r="G1148" s="5"/>
      <c r="H1148" s="7"/>
      <c r="I1148" s="4"/>
      <c r="J1148" s="4"/>
      <c r="K1148" s="5"/>
      <c r="Q1148" t="e">
        <f>VLOOKUP(A1148,'גיליון דאטה להכל'!A:E,5,0)</f>
        <v>#N/A</v>
      </c>
      <c r="R1148" t="e">
        <f>VLOOKUP(A1148,'לעדכן בסינתזה דאטה אריזה 42+24'!$A:$C,3,0)</f>
        <v>#N/A</v>
      </c>
      <c r="S1148" t="e">
        <f>VLOOKUP(#REF!,'מלאי לא תקין'!A:N,17,0)</f>
        <v>#REF!</v>
      </c>
      <c r="T1148" t="e">
        <f t="shared" si="38"/>
        <v>#REF!</v>
      </c>
      <c r="U1148" t="e">
        <f t="shared" si="39"/>
        <v>#REF!</v>
      </c>
    </row>
    <row r="1149" spans="4:21" x14ac:dyDescent="0.2">
      <c r="D1149" s="4"/>
      <c r="G1149" s="5"/>
      <c r="H1149" s="5"/>
      <c r="I1149" s="4"/>
      <c r="J1149" s="4"/>
      <c r="K1149" s="5"/>
      <c r="Q1149" t="e">
        <f>VLOOKUP(A1149,'גיליון דאטה להכל'!A:E,5,0)</f>
        <v>#N/A</v>
      </c>
      <c r="R1149" t="e">
        <f>VLOOKUP(A1149,'לעדכן בסינתזה דאטה אריזה 42+24'!$A:$C,3,0)</f>
        <v>#N/A</v>
      </c>
      <c r="S1149" t="e">
        <f>VLOOKUP(#REF!,'מלאי לא תקין'!A:N,17,0)</f>
        <v>#REF!</v>
      </c>
      <c r="T1149" t="e">
        <f t="shared" si="38"/>
        <v>#REF!</v>
      </c>
      <c r="U1149" t="e">
        <f t="shared" si="39"/>
        <v>#REF!</v>
      </c>
    </row>
    <row r="1150" spans="4:21" x14ac:dyDescent="0.2">
      <c r="D1150" s="4"/>
      <c r="G1150" s="5"/>
      <c r="H1150" s="5"/>
      <c r="I1150" s="4"/>
      <c r="J1150" s="4"/>
      <c r="K1150" s="5"/>
      <c r="Q1150" t="e">
        <f>VLOOKUP(A1150,'גיליון דאטה להכל'!A:E,5,0)</f>
        <v>#N/A</v>
      </c>
      <c r="R1150" t="e">
        <f>VLOOKUP(A1150,'לעדכן בסינתזה דאטה אריזה 42+24'!$A:$C,3,0)</f>
        <v>#N/A</v>
      </c>
      <c r="S1150" t="e">
        <f>VLOOKUP(#REF!,'מלאי לא תקין'!A:N,17,0)</f>
        <v>#REF!</v>
      </c>
      <c r="T1150" t="e">
        <f t="shared" si="38"/>
        <v>#REF!</v>
      </c>
      <c r="U1150" t="e">
        <f t="shared" si="39"/>
        <v>#REF!</v>
      </c>
    </row>
    <row r="1151" spans="4:21" x14ac:dyDescent="0.2">
      <c r="D1151" s="4"/>
      <c r="G1151" s="5"/>
      <c r="H1151" s="5"/>
      <c r="I1151" s="4"/>
      <c r="J1151" s="4"/>
      <c r="K1151" s="5"/>
      <c r="Q1151" t="e">
        <f>VLOOKUP(A1151,'גיליון דאטה להכל'!A:E,5,0)</f>
        <v>#N/A</v>
      </c>
      <c r="R1151" t="e">
        <f>VLOOKUP(A1151,'לעדכן בסינתזה דאטה אריזה 42+24'!$A:$C,3,0)</f>
        <v>#N/A</v>
      </c>
      <c r="S1151" t="e">
        <f>VLOOKUP(#REF!,'מלאי לא תקין'!A:N,17,0)</f>
        <v>#REF!</v>
      </c>
      <c r="T1151" t="e">
        <f t="shared" si="38"/>
        <v>#REF!</v>
      </c>
      <c r="U1151" t="e">
        <f t="shared" si="39"/>
        <v>#REF!</v>
      </c>
    </row>
    <row r="1152" spans="4:21" x14ac:dyDescent="0.2">
      <c r="D1152" s="4"/>
      <c r="G1152" s="5"/>
      <c r="H1152" s="5"/>
      <c r="I1152" s="4"/>
      <c r="J1152" s="4"/>
      <c r="K1152" s="5"/>
      <c r="Q1152" t="e">
        <f>VLOOKUP(A1152,'גיליון דאטה להכל'!A:E,5,0)</f>
        <v>#N/A</v>
      </c>
      <c r="R1152" t="e">
        <f>VLOOKUP(A1152,'לעדכן בסינתזה דאטה אריזה 42+24'!$A:$C,3,0)</f>
        <v>#N/A</v>
      </c>
      <c r="S1152" t="e">
        <f>VLOOKUP(#REF!,'מלאי לא תקין'!A:N,17,0)</f>
        <v>#REF!</v>
      </c>
      <c r="T1152" t="e">
        <f t="shared" si="38"/>
        <v>#REF!</v>
      </c>
      <c r="U1152" t="e">
        <f t="shared" si="39"/>
        <v>#REF!</v>
      </c>
    </row>
    <row r="1153" spans="4:21" x14ac:dyDescent="0.2">
      <c r="D1153" s="4"/>
      <c r="G1153" s="5"/>
      <c r="H1153" s="7"/>
      <c r="I1153" s="4"/>
      <c r="J1153" s="4"/>
      <c r="K1153" s="5"/>
      <c r="Q1153" t="e">
        <f>VLOOKUP(A1153,'גיליון דאטה להכל'!A:E,5,0)</f>
        <v>#N/A</v>
      </c>
      <c r="R1153" t="e">
        <f>VLOOKUP(A1153,'לעדכן בסינתזה דאטה אריזה 42+24'!$A:$C,3,0)</f>
        <v>#N/A</v>
      </c>
      <c r="S1153" t="e">
        <f>VLOOKUP(#REF!,'מלאי לא תקין'!A:N,17,0)</f>
        <v>#REF!</v>
      </c>
      <c r="T1153" t="e">
        <f t="shared" si="38"/>
        <v>#REF!</v>
      </c>
      <c r="U1153" t="e">
        <f t="shared" si="39"/>
        <v>#REF!</v>
      </c>
    </row>
    <row r="1154" spans="4:21" x14ac:dyDescent="0.2">
      <c r="D1154" s="4"/>
      <c r="G1154" s="5"/>
      <c r="H1154" s="5"/>
      <c r="I1154" s="4"/>
      <c r="J1154" s="4"/>
      <c r="K1154" s="5"/>
      <c r="Q1154" t="e">
        <f>VLOOKUP(A1154,'גיליון דאטה להכל'!A:E,5,0)</f>
        <v>#N/A</v>
      </c>
      <c r="R1154" t="e">
        <f>VLOOKUP(A1154,'לעדכן בסינתזה דאטה אריזה 42+24'!$A:$C,3,0)</f>
        <v>#N/A</v>
      </c>
      <c r="S1154" t="e">
        <f>VLOOKUP(#REF!,'מלאי לא תקין'!A:N,17,0)</f>
        <v>#REF!</v>
      </c>
      <c r="T1154" t="e">
        <f t="shared" si="38"/>
        <v>#REF!</v>
      </c>
      <c r="U1154" t="e">
        <f t="shared" si="39"/>
        <v>#REF!</v>
      </c>
    </row>
    <row r="1155" spans="4:21" x14ac:dyDescent="0.2">
      <c r="D1155" s="4"/>
      <c r="G1155" s="5"/>
      <c r="H1155" s="5"/>
      <c r="I1155" s="4"/>
      <c r="J1155" s="4"/>
      <c r="K1155" s="5"/>
      <c r="Q1155" t="e">
        <f>VLOOKUP(A1155,'גיליון דאטה להכל'!A:E,5,0)</f>
        <v>#N/A</v>
      </c>
      <c r="R1155" t="e">
        <f>VLOOKUP(A1155,'לעדכן בסינתזה דאטה אריזה 42+24'!$A:$C,3,0)</f>
        <v>#N/A</v>
      </c>
      <c r="S1155" t="e">
        <f>VLOOKUP(#REF!,'מלאי לא תקין'!A:N,17,0)</f>
        <v>#REF!</v>
      </c>
      <c r="T1155" t="e">
        <f t="shared" si="38"/>
        <v>#REF!</v>
      </c>
      <c r="U1155" t="e">
        <f t="shared" si="39"/>
        <v>#REF!</v>
      </c>
    </row>
    <row r="1156" spans="4:21" x14ac:dyDescent="0.2">
      <c r="D1156" s="4"/>
      <c r="G1156" s="5"/>
      <c r="H1156" s="5"/>
      <c r="I1156" s="4"/>
      <c r="J1156" s="4"/>
      <c r="K1156" s="5"/>
      <c r="Q1156" t="e">
        <f>VLOOKUP(A1156,'גיליון דאטה להכל'!A:E,5,0)</f>
        <v>#N/A</v>
      </c>
      <c r="R1156" t="e">
        <f>VLOOKUP(A1156,'לעדכן בסינתזה דאטה אריזה 42+24'!$A:$C,3,0)</f>
        <v>#N/A</v>
      </c>
      <c r="S1156" t="e">
        <f>VLOOKUP(#REF!,'מלאי לא תקין'!A:N,17,0)</f>
        <v>#REF!</v>
      </c>
      <c r="T1156" t="e">
        <f t="shared" si="38"/>
        <v>#REF!</v>
      </c>
      <c r="U1156" t="e">
        <f t="shared" si="39"/>
        <v>#REF!</v>
      </c>
    </row>
    <row r="1157" spans="4:21" x14ac:dyDescent="0.2">
      <c r="D1157" s="4"/>
      <c r="G1157" s="5"/>
      <c r="H1157" s="5"/>
      <c r="I1157" s="4"/>
      <c r="J1157" s="4"/>
      <c r="K1157" s="5"/>
      <c r="Q1157" t="e">
        <f>VLOOKUP(A1157,'גיליון דאטה להכל'!A:E,5,0)</f>
        <v>#N/A</v>
      </c>
      <c r="R1157" t="e">
        <f>VLOOKUP(A1157,'לעדכן בסינתזה דאטה אריזה 42+24'!$A:$C,3,0)</f>
        <v>#N/A</v>
      </c>
      <c r="S1157" t="e">
        <f>VLOOKUP(#REF!,'מלאי לא תקין'!A:N,17,0)</f>
        <v>#REF!</v>
      </c>
      <c r="T1157" t="e">
        <f t="shared" si="38"/>
        <v>#REF!</v>
      </c>
      <c r="U1157" t="e">
        <f t="shared" si="39"/>
        <v>#REF!</v>
      </c>
    </row>
    <row r="1158" spans="4:21" x14ac:dyDescent="0.2">
      <c r="D1158" s="4"/>
      <c r="G1158" s="5"/>
      <c r="H1158" s="7"/>
      <c r="I1158" s="4"/>
      <c r="J1158" s="4"/>
      <c r="K1158" s="5"/>
      <c r="Q1158" t="e">
        <f>VLOOKUP(A1158,'גיליון דאטה להכל'!A:E,5,0)</f>
        <v>#N/A</v>
      </c>
      <c r="R1158" t="e">
        <f>VLOOKUP(A1158,'לעדכן בסינתזה דאטה אריזה 42+24'!$A:$C,3,0)</f>
        <v>#N/A</v>
      </c>
      <c r="S1158" t="e">
        <f>VLOOKUP(#REF!,'מלאי לא תקין'!A:N,17,0)</f>
        <v>#REF!</v>
      </c>
      <c r="T1158" t="e">
        <f t="shared" si="38"/>
        <v>#REF!</v>
      </c>
      <c r="U1158" t="e">
        <f t="shared" si="39"/>
        <v>#REF!</v>
      </c>
    </row>
    <row r="1159" spans="4:21" x14ac:dyDescent="0.2">
      <c r="D1159" s="4"/>
      <c r="G1159" s="5"/>
      <c r="H1159" s="5"/>
      <c r="I1159" s="4"/>
      <c r="J1159" s="4"/>
      <c r="K1159" s="5"/>
      <c r="Q1159" t="e">
        <f>VLOOKUP(A1159,'גיליון דאטה להכל'!A:E,5,0)</f>
        <v>#N/A</v>
      </c>
      <c r="R1159" t="e">
        <f>VLOOKUP(A1159,'לעדכן בסינתזה דאטה אריזה 42+24'!$A:$C,3,0)</f>
        <v>#N/A</v>
      </c>
      <c r="S1159" t="e">
        <f>VLOOKUP(#REF!,'מלאי לא תקין'!A:N,17,0)</f>
        <v>#REF!</v>
      </c>
      <c r="T1159" t="e">
        <f t="shared" si="38"/>
        <v>#REF!</v>
      </c>
      <c r="U1159" t="e">
        <f t="shared" si="39"/>
        <v>#REF!</v>
      </c>
    </row>
    <row r="1160" spans="4:21" x14ac:dyDescent="0.2">
      <c r="D1160" s="4"/>
      <c r="G1160" s="5"/>
      <c r="H1160" s="5"/>
      <c r="I1160" s="4"/>
      <c r="J1160" s="4"/>
      <c r="K1160" s="5"/>
      <c r="Q1160" t="e">
        <f>VLOOKUP(A1160,'גיליון דאטה להכל'!A:E,5,0)</f>
        <v>#N/A</v>
      </c>
      <c r="R1160" t="e">
        <f>VLOOKUP(A1160,'לעדכן בסינתזה דאטה אריזה 42+24'!$A:$C,3,0)</f>
        <v>#N/A</v>
      </c>
      <c r="S1160" t="e">
        <f>VLOOKUP(#REF!,'מלאי לא תקין'!A:N,17,0)</f>
        <v>#REF!</v>
      </c>
      <c r="T1160" t="e">
        <f t="shared" si="38"/>
        <v>#REF!</v>
      </c>
      <c r="U1160" t="e">
        <f t="shared" si="39"/>
        <v>#REF!</v>
      </c>
    </row>
    <row r="1161" spans="4:21" x14ac:dyDescent="0.2">
      <c r="D1161" s="4"/>
      <c r="G1161" s="5"/>
      <c r="H1161" s="5"/>
      <c r="I1161" s="4"/>
      <c r="J1161" s="4"/>
      <c r="K1161" s="5"/>
      <c r="Q1161" t="e">
        <f>VLOOKUP(A1161,'גיליון דאטה להכל'!A:E,5,0)</f>
        <v>#N/A</v>
      </c>
      <c r="R1161" t="e">
        <f>VLOOKUP(A1161,'לעדכן בסינתזה דאטה אריזה 42+24'!$A:$C,3,0)</f>
        <v>#N/A</v>
      </c>
      <c r="S1161" t="e">
        <f>VLOOKUP(#REF!,'מלאי לא תקין'!A:N,17,0)</f>
        <v>#REF!</v>
      </c>
      <c r="T1161" t="e">
        <f t="shared" si="38"/>
        <v>#REF!</v>
      </c>
      <c r="U1161" t="e">
        <f t="shared" si="39"/>
        <v>#REF!</v>
      </c>
    </row>
    <row r="1162" spans="4:21" x14ac:dyDescent="0.2">
      <c r="D1162" s="4"/>
      <c r="G1162" s="5"/>
      <c r="H1162" s="5"/>
      <c r="I1162" s="4"/>
      <c r="J1162" s="4"/>
      <c r="K1162" s="5"/>
      <c r="Q1162" t="e">
        <f>VLOOKUP(A1162,'גיליון דאטה להכל'!A:E,5,0)</f>
        <v>#N/A</v>
      </c>
      <c r="R1162" t="e">
        <f>VLOOKUP(A1162,'לעדכן בסינתזה דאטה אריזה 42+24'!$A:$C,3,0)</f>
        <v>#N/A</v>
      </c>
      <c r="S1162" t="e">
        <f>VLOOKUP(#REF!,'מלאי לא תקין'!A:N,17,0)</f>
        <v>#REF!</v>
      </c>
      <c r="T1162" t="e">
        <f t="shared" si="38"/>
        <v>#REF!</v>
      </c>
      <c r="U1162" t="e">
        <f t="shared" si="39"/>
        <v>#REF!</v>
      </c>
    </row>
    <row r="1163" spans="4:21" x14ac:dyDescent="0.2">
      <c r="D1163" s="4"/>
      <c r="G1163" s="5"/>
      <c r="H1163" s="7"/>
      <c r="I1163" s="4"/>
      <c r="J1163" s="4"/>
      <c r="K1163" s="5"/>
      <c r="Q1163" t="e">
        <f>VLOOKUP(A1163,'גיליון דאטה להכל'!A:E,5,0)</f>
        <v>#N/A</v>
      </c>
      <c r="R1163" t="e">
        <f>VLOOKUP(A1163,'לעדכן בסינתזה דאטה אריזה 42+24'!$A:$C,3,0)</f>
        <v>#N/A</v>
      </c>
      <c r="S1163" t="e">
        <f>VLOOKUP(#REF!,'מלאי לא תקין'!A:N,17,0)</f>
        <v>#REF!</v>
      </c>
      <c r="T1163" t="e">
        <f t="shared" si="38"/>
        <v>#REF!</v>
      </c>
      <c r="U1163" t="e">
        <f t="shared" si="39"/>
        <v>#REF!</v>
      </c>
    </row>
    <row r="1164" spans="4:21" x14ac:dyDescent="0.2">
      <c r="D1164" s="4"/>
      <c r="G1164" s="5"/>
      <c r="H1164" s="5"/>
      <c r="I1164" s="4"/>
      <c r="J1164" s="4"/>
      <c r="K1164" s="5"/>
      <c r="Q1164" t="e">
        <f>VLOOKUP(A1164,'גיליון דאטה להכל'!A:E,5,0)</f>
        <v>#N/A</v>
      </c>
      <c r="R1164" t="e">
        <f>VLOOKUP(A1164,'לעדכן בסינתזה דאטה אריזה 42+24'!$A:$C,3,0)</f>
        <v>#N/A</v>
      </c>
      <c r="S1164" t="e">
        <f>VLOOKUP(#REF!,'מלאי לא תקין'!A:N,17,0)</f>
        <v>#REF!</v>
      </c>
      <c r="T1164" t="e">
        <f t="shared" si="38"/>
        <v>#REF!</v>
      </c>
      <c r="U1164" t="e">
        <f t="shared" si="39"/>
        <v>#REF!</v>
      </c>
    </row>
    <row r="1165" spans="4:21" x14ac:dyDescent="0.2">
      <c r="D1165" s="4"/>
      <c r="G1165" s="5"/>
      <c r="H1165" s="5"/>
      <c r="I1165" s="4"/>
      <c r="J1165" s="4"/>
      <c r="K1165" s="5"/>
      <c r="Q1165" t="e">
        <f>VLOOKUP(A1165,'גיליון דאטה להכל'!A:E,5,0)</f>
        <v>#N/A</v>
      </c>
      <c r="R1165" t="e">
        <f>VLOOKUP(A1165,'לעדכן בסינתזה דאטה אריזה 42+24'!$A:$C,3,0)</f>
        <v>#N/A</v>
      </c>
      <c r="S1165" t="e">
        <f>VLOOKUP(#REF!,'מלאי לא תקין'!A:N,17,0)</f>
        <v>#REF!</v>
      </c>
      <c r="T1165" t="e">
        <f t="shared" si="38"/>
        <v>#REF!</v>
      </c>
      <c r="U1165" t="e">
        <f t="shared" si="39"/>
        <v>#REF!</v>
      </c>
    </row>
    <row r="1166" spans="4:21" x14ac:dyDescent="0.2">
      <c r="D1166" s="4"/>
      <c r="G1166" s="5"/>
      <c r="H1166" s="5"/>
      <c r="I1166" s="4"/>
      <c r="J1166" s="4"/>
      <c r="K1166" s="5"/>
      <c r="Q1166" t="e">
        <f>VLOOKUP(A1166,'גיליון דאטה להכל'!A:E,5,0)</f>
        <v>#N/A</v>
      </c>
      <c r="R1166" t="e">
        <f>VLOOKUP(A1166,'לעדכן בסינתזה דאטה אריזה 42+24'!$A:$C,3,0)</f>
        <v>#N/A</v>
      </c>
      <c r="S1166" t="e">
        <f>VLOOKUP(#REF!,'מלאי לא תקין'!A:N,17,0)</f>
        <v>#REF!</v>
      </c>
      <c r="T1166" t="e">
        <f t="shared" si="38"/>
        <v>#REF!</v>
      </c>
      <c r="U1166" t="e">
        <f t="shared" si="39"/>
        <v>#REF!</v>
      </c>
    </row>
    <row r="1167" spans="4:21" x14ac:dyDescent="0.2">
      <c r="D1167" s="4"/>
      <c r="G1167" s="5"/>
      <c r="H1167" s="5"/>
      <c r="I1167" s="4"/>
      <c r="J1167" s="4"/>
      <c r="K1167" s="5"/>
      <c r="Q1167" t="e">
        <f>VLOOKUP(A1167,'גיליון דאטה להכל'!A:E,5,0)</f>
        <v>#N/A</v>
      </c>
      <c r="R1167" t="e">
        <f>VLOOKUP(A1167,'לעדכן בסינתזה דאטה אריזה 42+24'!$A:$C,3,0)</f>
        <v>#N/A</v>
      </c>
      <c r="S1167" t="e">
        <f>VLOOKUP(#REF!,'מלאי לא תקין'!A:N,17,0)</f>
        <v>#REF!</v>
      </c>
      <c r="T1167" t="e">
        <f t="shared" si="38"/>
        <v>#REF!</v>
      </c>
      <c r="U1167" t="e">
        <f t="shared" si="39"/>
        <v>#REF!</v>
      </c>
    </row>
    <row r="1168" spans="4:21" x14ac:dyDescent="0.2">
      <c r="D1168" s="4"/>
      <c r="G1168" s="5"/>
      <c r="H1168" s="7"/>
      <c r="I1168" s="4"/>
      <c r="J1168" s="4"/>
      <c r="K1168" s="5"/>
      <c r="Q1168" t="e">
        <f>VLOOKUP(A1168,'גיליון דאטה להכל'!A:E,5,0)</f>
        <v>#N/A</v>
      </c>
      <c r="R1168" t="e">
        <f>VLOOKUP(A1168,'לעדכן בסינתזה דאטה אריזה 42+24'!$A:$C,3,0)</f>
        <v>#N/A</v>
      </c>
      <c r="S1168" t="e">
        <f>VLOOKUP(#REF!,'מלאי לא תקין'!A:N,17,0)</f>
        <v>#REF!</v>
      </c>
      <c r="T1168" t="e">
        <f t="shared" si="38"/>
        <v>#REF!</v>
      </c>
      <c r="U1168" t="e">
        <f t="shared" si="39"/>
        <v>#REF!</v>
      </c>
    </row>
    <row r="1169" spans="4:21" x14ac:dyDescent="0.2">
      <c r="D1169" s="4"/>
      <c r="G1169" s="5"/>
      <c r="H1169" s="5"/>
      <c r="I1169" s="4"/>
      <c r="J1169" s="4"/>
      <c r="K1169" s="5"/>
      <c r="Q1169" t="e">
        <f>VLOOKUP(A1169,'גיליון דאטה להכל'!A:E,5,0)</f>
        <v>#N/A</v>
      </c>
      <c r="R1169" t="e">
        <f>VLOOKUP(A1169,'לעדכן בסינתזה דאטה אריזה 42+24'!$A:$C,3,0)</f>
        <v>#N/A</v>
      </c>
      <c r="S1169" t="e">
        <f>VLOOKUP(#REF!,'מלאי לא תקין'!A:N,17,0)</f>
        <v>#REF!</v>
      </c>
      <c r="T1169" t="e">
        <f t="shared" si="38"/>
        <v>#REF!</v>
      </c>
      <c r="U1169" t="e">
        <f t="shared" si="39"/>
        <v>#REF!</v>
      </c>
    </row>
    <row r="1170" spans="4:21" x14ac:dyDescent="0.2">
      <c r="D1170" s="4"/>
      <c r="G1170" s="5"/>
      <c r="H1170" s="5"/>
      <c r="I1170" s="4"/>
      <c r="J1170" s="4"/>
      <c r="K1170" s="5"/>
      <c r="Q1170" t="e">
        <f>VLOOKUP(A1170,'גיליון דאטה להכל'!A:E,5,0)</f>
        <v>#N/A</v>
      </c>
      <c r="R1170" t="e">
        <f>VLOOKUP(A1170,'לעדכן בסינתזה דאטה אריזה 42+24'!$A:$C,3,0)</f>
        <v>#N/A</v>
      </c>
      <c r="S1170" t="e">
        <f>VLOOKUP(#REF!,'מלאי לא תקין'!A:N,17,0)</f>
        <v>#REF!</v>
      </c>
      <c r="T1170" t="e">
        <f t="shared" si="38"/>
        <v>#REF!</v>
      </c>
      <c r="U1170" t="e">
        <f t="shared" si="39"/>
        <v>#REF!</v>
      </c>
    </row>
    <row r="1171" spans="4:21" x14ac:dyDescent="0.2">
      <c r="D1171" s="4"/>
      <c r="G1171" s="5"/>
      <c r="H1171" s="5"/>
      <c r="I1171" s="4"/>
      <c r="J1171" s="4"/>
      <c r="K1171" s="5"/>
      <c r="Q1171" t="e">
        <f>VLOOKUP(A1171,'גיליון דאטה להכל'!A:E,5,0)</f>
        <v>#N/A</v>
      </c>
      <c r="R1171" t="e">
        <f>VLOOKUP(A1171,'לעדכן בסינתזה דאטה אריזה 42+24'!$A:$C,3,0)</f>
        <v>#N/A</v>
      </c>
      <c r="S1171" t="e">
        <f>VLOOKUP(#REF!,'מלאי לא תקין'!A:N,17,0)</f>
        <v>#REF!</v>
      </c>
      <c r="T1171" t="e">
        <f t="shared" si="38"/>
        <v>#REF!</v>
      </c>
      <c r="U1171" t="e">
        <f t="shared" si="39"/>
        <v>#REF!</v>
      </c>
    </row>
    <row r="1172" spans="4:21" x14ac:dyDescent="0.2">
      <c r="D1172" s="4"/>
      <c r="G1172" s="5"/>
      <c r="H1172" s="5"/>
      <c r="I1172" s="4"/>
      <c r="J1172" s="4"/>
      <c r="K1172" s="5"/>
      <c r="Q1172" t="e">
        <f>VLOOKUP(A1172,'גיליון דאטה להכל'!A:E,5,0)</f>
        <v>#N/A</v>
      </c>
      <c r="R1172" t="e">
        <f>VLOOKUP(A1172,'לעדכן בסינתזה דאטה אריזה 42+24'!$A:$C,3,0)</f>
        <v>#N/A</v>
      </c>
      <c r="S1172" t="e">
        <f>VLOOKUP(#REF!,'מלאי לא תקין'!A:N,17,0)</f>
        <v>#REF!</v>
      </c>
      <c r="T1172" t="e">
        <f t="shared" si="38"/>
        <v>#REF!</v>
      </c>
      <c r="U1172" t="e">
        <f t="shared" si="39"/>
        <v>#REF!</v>
      </c>
    </row>
    <row r="1173" spans="4:21" x14ac:dyDescent="0.2">
      <c r="D1173" s="4"/>
      <c r="G1173" s="5"/>
      <c r="H1173" s="7"/>
      <c r="I1173" s="4"/>
      <c r="J1173" s="4"/>
      <c r="K1173" s="5"/>
      <c r="Q1173" t="e">
        <f>VLOOKUP(A1173,'גיליון דאטה להכל'!A:E,5,0)</f>
        <v>#N/A</v>
      </c>
      <c r="R1173" t="e">
        <f>VLOOKUP(A1173,'לעדכן בסינתזה דאטה אריזה 42+24'!$A:$C,3,0)</f>
        <v>#N/A</v>
      </c>
      <c r="S1173" t="e">
        <f>VLOOKUP(#REF!,'מלאי לא תקין'!A:N,17,0)</f>
        <v>#REF!</v>
      </c>
      <c r="T1173" t="e">
        <f t="shared" si="38"/>
        <v>#REF!</v>
      </c>
      <c r="U1173" t="e">
        <f t="shared" si="39"/>
        <v>#REF!</v>
      </c>
    </row>
    <row r="1174" spans="4:21" x14ac:dyDescent="0.2">
      <c r="D1174" s="4"/>
      <c r="G1174" s="5"/>
      <c r="H1174" s="5"/>
      <c r="I1174" s="4"/>
      <c r="J1174" s="4"/>
      <c r="K1174" s="5"/>
      <c r="Q1174" t="e">
        <f>VLOOKUP(A1174,'גיליון דאטה להכל'!A:E,5,0)</f>
        <v>#N/A</v>
      </c>
      <c r="R1174" t="e">
        <f>VLOOKUP(A1174,'לעדכן בסינתזה דאטה אריזה 42+24'!$A:$C,3,0)</f>
        <v>#N/A</v>
      </c>
      <c r="S1174" t="e">
        <f>VLOOKUP(#REF!,'מלאי לא תקין'!A:N,17,0)</f>
        <v>#REF!</v>
      </c>
      <c r="T1174" t="e">
        <f t="shared" si="38"/>
        <v>#REF!</v>
      </c>
      <c r="U1174" t="e">
        <f t="shared" si="39"/>
        <v>#REF!</v>
      </c>
    </row>
    <row r="1175" spans="4:21" x14ac:dyDescent="0.2">
      <c r="D1175" s="4"/>
      <c r="G1175" s="5"/>
      <c r="H1175" s="5"/>
      <c r="I1175" s="4"/>
      <c r="J1175" s="4"/>
      <c r="K1175" s="5"/>
      <c r="Q1175" t="e">
        <f>VLOOKUP(A1175,'גיליון דאטה להכל'!A:E,5,0)</f>
        <v>#N/A</v>
      </c>
      <c r="R1175" t="e">
        <f>VLOOKUP(A1175,'לעדכן בסינתזה דאטה אריזה 42+24'!$A:$C,3,0)</f>
        <v>#N/A</v>
      </c>
      <c r="S1175" t="e">
        <f>VLOOKUP(#REF!,'מלאי לא תקין'!A:N,17,0)</f>
        <v>#REF!</v>
      </c>
      <c r="T1175" t="e">
        <f t="shared" si="38"/>
        <v>#REF!</v>
      </c>
      <c r="U1175" t="e">
        <f t="shared" si="39"/>
        <v>#REF!</v>
      </c>
    </row>
    <row r="1176" spans="4:21" x14ac:dyDescent="0.2">
      <c r="D1176" s="4"/>
      <c r="G1176" s="5"/>
      <c r="H1176" s="5"/>
      <c r="I1176" s="4"/>
      <c r="J1176" s="4"/>
      <c r="K1176" s="5"/>
      <c r="Q1176" t="e">
        <f>VLOOKUP(A1176,'גיליון דאטה להכל'!A:E,5,0)</f>
        <v>#N/A</v>
      </c>
      <c r="R1176" t="e">
        <f>VLOOKUP(A1176,'לעדכן בסינתזה דאטה אריזה 42+24'!$A:$C,3,0)</f>
        <v>#N/A</v>
      </c>
      <c r="S1176" t="e">
        <f>VLOOKUP(#REF!,'מלאי לא תקין'!A:N,17,0)</f>
        <v>#REF!</v>
      </c>
      <c r="T1176" t="e">
        <f t="shared" si="38"/>
        <v>#REF!</v>
      </c>
      <c r="U1176" t="e">
        <f t="shared" si="39"/>
        <v>#REF!</v>
      </c>
    </row>
    <row r="1177" spans="4:21" x14ac:dyDescent="0.2">
      <c r="D1177" s="4"/>
      <c r="G1177" s="5"/>
      <c r="H1177" s="5"/>
      <c r="I1177" s="4"/>
      <c r="J1177" s="4"/>
      <c r="K1177" s="5"/>
      <c r="Q1177" t="e">
        <f>VLOOKUP(A1177,'גיליון דאטה להכל'!A:E,5,0)</f>
        <v>#N/A</v>
      </c>
      <c r="R1177" t="e">
        <f>VLOOKUP(A1177,'לעדכן בסינתזה דאטה אריזה 42+24'!$A:$C,3,0)</f>
        <v>#N/A</v>
      </c>
      <c r="S1177" t="e">
        <f>VLOOKUP(#REF!,'מלאי לא תקין'!A:N,17,0)</f>
        <v>#REF!</v>
      </c>
      <c r="T1177" t="e">
        <f t="shared" si="38"/>
        <v>#REF!</v>
      </c>
      <c r="U1177" t="e">
        <f t="shared" si="39"/>
        <v>#REF!</v>
      </c>
    </row>
    <row r="1178" spans="4:21" x14ac:dyDescent="0.2">
      <c r="D1178" s="4"/>
      <c r="G1178" s="5"/>
      <c r="H1178" s="7"/>
      <c r="I1178" s="4"/>
      <c r="J1178" s="4"/>
      <c r="K1178" s="5"/>
      <c r="Q1178" t="e">
        <f>VLOOKUP(A1178,'גיליון דאטה להכל'!A:E,5,0)</f>
        <v>#N/A</v>
      </c>
      <c r="R1178" t="e">
        <f>VLOOKUP(A1178,'לעדכן בסינתזה דאטה אריזה 42+24'!$A:$C,3,0)</f>
        <v>#N/A</v>
      </c>
      <c r="S1178" t="e">
        <f>VLOOKUP(#REF!,'מלאי לא תקין'!A:N,17,0)</f>
        <v>#REF!</v>
      </c>
      <c r="T1178" t="e">
        <f t="shared" si="38"/>
        <v>#REF!</v>
      </c>
      <c r="U1178" t="e">
        <f t="shared" si="39"/>
        <v>#REF!</v>
      </c>
    </row>
    <row r="1179" spans="4:21" x14ac:dyDescent="0.2">
      <c r="D1179" s="4"/>
      <c r="G1179" s="5"/>
      <c r="H1179" s="5"/>
      <c r="I1179" s="4"/>
      <c r="J1179" s="4"/>
      <c r="K1179" s="5"/>
      <c r="Q1179" t="e">
        <f>VLOOKUP(A1179,'גיליון דאטה להכל'!A:E,5,0)</f>
        <v>#N/A</v>
      </c>
      <c r="R1179" t="e">
        <f>VLOOKUP(A1179,'לעדכן בסינתזה דאטה אריזה 42+24'!$A:$C,3,0)</f>
        <v>#N/A</v>
      </c>
      <c r="S1179" t="e">
        <f>VLOOKUP(#REF!,'מלאי לא תקין'!A:N,17,0)</f>
        <v>#REF!</v>
      </c>
      <c r="T1179" t="e">
        <f t="shared" si="38"/>
        <v>#REF!</v>
      </c>
      <c r="U1179" t="e">
        <f t="shared" si="39"/>
        <v>#REF!</v>
      </c>
    </row>
    <row r="1180" spans="4:21" x14ac:dyDescent="0.2">
      <c r="D1180" s="4"/>
      <c r="G1180" s="5"/>
      <c r="H1180" s="5"/>
      <c r="I1180" s="4"/>
      <c r="J1180" s="4"/>
      <c r="K1180" s="5"/>
      <c r="Q1180" t="e">
        <f>VLOOKUP(A1180,'גיליון דאטה להכל'!A:E,5,0)</f>
        <v>#N/A</v>
      </c>
      <c r="R1180" t="e">
        <f>VLOOKUP(A1180,'לעדכן בסינתזה דאטה אריזה 42+24'!$A:$C,3,0)</f>
        <v>#N/A</v>
      </c>
      <c r="S1180" t="e">
        <f>VLOOKUP(#REF!,'מלאי לא תקין'!A:N,17,0)</f>
        <v>#REF!</v>
      </c>
      <c r="T1180" t="e">
        <f t="shared" si="38"/>
        <v>#REF!</v>
      </c>
      <c r="U1180" t="e">
        <f t="shared" si="39"/>
        <v>#REF!</v>
      </c>
    </row>
    <row r="1181" spans="4:21" x14ac:dyDescent="0.2">
      <c r="D1181" s="4"/>
      <c r="G1181" s="5"/>
      <c r="H1181" s="5"/>
      <c r="I1181" s="4"/>
      <c r="J1181" s="4"/>
      <c r="K1181" s="5"/>
      <c r="Q1181" t="e">
        <f>VLOOKUP(A1181,'גיליון דאטה להכל'!A:E,5,0)</f>
        <v>#N/A</v>
      </c>
      <c r="R1181" t="e">
        <f>VLOOKUP(A1181,'לעדכן בסינתזה דאטה אריזה 42+24'!$A:$C,3,0)</f>
        <v>#N/A</v>
      </c>
      <c r="S1181" t="e">
        <f>VLOOKUP(#REF!,'מלאי לא תקין'!A:N,17,0)</f>
        <v>#REF!</v>
      </c>
      <c r="T1181" t="e">
        <f t="shared" si="38"/>
        <v>#REF!</v>
      </c>
      <c r="U1181" t="e">
        <f t="shared" si="39"/>
        <v>#REF!</v>
      </c>
    </row>
    <row r="1182" spans="4:21" x14ac:dyDescent="0.2">
      <c r="D1182" s="4"/>
      <c r="G1182" s="5"/>
      <c r="H1182" s="5"/>
      <c r="I1182" s="4"/>
      <c r="J1182" s="4"/>
      <c r="K1182" s="5"/>
      <c r="Q1182" t="e">
        <f>VLOOKUP(A1182,'גיליון דאטה להכל'!A:E,5,0)</f>
        <v>#N/A</v>
      </c>
      <c r="R1182" t="e">
        <f>VLOOKUP(A1182,'לעדכן בסינתזה דאטה אריזה 42+24'!$A:$C,3,0)</f>
        <v>#N/A</v>
      </c>
      <c r="S1182" t="e">
        <f>VLOOKUP(#REF!,'מלאי לא תקין'!A:N,17,0)</f>
        <v>#REF!</v>
      </c>
      <c r="T1182" t="e">
        <f t="shared" si="38"/>
        <v>#REF!</v>
      </c>
      <c r="U1182" t="e">
        <f t="shared" si="39"/>
        <v>#REF!</v>
      </c>
    </row>
    <row r="1183" spans="4:21" x14ac:dyDescent="0.2">
      <c r="D1183" s="4"/>
      <c r="G1183" s="5"/>
      <c r="H1183" s="7"/>
      <c r="I1183" s="4"/>
      <c r="J1183" s="4"/>
      <c r="K1183" s="5"/>
      <c r="Q1183" t="e">
        <f>VLOOKUP(A1183,'גיליון דאטה להכל'!A:E,5,0)</f>
        <v>#N/A</v>
      </c>
      <c r="R1183" t="e">
        <f>VLOOKUP(A1183,'לעדכן בסינתזה דאטה אריזה 42+24'!$A:$C,3,0)</f>
        <v>#N/A</v>
      </c>
      <c r="S1183" t="e">
        <f>VLOOKUP(#REF!,'מלאי לא תקין'!A:N,17,0)</f>
        <v>#REF!</v>
      </c>
      <c r="T1183" t="e">
        <f t="shared" si="38"/>
        <v>#REF!</v>
      </c>
      <c r="U1183" t="e">
        <f t="shared" si="39"/>
        <v>#REF!</v>
      </c>
    </row>
    <row r="1184" spans="4:21" x14ac:dyDescent="0.2">
      <c r="D1184" s="4"/>
      <c r="G1184" s="5"/>
      <c r="H1184" s="5"/>
      <c r="I1184" s="4"/>
      <c r="J1184" s="4"/>
      <c r="K1184" s="5"/>
      <c r="Q1184" t="e">
        <f>VLOOKUP(A1184,'גיליון דאטה להכל'!A:E,5,0)</f>
        <v>#N/A</v>
      </c>
      <c r="R1184" t="e">
        <f>VLOOKUP(A1184,'לעדכן בסינתזה דאטה אריזה 42+24'!$A:$C,3,0)</f>
        <v>#N/A</v>
      </c>
      <c r="S1184" t="e">
        <f>VLOOKUP(#REF!,'מלאי לא תקין'!A:N,17,0)</f>
        <v>#REF!</v>
      </c>
      <c r="T1184" t="e">
        <f t="shared" si="38"/>
        <v>#REF!</v>
      </c>
      <c r="U1184" t="e">
        <f t="shared" si="39"/>
        <v>#REF!</v>
      </c>
    </row>
    <row r="1185" spans="4:21" x14ac:dyDescent="0.2">
      <c r="D1185" s="4"/>
      <c r="G1185" s="5"/>
      <c r="H1185" s="5"/>
      <c r="I1185" s="4"/>
      <c r="J1185" s="4"/>
      <c r="K1185" s="5"/>
      <c r="Q1185" t="e">
        <f>VLOOKUP(A1185,'גיליון דאטה להכל'!A:E,5,0)</f>
        <v>#N/A</v>
      </c>
      <c r="R1185" t="e">
        <f>VLOOKUP(A1185,'לעדכן בסינתזה דאטה אריזה 42+24'!$A:$C,3,0)</f>
        <v>#N/A</v>
      </c>
      <c r="S1185" t="e">
        <f>VLOOKUP(#REF!,'מלאי לא תקין'!A:N,17,0)</f>
        <v>#REF!</v>
      </c>
      <c r="T1185" t="e">
        <f t="shared" si="38"/>
        <v>#REF!</v>
      </c>
      <c r="U1185" t="e">
        <f t="shared" si="39"/>
        <v>#REF!</v>
      </c>
    </row>
    <row r="1186" spans="4:21" x14ac:dyDescent="0.2">
      <c r="D1186" s="4"/>
      <c r="G1186" s="5"/>
      <c r="H1186" s="5"/>
      <c r="I1186" s="4"/>
      <c r="J1186" s="4"/>
      <c r="K1186" s="5"/>
      <c r="Q1186" t="e">
        <f>VLOOKUP(A1186,'גיליון דאטה להכל'!A:E,5,0)</f>
        <v>#N/A</v>
      </c>
      <c r="R1186" t="e">
        <f>VLOOKUP(A1186,'לעדכן בסינתזה דאטה אריזה 42+24'!$A:$C,3,0)</f>
        <v>#N/A</v>
      </c>
      <c r="S1186" t="e">
        <f>VLOOKUP(#REF!,'מלאי לא תקין'!A:N,17,0)</f>
        <v>#REF!</v>
      </c>
      <c r="T1186" t="e">
        <f t="shared" si="38"/>
        <v>#REF!</v>
      </c>
      <c r="U1186" t="e">
        <f t="shared" si="39"/>
        <v>#REF!</v>
      </c>
    </row>
    <row r="1187" spans="4:21" x14ac:dyDescent="0.2">
      <c r="D1187" s="4"/>
      <c r="G1187" s="5"/>
      <c r="H1187" s="7"/>
      <c r="I1187" s="4"/>
      <c r="J1187" s="4"/>
      <c r="K1187" s="5"/>
      <c r="Q1187" t="e">
        <f>VLOOKUP(A1187,'גיליון דאטה להכל'!A:E,5,0)</f>
        <v>#N/A</v>
      </c>
      <c r="R1187" t="e">
        <f>VLOOKUP(A1187,'לעדכן בסינתזה דאטה אריזה 42+24'!$A:$C,3,0)</f>
        <v>#N/A</v>
      </c>
      <c r="S1187" t="e">
        <f>VLOOKUP(#REF!,'מלאי לא תקין'!A:N,17,0)</f>
        <v>#REF!</v>
      </c>
      <c r="T1187" t="e">
        <f t="shared" si="38"/>
        <v>#REF!</v>
      </c>
      <c r="U1187" t="e">
        <f t="shared" si="39"/>
        <v>#REF!</v>
      </c>
    </row>
    <row r="1188" spans="4:21" x14ac:dyDescent="0.2">
      <c r="D1188" s="4"/>
      <c r="G1188" s="5"/>
      <c r="H1188" s="5"/>
      <c r="I1188" s="4"/>
      <c r="J1188" s="4"/>
      <c r="K1188" s="5"/>
      <c r="Q1188" t="e">
        <f>VLOOKUP(A1188,'גיליון דאטה להכל'!A:E,5,0)</f>
        <v>#N/A</v>
      </c>
      <c r="R1188" t="e">
        <f>VLOOKUP(A1188,'לעדכן בסינתזה דאטה אריזה 42+24'!$A:$C,3,0)</f>
        <v>#N/A</v>
      </c>
      <c r="S1188" t="e">
        <f>VLOOKUP(#REF!,'מלאי לא תקין'!A:N,17,0)</f>
        <v>#REF!</v>
      </c>
      <c r="T1188" t="e">
        <f t="shared" si="38"/>
        <v>#REF!</v>
      </c>
      <c r="U1188" t="e">
        <f t="shared" si="39"/>
        <v>#REF!</v>
      </c>
    </row>
    <row r="1189" spans="4:21" x14ac:dyDescent="0.2">
      <c r="D1189" s="4"/>
      <c r="G1189" s="5"/>
      <c r="H1189" s="5"/>
      <c r="I1189" s="4"/>
      <c r="J1189" s="4"/>
      <c r="K1189" s="5"/>
      <c r="Q1189" t="e">
        <f>VLOOKUP(A1189,'גיליון דאטה להכל'!A:E,5,0)</f>
        <v>#N/A</v>
      </c>
      <c r="R1189" t="e">
        <f>VLOOKUP(A1189,'לעדכן בסינתזה דאטה אריזה 42+24'!$A:$C,3,0)</f>
        <v>#N/A</v>
      </c>
      <c r="S1189" t="e">
        <f>VLOOKUP(#REF!,'מלאי לא תקין'!A:N,17,0)</f>
        <v>#REF!</v>
      </c>
      <c r="T1189" t="e">
        <f t="shared" si="38"/>
        <v>#REF!</v>
      </c>
      <c r="U1189" t="e">
        <f t="shared" si="39"/>
        <v>#REF!</v>
      </c>
    </row>
    <row r="1190" spans="4:21" x14ac:dyDescent="0.2">
      <c r="D1190" s="4"/>
      <c r="G1190" s="5"/>
      <c r="H1190" s="5"/>
      <c r="I1190" s="4"/>
      <c r="J1190" s="4"/>
      <c r="K1190" s="5"/>
      <c r="Q1190" t="e">
        <f>VLOOKUP(A1190,'גיליון דאטה להכל'!A:E,5,0)</f>
        <v>#N/A</v>
      </c>
      <c r="R1190" t="e">
        <f>VLOOKUP(A1190,'לעדכן בסינתזה דאטה אריזה 42+24'!$A:$C,3,0)</f>
        <v>#N/A</v>
      </c>
      <c r="S1190" t="e">
        <f>VLOOKUP(#REF!,'מלאי לא תקין'!A:N,17,0)</f>
        <v>#REF!</v>
      </c>
      <c r="T1190" t="e">
        <f t="shared" si="38"/>
        <v>#REF!</v>
      </c>
      <c r="U1190" t="e">
        <f t="shared" si="39"/>
        <v>#REF!</v>
      </c>
    </row>
    <row r="1191" spans="4:21" x14ac:dyDescent="0.2">
      <c r="D1191" s="4"/>
      <c r="G1191" s="5"/>
      <c r="H1191" s="5"/>
      <c r="I1191" s="4"/>
      <c r="J1191" s="4"/>
      <c r="K1191" s="5"/>
      <c r="Q1191" t="e">
        <f>VLOOKUP(A1191,'גיליון דאטה להכל'!A:E,5,0)</f>
        <v>#N/A</v>
      </c>
      <c r="R1191" t="e">
        <f>VLOOKUP(A1191,'לעדכן בסינתזה דאטה אריזה 42+24'!$A:$C,3,0)</f>
        <v>#N/A</v>
      </c>
      <c r="S1191" t="e">
        <f>VLOOKUP(#REF!,'מלאי לא תקין'!A:N,17,0)</f>
        <v>#REF!</v>
      </c>
      <c r="T1191" t="e">
        <f t="shared" si="38"/>
        <v>#REF!</v>
      </c>
      <c r="U1191" t="e">
        <f t="shared" si="39"/>
        <v>#REF!</v>
      </c>
    </row>
    <row r="1192" spans="4:21" x14ac:dyDescent="0.2">
      <c r="D1192" s="4"/>
      <c r="G1192" s="5"/>
      <c r="H1192" s="7"/>
      <c r="I1192" s="4"/>
      <c r="J1192" s="4"/>
      <c r="K1192" s="5"/>
      <c r="Q1192" t="e">
        <f>VLOOKUP(A1192,'גיליון דאטה להכל'!A:E,5,0)</f>
        <v>#N/A</v>
      </c>
      <c r="R1192" t="e">
        <f>VLOOKUP(A1192,'לעדכן בסינתזה דאטה אריזה 42+24'!$A:$C,3,0)</f>
        <v>#N/A</v>
      </c>
      <c r="S1192" t="e">
        <f>VLOOKUP(#REF!,'מלאי לא תקין'!A:N,17,0)</f>
        <v>#REF!</v>
      </c>
      <c r="T1192" t="e">
        <f t="shared" si="38"/>
        <v>#REF!</v>
      </c>
      <c r="U1192" t="e">
        <f t="shared" si="39"/>
        <v>#REF!</v>
      </c>
    </row>
    <row r="1193" spans="4:21" x14ac:dyDescent="0.2">
      <c r="D1193" s="4"/>
      <c r="G1193" s="5"/>
      <c r="H1193" s="5"/>
      <c r="I1193" s="4"/>
      <c r="J1193" s="4"/>
      <c r="K1193" s="5"/>
      <c r="Q1193" t="e">
        <f>VLOOKUP(A1193,'גיליון דאטה להכל'!A:E,5,0)</f>
        <v>#N/A</v>
      </c>
      <c r="R1193" t="e">
        <f>VLOOKUP(A1193,'לעדכן בסינתזה דאטה אריזה 42+24'!$A:$C,3,0)</f>
        <v>#N/A</v>
      </c>
      <c r="S1193" t="e">
        <f>VLOOKUP(#REF!,'מלאי לא תקין'!A:N,17,0)</f>
        <v>#REF!</v>
      </c>
      <c r="T1193" t="e">
        <f t="shared" si="38"/>
        <v>#REF!</v>
      </c>
      <c r="U1193" t="e">
        <f t="shared" si="39"/>
        <v>#REF!</v>
      </c>
    </row>
    <row r="1194" spans="4:21" x14ac:dyDescent="0.2">
      <c r="D1194" s="4"/>
      <c r="G1194" s="5"/>
      <c r="H1194" s="5"/>
      <c r="I1194" s="4"/>
      <c r="J1194" s="4"/>
      <c r="K1194" s="5"/>
      <c r="Q1194" t="e">
        <f>VLOOKUP(A1194,'גיליון דאטה להכל'!A:E,5,0)</f>
        <v>#N/A</v>
      </c>
      <c r="R1194" t="e">
        <f>VLOOKUP(A1194,'לעדכן בסינתזה דאטה אריזה 42+24'!$A:$C,3,0)</f>
        <v>#N/A</v>
      </c>
      <c r="S1194" t="e">
        <f>VLOOKUP(#REF!,'מלאי לא תקין'!A:N,17,0)</f>
        <v>#REF!</v>
      </c>
      <c r="T1194" t="e">
        <f t="shared" si="38"/>
        <v>#REF!</v>
      </c>
      <c r="U1194" t="e">
        <f t="shared" si="39"/>
        <v>#REF!</v>
      </c>
    </row>
    <row r="1195" spans="4:21" x14ac:dyDescent="0.2">
      <c r="D1195" s="4"/>
      <c r="G1195" s="5"/>
      <c r="H1195" s="5"/>
      <c r="I1195" s="4"/>
      <c r="J1195" s="4"/>
      <c r="K1195" s="5"/>
      <c r="Q1195" t="e">
        <f>VLOOKUP(A1195,'גיליון דאטה להכל'!A:E,5,0)</f>
        <v>#N/A</v>
      </c>
      <c r="R1195" t="e">
        <f>VLOOKUP(A1195,'לעדכן בסינתזה דאטה אריזה 42+24'!$A:$C,3,0)</f>
        <v>#N/A</v>
      </c>
      <c r="S1195" t="e">
        <f>VLOOKUP(#REF!,'מלאי לא תקין'!A:N,17,0)</f>
        <v>#REF!</v>
      </c>
      <c r="T1195" t="e">
        <f t="shared" si="38"/>
        <v>#REF!</v>
      </c>
      <c r="U1195" t="e">
        <f t="shared" si="39"/>
        <v>#REF!</v>
      </c>
    </row>
    <row r="1196" spans="4:21" x14ac:dyDescent="0.2">
      <c r="D1196" s="4"/>
      <c r="G1196" s="5"/>
      <c r="H1196" s="5"/>
      <c r="I1196" s="4"/>
      <c r="J1196" s="4"/>
      <c r="K1196" s="5"/>
      <c r="Q1196" t="e">
        <f>VLOOKUP(A1196,'גיליון דאטה להכל'!A:E,5,0)</f>
        <v>#N/A</v>
      </c>
      <c r="R1196" t="e">
        <f>VLOOKUP(A1196,'לעדכן בסינתזה דאטה אריזה 42+24'!$A:$C,3,0)</f>
        <v>#N/A</v>
      </c>
      <c r="S1196" t="e">
        <f>VLOOKUP(#REF!,'מלאי לא תקין'!A:N,17,0)</f>
        <v>#REF!</v>
      </c>
      <c r="T1196" t="e">
        <f t="shared" si="38"/>
        <v>#REF!</v>
      </c>
      <c r="U1196" t="e">
        <f t="shared" si="39"/>
        <v>#REF!</v>
      </c>
    </row>
    <row r="1197" spans="4:21" x14ac:dyDescent="0.2">
      <c r="D1197" s="4"/>
      <c r="G1197" s="5"/>
      <c r="H1197" s="7"/>
      <c r="I1197" s="4"/>
      <c r="J1197" s="4"/>
      <c r="K1197" s="5"/>
      <c r="Q1197" t="e">
        <f>VLOOKUP(A1197,'גיליון דאטה להכל'!A:E,5,0)</f>
        <v>#N/A</v>
      </c>
      <c r="R1197" t="e">
        <f>VLOOKUP(A1197,'לעדכן בסינתזה דאטה אריזה 42+24'!$A:$C,3,0)</f>
        <v>#N/A</v>
      </c>
      <c r="S1197" t="e">
        <f>VLOOKUP(#REF!,'מלאי לא תקין'!A:N,17,0)</f>
        <v>#REF!</v>
      </c>
      <c r="T1197" t="e">
        <f t="shared" si="38"/>
        <v>#REF!</v>
      </c>
      <c r="U1197" t="e">
        <f t="shared" si="39"/>
        <v>#REF!</v>
      </c>
    </row>
    <row r="1198" spans="4:21" x14ac:dyDescent="0.2">
      <c r="D1198" s="4"/>
      <c r="G1198" s="5"/>
      <c r="H1198" s="5"/>
      <c r="I1198" s="4"/>
      <c r="J1198" s="4"/>
      <c r="K1198" s="5"/>
      <c r="Q1198" t="e">
        <f>VLOOKUP(A1198,'גיליון דאטה להכל'!A:E,5,0)</f>
        <v>#N/A</v>
      </c>
      <c r="R1198" t="e">
        <f>VLOOKUP(A1198,'לעדכן בסינתזה דאטה אריזה 42+24'!$A:$C,3,0)</f>
        <v>#N/A</v>
      </c>
      <c r="S1198" t="e">
        <f>VLOOKUP(#REF!,'מלאי לא תקין'!A:N,17,0)</f>
        <v>#REF!</v>
      </c>
      <c r="T1198" t="e">
        <f t="shared" si="38"/>
        <v>#REF!</v>
      </c>
      <c r="U1198" t="e">
        <f t="shared" si="39"/>
        <v>#REF!</v>
      </c>
    </row>
    <row r="1199" spans="4:21" x14ac:dyDescent="0.2">
      <c r="D1199" s="4"/>
      <c r="G1199" s="5"/>
      <c r="H1199" s="5"/>
      <c r="I1199" s="4"/>
      <c r="J1199" s="4"/>
      <c r="K1199" s="5"/>
      <c r="Q1199" t="e">
        <f>VLOOKUP(A1199,'גיליון דאטה להכל'!A:E,5,0)</f>
        <v>#N/A</v>
      </c>
      <c r="R1199" t="e">
        <f>VLOOKUP(A1199,'לעדכן בסינתזה דאטה אריזה 42+24'!$A:$C,3,0)</f>
        <v>#N/A</v>
      </c>
      <c r="S1199" t="e">
        <f>VLOOKUP(#REF!,'מלאי לא תקין'!A:N,17,0)</f>
        <v>#REF!</v>
      </c>
      <c r="T1199" t="e">
        <f t="shared" si="38"/>
        <v>#REF!</v>
      </c>
      <c r="U1199" t="e">
        <f t="shared" si="39"/>
        <v>#REF!</v>
      </c>
    </row>
    <row r="1200" spans="4:21" x14ac:dyDescent="0.2">
      <c r="D1200" s="4"/>
      <c r="G1200" s="5"/>
      <c r="H1200" s="5"/>
      <c r="I1200" s="4"/>
      <c r="J1200" s="4"/>
      <c r="K1200" s="5"/>
      <c r="Q1200" t="e">
        <f>VLOOKUP(A1200,'גיליון דאטה להכל'!A:E,5,0)</f>
        <v>#N/A</v>
      </c>
      <c r="R1200" t="e">
        <f>VLOOKUP(A1200,'לעדכן בסינתזה דאטה אריזה 42+24'!$A:$C,3,0)</f>
        <v>#N/A</v>
      </c>
      <c r="S1200" t="e">
        <f>VLOOKUP(#REF!,'מלאי לא תקין'!A:N,17,0)</f>
        <v>#REF!</v>
      </c>
      <c r="T1200" t="e">
        <f t="shared" si="38"/>
        <v>#REF!</v>
      </c>
      <c r="U1200" t="e">
        <f t="shared" si="39"/>
        <v>#REF!</v>
      </c>
    </row>
    <row r="1201" spans="4:21" x14ac:dyDescent="0.2">
      <c r="D1201" s="4"/>
      <c r="G1201" s="5"/>
      <c r="H1201" s="5"/>
      <c r="I1201" s="4"/>
      <c r="J1201" s="4"/>
      <c r="K1201" s="5"/>
      <c r="Q1201" t="e">
        <f>VLOOKUP(A1201,'גיליון דאטה להכל'!A:E,5,0)</f>
        <v>#N/A</v>
      </c>
      <c r="R1201" t="e">
        <f>VLOOKUP(A1201,'לעדכן בסינתזה דאטה אריזה 42+24'!$A:$C,3,0)</f>
        <v>#N/A</v>
      </c>
      <c r="S1201" t="e">
        <f>VLOOKUP(#REF!,'מלאי לא תקין'!A:N,17,0)</f>
        <v>#REF!</v>
      </c>
      <c r="T1201" t="e">
        <f t="shared" si="38"/>
        <v>#REF!</v>
      </c>
      <c r="U1201" t="e">
        <f t="shared" si="39"/>
        <v>#REF!</v>
      </c>
    </row>
    <row r="1202" spans="4:21" x14ac:dyDescent="0.2">
      <c r="D1202" s="4"/>
      <c r="G1202" s="5"/>
      <c r="H1202" s="7"/>
      <c r="I1202" s="4"/>
      <c r="J1202" s="4"/>
      <c r="K1202" s="5"/>
      <c r="Q1202" t="e">
        <f>VLOOKUP(A1202,'גיליון דאטה להכל'!A:E,5,0)</f>
        <v>#N/A</v>
      </c>
      <c r="R1202" t="e">
        <f>VLOOKUP(A1202,'לעדכן בסינתזה דאטה אריזה 42+24'!$A:$C,3,0)</f>
        <v>#N/A</v>
      </c>
      <c r="S1202" t="e">
        <f>VLOOKUP(#REF!,'מלאי לא תקין'!A:N,17,0)</f>
        <v>#REF!</v>
      </c>
      <c r="T1202" t="e">
        <f t="shared" si="38"/>
        <v>#REF!</v>
      </c>
      <c r="U1202" t="e">
        <f t="shared" si="39"/>
        <v>#REF!</v>
      </c>
    </row>
    <row r="1203" spans="4:21" x14ac:dyDescent="0.2">
      <c r="D1203" s="4"/>
      <c r="G1203" s="5"/>
      <c r="H1203" s="5"/>
      <c r="I1203" s="4"/>
      <c r="J1203" s="4"/>
      <c r="K1203" s="5"/>
      <c r="Q1203" t="e">
        <f>VLOOKUP(A1203,'גיליון דאטה להכל'!A:E,5,0)</f>
        <v>#N/A</v>
      </c>
      <c r="R1203" t="e">
        <f>VLOOKUP(A1203,'לעדכן בסינתזה דאטה אריזה 42+24'!$A:$C,3,0)</f>
        <v>#N/A</v>
      </c>
      <c r="S1203" t="e">
        <f>VLOOKUP(#REF!,'מלאי לא תקין'!A:N,17,0)</f>
        <v>#REF!</v>
      </c>
      <c r="T1203" t="e">
        <f t="shared" si="38"/>
        <v>#REF!</v>
      </c>
      <c r="U1203" t="e">
        <f t="shared" si="39"/>
        <v>#REF!</v>
      </c>
    </row>
    <row r="1204" spans="4:21" x14ac:dyDescent="0.2">
      <c r="D1204" s="4"/>
      <c r="G1204" s="5"/>
      <c r="H1204" s="5"/>
      <c r="I1204" s="4"/>
      <c r="J1204" s="4"/>
      <c r="K1204" s="5"/>
      <c r="Q1204" t="e">
        <f>VLOOKUP(A1204,'גיליון דאטה להכל'!A:E,5,0)</f>
        <v>#N/A</v>
      </c>
      <c r="R1204" t="e">
        <f>VLOOKUP(A1204,'לעדכן בסינתזה דאטה אריזה 42+24'!$A:$C,3,0)</f>
        <v>#N/A</v>
      </c>
      <c r="S1204" t="e">
        <f>VLOOKUP(#REF!,'מלאי לא תקין'!A:N,17,0)</f>
        <v>#REF!</v>
      </c>
      <c r="T1204" t="e">
        <f t="shared" si="38"/>
        <v>#REF!</v>
      </c>
      <c r="U1204" t="e">
        <f t="shared" si="39"/>
        <v>#REF!</v>
      </c>
    </row>
    <row r="1205" spans="4:21" x14ac:dyDescent="0.2">
      <c r="D1205" s="4"/>
      <c r="G1205" s="5"/>
      <c r="H1205" s="5"/>
      <c r="I1205" s="4"/>
      <c r="J1205" s="4"/>
      <c r="K1205" s="5"/>
      <c r="Q1205" t="e">
        <f>VLOOKUP(A1205,'גיליון דאטה להכל'!A:E,5,0)</f>
        <v>#N/A</v>
      </c>
      <c r="R1205" t="e">
        <f>VLOOKUP(A1205,'לעדכן בסינתזה דאטה אריזה 42+24'!$A:$C,3,0)</f>
        <v>#N/A</v>
      </c>
      <c r="S1205" t="e">
        <f>VLOOKUP(#REF!,'מלאי לא תקין'!A:N,17,0)</f>
        <v>#REF!</v>
      </c>
      <c r="T1205" t="e">
        <f t="shared" ref="T1205:T1268" si="40">_xlfn.CONCAT(S1205,Q1205)</f>
        <v>#REF!</v>
      </c>
      <c r="U1205" t="e">
        <f t="shared" ref="U1205:U1268" si="41">_xlfn.CONCAT(S1205,O1205)</f>
        <v>#REF!</v>
      </c>
    </row>
    <row r="1206" spans="4:21" x14ac:dyDescent="0.2">
      <c r="D1206" s="4"/>
      <c r="G1206" s="5"/>
      <c r="H1206" s="5"/>
      <c r="I1206" s="4"/>
      <c r="J1206" s="4"/>
      <c r="K1206" s="5"/>
      <c r="Q1206" t="e">
        <f>VLOOKUP(A1206,'גיליון דאטה להכל'!A:E,5,0)</f>
        <v>#N/A</v>
      </c>
      <c r="R1206" t="e">
        <f>VLOOKUP(A1206,'לעדכן בסינתזה דאטה אריזה 42+24'!$A:$C,3,0)</f>
        <v>#N/A</v>
      </c>
      <c r="S1206" t="e">
        <f>VLOOKUP(#REF!,'מלאי לא תקין'!A:N,17,0)</f>
        <v>#REF!</v>
      </c>
      <c r="T1206" t="e">
        <f t="shared" si="40"/>
        <v>#REF!</v>
      </c>
      <c r="U1206" t="e">
        <f t="shared" si="41"/>
        <v>#REF!</v>
      </c>
    </row>
    <row r="1207" spans="4:21" x14ac:dyDescent="0.2">
      <c r="D1207" s="4"/>
      <c r="G1207" s="5"/>
      <c r="H1207" s="5"/>
      <c r="I1207" s="4"/>
      <c r="J1207" s="4"/>
      <c r="K1207" s="5"/>
      <c r="Q1207" t="e">
        <f>VLOOKUP(A1207,'גיליון דאטה להכל'!A:E,5,0)</f>
        <v>#N/A</v>
      </c>
      <c r="R1207" t="e">
        <f>VLOOKUP(A1207,'לעדכן בסינתזה דאטה אריזה 42+24'!$A:$C,3,0)</f>
        <v>#N/A</v>
      </c>
      <c r="S1207" t="e">
        <f>VLOOKUP(#REF!,'מלאי לא תקין'!A:N,17,0)</f>
        <v>#REF!</v>
      </c>
      <c r="T1207" t="e">
        <f t="shared" si="40"/>
        <v>#REF!</v>
      </c>
      <c r="U1207" t="e">
        <f t="shared" si="41"/>
        <v>#REF!</v>
      </c>
    </row>
    <row r="1208" spans="4:21" x14ac:dyDescent="0.2">
      <c r="D1208" s="4"/>
      <c r="G1208" s="5"/>
      <c r="H1208" s="5"/>
      <c r="I1208" s="4"/>
      <c r="J1208" s="4"/>
      <c r="K1208" s="5"/>
      <c r="Q1208" t="e">
        <f>VLOOKUP(A1208,'גיליון דאטה להכל'!A:E,5,0)</f>
        <v>#N/A</v>
      </c>
      <c r="R1208" t="e">
        <f>VLOOKUP(A1208,'לעדכן בסינתזה דאטה אריזה 42+24'!$A:$C,3,0)</f>
        <v>#N/A</v>
      </c>
      <c r="S1208" t="e">
        <f>VLOOKUP(#REF!,'מלאי לא תקין'!A:N,17,0)</f>
        <v>#REF!</v>
      </c>
      <c r="T1208" t="e">
        <f t="shared" si="40"/>
        <v>#REF!</v>
      </c>
      <c r="U1208" t="e">
        <f t="shared" si="41"/>
        <v>#REF!</v>
      </c>
    </row>
    <row r="1209" spans="4:21" x14ac:dyDescent="0.2">
      <c r="D1209" s="4"/>
      <c r="G1209" s="5"/>
      <c r="H1209" s="7"/>
      <c r="I1209" s="4"/>
      <c r="J1209" s="4"/>
      <c r="K1209" s="5"/>
      <c r="Q1209" t="e">
        <f>VLOOKUP(A1209,'גיליון דאטה להכל'!A:E,5,0)</f>
        <v>#N/A</v>
      </c>
      <c r="R1209" t="e">
        <f>VLOOKUP(A1209,'לעדכן בסינתזה דאטה אריזה 42+24'!$A:$C,3,0)</f>
        <v>#N/A</v>
      </c>
      <c r="S1209" t="e">
        <f>VLOOKUP(#REF!,'מלאי לא תקין'!A:N,17,0)</f>
        <v>#REF!</v>
      </c>
      <c r="T1209" t="e">
        <f t="shared" si="40"/>
        <v>#REF!</v>
      </c>
      <c r="U1209" t="e">
        <f t="shared" si="41"/>
        <v>#REF!</v>
      </c>
    </row>
    <row r="1210" spans="4:21" x14ac:dyDescent="0.2">
      <c r="D1210" s="4"/>
      <c r="G1210" s="5"/>
      <c r="H1210" s="5"/>
      <c r="I1210" s="4"/>
      <c r="J1210" s="4"/>
      <c r="K1210" s="5"/>
      <c r="Q1210" t="e">
        <f>VLOOKUP(A1210,'גיליון דאטה להכל'!A:E,5,0)</f>
        <v>#N/A</v>
      </c>
      <c r="R1210" t="e">
        <f>VLOOKUP(A1210,'לעדכן בסינתזה דאטה אריזה 42+24'!$A:$C,3,0)</f>
        <v>#N/A</v>
      </c>
      <c r="S1210" t="e">
        <f>VLOOKUP(#REF!,'מלאי לא תקין'!A:N,17,0)</f>
        <v>#REF!</v>
      </c>
      <c r="T1210" t="e">
        <f t="shared" si="40"/>
        <v>#REF!</v>
      </c>
      <c r="U1210" t="e">
        <f t="shared" si="41"/>
        <v>#REF!</v>
      </c>
    </row>
    <row r="1211" spans="4:21" x14ac:dyDescent="0.2">
      <c r="D1211" s="4"/>
      <c r="G1211" s="5"/>
      <c r="H1211" s="5"/>
      <c r="I1211" s="4"/>
      <c r="J1211" s="4"/>
      <c r="K1211" s="5"/>
      <c r="Q1211" t="e">
        <f>VLOOKUP(A1211,'גיליון דאטה להכל'!A:E,5,0)</f>
        <v>#N/A</v>
      </c>
      <c r="R1211" t="e">
        <f>VLOOKUP(A1211,'לעדכן בסינתזה דאטה אריזה 42+24'!$A:$C,3,0)</f>
        <v>#N/A</v>
      </c>
      <c r="S1211" t="e">
        <f>VLOOKUP(#REF!,'מלאי לא תקין'!A:N,17,0)</f>
        <v>#REF!</v>
      </c>
      <c r="T1211" t="e">
        <f t="shared" si="40"/>
        <v>#REF!</v>
      </c>
      <c r="U1211" t="e">
        <f t="shared" si="41"/>
        <v>#REF!</v>
      </c>
    </row>
    <row r="1212" spans="4:21" x14ac:dyDescent="0.2">
      <c r="D1212" s="4"/>
      <c r="G1212" s="5"/>
      <c r="H1212" s="5"/>
      <c r="I1212" s="4"/>
      <c r="J1212" s="4"/>
      <c r="K1212" s="5"/>
      <c r="Q1212" t="e">
        <f>VLOOKUP(A1212,'גיליון דאטה להכל'!A:E,5,0)</f>
        <v>#N/A</v>
      </c>
      <c r="R1212" t="e">
        <f>VLOOKUP(A1212,'לעדכן בסינתזה דאטה אריזה 42+24'!$A:$C,3,0)</f>
        <v>#N/A</v>
      </c>
      <c r="S1212" t="e">
        <f>VLOOKUP(#REF!,'מלאי לא תקין'!A:N,17,0)</f>
        <v>#REF!</v>
      </c>
      <c r="T1212" t="e">
        <f t="shared" si="40"/>
        <v>#REF!</v>
      </c>
      <c r="U1212" t="e">
        <f t="shared" si="41"/>
        <v>#REF!</v>
      </c>
    </row>
    <row r="1213" spans="4:21" x14ac:dyDescent="0.2">
      <c r="D1213" s="4"/>
      <c r="G1213" s="5"/>
      <c r="H1213" s="5"/>
      <c r="I1213" s="4"/>
      <c r="J1213" s="4"/>
      <c r="K1213" s="5"/>
      <c r="Q1213" t="e">
        <f>VLOOKUP(A1213,'גיליון דאטה להכל'!A:E,5,0)</f>
        <v>#N/A</v>
      </c>
      <c r="R1213" t="e">
        <f>VLOOKUP(A1213,'לעדכן בסינתזה דאטה אריזה 42+24'!$A:$C,3,0)</f>
        <v>#N/A</v>
      </c>
      <c r="S1213" t="e">
        <f>VLOOKUP(#REF!,'מלאי לא תקין'!A:N,17,0)</f>
        <v>#REF!</v>
      </c>
      <c r="T1213" t="e">
        <f t="shared" si="40"/>
        <v>#REF!</v>
      </c>
      <c r="U1213" t="e">
        <f t="shared" si="41"/>
        <v>#REF!</v>
      </c>
    </row>
    <row r="1214" spans="4:21" x14ac:dyDescent="0.2">
      <c r="D1214" s="4"/>
      <c r="G1214" s="5"/>
      <c r="H1214" s="7"/>
      <c r="I1214" s="4"/>
      <c r="J1214" s="4"/>
      <c r="K1214" s="5"/>
      <c r="Q1214" t="e">
        <f>VLOOKUP(A1214,'גיליון דאטה להכל'!A:E,5,0)</f>
        <v>#N/A</v>
      </c>
      <c r="R1214" t="e">
        <f>VLOOKUP(A1214,'לעדכן בסינתזה דאטה אריזה 42+24'!$A:$C,3,0)</f>
        <v>#N/A</v>
      </c>
      <c r="S1214" t="e">
        <f>VLOOKUP(#REF!,'מלאי לא תקין'!A:N,17,0)</f>
        <v>#REF!</v>
      </c>
      <c r="T1214" t="e">
        <f t="shared" si="40"/>
        <v>#REF!</v>
      </c>
      <c r="U1214" t="e">
        <f t="shared" si="41"/>
        <v>#REF!</v>
      </c>
    </row>
    <row r="1215" spans="4:21" x14ac:dyDescent="0.2">
      <c r="D1215" s="4"/>
      <c r="G1215" s="5"/>
      <c r="H1215" s="5"/>
      <c r="I1215" s="4"/>
      <c r="J1215" s="4"/>
      <c r="K1215" s="5"/>
      <c r="Q1215" t="e">
        <f>VLOOKUP(A1215,'גיליון דאטה להכל'!A:E,5,0)</f>
        <v>#N/A</v>
      </c>
      <c r="R1215" t="e">
        <f>VLOOKUP(A1215,'לעדכן בסינתזה דאטה אריזה 42+24'!$A:$C,3,0)</f>
        <v>#N/A</v>
      </c>
      <c r="S1215" t="e">
        <f>VLOOKUP(#REF!,'מלאי לא תקין'!A:N,17,0)</f>
        <v>#REF!</v>
      </c>
      <c r="T1215" t="e">
        <f t="shared" si="40"/>
        <v>#REF!</v>
      </c>
      <c r="U1215" t="e">
        <f t="shared" si="41"/>
        <v>#REF!</v>
      </c>
    </row>
    <row r="1216" spans="4:21" x14ac:dyDescent="0.2">
      <c r="D1216" s="4"/>
      <c r="G1216" s="5"/>
      <c r="H1216" s="5"/>
      <c r="I1216" s="4"/>
      <c r="J1216" s="4"/>
      <c r="K1216" s="5"/>
      <c r="Q1216" t="e">
        <f>VLOOKUP(A1216,'גיליון דאטה להכל'!A:E,5,0)</f>
        <v>#N/A</v>
      </c>
      <c r="R1216" t="e">
        <f>VLOOKUP(A1216,'לעדכן בסינתזה דאטה אריזה 42+24'!$A:$C,3,0)</f>
        <v>#N/A</v>
      </c>
      <c r="S1216" t="e">
        <f>VLOOKUP(#REF!,'מלאי לא תקין'!A:N,17,0)</f>
        <v>#REF!</v>
      </c>
      <c r="T1216" t="e">
        <f t="shared" si="40"/>
        <v>#REF!</v>
      </c>
      <c r="U1216" t="e">
        <f t="shared" si="41"/>
        <v>#REF!</v>
      </c>
    </row>
    <row r="1217" spans="4:21" x14ac:dyDescent="0.2">
      <c r="D1217" s="4"/>
      <c r="G1217" s="5"/>
      <c r="H1217" s="5"/>
      <c r="I1217" s="4"/>
      <c r="J1217" s="4"/>
      <c r="K1217" s="5"/>
      <c r="Q1217" t="e">
        <f>VLOOKUP(A1217,'גיליון דאטה להכל'!A:E,5,0)</f>
        <v>#N/A</v>
      </c>
      <c r="R1217" t="e">
        <f>VLOOKUP(A1217,'לעדכן בסינתזה דאטה אריזה 42+24'!$A:$C,3,0)</f>
        <v>#N/A</v>
      </c>
      <c r="S1217" t="e">
        <f>VLOOKUP(#REF!,'מלאי לא תקין'!A:N,17,0)</f>
        <v>#REF!</v>
      </c>
      <c r="T1217" t="e">
        <f t="shared" si="40"/>
        <v>#REF!</v>
      </c>
      <c r="U1217" t="e">
        <f t="shared" si="41"/>
        <v>#REF!</v>
      </c>
    </row>
    <row r="1218" spans="4:21" x14ac:dyDescent="0.2">
      <c r="D1218" s="4"/>
      <c r="G1218" s="5"/>
      <c r="H1218" s="5"/>
      <c r="I1218" s="4"/>
      <c r="J1218" s="4"/>
      <c r="K1218" s="5"/>
      <c r="Q1218" t="e">
        <f>VLOOKUP(A1218,'גיליון דאטה להכל'!A:E,5,0)</f>
        <v>#N/A</v>
      </c>
      <c r="R1218" t="e">
        <f>VLOOKUP(A1218,'לעדכן בסינתזה דאטה אריזה 42+24'!$A:$C,3,0)</f>
        <v>#N/A</v>
      </c>
      <c r="S1218" t="e">
        <f>VLOOKUP(#REF!,'מלאי לא תקין'!A:N,17,0)</f>
        <v>#REF!</v>
      </c>
      <c r="T1218" t="e">
        <f t="shared" si="40"/>
        <v>#REF!</v>
      </c>
      <c r="U1218" t="e">
        <f t="shared" si="41"/>
        <v>#REF!</v>
      </c>
    </row>
    <row r="1219" spans="4:21" x14ac:dyDescent="0.2">
      <c r="D1219" s="4"/>
      <c r="G1219" s="5"/>
      <c r="H1219" s="7"/>
      <c r="I1219" s="4"/>
      <c r="J1219" s="4"/>
      <c r="K1219" s="5"/>
      <c r="Q1219" t="e">
        <f>VLOOKUP(A1219,'גיליון דאטה להכל'!A:E,5,0)</f>
        <v>#N/A</v>
      </c>
      <c r="R1219" t="e">
        <f>VLOOKUP(A1219,'לעדכן בסינתזה דאטה אריזה 42+24'!$A:$C,3,0)</f>
        <v>#N/A</v>
      </c>
      <c r="S1219" t="e">
        <f>VLOOKUP(#REF!,'מלאי לא תקין'!A:N,17,0)</f>
        <v>#REF!</v>
      </c>
      <c r="T1219" t="e">
        <f t="shared" si="40"/>
        <v>#REF!</v>
      </c>
      <c r="U1219" t="e">
        <f t="shared" si="41"/>
        <v>#REF!</v>
      </c>
    </row>
    <row r="1220" spans="4:21" x14ac:dyDescent="0.2">
      <c r="D1220" s="4"/>
      <c r="G1220" s="5"/>
      <c r="H1220" s="5"/>
      <c r="I1220" s="4"/>
      <c r="J1220" s="4"/>
      <c r="K1220" s="5"/>
      <c r="Q1220" t="e">
        <f>VLOOKUP(A1220,'גיליון דאטה להכל'!A:E,5,0)</f>
        <v>#N/A</v>
      </c>
      <c r="R1220" t="e">
        <f>VLOOKUP(A1220,'לעדכן בסינתזה דאטה אריזה 42+24'!$A:$C,3,0)</f>
        <v>#N/A</v>
      </c>
      <c r="S1220" t="e">
        <f>VLOOKUP(#REF!,'מלאי לא תקין'!A:N,17,0)</f>
        <v>#REF!</v>
      </c>
      <c r="T1220" t="e">
        <f t="shared" si="40"/>
        <v>#REF!</v>
      </c>
      <c r="U1220" t="e">
        <f t="shared" si="41"/>
        <v>#REF!</v>
      </c>
    </row>
    <row r="1221" spans="4:21" x14ac:dyDescent="0.2">
      <c r="D1221" s="4"/>
      <c r="G1221" s="5"/>
      <c r="H1221" s="5"/>
      <c r="I1221" s="4"/>
      <c r="J1221" s="4"/>
      <c r="K1221" s="5"/>
      <c r="Q1221" t="e">
        <f>VLOOKUP(A1221,'גיליון דאטה להכל'!A:E,5,0)</f>
        <v>#N/A</v>
      </c>
      <c r="R1221" t="e">
        <f>VLOOKUP(A1221,'לעדכן בסינתזה דאטה אריזה 42+24'!$A:$C,3,0)</f>
        <v>#N/A</v>
      </c>
      <c r="S1221" t="e">
        <f>VLOOKUP(#REF!,'מלאי לא תקין'!A:N,17,0)</f>
        <v>#REF!</v>
      </c>
      <c r="T1221" t="e">
        <f t="shared" si="40"/>
        <v>#REF!</v>
      </c>
      <c r="U1221" t="e">
        <f t="shared" si="41"/>
        <v>#REF!</v>
      </c>
    </row>
    <row r="1222" spans="4:21" x14ac:dyDescent="0.2">
      <c r="D1222" s="4"/>
      <c r="G1222" s="5"/>
      <c r="H1222" s="5"/>
      <c r="I1222" s="4"/>
      <c r="J1222" s="4"/>
      <c r="K1222" s="5"/>
      <c r="Q1222" t="e">
        <f>VLOOKUP(A1222,'גיליון דאטה להכל'!A:E,5,0)</f>
        <v>#N/A</v>
      </c>
      <c r="R1222" t="e">
        <f>VLOOKUP(A1222,'לעדכן בסינתזה דאטה אריזה 42+24'!$A:$C,3,0)</f>
        <v>#N/A</v>
      </c>
      <c r="S1222" t="e">
        <f>VLOOKUP(#REF!,'מלאי לא תקין'!A:N,17,0)</f>
        <v>#REF!</v>
      </c>
      <c r="T1222" t="e">
        <f t="shared" si="40"/>
        <v>#REF!</v>
      </c>
      <c r="U1222" t="e">
        <f t="shared" si="41"/>
        <v>#REF!</v>
      </c>
    </row>
    <row r="1223" spans="4:21" x14ac:dyDescent="0.2">
      <c r="D1223" s="4"/>
      <c r="G1223" s="5"/>
      <c r="H1223" s="5"/>
      <c r="I1223" s="4"/>
      <c r="J1223" s="4"/>
      <c r="K1223" s="5"/>
      <c r="Q1223" t="e">
        <f>VLOOKUP(A1223,'גיליון דאטה להכל'!A:E,5,0)</f>
        <v>#N/A</v>
      </c>
      <c r="R1223" t="e">
        <f>VLOOKUP(A1223,'לעדכן בסינתזה דאטה אריזה 42+24'!$A:$C,3,0)</f>
        <v>#N/A</v>
      </c>
      <c r="S1223" t="e">
        <f>VLOOKUP(#REF!,'מלאי לא תקין'!A:N,17,0)</f>
        <v>#REF!</v>
      </c>
      <c r="T1223" t="e">
        <f t="shared" si="40"/>
        <v>#REF!</v>
      </c>
      <c r="U1223" t="e">
        <f t="shared" si="41"/>
        <v>#REF!</v>
      </c>
    </row>
    <row r="1224" spans="4:21" x14ac:dyDescent="0.2">
      <c r="D1224" s="4"/>
      <c r="G1224" s="5"/>
      <c r="H1224" s="7"/>
      <c r="I1224" s="4"/>
      <c r="J1224" s="4"/>
      <c r="K1224" s="5"/>
      <c r="Q1224" t="e">
        <f>VLOOKUP(A1224,'גיליון דאטה להכל'!A:E,5,0)</f>
        <v>#N/A</v>
      </c>
      <c r="R1224" t="e">
        <f>VLOOKUP(A1224,'לעדכן בסינתזה דאטה אריזה 42+24'!$A:$C,3,0)</f>
        <v>#N/A</v>
      </c>
      <c r="S1224" t="e">
        <f>VLOOKUP(#REF!,'מלאי לא תקין'!A:N,17,0)</f>
        <v>#REF!</v>
      </c>
      <c r="T1224" t="e">
        <f t="shared" si="40"/>
        <v>#REF!</v>
      </c>
      <c r="U1224" t="e">
        <f t="shared" si="41"/>
        <v>#REF!</v>
      </c>
    </row>
    <row r="1225" spans="4:21" x14ac:dyDescent="0.2">
      <c r="D1225" s="4"/>
      <c r="G1225" s="5"/>
      <c r="H1225" s="5"/>
      <c r="I1225" s="4"/>
      <c r="J1225" s="4"/>
      <c r="K1225" s="5"/>
      <c r="Q1225" t="e">
        <f>VLOOKUP(A1225,'גיליון דאטה להכל'!A:E,5,0)</f>
        <v>#N/A</v>
      </c>
      <c r="R1225" t="e">
        <f>VLOOKUP(A1225,'לעדכן בסינתזה דאטה אריזה 42+24'!$A:$C,3,0)</f>
        <v>#N/A</v>
      </c>
      <c r="S1225" t="e">
        <f>VLOOKUP(#REF!,'מלאי לא תקין'!A:N,17,0)</f>
        <v>#REF!</v>
      </c>
      <c r="T1225" t="e">
        <f t="shared" si="40"/>
        <v>#REF!</v>
      </c>
      <c r="U1225" t="e">
        <f t="shared" si="41"/>
        <v>#REF!</v>
      </c>
    </row>
    <row r="1226" spans="4:21" x14ac:dyDescent="0.2">
      <c r="D1226" s="4"/>
      <c r="G1226" s="5"/>
      <c r="H1226" s="5"/>
      <c r="I1226" s="4"/>
      <c r="J1226" s="4"/>
      <c r="K1226" s="5"/>
      <c r="Q1226" t="e">
        <f>VLOOKUP(A1226,'גיליון דאטה להכל'!A:E,5,0)</f>
        <v>#N/A</v>
      </c>
      <c r="R1226" t="e">
        <f>VLOOKUP(A1226,'לעדכן בסינתזה דאטה אריזה 42+24'!$A:$C,3,0)</f>
        <v>#N/A</v>
      </c>
      <c r="S1226" t="e">
        <f>VLOOKUP(#REF!,'מלאי לא תקין'!A:N,17,0)</f>
        <v>#REF!</v>
      </c>
      <c r="T1226" t="e">
        <f t="shared" si="40"/>
        <v>#REF!</v>
      </c>
      <c r="U1226" t="e">
        <f t="shared" si="41"/>
        <v>#REF!</v>
      </c>
    </row>
    <row r="1227" spans="4:21" x14ac:dyDescent="0.2">
      <c r="D1227" s="4"/>
      <c r="G1227" s="5"/>
      <c r="H1227" s="5"/>
      <c r="I1227" s="4"/>
      <c r="J1227" s="4"/>
      <c r="K1227" s="5"/>
      <c r="Q1227" t="e">
        <f>VLOOKUP(A1227,'גיליון דאטה להכל'!A:E,5,0)</f>
        <v>#N/A</v>
      </c>
      <c r="R1227" t="e">
        <f>VLOOKUP(A1227,'לעדכן בסינתזה דאטה אריזה 42+24'!$A:$C,3,0)</f>
        <v>#N/A</v>
      </c>
      <c r="S1227" t="e">
        <f>VLOOKUP(#REF!,'מלאי לא תקין'!A:N,17,0)</f>
        <v>#REF!</v>
      </c>
      <c r="T1227" t="e">
        <f t="shared" si="40"/>
        <v>#REF!</v>
      </c>
      <c r="U1227" t="e">
        <f t="shared" si="41"/>
        <v>#REF!</v>
      </c>
    </row>
    <row r="1228" spans="4:21" x14ac:dyDescent="0.2">
      <c r="D1228" s="4"/>
      <c r="G1228" s="5"/>
      <c r="H1228" s="5"/>
      <c r="I1228" s="4"/>
      <c r="J1228" s="4"/>
      <c r="K1228" s="5"/>
      <c r="Q1228" t="e">
        <f>VLOOKUP(A1228,'גיליון דאטה להכל'!A:E,5,0)</f>
        <v>#N/A</v>
      </c>
      <c r="R1228" t="e">
        <f>VLOOKUP(A1228,'לעדכן בסינתזה דאטה אריזה 42+24'!$A:$C,3,0)</f>
        <v>#N/A</v>
      </c>
      <c r="S1228" t="e">
        <f>VLOOKUP(#REF!,'מלאי לא תקין'!A:N,17,0)</f>
        <v>#REF!</v>
      </c>
      <c r="T1228" t="e">
        <f t="shared" si="40"/>
        <v>#REF!</v>
      </c>
      <c r="U1228" t="e">
        <f t="shared" si="41"/>
        <v>#REF!</v>
      </c>
    </row>
    <row r="1229" spans="4:21" x14ac:dyDescent="0.2">
      <c r="D1229" s="4"/>
      <c r="G1229" s="5"/>
      <c r="H1229" s="7"/>
      <c r="I1229" s="4"/>
      <c r="J1229" s="4"/>
      <c r="K1229" s="5"/>
      <c r="Q1229" t="e">
        <f>VLOOKUP(A1229,'גיליון דאטה להכל'!A:E,5,0)</f>
        <v>#N/A</v>
      </c>
      <c r="R1229" t="e">
        <f>VLOOKUP(A1229,'לעדכן בסינתזה דאטה אריזה 42+24'!$A:$C,3,0)</f>
        <v>#N/A</v>
      </c>
      <c r="S1229" t="e">
        <f>VLOOKUP(#REF!,'מלאי לא תקין'!A:N,17,0)</f>
        <v>#REF!</v>
      </c>
      <c r="T1229" t="e">
        <f t="shared" si="40"/>
        <v>#REF!</v>
      </c>
      <c r="U1229" t="e">
        <f t="shared" si="41"/>
        <v>#REF!</v>
      </c>
    </row>
    <row r="1230" spans="4:21" x14ac:dyDescent="0.2">
      <c r="D1230" s="4"/>
      <c r="G1230" s="5"/>
      <c r="H1230" s="5"/>
      <c r="I1230" s="4"/>
      <c r="J1230" s="4"/>
      <c r="K1230" s="5"/>
      <c r="Q1230" t="e">
        <f>VLOOKUP(A1230,'גיליון דאטה להכל'!A:E,5,0)</f>
        <v>#N/A</v>
      </c>
      <c r="R1230" t="e">
        <f>VLOOKUP(A1230,'לעדכן בסינתזה דאטה אריזה 42+24'!$A:$C,3,0)</f>
        <v>#N/A</v>
      </c>
      <c r="S1230" t="e">
        <f>VLOOKUP(#REF!,'מלאי לא תקין'!A:N,17,0)</f>
        <v>#REF!</v>
      </c>
      <c r="T1230" t="e">
        <f t="shared" si="40"/>
        <v>#REF!</v>
      </c>
      <c r="U1230" t="e">
        <f t="shared" si="41"/>
        <v>#REF!</v>
      </c>
    </row>
    <row r="1231" spans="4:21" x14ac:dyDescent="0.2">
      <c r="D1231" s="4"/>
      <c r="G1231" s="5"/>
      <c r="H1231" s="5"/>
      <c r="I1231" s="4"/>
      <c r="J1231" s="4"/>
      <c r="K1231" s="5"/>
      <c r="Q1231" t="e">
        <f>VLOOKUP(A1231,'גיליון דאטה להכל'!A:E,5,0)</f>
        <v>#N/A</v>
      </c>
      <c r="R1231" t="e">
        <f>VLOOKUP(A1231,'לעדכן בסינתזה דאטה אריזה 42+24'!$A:$C,3,0)</f>
        <v>#N/A</v>
      </c>
      <c r="S1231" t="e">
        <f>VLOOKUP(#REF!,'מלאי לא תקין'!A:N,17,0)</f>
        <v>#REF!</v>
      </c>
      <c r="T1231" t="e">
        <f t="shared" si="40"/>
        <v>#REF!</v>
      </c>
      <c r="U1231" t="e">
        <f t="shared" si="41"/>
        <v>#REF!</v>
      </c>
    </row>
    <row r="1232" spans="4:21" x14ac:dyDescent="0.2">
      <c r="D1232" s="4"/>
      <c r="G1232" s="5"/>
      <c r="H1232" s="5"/>
      <c r="I1232" s="4"/>
      <c r="J1232" s="4"/>
      <c r="K1232" s="5"/>
      <c r="Q1232" t="e">
        <f>VLOOKUP(A1232,'גיליון דאטה להכל'!A:E,5,0)</f>
        <v>#N/A</v>
      </c>
      <c r="R1232" t="e">
        <f>VLOOKUP(A1232,'לעדכן בסינתזה דאטה אריזה 42+24'!$A:$C,3,0)</f>
        <v>#N/A</v>
      </c>
      <c r="S1232" t="e">
        <f>VLOOKUP(#REF!,'מלאי לא תקין'!A:N,17,0)</f>
        <v>#REF!</v>
      </c>
      <c r="T1232" t="e">
        <f t="shared" si="40"/>
        <v>#REF!</v>
      </c>
      <c r="U1232" t="e">
        <f t="shared" si="41"/>
        <v>#REF!</v>
      </c>
    </row>
    <row r="1233" spans="4:21" x14ac:dyDescent="0.2">
      <c r="D1233" s="4"/>
      <c r="G1233" s="5"/>
      <c r="H1233" s="7"/>
      <c r="I1233" s="4"/>
      <c r="J1233" s="4"/>
      <c r="K1233" s="5"/>
      <c r="Q1233" t="e">
        <f>VLOOKUP(A1233,'גיליון דאטה להכל'!A:E,5,0)</f>
        <v>#N/A</v>
      </c>
      <c r="R1233" t="e">
        <f>VLOOKUP(A1233,'לעדכן בסינתזה דאטה אריזה 42+24'!$A:$C,3,0)</f>
        <v>#N/A</v>
      </c>
      <c r="S1233" t="e">
        <f>VLOOKUP(#REF!,'מלאי לא תקין'!A:N,17,0)</f>
        <v>#REF!</v>
      </c>
      <c r="T1233" t="e">
        <f t="shared" si="40"/>
        <v>#REF!</v>
      </c>
      <c r="U1233" t="e">
        <f t="shared" si="41"/>
        <v>#REF!</v>
      </c>
    </row>
    <row r="1234" spans="4:21" x14ac:dyDescent="0.2">
      <c r="D1234" s="4"/>
      <c r="G1234" s="5"/>
      <c r="H1234" s="5"/>
      <c r="I1234" s="4"/>
      <c r="J1234" s="4"/>
      <c r="K1234" s="5"/>
      <c r="Q1234" t="e">
        <f>VLOOKUP(A1234,'גיליון דאטה להכל'!A:E,5,0)</f>
        <v>#N/A</v>
      </c>
      <c r="R1234" t="e">
        <f>VLOOKUP(A1234,'לעדכן בסינתזה דאטה אריזה 42+24'!$A:$C,3,0)</f>
        <v>#N/A</v>
      </c>
      <c r="S1234" t="e">
        <f>VLOOKUP(#REF!,'מלאי לא תקין'!A:N,17,0)</f>
        <v>#REF!</v>
      </c>
      <c r="T1234" t="e">
        <f t="shared" si="40"/>
        <v>#REF!</v>
      </c>
      <c r="U1234" t="e">
        <f t="shared" si="41"/>
        <v>#REF!</v>
      </c>
    </row>
    <row r="1235" spans="4:21" x14ac:dyDescent="0.2">
      <c r="D1235" s="4"/>
      <c r="G1235" s="5"/>
      <c r="H1235" s="5"/>
      <c r="I1235" s="4"/>
      <c r="J1235" s="4"/>
      <c r="K1235" s="5"/>
      <c r="Q1235" t="e">
        <f>VLOOKUP(A1235,'גיליון דאטה להכל'!A:E,5,0)</f>
        <v>#N/A</v>
      </c>
      <c r="R1235" t="e">
        <f>VLOOKUP(A1235,'לעדכן בסינתזה דאטה אריזה 42+24'!$A:$C,3,0)</f>
        <v>#N/A</v>
      </c>
      <c r="S1235" t="e">
        <f>VLOOKUP(#REF!,'מלאי לא תקין'!A:N,17,0)</f>
        <v>#REF!</v>
      </c>
      <c r="T1235" t="e">
        <f t="shared" si="40"/>
        <v>#REF!</v>
      </c>
      <c r="U1235" t="e">
        <f t="shared" si="41"/>
        <v>#REF!</v>
      </c>
    </row>
    <row r="1236" spans="4:21" x14ac:dyDescent="0.2">
      <c r="D1236" s="4"/>
      <c r="G1236" s="5"/>
      <c r="H1236" s="5"/>
      <c r="I1236" s="4"/>
      <c r="J1236" s="4"/>
      <c r="K1236" s="5"/>
      <c r="Q1236" t="e">
        <f>VLOOKUP(A1236,'גיליון דאטה להכל'!A:E,5,0)</f>
        <v>#N/A</v>
      </c>
      <c r="R1236" t="e">
        <f>VLOOKUP(A1236,'לעדכן בסינתזה דאטה אריזה 42+24'!$A:$C,3,0)</f>
        <v>#N/A</v>
      </c>
      <c r="S1236" t="e">
        <f>VLOOKUP(#REF!,'מלאי לא תקין'!A:N,17,0)</f>
        <v>#REF!</v>
      </c>
      <c r="T1236" t="e">
        <f t="shared" si="40"/>
        <v>#REF!</v>
      </c>
      <c r="U1236" t="e">
        <f t="shared" si="41"/>
        <v>#REF!</v>
      </c>
    </row>
    <row r="1237" spans="4:21" x14ac:dyDescent="0.2">
      <c r="D1237" s="4"/>
      <c r="G1237" s="5"/>
      <c r="H1237" s="5"/>
      <c r="I1237" s="4"/>
      <c r="J1237" s="4"/>
      <c r="K1237" s="5"/>
      <c r="Q1237" t="e">
        <f>VLOOKUP(A1237,'גיליון דאטה להכל'!A:E,5,0)</f>
        <v>#N/A</v>
      </c>
      <c r="R1237" t="e">
        <f>VLOOKUP(A1237,'לעדכן בסינתזה דאטה אריזה 42+24'!$A:$C,3,0)</f>
        <v>#N/A</v>
      </c>
      <c r="S1237" t="e">
        <f>VLOOKUP(#REF!,'מלאי לא תקין'!A:N,17,0)</f>
        <v>#REF!</v>
      </c>
      <c r="T1237" t="e">
        <f t="shared" si="40"/>
        <v>#REF!</v>
      </c>
      <c r="U1237" t="e">
        <f t="shared" si="41"/>
        <v>#REF!</v>
      </c>
    </row>
    <row r="1238" spans="4:21" x14ac:dyDescent="0.2">
      <c r="D1238" s="4"/>
      <c r="G1238" s="5"/>
      <c r="H1238" s="7"/>
      <c r="I1238" s="4"/>
      <c r="J1238" s="4"/>
      <c r="K1238" s="5"/>
      <c r="Q1238" t="e">
        <f>VLOOKUP(A1238,'גיליון דאטה להכל'!A:E,5,0)</f>
        <v>#N/A</v>
      </c>
      <c r="R1238" t="e">
        <f>VLOOKUP(A1238,'לעדכן בסינתזה דאטה אריזה 42+24'!$A:$C,3,0)</f>
        <v>#N/A</v>
      </c>
      <c r="S1238" t="e">
        <f>VLOOKUP(#REF!,'מלאי לא תקין'!A:N,17,0)</f>
        <v>#REF!</v>
      </c>
      <c r="T1238" t="e">
        <f t="shared" si="40"/>
        <v>#REF!</v>
      </c>
      <c r="U1238" t="e">
        <f t="shared" si="41"/>
        <v>#REF!</v>
      </c>
    </row>
    <row r="1239" spans="4:21" x14ac:dyDescent="0.2">
      <c r="D1239" s="4"/>
      <c r="G1239" s="5"/>
      <c r="H1239" s="5"/>
      <c r="I1239" s="4"/>
      <c r="J1239" s="4"/>
      <c r="K1239" s="5"/>
      <c r="Q1239" t="e">
        <f>VLOOKUP(A1239,'גיליון דאטה להכל'!A:E,5,0)</f>
        <v>#N/A</v>
      </c>
      <c r="R1239" t="e">
        <f>VLOOKUP(A1239,'לעדכן בסינתזה דאטה אריזה 42+24'!$A:$C,3,0)</f>
        <v>#N/A</v>
      </c>
      <c r="S1239" t="e">
        <f>VLOOKUP(#REF!,'מלאי לא תקין'!A:N,17,0)</f>
        <v>#REF!</v>
      </c>
      <c r="T1239" t="e">
        <f t="shared" si="40"/>
        <v>#REF!</v>
      </c>
      <c r="U1239" t="e">
        <f t="shared" si="41"/>
        <v>#REF!</v>
      </c>
    </row>
    <row r="1240" spans="4:21" x14ac:dyDescent="0.2">
      <c r="D1240" s="4"/>
      <c r="G1240" s="5"/>
      <c r="H1240" s="5"/>
      <c r="I1240" s="4"/>
      <c r="J1240" s="4"/>
      <c r="K1240" s="5"/>
      <c r="Q1240" t="e">
        <f>VLOOKUP(A1240,'גיליון דאטה להכל'!A:E,5,0)</f>
        <v>#N/A</v>
      </c>
      <c r="R1240" t="e">
        <f>VLOOKUP(A1240,'לעדכן בסינתזה דאטה אריזה 42+24'!$A:$C,3,0)</f>
        <v>#N/A</v>
      </c>
      <c r="S1240" t="e">
        <f>VLOOKUP(#REF!,'מלאי לא תקין'!A:N,17,0)</f>
        <v>#REF!</v>
      </c>
      <c r="T1240" t="e">
        <f t="shared" si="40"/>
        <v>#REF!</v>
      </c>
      <c r="U1240" t="e">
        <f t="shared" si="41"/>
        <v>#REF!</v>
      </c>
    </row>
    <row r="1241" spans="4:21" x14ac:dyDescent="0.2">
      <c r="D1241" s="4"/>
      <c r="G1241" s="5"/>
      <c r="H1241" s="5"/>
      <c r="I1241" s="4"/>
      <c r="J1241" s="4"/>
      <c r="K1241" s="5"/>
      <c r="Q1241" t="e">
        <f>VLOOKUP(A1241,'גיליון דאטה להכל'!A:E,5,0)</f>
        <v>#N/A</v>
      </c>
      <c r="R1241" t="e">
        <f>VLOOKUP(A1241,'לעדכן בסינתזה דאטה אריזה 42+24'!$A:$C,3,0)</f>
        <v>#N/A</v>
      </c>
      <c r="S1241" t="e">
        <f>VLOOKUP(#REF!,'מלאי לא תקין'!A:N,17,0)</f>
        <v>#REF!</v>
      </c>
      <c r="T1241" t="e">
        <f t="shared" si="40"/>
        <v>#REF!</v>
      </c>
      <c r="U1241" t="e">
        <f t="shared" si="41"/>
        <v>#REF!</v>
      </c>
    </row>
    <row r="1242" spans="4:21" x14ac:dyDescent="0.2">
      <c r="D1242" s="4"/>
      <c r="G1242" s="5"/>
      <c r="H1242" s="5"/>
      <c r="I1242" s="4"/>
      <c r="J1242" s="4"/>
      <c r="K1242" s="5"/>
      <c r="Q1242" t="e">
        <f>VLOOKUP(A1242,'גיליון דאטה להכל'!A:E,5,0)</f>
        <v>#N/A</v>
      </c>
      <c r="R1242" t="e">
        <f>VLOOKUP(A1242,'לעדכן בסינתזה דאטה אריזה 42+24'!$A:$C,3,0)</f>
        <v>#N/A</v>
      </c>
      <c r="S1242" t="e">
        <f>VLOOKUP(#REF!,'מלאי לא תקין'!A:N,17,0)</f>
        <v>#REF!</v>
      </c>
      <c r="T1242" t="e">
        <f t="shared" si="40"/>
        <v>#REF!</v>
      </c>
      <c r="U1242" t="e">
        <f t="shared" si="41"/>
        <v>#REF!</v>
      </c>
    </row>
    <row r="1243" spans="4:21" x14ac:dyDescent="0.2">
      <c r="D1243" s="4"/>
      <c r="G1243" s="5"/>
      <c r="H1243" s="7"/>
      <c r="I1243" s="4"/>
      <c r="J1243" s="4"/>
      <c r="K1243" s="5"/>
      <c r="Q1243" t="e">
        <f>VLOOKUP(A1243,'גיליון דאטה להכל'!A:E,5,0)</f>
        <v>#N/A</v>
      </c>
      <c r="R1243" t="e">
        <f>VLOOKUP(A1243,'לעדכן בסינתזה דאטה אריזה 42+24'!$A:$C,3,0)</f>
        <v>#N/A</v>
      </c>
      <c r="S1243" t="e">
        <f>VLOOKUP(#REF!,'מלאי לא תקין'!A:N,17,0)</f>
        <v>#REF!</v>
      </c>
      <c r="T1243" t="e">
        <f t="shared" si="40"/>
        <v>#REF!</v>
      </c>
      <c r="U1243" t="e">
        <f t="shared" si="41"/>
        <v>#REF!</v>
      </c>
    </row>
    <row r="1244" spans="4:21" x14ac:dyDescent="0.2">
      <c r="D1244" s="4"/>
      <c r="G1244" s="5"/>
      <c r="H1244" s="5"/>
      <c r="I1244" s="4"/>
      <c r="J1244" s="4"/>
      <c r="K1244" s="5"/>
      <c r="Q1244" t="e">
        <f>VLOOKUP(A1244,'גיליון דאטה להכל'!A:E,5,0)</f>
        <v>#N/A</v>
      </c>
      <c r="R1244" t="e">
        <f>VLOOKUP(A1244,'לעדכן בסינתזה דאטה אריזה 42+24'!$A:$C,3,0)</f>
        <v>#N/A</v>
      </c>
      <c r="S1244" t="e">
        <f>VLOOKUP(#REF!,'מלאי לא תקין'!A:N,17,0)</f>
        <v>#REF!</v>
      </c>
      <c r="T1244" t="e">
        <f t="shared" si="40"/>
        <v>#REF!</v>
      </c>
      <c r="U1244" t="e">
        <f t="shared" si="41"/>
        <v>#REF!</v>
      </c>
    </row>
    <row r="1245" spans="4:21" x14ac:dyDescent="0.2">
      <c r="D1245" s="4"/>
      <c r="G1245" s="5"/>
      <c r="H1245" s="5"/>
      <c r="I1245" s="4"/>
      <c r="J1245" s="4"/>
      <c r="K1245" s="5"/>
      <c r="Q1245" t="e">
        <f>VLOOKUP(A1245,'גיליון דאטה להכל'!A:E,5,0)</f>
        <v>#N/A</v>
      </c>
      <c r="R1245" t="e">
        <f>VLOOKUP(A1245,'לעדכן בסינתזה דאטה אריזה 42+24'!$A:$C,3,0)</f>
        <v>#N/A</v>
      </c>
      <c r="S1245" t="e">
        <f>VLOOKUP(#REF!,'מלאי לא תקין'!A:N,17,0)</f>
        <v>#REF!</v>
      </c>
      <c r="T1245" t="e">
        <f t="shared" si="40"/>
        <v>#REF!</v>
      </c>
      <c r="U1245" t="e">
        <f t="shared" si="41"/>
        <v>#REF!</v>
      </c>
    </row>
    <row r="1246" spans="4:21" x14ac:dyDescent="0.2">
      <c r="D1246" s="4"/>
      <c r="G1246" s="5"/>
      <c r="H1246" s="5"/>
      <c r="I1246" s="4"/>
      <c r="J1246" s="4"/>
      <c r="K1246" s="5"/>
      <c r="Q1246" t="e">
        <f>VLOOKUP(A1246,'גיליון דאטה להכל'!A:E,5,0)</f>
        <v>#N/A</v>
      </c>
      <c r="R1246" t="e">
        <f>VLOOKUP(A1246,'לעדכן בסינתזה דאטה אריזה 42+24'!$A:$C,3,0)</f>
        <v>#N/A</v>
      </c>
      <c r="S1246" t="e">
        <f>VLOOKUP(#REF!,'מלאי לא תקין'!A:N,17,0)</f>
        <v>#REF!</v>
      </c>
      <c r="T1246" t="e">
        <f t="shared" si="40"/>
        <v>#REF!</v>
      </c>
      <c r="U1246" t="e">
        <f t="shared" si="41"/>
        <v>#REF!</v>
      </c>
    </row>
    <row r="1247" spans="4:21" x14ac:dyDescent="0.2">
      <c r="D1247" s="4"/>
      <c r="G1247" s="5"/>
      <c r="H1247" s="5"/>
      <c r="I1247" s="4"/>
      <c r="J1247" s="4"/>
      <c r="K1247" s="5"/>
      <c r="Q1247" t="e">
        <f>VLOOKUP(A1247,'גיליון דאטה להכל'!A:E,5,0)</f>
        <v>#N/A</v>
      </c>
      <c r="R1247" t="e">
        <f>VLOOKUP(A1247,'לעדכן בסינתזה דאטה אריזה 42+24'!$A:$C,3,0)</f>
        <v>#N/A</v>
      </c>
      <c r="S1247" t="e">
        <f>VLOOKUP(#REF!,'מלאי לא תקין'!A:N,17,0)</f>
        <v>#REF!</v>
      </c>
      <c r="T1247" t="e">
        <f t="shared" si="40"/>
        <v>#REF!</v>
      </c>
      <c r="U1247" t="e">
        <f t="shared" si="41"/>
        <v>#REF!</v>
      </c>
    </row>
    <row r="1248" spans="4:21" x14ac:dyDescent="0.2">
      <c r="D1248" s="4"/>
      <c r="G1248" s="5"/>
      <c r="H1248" s="5"/>
      <c r="I1248" s="4"/>
      <c r="J1248" s="4"/>
      <c r="K1248" s="5"/>
      <c r="Q1248" t="e">
        <f>VLOOKUP(A1248,'גיליון דאטה להכל'!A:E,5,0)</f>
        <v>#N/A</v>
      </c>
      <c r="R1248" t="e">
        <f>VLOOKUP(A1248,'לעדכן בסינתזה דאטה אריזה 42+24'!$A:$C,3,0)</f>
        <v>#N/A</v>
      </c>
      <c r="S1248" t="e">
        <f>VLOOKUP(#REF!,'מלאי לא תקין'!A:N,17,0)</f>
        <v>#REF!</v>
      </c>
      <c r="T1248" t="e">
        <f t="shared" si="40"/>
        <v>#REF!</v>
      </c>
      <c r="U1248" t="e">
        <f t="shared" si="41"/>
        <v>#REF!</v>
      </c>
    </row>
    <row r="1249" spans="4:21" x14ac:dyDescent="0.2">
      <c r="D1249" s="4"/>
      <c r="G1249" s="5"/>
      <c r="H1249" s="5"/>
      <c r="I1249" s="4"/>
      <c r="J1249" s="4"/>
      <c r="K1249" s="5"/>
      <c r="Q1249" t="e">
        <f>VLOOKUP(A1249,'גיליון דאטה להכל'!A:E,5,0)</f>
        <v>#N/A</v>
      </c>
      <c r="R1249" t="e">
        <f>VLOOKUP(A1249,'לעדכן בסינתזה דאטה אריזה 42+24'!$A:$C,3,0)</f>
        <v>#N/A</v>
      </c>
      <c r="S1249" t="e">
        <f>VLOOKUP(#REF!,'מלאי לא תקין'!A:N,17,0)</f>
        <v>#REF!</v>
      </c>
      <c r="T1249" t="e">
        <f t="shared" si="40"/>
        <v>#REF!</v>
      </c>
      <c r="U1249" t="e">
        <f t="shared" si="41"/>
        <v>#REF!</v>
      </c>
    </row>
    <row r="1250" spans="4:21" x14ac:dyDescent="0.2">
      <c r="D1250" s="4"/>
      <c r="G1250" s="5"/>
      <c r="H1250" s="7"/>
      <c r="I1250" s="4"/>
      <c r="J1250" s="4"/>
      <c r="K1250" s="5"/>
      <c r="Q1250" t="e">
        <f>VLOOKUP(A1250,'גיליון דאטה להכל'!A:E,5,0)</f>
        <v>#N/A</v>
      </c>
      <c r="R1250" t="e">
        <f>VLOOKUP(A1250,'לעדכן בסינתזה דאטה אריזה 42+24'!$A:$C,3,0)</f>
        <v>#N/A</v>
      </c>
      <c r="S1250" t="e">
        <f>VLOOKUP(#REF!,'מלאי לא תקין'!A:N,17,0)</f>
        <v>#REF!</v>
      </c>
      <c r="T1250" t="e">
        <f t="shared" si="40"/>
        <v>#REF!</v>
      </c>
      <c r="U1250" t="e">
        <f t="shared" si="41"/>
        <v>#REF!</v>
      </c>
    </row>
    <row r="1251" spans="4:21" x14ac:dyDescent="0.2">
      <c r="D1251" s="4"/>
      <c r="G1251" s="5"/>
      <c r="H1251" s="7"/>
      <c r="I1251" s="4"/>
      <c r="J1251" s="4"/>
      <c r="K1251" s="5"/>
      <c r="Q1251" t="e">
        <f>VLOOKUP(A1251,'גיליון דאטה להכל'!A:E,5,0)</f>
        <v>#N/A</v>
      </c>
      <c r="R1251" t="e">
        <f>VLOOKUP(A1251,'לעדכן בסינתזה דאטה אריזה 42+24'!$A:$C,3,0)</f>
        <v>#N/A</v>
      </c>
      <c r="S1251" t="e">
        <f>VLOOKUP(#REF!,'מלאי לא תקין'!A:N,17,0)</f>
        <v>#REF!</v>
      </c>
      <c r="T1251" t="e">
        <f t="shared" si="40"/>
        <v>#REF!</v>
      </c>
      <c r="U1251" t="e">
        <f t="shared" si="41"/>
        <v>#REF!</v>
      </c>
    </row>
    <row r="1252" spans="4:21" x14ac:dyDescent="0.2">
      <c r="D1252" s="4"/>
      <c r="G1252" s="5"/>
      <c r="H1252" s="5"/>
      <c r="I1252" s="4"/>
      <c r="J1252" s="4"/>
      <c r="K1252" s="5"/>
      <c r="Q1252" t="e">
        <f>VLOOKUP(A1252,'גיליון דאטה להכל'!A:E,5,0)</f>
        <v>#N/A</v>
      </c>
      <c r="R1252" t="e">
        <f>VLOOKUP(A1252,'לעדכן בסינתזה דאטה אריזה 42+24'!$A:$C,3,0)</f>
        <v>#N/A</v>
      </c>
      <c r="S1252" t="e">
        <f>VLOOKUP(#REF!,'מלאי לא תקין'!A:N,17,0)</f>
        <v>#REF!</v>
      </c>
      <c r="T1252" t="e">
        <f t="shared" si="40"/>
        <v>#REF!</v>
      </c>
      <c r="U1252" t="e">
        <f t="shared" si="41"/>
        <v>#REF!</v>
      </c>
    </row>
    <row r="1253" spans="4:21" x14ac:dyDescent="0.2">
      <c r="D1253" s="4"/>
      <c r="G1253" s="5"/>
      <c r="H1253" s="5"/>
      <c r="I1253" s="4"/>
      <c r="J1253" s="4"/>
      <c r="K1253" s="5"/>
      <c r="Q1253" t="e">
        <f>VLOOKUP(A1253,'גיליון דאטה להכל'!A:E,5,0)</f>
        <v>#N/A</v>
      </c>
      <c r="R1253" t="e">
        <f>VLOOKUP(A1253,'לעדכן בסינתזה דאטה אריזה 42+24'!$A:$C,3,0)</f>
        <v>#N/A</v>
      </c>
      <c r="S1253" t="e">
        <f>VLOOKUP(#REF!,'מלאי לא תקין'!A:N,17,0)</f>
        <v>#REF!</v>
      </c>
      <c r="T1253" t="e">
        <f t="shared" si="40"/>
        <v>#REF!</v>
      </c>
      <c r="U1253" t="e">
        <f t="shared" si="41"/>
        <v>#REF!</v>
      </c>
    </row>
    <row r="1254" spans="4:21" x14ac:dyDescent="0.2">
      <c r="D1254" s="4"/>
      <c r="G1254" s="5"/>
      <c r="H1254" s="5"/>
      <c r="I1254" s="4"/>
      <c r="J1254" s="4"/>
      <c r="K1254" s="5"/>
      <c r="Q1254" t="e">
        <f>VLOOKUP(A1254,'גיליון דאטה להכל'!A:E,5,0)</f>
        <v>#N/A</v>
      </c>
      <c r="R1254" t="e">
        <f>VLOOKUP(A1254,'לעדכן בסינתזה דאטה אריזה 42+24'!$A:$C,3,0)</f>
        <v>#N/A</v>
      </c>
      <c r="S1254" t="e">
        <f>VLOOKUP(#REF!,'מלאי לא תקין'!A:N,17,0)</f>
        <v>#REF!</v>
      </c>
      <c r="T1254" t="e">
        <f t="shared" si="40"/>
        <v>#REF!</v>
      </c>
      <c r="U1254" t="e">
        <f t="shared" si="41"/>
        <v>#REF!</v>
      </c>
    </row>
    <row r="1255" spans="4:21" x14ac:dyDescent="0.2">
      <c r="D1255" s="4"/>
      <c r="G1255" s="5"/>
      <c r="H1255" s="7"/>
      <c r="I1255" s="4"/>
      <c r="J1255" s="4"/>
      <c r="K1255" s="5"/>
      <c r="Q1255" t="e">
        <f>VLOOKUP(A1255,'גיליון דאטה להכל'!A:E,5,0)</f>
        <v>#N/A</v>
      </c>
      <c r="R1255" t="e">
        <f>VLOOKUP(A1255,'לעדכן בסינתזה דאטה אריזה 42+24'!$A:$C,3,0)</f>
        <v>#N/A</v>
      </c>
      <c r="S1255" t="e">
        <f>VLOOKUP(#REF!,'מלאי לא תקין'!A:N,17,0)</f>
        <v>#REF!</v>
      </c>
      <c r="T1255" t="e">
        <f t="shared" si="40"/>
        <v>#REF!</v>
      </c>
      <c r="U1255" t="e">
        <f t="shared" si="41"/>
        <v>#REF!</v>
      </c>
    </row>
    <row r="1256" spans="4:21" x14ac:dyDescent="0.2">
      <c r="D1256" s="4"/>
      <c r="G1256" s="5"/>
      <c r="H1256" s="5"/>
      <c r="I1256" s="4"/>
      <c r="J1256" s="4"/>
      <c r="K1256" s="5"/>
      <c r="Q1256" t="e">
        <f>VLOOKUP(A1256,'גיליון דאטה להכל'!A:E,5,0)</f>
        <v>#N/A</v>
      </c>
      <c r="R1256" t="e">
        <f>VLOOKUP(A1256,'לעדכן בסינתזה דאטה אריזה 42+24'!$A:$C,3,0)</f>
        <v>#N/A</v>
      </c>
      <c r="S1256" t="e">
        <f>VLOOKUP(#REF!,'מלאי לא תקין'!A:N,17,0)</f>
        <v>#REF!</v>
      </c>
      <c r="T1256" t="e">
        <f t="shared" si="40"/>
        <v>#REF!</v>
      </c>
      <c r="U1256" t="e">
        <f t="shared" si="41"/>
        <v>#REF!</v>
      </c>
    </row>
    <row r="1257" spans="4:21" x14ac:dyDescent="0.2">
      <c r="D1257" s="4"/>
      <c r="G1257" s="5"/>
      <c r="H1257" s="5"/>
      <c r="I1257" s="4"/>
      <c r="J1257" s="4"/>
      <c r="K1257" s="5"/>
      <c r="Q1257" t="e">
        <f>VLOOKUP(A1257,'גיליון דאטה להכל'!A:E,5,0)</f>
        <v>#N/A</v>
      </c>
      <c r="R1257" t="e">
        <f>VLOOKUP(A1257,'לעדכן בסינתזה דאטה אריזה 42+24'!$A:$C,3,0)</f>
        <v>#N/A</v>
      </c>
      <c r="S1257" t="e">
        <f>VLOOKUP(#REF!,'מלאי לא תקין'!A:N,17,0)</f>
        <v>#REF!</v>
      </c>
      <c r="T1257" t="e">
        <f t="shared" si="40"/>
        <v>#REF!</v>
      </c>
      <c r="U1257" t="e">
        <f t="shared" si="41"/>
        <v>#REF!</v>
      </c>
    </row>
    <row r="1258" spans="4:21" x14ac:dyDescent="0.2">
      <c r="D1258" s="4"/>
      <c r="G1258" s="5"/>
      <c r="H1258" s="5"/>
      <c r="I1258" s="4"/>
      <c r="J1258" s="4"/>
      <c r="K1258" s="5"/>
      <c r="Q1258" t="e">
        <f>VLOOKUP(A1258,'גיליון דאטה להכל'!A:E,5,0)</f>
        <v>#N/A</v>
      </c>
      <c r="R1258" t="e">
        <f>VLOOKUP(A1258,'לעדכן בסינתזה דאטה אריזה 42+24'!$A:$C,3,0)</f>
        <v>#N/A</v>
      </c>
      <c r="S1258" t="e">
        <f>VLOOKUP(#REF!,'מלאי לא תקין'!A:N,17,0)</f>
        <v>#REF!</v>
      </c>
      <c r="T1258" t="e">
        <f t="shared" si="40"/>
        <v>#REF!</v>
      </c>
      <c r="U1258" t="e">
        <f t="shared" si="41"/>
        <v>#REF!</v>
      </c>
    </row>
    <row r="1259" spans="4:21" x14ac:dyDescent="0.2">
      <c r="D1259" s="4"/>
      <c r="G1259" s="5"/>
      <c r="H1259" s="5"/>
      <c r="I1259" s="4"/>
      <c r="J1259" s="4"/>
      <c r="K1259" s="5"/>
      <c r="Q1259" t="e">
        <f>VLOOKUP(A1259,'גיליון דאטה להכל'!A:E,5,0)</f>
        <v>#N/A</v>
      </c>
      <c r="R1259" t="e">
        <f>VLOOKUP(A1259,'לעדכן בסינתזה דאטה אריזה 42+24'!$A:$C,3,0)</f>
        <v>#N/A</v>
      </c>
      <c r="S1259" t="e">
        <f>VLOOKUP(#REF!,'מלאי לא תקין'!A:N,17,0)</f>
        <v>#REF!</v>
      </c>
      <c r="T1259" t="e">
        <f t="shared" si="40"/>
        <v>#REF!</v>
      </c>
      <c r="U1259" t="e">
        <f t="shared" si="41"/>
        <v>#REF!</v>
      </c>
    </row>
    <row r="1260" spans="4:21" x14ac:dyDescent="0.2">
      <c r="D1260" s="4"/>
      <c r="G1260" s="5"/>
      <c r="H1260" s="7"/>
      <c r="I1260" s="4"/>
      <c r="J1260" s="4"/>
      <c r="K1260" s="5"/>
      <c r="Q1260" t="e">
        <f>VLOOKUP(A1260,'גיליון דאטה להכל'!A:E,5,0)</f>
        <v>#N/A</v>
      </c>
      <c r="R1260" t="e">
        <f>VLOOKUP(A1260,'לעדכן בסינתזה דאטה אריזה 42+24'!$A:$C,3,0)</f>
        <v>#N/A</v>
      </c>
      <c r="S1260" t="e">
        <f>VLOOKUP(#REF!,'מלאי לא תקין'!A:N,17,0)</f>
        <v>#REF!</v>
      </c>
      <c r="T1260" t="e">
        <f t="shared" si="40"/>
        <v>#REF!</v>
      </c>
      <c r="U1260" t="e">
        <f t="shared" si="41"/>
        <v>#REF!</v>
      </c>
    </row>
    <row r="1261" spans="4:21" x14ac:dyDescent="0.2">
      <c r="D1261" s="4"/>
      <c r="G1261" s="5"/>
      <c r="H1261" s="5"/>
      <c r="I1261" s="4"/>
      <c r="J1261" s="4"/>
      <c r="K1261" s="5"/>
      <c r="Q1261" t="e">
        <f>VLOOKUP(A1261,'גיליון דאטה להכל'!A:E,5,0)</f>
        <v>#N/A</v>
      </c>
      <c r="R1261" t="e">
        <f>VLOOKUP(A1261,'לעדכן בסינתזה דאטה אריזה 42+24'!$A:$C,3,0)</f>
        <v>#N/A</v>
      </c>
      <c r="S1261" t="e">
        <f>VLOOKUP(#REF!,'מלאי לא תקין'!A:N,17,0)</f>
        <v>#REF!</v>
      </c>
      <c r="T1261" t="e">
        <f t="shared" si="40"/>
        <v>#REF!</v>
      </c>
      <c r="U1261" t="e">
        <f t="shared" si="41"/>
        <v>#REF!</v>
      </c>
    </row>
    <row r="1262" spans="4:21" x14ac:dyDescent="0.2">
      <c r="D1262" s="4"/>
      <c r="G1262" s="5"/>
      <c r="H1262" s="5"/>
      <c r="I1262" s="4"/>
      <c r="J1262" s="4"/>
      <c r="K1262" s="5"/>
      <c r="Q1262" t="e">
        <f>VLOOKUP(A1262,'גיליון דאטה להכל'!A:E,5,0)</f>
        <v>#N/A</v>
      </c>
      <c r="R1262" t="e">
        <f>VLOOKUP(A1262,'לעדכן בסינתזה דאטה אריזה 42+24'!$A:$C,3,0)</f>
        <v>#N/A</v>
      </c>
      <c r="S1262" t="e">
        <f>VLOOKUP(#REF!,'מלאי לא תקין'!A:N,17,0)</f>
        <v>#REF!</v>
      </c>
      <c r="T1262" t="e">
        <f t="shared" si="40"/>
        <v>#REF!</v>
      </c>
      <c r="U1262" t="e">
        <f t="shared" si="41"/>
        <v>#REF!</v>
      </c>
    </row>
    <row r="1263" spans="4:21" x14ac:dyDescent="0.2">
      <c r="D1263" s="4"/>
      <c r="G1263" s="5"/>
      <c r="H1263" s="5"/>
      <c r="I1263" s="4"/>
      <c r="J1263" s="4"/>
      <c r="K1263" s="5"/>
      <c r="Q1263" t="e">
        <f>VLOOKUP(A1263,'גיליון דאטה להכל'!A:E,5,0)</f>
        <v>#N/A</v>
      </c>
      <c r="R1263" t="e">
        <f>VLOOKUP(A1263,'לעדכן בסינתזה דאטה אריזה 42+24'!$A:$C,3,0)</f>
        <v>#N/A</v>
      </c>
      <c r="S1263" t="e">
        <f>VLOOKUP(#REF!,'מלאי לא תקין'!A:N,17,0)</f>
        <v>#REF!</v>
      </c>
      <c r="T1263" t="e">
        <f t="shared" si="40"/>
        <v>#REF!</v>
      </c>
      <c r="U1263" t="e">
        <f t="shared" si="41"/>
        <v>#REF!</v>
      </c>
    </row>
    <row r="1264" spans="4:21" x14ac:dyDescent="0.2">
      <c r="D1264" s="4"/>
      <c r="G1264" s="5"/>
      <c r="H1264" s="5"/>
      <c r="I1264" s="4"/>
      <c r="J1264" s="4"/>
      <c r="K1264" s="5"/>
      <c r="Q1264" t="e">
        <f>VLOOKUP(A1264,'גיליון דאטה להכל'!A:E,5,0)</f>
        <v>#N/A</v>
      </c>
      <c r="R1264" t="e">
        <f>VLOOKUP(A1264,'לעדכן בסינתזה דאטה אריזה 42+24'!$A:$C,3,0)</f>
        <v>#N/A</v>
      </c>
      <c r="S1264" t="e">
        <f>VLOOKUP(#REF!,'מלאי לא תקין'!A:N,17,0)</f>
        <v>#REF!</v>
      </c>
      <c r="T1264" t="e">
        <f t="shared" si="40"/>
        <v>#REF!</v>
      </c>
      <c r="U1264" t="e">
        <f t="shared" si="41"/>
        <v>#REF!</v>
      </c>
    </row>
    <row r="1265" spans="4:21" x14ac:dyDescent="0.2">
      <c r="D1265" s="4"/>
      <c r="G1265" s="5"/>
      <c r="H1265" s="7"/>
      <c r="I1265" s="4"/>
      <c r="J1265" s="4"/>
      <c r="K1265" s="5"/>
      <c r="Q1265" t="e">
        <f>VLOOKUP(A1265,'גיליון דאטה להכל'!A:E,5,0)</f>
        <v>#N/A</v>
      </c>
      <c r="R1265" t="e">
        <f>VLOOKUP(A1265,'לעדכן בסינתזה דאטה אריזה 42+24'!$A:$C,3,0)</f>
        <v>#N/A</v>
      </c>
      <c r="S1265" t="e">
        <f>VLOOKUP(#REF!,'מלאי לא תקין'!A:N,17,0)</f>
        <v>#REF!</v>
      </c>
      <c r="T1265" t="e">
        <f t="shared" si="40"/>
        <v>#REF!</v>
      </c>
      <c r="U1265" t="e">
        <f t="shared" si="41"/>
        <v>#REF!</v>
      </c>
    </row>
    <row r="1266" spans="4:21" x14ac:dyDescent="0.2">
      <c r="D1266" s="4"/>
      <c r="G1266" s="5"/>
      <c r="H1266" s="5"/>
      <c r="I1266" s="4"/>
      <c r="J1266" s="4"/>
      <c r="K1266" s="5"/>
      <c r="Q1266" t="e">
        <f>VLOOKUP(A1266,'גיליון דאטה להכל'!A:E,5,0)</f>
        <v>#N/A</v>
      </c>
      <c r="R1266" t="e">
        <f>VLOOKUP(A1266,'לעדכן בסינתזה דאטה אריזה 42+24'!$A:$C,3,0)</f>
        <v>#N/A</v>
      </c>
      <c r="S1266" t="e">
        <f>VLOOKUP(#REF!,'מלאי לא תקין'!A:N,17,0)</f>
        <v>#REF!</v>
      </c>
      <c r="T1266" t="e">
        <f t="shared" si="40"/>
        <v>#REF!</v>
      </c>
      <c r="U1266" t="e">
        <f t="shared" si="41"/>
        <v>#REF!</v>
      </c>
    </row>
    <row r="1267" spans="4:21" x14ac:dyDescent="0.2">
      <c r="D1267" s="4"/>
      <c r="G1267" s="5"/>
      <c r="H1267" s="5"/>
      <c r="I1267" s="4"/>
      <c r="J1267" s="4"/>
      <c r="K1267" s="5"/>
      <c r="Q1267" t="e">
        <f>VLOOKUP(A1267,'גיליון דאטה להכל'!A:E,5,0)</f>
        <v>#N/A</v>
      </c>
      <c r="R1267" t="e">
        <f>VLOOKUP(A1267,'לעדכן בסינתזה דאטה אריזה 42+24'!$A:$C,3,0)</f>
        <v>#N/A</v>
      </c>
      <c r="S1267" t="e">
        <f>VLOOKUP(#REF!,'מלאי לא תקין'!A:N,17,0)</f>
        <v>#REF!</v>
      </c>
      <c r="T1267" t="e">
        <f t="shared" si="40"/>
        <v>#REF!</v>
      </c>
      <c r="U1267" t="e">
        <f t="shared" si="41"/>
        <v>#REF!</v>
      </c>
    </row>
    <row r="1268" spans="4:21" x14ac:dyDescent="0.2">
      <c r="D1268" s="4"/>
      <c r="G1268" s="5"/>
      <c r="H1268" s="5"/>
      <c r="I1268" s="4"/>
      <c r="J1268" s="4"/>
      <c r="K1268" s="5"/>
      <c r="Q1268" t="e">
        <f>VLOOKUP(A1268,'גיליון דאטה להכל'!A:E,5,0)</f>
        <v>#N/A</v>
      </c>
      <c r="R1268" t="e">
        <f>VLOOKUP(A1268,'לעדכן בסינתזה דאטה אריזה 42+24'!$A:$C,3,0)</f>
        <v>#N/A</v>
      </c>
      <c r="S1268" t="e">
        <f>VLOOKUP(#REF!,'מלאי לא תקין'!A:N,17,0)</f>
        <v>#REF!</v>
      </c>
      <c r="T1268" t="e">
        <f t="shared" si="40"/>
        <v>#REF!</v>
      </c>
      <c r="U1268" t="e">
        <f t="shared" si="41"/>
        <v>#REF!</v>
      </c>
    </row>
    <row r="1269" spans="4:21" x14ac:dyDescent="0.2">
      <c r="D1269" s="4"/>
      <c r="G1269" s="5"/>
      <c r="H1269" s="5"/>
      <c r="I1269" s="4"/>
      <c r="J1269" s="4"/>
      <c r="K1269" s="5"/>
      <c r="Q1269" t="e">
        <f>VLOOKUP(A1269,'גיליון דאטה להכל'!A:E,5,0)</f>
        <v>#N/A</v>
      </c>
      <c r="R1269" t="e">
        <f>VLOOKUP(A1269,'לעדכן בסינתזה דאטה אריזה 42+24'!$A:$C,3,0)</f>
        <v>#N/A</v>
      </c>
      <c r="S1269" t="e">
        <f>VLOOKUP(#REF!,'מלאי לא תקין'!A:N,17,0)</f>
        <v>#REF!</v>
      </c>
      <c r="T1269" t="e">
        <f t="shared" ref="T1269:T1332" si="42">_xlfn.CONCAT(S1269,Q1269)</f>
        <v>#REF!</v>
      </c>
      <c r="U1269" t="e">
        <f t="shared" ref="U1269:U1332" si="43">_xlfn.CONCAT(S1269,O1269)</f>
        <v>#REF!</v>
      </c>
    </row>
    <row r="1270" spans="4:21" x14ac:dyDescent="0.2">
      <c r="D1270" s="4"/>
      <c r="G1270" s="5"/>
      <c r="H1270" s="7"/>
      <c r="I1270" s="4"/>
      <c r="J1270" s="4"/>
      <c r="K1270" s="5"/>
      <c r="Q1270" t="e">
        <f>VLOOKUP(A1270,'גיליון דאטה להכל'!A:E,5,0)</f>
        <v>#N/A</v>
      </c>
      <c r="R1270" t="e">
        <f>VLOOKUP(A1270,'לעדכן בסינתזה דאטה אריזה 42+24'!$A:$C,3,0)</f>
        <v>#N/A</v>
      </c>
      <c r="S1270" t="e">
        <f>VLOOKUP(#REF!,'מלאי לא תקין'!A:N,17,0)</f>
        <v>#REF!</v>
      </c>
      <c r="T1270" t="e">
        <f t="shared" si="42"/>
        <v>#REF!</v>
      </c>
      <c r="U1270" t="e">
        <f t="shared" si="43"/>
        <v>#REF!</v>
      </c>
    </row>
    <row r="1271" spans="4:21" x14ac:dyDescent="0.2">
      <c r="D1271" s="4"/>
      <c r="G1271" s="5"/>
      <c r="H1271" s="5"/>
      <c r="I1271" s="4"/>
      <c r="J1271" s="4"/>
      <c r="K1271" s="5"/>
      <c r="Q1271" t="e">
        <f>VLOOKUP(A1271,'גיליון דאטה להכל'!A:E,5,0)</f>
        <v>#N/A</v>
      </c>
      <c r="R1271" t="e">
        <f>VLOOKUP(A1271,'לעדכן בסינתזה דאטה אריזה 42+24'!$A:$C,3,0)</f>
        <v>#N/A</v>
      </c>
      <c r="S1271" t="e">
        <f>VLOOKUP(#REF!,'מלאי לא תקין'!A:N,17,0)</f>
        <v>#REF!</v>
      </c>
      <c r="T1271" t="e">
        <f t="shared" si="42"/>
        <v>#REF!</v>
      </c>
      <c r="U1271" t="e">
        <f t="shared" si="43"/>
        <v>#REF!</v>
      </c>
    </row>
    <row r="1272" spans="4:21" x14ac:dyDescent="0.2">
      <c r="D1272" s="4"/>
      <c r="G1272" s="5"/>
      <c r="H1272" s="5"/>
      <c r="I1272" s="4"/>
      <c r="J1272" s="4"/>
      <c r="K1272" s="5"/>
      <c r="Q1272" t="e">
        <f>VLOOKUP(A1272,'גיליון דאטה להכל'!A:E,5,0)</f>
        <v>#N/A</v>
      </c>
      <c r="R1272" t="e">
        <f>VLOOKUP(A1272,'לעדכן בסינתזה דאטה אריזה 42+24'!$A:$C,3,0)</f>
        <v>#N/A</v>
      </c>
      <c r="S1272" t="e">
        <f>VLOOKUP(#REF!,'מלאי לא תקין'!A:N,17,0)</f>
        <v>#REF!</v>
      </c>
      <c r="T1272" t="e">
        <f t="shared" si="42"/>
        <v>#REF!</v>
      </c>
      <c r="U1272" t="e">
        <f t="shared" si="43"/>
        <v>#REF!</v>
      </c>
    </row>
    <row r="1273" spans="4:21" x14ac:dyDescent="0.2">
      <c r="D1273" s="4"/>
      <c r="G1273" s="5"/>
      <c r="H1273" s="5"/>
      <c r="I1273" s="4"/>
      <c r="J1273" s="4"/>
      <c r="K1273" s="5"/>
      <c r="Q1273" t="e">
        <f>VLOOKUP(A1273,'גיליון דאטה להכל'!A:E,5,0)</f>
        <v>#N/A</v>
      </c>
      <c r="R1273" t="e">
        <f>VLOOKUP(A1273,'לעדכן בסינתזה דאטה אריזה 42+24'!$A:$C,3,0)</f>
        <v>#N/A</v>
      </c>
      <c r="S1273" t="e">
        <f>VLOOKUP(#REF!,'מלאי לא תקין'!A:N,17,0)</f>
        <v>#REF!</v>
      </c>
      <c r="T1273" t="e">
        <f t="shared" si="42"/>
        <v>#REF!</v>
      </c>
      <c r="U1273" t="e">
        <f t="shared" si="43"/>
        <v>#REF!</v>
      </c>
    </row>
    <row r="1274" spans="4:21" x14ac:dyDescent="0.2">
      <c r="D1274" s="4"/>
      <c r="G1274" s="5"/>
      <c r="H1274" s="5"/>
      <c r="I1274" s="4"/>
      <c r="J1274" s="4"/>
      <c r="K1274" s="5"/>
      <c r="Q1274" t="e">
        <f>VLOOKUP(A1274,'גיליון דאטה להכל'!A:E,5,0)</f>
        <v>#N/A</v>
      </c>
      <c r="R1274" t="e">
        <f>VLOOKUP(A1274,'לעדכן בסינתזה דאטה אריזה 42+24'!$A:$C,3,0)</f>
        <v>#N/A</v>
      </c>
      <c r="S1274" t="e">
        <f>VLOOKUP(#REF!,'מלאי לא תקין'!A:N,17,0)</f>
        <v>#REF!</v>
      </c>
      <c r="T1274" t="e">
        <f t="shared" si="42"/>
        <v>#REF!</v>
      </c>
      <c r="U1274" t="e">
        <f t="shared" si="43"/>
        <v>#REF!</v>
      </c>
    </row>
    <row r="1275" spans="4:21" x14ac:dyDescent="0.2">
      <c r="D1275" s="4"/>
      <c r="G1275" s="5"/>
      <c r="H1275" s="7"/>
      <c r="I1275" s="4"/>
      <c r="J1275" s="4"/>
      <c r="K1275" s="5"/>
      <c r="Q1275" t="e">
        <f>VLOOKUP(A1275,'גיליון דאטה להכל'!A:E,5,0)</f>
        <v>#N/A</v>
      </c>
      <c r="R1275" t="e">
        <f>VLOOKUP(A1275,'לעדכן בסינתזה דאטה אריזה 42+24'!$A:$C,3,0)</f>
        <v>#N/A</v>
      </c>
      <c r="S1275" t="e">
        <f>VLOOKUP(#REF!,'מלאי לא תקין'!A:N,17,0)</f>
        <v>#REF!</v>
      </c>
      <c r="T1275" t="e">
        <f t="shared" si="42"/>
        <v>#REF!</v>
      </c>
      <c r="U1275" t="e">
        <f t="shared" si="43"/>
        <v>#REF!</v>
      </c>
    </row>
    <row r="1276" spans="4:21" x14ac:dyDescent="0.2">
      <c r="D1276" s="4"/>
      <c r="G1276" s="5"/>
      <c r="H1276" s="5"/>
      <c r="I1276" s="4"/>
      <c r="J1276" s="4"/>
      <c r="K1276" s="5"/>
      <c r="Q1276" t="e">
        <f>VLOOKUP(A1276,'גיליון דאטה להכל'!A:E,5,0)</f>
        <v>#N/A</v>
      </c>
      <c r="R1276" t="e">
        <f>VLOOKUP(A1276,'לעדכן בסינתזה דאטה אריזה 42+24'!$A:$C,3,0)</f>
        <v>#N/A</v>
      </c>
      <c r="S1276" t="e">
        <f>VLOOKUP(#REF!,'מלאי לא תקין'!A:N,17,0)</f>
        <v>#REF!</v>
      </c>
      <c r="T1276" t="e">
        <f t="shared" si="42"/>
        <v>#REF!</v>
      </c>
      <c r="U1276" t="e">
        <f t="shared" si="43"/>
        <v>#REF!</v>
      </c>
    </row>
    <row r="1277" spans="4:21" x14ac:dyDescent="0.2">
      <c r="D1277" s="4"/>
      <c r="G1277" s="5"/>
      <c r="H1277" s="5"/>
      <c r="I1277" s="4"/>
      <c r="J1277" s="4"/>
      <c r="K1277" s="5"/>
      <c r="Q1277" t="e">
        <f>VLOOKUP(A1277,'גיליון דאטה להכל'!A:E,5,0)</f>
        <v>#N/A</v>
      </c>
      <c r="R1277" t="e">
        <f>VLOOKUP(A1277,'לעדכן בסינתזה דאטה אריזה 42+24'!$A:$C,3,0)</f>
        <v>#N/A</v>
      </c>
      <c r="S1277" t="e">
        <f>VLOOKUP(#REF!,'מלאי לא תקין'!A:N,17,0)</f>
        <v>#REF!</v>
      </c>
      <c r="T1277" t="e">
        <f t="shared" si="42"/>
        <v>#REF!</v>
      </c>
      <c r="U1277" t="e">
        <f t="shared" si="43"/>
        <v>#REF!</v>
      </c>
    </row>
    <row r="1278" spans="4:21" x14ac:dyDescent="0.2">
      <c r="D1278" s="4"/>
      <c r="G1278" s="5"/>
      <c r="H1278" s="5"/>
      <c r="I1278" s="4"/>
      <c r="J1278" s="4"/>
      <c r="K1278" s="5"/>
      <c r="Q1278" t="e">
        <f>VLOOKUP(A1278,'גיליון דאטה להכל'!A:E,5,0)</f>
        <v>#N/A</v>
      </c>
      <c r="R1278" t="e">
        <f>VLOOKUP(A1278,'לעדכן בסינתזה דאטה אריזה 42+24'!$A:$C,3,0)</f>
        <v>#N/A</v>
      </c>
      <c r="S1278" t="e">
        <f>VLOOKUP(#REF!,'מלאי לא תקין'!A:N,17,0)</f>
        <v>#REF!</v>
      </c>
      <c r="T1278" t="e">
        <f t="shared" si="42"/>
        <v>#REF!</v>
      </c>
      <c r="U1278" t="e">
        <f t="shared" si="43"/>
        <v>#REF!</v>
      </c>
    </row>
    <row r="1279" spans="4:21" x14ac:dyDescent="0.2">
      <c r="D1279" s="4"/>
      <c r="G1279" s="5"/>
      <c r="H1279" s="5"/>
      <c r="I1279" s="4"/>
      <c r="J1279" s="4"/>
      <c r="K1279" s="5"/>
      <c r="Q1279" t="e">
        <f>VLOOKUP(A1279,'גיליון דאטה להכל'!A:E,5,0)</f>
        <v>#N/A</v>
      </c>
      <c r="R1279" t="e">
        <f>VLOOKUP(A1279,'לעדכן בסינתזה דאטה אריזה 42+24'!$A:$C,3,0)</f>
        <v>#N/A</v>
      </c>
      <c r="S1279" t="e">
        <f>VLOOKUP(#REF!,'מלאי לא תקין'!A:N,17,0)</f>
        <v>#REF!</v>
      </c>
      <c r="T1279" t="e">
        <f t="shared" si="42"/>
        <v>#REF!</v>
      </c>
      <c r="U1279" t="e">
        <f t="shared" si="43"/>
        <v>#REF!</v>
      </c>
    </row>
    <row r="1280" spans="4:21" x14ac:dyDescent="0.2">
      <c r="D1280" s="4"/>
      <c r="G1280" s="5"/>
      <c r="H1280" s="7"/>
      <c r="I1280" s="4"/>
      <c r="J1280" s="4"/>
      <c r="K1280" s="5"/>
      <c r="Q1280" t="e">
        <f>VLOOKUP(A1280,'גיליון דאטה להכל'!A:E,5,0)</f>
        <v>#N/A</v>
      </c>
      <c r="R1280" t="e">
        <f>VLOOKUP(A1280,'לעדכן בסינתזה דאטה אריזה 42+24'!$A:$C,3,0)</f>
        <v>#N/A</v>
      </c>
      <c r="S1280" t="e">
        <f>VLOOKUP(#REF!,'מלאי לא תקין'!A:N,17,0)</f>
        <v>#REF!</v>
      </c>
      <c r="T1280" t="e">
        <f t="shared" si="42"/>
        <v>#REF!</v>
      </c>
      <c r="U1280" t="e">
        <f t="shared" si="43"/>
        <v>#REF!</v>
      </c>
    </row>
    <row r="1281" spans="4:21" x14ac:dyDescent="0.2">
      <c r="D1281" s="4"/>
      <c r="G1281" s="5"/>
      <c r="H1281" s="5"/>
      <c r="I1281" s="4"/>
      <c r="J1281" s="4"/>
      <c r="K1281" s="5"/>
      <c r="Q1281" t="e">
        <f>VLOOKUP(A1281,'גיליון דאטה להכל'!A:E,5,0)</f>
        <v>#N/A</v>
      </c>
      <c r="R1281" t="e">
        <f>VLOOKUP(A1281,'לעדכן בסינתזה דאטה אריזה 42+24'!$A:$C,3,0)</f>
        <v>#N/A</v>
      </c>
      <c r="S1281" t="e">
        <f>VLOOKUP(#REF!,'מלאי לא תקין'!A:N,17,0)</f>
        <v>#REF!</v>
      </c>
      <c r="T1281" t="e">
        <f t="shared" si="42"/>
        <v>#REF!</v>
      </c>
      <c r="U1281" t="e">
        <f t="shared" si="43"/>
        <v>#REF!</v>
      </c>
    </row>
    <row r="1282" spans="4:21" x14ac:dyDescent="0.2">
      <c r="D1282" s="4"/>
      <c r="G1282" s="5"/>
      <c r="H1282" s="5"/>
      <c r="I1282" s="4"/>
      <c r="J1282" s="4"/>
      <c r="K1282" s="5"/>
      <c r="Q1282" t="e">
        <f>VLOOKUP(A1282,'גיליון דאטה להכל'!A:E,5,0)</f>
        <v>#N/A</v>
      </c>
      <c r="R1282" t="e">
        <f>VLOOKUP(A1282,'לעדכן בסינתזה דאטה אריזה 42+24'!$A:$C,3,0)</f>
        <v>#N/A</v>
      </c>
      <c r="S1282" t="e">
        <f>VLOOKUP(#REF!,'מלאי לא תקין'!A:N,17,0)</f>
        <v>#REF!</v>
      </c>
      <c r="T1282" t="e">
        <f t="shared" si="42"/>
        <v>#REF!</v>
      </c>
      <c r="U1282" t="e">
        <f t="shared" si="43"/>
        <v>#REF!</v>
      </c>
    </row>
    <row r="1283" spans="4:21" x14ac:dyDescent="0.2">
      <c r="D1283" s="4"/>
      <c r="G1283" s="5"/>
      <c r="H1283" s="5"/>
      <c r="I1283" s="4"/>
      <c r="J1283" s="4"/>
      <c r="K1283" s="5"/>
      <c r="Q1283" t="e">
        <f>VLOOKUP(A1283,'גיליון דאטה להכל'!A:E,5,0)</f>
        <v>#N/A</v>
      </c>
      <c r="R1283" t="e">
        <f>VLOOKUP(A1283,'לעדכן בסינתזה דאטה אריזה 42+24'!$A:$C,3,0)</f>
        <v>#N/A</v>
      </c>
      <c r="S1283" t="e">
        <f>VLOOKUP(#REF!,'מלאי לא תקין'!A:N,17,0)</f>
        <v>#REF!</v>
      </c>
      <c r="T1283" t="e">
        <f t="shared" si="42"/>
        <v>#REF!</v>
      </c>
      <c r="U1283" t="e">
        <f t="shared" si="43"/>
        <v>#REF!</v>
      </c>
    </row>
    <row r="1284" spans="4:21" x14ac:dyDescent="0.2">
      <c r="D1284" s="4"/>
      <c r="G1284" s="5"/>
      <c r="H1284" s="5"/>
      <c r="I1284" s="4"/>
      <c r="J1284" s="4"/>
      <c r="K1284" s="5"/>
      <c r="Q1284" t="e">
        <f>VLOOKUP(A1284,'גיליון דאטה להכל'!A:E,5,0)</f>
        <v>#N/A</v>
      </c>
      <c r="R1284" t="e">
        <f>VLOOKUP(A1284,'לעדכן בסינתזה דאטה אריזה 42+24'!$A:$C,3,0)</f>
        <v>#N/A</v>
      </c>
      <c r="S1284" t="e">
        <f>VLOOKUP(#REF!,'מלאי לא תקין'!A:N,17,0)</f>
        <v>#REF!</v>
      </c>
      <c r="T1284" t="e">
        <f t="shared" si="42"/>
        <v>#REF!</v>
      </c>
      <c r="U1284" t="e">
        <f t="shared" si="43"/>
        <v>#REF!</v>
      </c>
    </row>
    <row r="1285" spans="4:21" x14ac:dyDescent="0.2">
      <c r="D1285" s="4"/>
      <c r="G1285" s="5"/>
      <c r="H1285" s="7"/>
      <c r="I1285" s="4"/>
      <c r="J1285" s="4"/>
      <c r="K1285" s="5"/>
      <c r="Q1285" t="e">
        <f>VLOOKUP(A1285,'גיליון דאטה להכל'!A:E,5,0)</f>
        <v>#N/A</v>
      </c>
      <c r="R1285" t="e">
        <f>VLOOKUP(A1285,'לעדכן בסינתזה דאטה אריזה 42+24'!$A:$C,3,0)</f>
        <v>#N/A</v>
      </c>
      <c r="S1285" t="e">
        <f>VLOOKUP(#REF!,'מלאי לא תקין'!A:N,17,0)</f>
        <v>#REF!</v>
      </c>
      <c r="T1285" t="e">
        <f t="shared" si="42"/>
        <v>#REF!</v>
      </c>
      <c r="U1285" t="e">
        <f t="shared" si="43"/>
        <v>#REF!</v>
      </c>
    </row>
    <row r="1286" spans="4:21" x14ac:dyDescent="0.2">
      <c r="D1286" s="4"/>
      <c r="G1286" s="5"/>
      <c r="H1286" s="5"/>
      <c r="I1286" s="4"/>
      <c r="J1286" s="4"/>
      <c r="K1286" s="5"/>
      <c r="Q1286" t="e">
        <f>VLOOKUP(A1286,'גיליון דאטה להכל'!A:E,5,0)</f>
        <v>#N/A</v>
      </c>
      <c r="R1286" t="e">
        <f>VLOOKUP(A1286,'לעדכן בסינתזה דאטה אריזה 42+24'!$A:$C,3,0)</f>
        <v>#N/A</v>
      </c>
      <c r="S1286" t="e">
        <f>VLOOKUP(#REF!,'מלאי לא תקין'!A:N,17,0)</f>
        <v>#REF!</v>
      </c>
      <c r="T1286" t="e">
        <f t="shared" si="42"/>
        <v>#REF!</v>
      </c>
      <c r="U1286" t="e">
        <f t="shared" si="43"/>
        <v>#REF!</v>
      </c>
    </row>
    <row r="1287" spans="4:21" x14ac:dyDescent="0.2">
      <c r="D1287" s="4"/>
      <c r="G1287" s="5"/>
      <c r="H1287" s="5"/>
      <c r="I1287" s="4"/>
      <c r="J1287" s="4"/>
      <c r="K1287" s="5"/>
      <c r="Q1287" t="e">
        <f>VLOOKUP(A1287,'גיליון דאטה להכל'!A:E,5,0)</f>
        <v>#N/A</v>
      </c>
      <c r="R1287" t="e">
        <f>VLOOKUP(A1287,'לעדכן בסינתזה דאטה אריזה 42+24'!$A:$C,3,0)</f>
        <v>#N/A</v>
      </c>
      <c r="S1287" t="e">
        <f>VLOOKUP(#REF!,'מלאי לא תקין'!A:N,17,0)</f>
        <v>#REF!</v>
      </c>
      <c r="T1287" t="e">
        <f t="shared" si="42"/>
        <v>#REF!</v>
      </c>
      <c r="U1287" t="e">
        <f t="shared" si="43"/>
        <v>#REF!</v>
      </c>
    </row>
    <row r="1288" spans="4:21" x14ac:dyDescent="0.2">
      <c r="D1288" s="4"/>
      <c r="G1288" s="5"/>
      <c r="H1288" s="5"/>
      <c r="I1288" s="4"/>
      <c r="J1288" s="4"/>
      <c r="K1288" s="5"/>
      <c r="Q1288" t="e">
        <f>VLOOKUP(A1288,'גיליון דאטה להכל'!A:E,5,0)</f>
        <v>#N/A</v>
      </c>
      <c r="R1288" t="e">
        <f>VLOOKUP(A1288,'לעדכן בסינתזה דאטה אריזה 42+24'!$A:$C,3,0)</f>
        <v>#N/A</v>
      </c>
      <c r="S1288" t="e">
        <f>VLOOKUP(#REF!,'מלאי לא תקין'!A:N,17,0)</f>
        <v>#REF!</v>
      </c>
      <c r="T1288" t="e">
        <f t="shared" si="42"/>
        <v>#REF!</v>
      </c>
      <c r="U1288" t="e">
        <f t="shared" si="43"/>
        <v>#REF!</v>
      </c>
    </row>
    <row r="1289" spans="4:21" x14ac:dyDescent="0.2">
      <c r="D1289" s="4"/>
      <c r="G1289" s="5"/>
      <c r="H1289" s="5"/>
      <c r="I1289" s="4"/>
      <c r="J1289" s="4"/>
      <c r="K1289" s="5"/>
      <c r="Q1289" t="e">
        <f>VLOOKUP(A1289,'גיליון דאטה להכל'!A:E,5,0)</f>
        <v>#N/A</v>
      </c>
      <c r="R1289" t="e">
        <f>VLOOKUP(A1289,'לעדכן בסינתזה דאטה אריזה 42+24'!$A:$C,3,0)</f>
        <v>#N/A</v>
      </c>
      <c r="S1289" t="e">
        <f>VLOOKUP(#REF!,'מלאי לא תקין'!A:N,17,0)</f>
        <v>#REF!</v>
      </c>
      <c r="T1289" t="e">
        <f t="shared" si="42"/>
        <v>#REF!</v>
      </c>
      <c r="U1289" t="e">
        <f t="shared" si="43"/>
        <v>#REF!</v>
      </c>
    </row>
    <row r="1290" spans="4:21" x14ac:dyDescent="0.2">
      <c r="D1290" s="4"/>
      <c r="G1290" s="5"/>
      <c r="H1290" s="7"/>
      <c r="I1290" s="4"/>
      <c r="J1290" s="4"/>
      <c r="K1290" s="5"/>
      <c r="Q1290" t="e">
        <f>VLOOKUP(A1290,'גיליון דאטה להכל'!A:E,5,0)</f>
        <v>#N/A</v>
      </c>
      <c r="R1290" t="e">
        <f>VLOOKUP(A1290,'לעדכן בסינתזה דאטה אריזה 42+24'!$A:$C,3,0)</f>
        <v>#N/A</v>
      </c>
      <c r="S1290" t="e">
        <f>VLOOKUP(#REF!,'מלאי לא תקין'!A:N,17,0)</f>
        <v>#REF!</v>
      </c>
      <c r="T1290" t="e">
        <f t="shared" si="42"/>
        <v>#REF!</v>
      </c>
      <c r="U1290" t="e">
        <f t="shared" si="43"/>
        <v>#REF!</v>
      </c>
    </row>
    <row r="1291" spans="4:21" x14ac:dyDescent="0.2">
      <c r="D1291" s="4"/>
      <c r="G1291" s="5"/>
      <c r="H1291" s="5"/>
      <c r="I1291" s="4"/>
      <c r="J1291" s="4"/>
      <c r="K1291" s="5"/>
      <c r="Q1291" t="e">
        <f>VLOOKUP(A1291,'גיליון דאטה להכל'!A:E,5,0)</f>
        <v>#N/A</v>
      </c>
      <c r="R1291" t="e">
        <f>VLOOKUP(A1291,'לעדכן בסינתזה דאטה אריזה 42+24'!$A:$C,3,0)</f>
        <v>#N/A</v>
      </c>
      <c r="S1291" t="e">
        <f>VLOOKUP(#REF!,'מלאי לא תקין'!A:N,17,0)</f>
        <v>#REF!</v>
      </c>
      <c r="T1291" t="e">
        <f t="shared" si="42"/>
        <v>#REF!</v>
      </c>
      <c r="U1291" t="e">
        <f t="shared" si="43"/>
        <v>#REF!</v>
      </c>
    </row>
    <row r="1292" spans="4:21" x14ac:dyDescent="0.2">
      <c r="D1292" s="4"/>
      <c r="G1292" s="5"/>
      <c r="H1292" s="5"/>
      <c r="I1292" s="4"/>
      <c r="J1292" s="4"/>
      <c r="K1292" s="5"/>
      <c r="Q1292" t="e">
        <f>VLOOKUP(A1292,'גיליון דאטה להכל'!A:E,5,0)</f>
        <v>#N/A</v>
      </c>
      <c r="R1292" t="e">
        <f>VLOOKUP(A1292,'לעדכן בסינתזה דאטה אריזה 42+24'!$A:$C,3,0)</f>
        <v>#N/A</v>
      </c>
      <c r="S1292" t="e">
        <f>VLOOKUP(#REF!,'מלאי לא תקין'!A:N,17,0)</f>
        <v>#REF!</v>
      </c>
      <c r="T1292" t="e">
        <f t="shared" si="42"/>
        <v>#REF!</v>
      </c>
      <c r="U1292" t="e">
        <f t="shared" si="43"/>
        <v>#REF!</v>
      </c>
    </row>
    <row r="1293" spans="4:21" x14ac:dyDescent="0.2">
      <c r="D1293" s="4"/>
      <c r="G1293" s="5"/>
      <c r="H1293" s="5"/>
      <c r="I1293" s="4"/>
      <c r="J1293" s="4"/>
      <c r="K1293" s="5"/>
      <c r="Q1293" t="e">
        <f>VLOOKUP(A1293,'גיליון דאטה להכל'!A:E,5,0)</f>
        <v>#N/A</v>
      </c>
      <c r="R1293" t="e">
        <f>VLOOKUP(A1293,'לעדכן בסינתזה דאטה אריזה 42+24'!$A:$C,3,0)</f>
        <v>#N/A</v>
      </c>
      <c r="S1293" t="e">
        <f>VLOOKUP(#REF!,'מלאי לא תקין'!A:N,17,0)</f>
        <v>#REF!</v>
      </c>
      <c r="T1293" t="e">
        <f t="shared" si="42"/>
        <v>#REF!</v>
      </c>
      <c r="U1293" t="e">
        <f t="shared" si="43"/>
        <v>#REF!</v>
      </c>
    </row>
    <row r="1294" spans="4:21" x14ac:dyDescent="0.2">
      <c r="D1294" s="4"/>
      <c r="G1294" s="5"/>
      <c r="H1294" s="5"/>
      <c r="I1294" s="4"/>
      <c r="J1294" s="4"/>
      <c r="K1294" s="5"/>
      <c r="Q1294" t="e">
        <f>VLOOKUP(A1294,'גיליון דאטה להכל'!A:E,5,0)</f>
        <v>#N/A</v>
      </c>
      <c r="R1294" t="e">
        <f>VLOOKUP(A1294,'לעדכן בסינתזה דאטה אריזה 42+24'!$A:$C,3,0)</f>
        <v>#N/A</v>
      </c>
      <c r="S1294" t="e">
        <f>VLOOKUP(#REF!,'מלאי לא תקין'!A:N,17,0)</f>
        <v>#REF!</v>
      </c>
      <c r="T1294" t="e">
        <f t="shared" si="42"/>
        <v>#REF!</v>
      </c>
      <c r="U1294" t="e">
        <f t="shared" si="43"/>
        <v>#REF!</v>
      </c>
    </row>
    <row r="1295" spans="4:21" x14ac:dyDescent="0.2">
      <c r="D1295" s="4"/>
      <c r="G1295" s="5"/>
      <c r="H1295" s="7"/>
      <c r="I1295" s="4"/>
      <c r="J1295" s="4"/>
      <c r="K1295" s="5"/>
      <c r="Q1295" t="e">
        <f>VLOOKUP(A1295,'גיליון דאטה להכל'!A:E,5,0)</f>
        <v>#N/A</v>
      </c>
      <c r="R1295" t="e">
        <f>VLOOKUP(A1295,'לעדכן בסינתזה דאטה אריזה 42+24'!$A:$C,3,0)</f>
        <v>#N/A</v>
      </c>
      <c r="S1295" t="e">
        <f>VLOOKUP(#REF!,'מלאי לא תקין'!A:N,17,0)</f>
        <v>#REF!</v>
      </c>
      <c r="T1295" t="e">
        <f t="shared" si="42"/>
        <v>#REF!</v>
      </c>
      <c r="U1295" t="e">
        <f t="shared" si="43"/>
        <v>#REF!</v>
      </c>
    </row>
    <row r="1296" spans="4:21" x14ac:dyDescent="0.2">
      <c r="D1296" s="4"/>
      <c r="G1296" s="5"/>
      <c r="H1296" s="5"/>
      <c r="I1296" s="4"/>
      <c r="J1296" s="4"/>
      <c r="K1296" s="5"/>
      <c r="Q1296" t="e">
        <f>VLOOKUP(A1296,'גיליון דאטה להכל'!A:E,5,0)</f>
        <v>#N/A</v>
      </c>
      <c r="R1296" t="e">
        <f>VLOOKUP(A1296,'לעדכן בסינתזה דאטה אריזה 42+24'!$A:$C,3,0)</f>
        <v>#N/A</v>
      </c>
      <c r="S1296" t="e">
        <f>VLOOKUP(#REF!,'מלאי לא תקין'!A:N,17,0)</f>
        <v>#REF!</v>
      </c>
      <c r="T1296" t="e">
        <f t="shared" si="42"/>
        <v>#REF!</v>
      </c>
      <c r="U1296" t="e">
        <f t="shared" si="43"/>
        <v>#REF!</v>
      </c>
    </row>
    <row r="1297" spans="4:21" x14ac:dyDescent="0.2">
      <c r="D1297" s="4"/>
      <c r="G1297" s="5"/>
      <c r="H1297" s="5"/>
      <c r="I1297" s="4"/>
      <c r="J1297" s="4"/>
      <c r="K1297" s="5"/>
      <c r="Q1297" t="e">
        <f>VLOOKUP(A1297,'גיליון דאטה להכל'!A:E,5,0)</f>
        <v>#N/A</v>
      </c>
      <c r="R1297" t="e">
        <f>VLOOKUP(A1297,'לעדכן בסינתזה דאטה אריזה 42+24'!$A:$C,3,0)</f>
        <v>#N/A</v>
      </c>
      <c r="S1297" t="e">
        <f>VLOOKUP(#REF!,'מלאי לא תקין'!A:N,17,0)</f>
        <v>#REF!</v>
      </c>
      <c r="T1297" t="e">
        <f t="shared" si="42"/>
        <v>#REF!</v>
      </c>
      <c r="U1297" t="e">
        <f t="shared" si="43"/>
        <v>#REF!</v>
      </c>
    </row>
    <row r="1298" spans="4:21" x14ac:dyDescent="0.2">
      <c r="D1298" s="4"/>
      <c r="G1298" s="5"/>
      <c r="H1298" s="5"/>
      <c r="I1298" s="4"/>
      <c r="J1298" s="4"/>
      <c r="K1298" s="5"/>
      <c r="Q1298" t="e">
        <f>VLOOKUP(A1298,'גיליון דאטה להכל'!A:E,5,0)</f>
        <v>#N/A</v>
      </c>
      <c r="R1298" t="e">
        <f>VLOOKUP(A1298,'לעדכן בסינתזה דאטה אריזה 42+24'!$A:$C,3,0)</f>
        <v>#N/A</v>
      </c>
      <c r="S1298" t="e">
        <f>VLOOKUP(#REF!,'מלאי לא תקין'!A:N,17,0)</f>
        <v>#REF!</v>
      </c>
      <c r="T1298" t="e">
        <f t="shared" si="42"/>
        <v>#REF!</v>
      </c>
      <c r="U1298" t="e">
        <f t="shared" si="43"/>
        <v>#REF!</v>
      </c>
    </row>
    <row r="1299" spans="4:21" x14ac:dyDescent="0.2">
      <c r="D1299" s="4"/>
      <c r="G1299" s="5"/>
      <c r="H1299" s="5"/>
      <c r="I1299" s="4"/>
      <c r="J1299" s="4"/>
      <c r="K1299" s="5"/>
      <c r="Q1299" t="e">
        <f>VLOOKUP(A1299,'גיליון דאטה להכל'!A:E,5,0)</f>
        <v>#N/A</v>
      </c>
      <c r="R1299" t="e">
        <f>VLOOKUP(A1299,'לעדכן בסינתזה דאטה אריזה 42+24'!$A:$C,3,0)</f>
        <v>#N/A</v>
      </c>
      <c r="S1299" t="e">
        <f>VLOOKUP(#REF!,'מלאי לא תקין'!A:N,17,0)</f>
        <v>#REF!</v>
      </c>
      <c r="T1299" t="e">
        <f t="shared" si="42"/>
        <v>#REF!</v>
      </c>
      <c r="U1299" t="e">
        <f t="shared" si="43"/>
        <v>#REF!</v>
      </c>
    </row>
    <row r="1300" spans="4:21" x14ac:dyDescent="0.2">
      <c r="D1300" s="4"/>
      <c r="G1300" s="5"/>
      <c r="H1300" s="5"/>
      <c r="I1300" s="4"/>
      <c r="J1300" s="4"/>
      <c r="K1300" s="5"/>
      <c r="Q1300" t="e">
        <f>VLOOKUP(A1300,'גיליון דאטה להכל'!A:E,5,0)</f>
        <v>#N/A</v>
      </c>
      <c r="R1300" t="e">
        <f>VLOOKUP(A1300,'לעדכן בסינתזה דאטה אריזה 42+24'!$A:$C,3,0)</f>
        <v>#N/A</v>
      </c>
      <c r="S1300" t="e">
        <f>VLOOKUP(#REF!,'מלאי לא תקין'!A:N,17,0)</f>
        <v>#REF!</v>
      </c>
      <c r="T1300" t="e">
        <f t="shared" si="42"/>
        <v>#REF!</v>
      </c>
      <c r="U1300" t="e">
        <f t="shared" si="43"/>
        <v>#REF!</v>
      </c>
    </row>
    <row r="1301" spans="4:21" x14ac:dyDescent="0.2">
      <c r="D1301" s="4"/>
      <c r="G1301" s="5"/>
      <c r="H1301" s="5"/>
      <c r="I1301" s="4"/>
      <c r="J1301" s="4"/>
      <c r="K1301" s="5"/>
      <c r="Q1301" t="e">
        <f>VLOOKUP(A1301,'גיליון דאטה להכל'!A:E,5,0)</f>
        <v>#N/A</v>
      </c>
      <c r="R1301" t="e">
        <f>VLOOKUP(A1301,'לעדכן בסינתזה דאטה אריזה 42+24'!$A:$C,3,0)</f>
        <v>#N/A</v>
      </c>
      <c r="S1301" t="e">
        <f>VLOOKUP(#REF!,'מלאי לא תקין'!A:N,17,0)</f>
        <v>#REF!</v>
      </c>
      <c r="T1301" t="e">
        <f t="shared" si="42"/>
        <v>#REF!</v>
      </c>
      <c r="U1301" t="e">
        <f t="shared" si="43"/>
        <v>#REF!</v>
      </c>
    </row>
    <row r="1302" spans="4:21" x14ac:dyDescent="0.2">
      <c r="D1302" s="4"/>
      <c r="G1302" s="5"/>
      <c r="H1302" s="5"/>
      <c r="I1302" s="4"/>
      <c r="J1302" s="4"/>
      <c r="K1302" s="5"/>
      <c r="Q1302" t="e">
        <f>VLOOKUP(A1302,'גיליון דאטה להכל'!A:E,5,0)</f>
        <v>#N/A</v>
      </c>
      <c r="R1302" t="e">
        <f>VLOOKUP(A1302,'לעדכן בסינתזה דאטה אריזה 42+24'!$A:$C,3,0)</f>
        <v>#N/A</v>
      </c>
      <c r="S1302" t="e">
        <f>VLOOKUP(#REF!,'מלאי לא תקין'!A:N,17,0)</f>
        <v>#REF!</v>
      </c>
      <c r="T1302" t="e">
        <f t="shared" si="42"/>
        <v>#REF!</v>
      </c>
      <c r="U1302" t="e">
        <f t="shared" si="43"/>
        <v>#REF!</v>
      </c>
    </row>
    <row r="1303" spans="4:21" x14ac:dyDescent="0.2">
      <c r="D1303" s="4"/>
      <c r="G1303" s="5"/>
      <c r="H1303" s="5"/>
      <c r="I1303" s="4"/>
      <c r="J1303" s="4"/>
      <c r="K1303" s="5"/>
      <c r="Q1303" t="e">
        <f>VLOOKUP(A1303,'גיליון דאטה להכל'!A:E,5,0)</f>
        <v>#N/A</v>
      </c>
      <c r="R1303" t="e">
        <f>VLOOKUP(A1303,'לעדכן בסינתזה דאטה אריזה 42+24'!$A:$C,3,0)</f>
        <v>#N/A</v>
      </c>
      <c r="S1303" t="e">
        <f>VLOOKUP(#REF!,'מלאי לא תקין'!A:N,17,0)</f>
        <v>#REF!</v>
      </c>
      <c r="T1303" t="e">
        <f t="shared" si="42"/>
        <v>#REF!</v>
      </c>
      <c r="U1303" t="e">
        <f t="shared" si="43"/>
        <v>#REF!</v>
      </c>
    </row>
    <row r="1304" spans="4:21" x14ac:dyDescent="0.2">
      <c r="D1304" s="4"/>
      <c r="G1304" s="5"/>
      <c r="H1304" s="5"/>
      <c r="I1304" s="4"/>
      <c r="J1304" s="4"/>
      <c r="K1304" s="5"/>
      <c r="Q1304" t="e">
        <f>VLOOKUP(A1304,'גיליון דאטה להכל'!A:E,5,0)</f>
        <v>#N/A</v>
      </c>
      <c r="R1304" t="e">
        <f>VLOOKUP(A1304,'לעדכן בסינתזה דאטה אריזה 42+24'!$A:$C,3,0)</f>
        <v>#N/A</v>
      </c>
      <c r="S1304" t="e">
        <f>VLOOKUP(#REF!,'מלאי לא תקין'!A:N,17,0)</f>
        <v>#REF!</v>
      </c>
      <c r="T1304" t="e">
        <f t="shared" si="42"/>
        <v>#REF!</v>
      </c>
      <c r="U1304" t="e">
        <f t="shared" si="43"/>
        <v>#REF!</v>
      </c>
    </row>
    <row r="1305" spans="4:21" x14ac:dyDescent="0.2">
      <c r="D1305" s="4"/>
      <c r="G1305" s="5"/>
      <c r="H1305" s="7"/>
      <c r="I1305" s="4"/>
      <c r="J1305" s="4"/>
      <c r="K1305" s="5"/>
      <c r="Q1305" t="e">
        <f>VLOOKUP(A1305,'גיליון דאטה להכל'!A:E,5,0)</f>
        <v>#N/A</v>
      </c>
      <c r="R1305" t="e">
        <f>VLOOKUP(A1305,'לעדכן בסינתזה דאטה אריזה 42+24'!$A:$C,3,0)</f>
        <v>#N/A</v>
      </c>
      <c r="S1305" t="e">
        <f>VLOOKUP(#REF!,'מלאי לא תקין'!A:N,17,0)</f>
        <v>#REF!</v>
      </c>
      <c r="T1305" t="e">
        <f t="shared" si="42"/>
        <v>#REF!</v>
      </c>
      <c r="U1305" t="e">
        <f t="shared" si="43"/>
        <v>#REF!</v>
      </c>
    </row>
    <row r="1306" spans="4:21" x14ac:dyDescent="0.2">
      <c r="D1306" s="4"/>
      <c r="G1306" s="5"/>
      <c r="H1306" s="5"/>
      <c r="I1306" s="4"/>
      <c r="J1306" s="4"/>
      <c r="K1306" s="5"/>
      <c r="Q1306" t="e">
        <f>VLOOKUP(A1306,'גיליון דאטה להכל'!A:E,5,0)</f>
        <v>#N/A</v>
      </c>
      <c r="R1306" t="e">
        <f>VLOOKUP(A1306,'לעדכן בסינתזה דאטה אריזה 42+24'!$A:$C,3,0)</f>
        <v>#N/A</v>
      </c>
      <c r="S1306" t="e">
        <f>VLOOKUP(#REF!,'מלאי לא תקין'!A:N,17,0)</f>
        <v>#REF!</v>
      </c>
      <c r="T1306" t="e">
        <f t="shared" si="42"/>
        <v>#REF!</v>
      </c>
      <c r="U1306" t="e">
        <f t="shared" si="43"/>
        <v>#REF!</v>
      </c>
    </row>
    <row r="1307" spans="4:21" x14ac:dyDescent="0.2">
      <c r="D1307" s="4"/>
      <c r="G1307" s="5"/>
      <c r="H1307" s="5"/>
      <c r="I1307" s="4"/>
      <c r="J1307" s="4"/>
      <c r="K1307" s="5"/>
      <c r="Q1307" t="e">
        <f>VLOOKUP(A1307,'גיליון דאטה להכל'!A:E,5,0)</f>
        <v>#N/A</v>
      </c>
      <c r="R1307" t="e">
        <f>VLOOKUP(A1307,'לעדכן בסינתזה דאטה אריזה 42+24'!$A:$C,3,0)</f>
        <v>#N/A</v>
      </c>
      <c r="S1307" t="e">
        <f>VLOOKUP(#REF!,'מלאי לא תקין'!A:N,17,0)</f>
        <v>#REF!</v>
      </c>
      <c r="T1307" t="e">
        <f t="shared" si="42"/>
        <v>#REF!</v>
      </c>
      <c r="U1307" t="e">
        <f t="shared" si="43"/>
        <v>#REF!</v>
      </c>
    </row>
    <row r="1308" spans="4:21" x14ac:dyDescent="0.2">
      <c r="D1308" s="4"/>
      <c r="G1308" s="5"/>
      <c r="H1308" s="5"/>
      <c r="I1308" s="4"/>
      <c r="J1308" s="4"/>
      <c r="K1308" s="5"/>
      <c r="Q1308" t="e">
        <f>VLOOKUP(A1308,'גיליון דאטה להכל'!A:E,5,0)</f>
        <v>#N/A</v>
      </c>
      <c r="R1308" t="e">
        <f>VLOOKUP(A1308,'לעדכן בסינתזה דאטה אריזה 42+24'!$A:$C,3,0)</f>
        <v>#N/A</v>
      </c>
      <c r="S1308" t="e">
        <f>VLOOKUP(#REF!,'מלאי לא תקין'!A:N,17,0)</f>
        <v>#REF!</v>
      </c>
      <c r="T1308" t="e">
        <f t="shared" si="42"/>
        <v>#REF!</v>
      </c>
      <c r="U1308" t="e">
        <f t="shared" si="43"/>
        <v>#REF!</v>
      </c>
    </row>
    <row r="1309" spans="4:21" x14ac:dyDescent="0.2">
      <c r="D1309" s="4"/>
      <c r="G1309" s="5"/>
      <c r="H1309" s="5"/>
      <c r="I1309" s="4"/>
      <c r="J1309" s="4"/>
      <c r="K1309" s="5"/>
      <c r="Q1309" t="e">
        <f>VLOOKUP(A1309,'גיליון דאטה להכל'!A:E,5,0)</f>
        <v>#N/A</v>
      </c>
      <c r="R1309" t="e">
        <f>VLOOKUP(A1309,'לעדכן בסינתזה דאטה אריזה 42+24'!$A:$C,3,0)</f>
        <v>#N/A</v>
      </c>
      <c r="S1309" t="e">
        <f>VLOOKUP(#REF!,'מלאי לא תקין'!A:N,17,0)</f>
        <v>#REF!</v>
      </c>
      <c r="T1309" t="e">
        <f t="shared" si="42"/>
        <v>#REF!</v>
      </c>
      <c r="U1309" t="e">
        <f t="shared" si="43"/>
        <v>#REF!</v>
      </c>
    </row>
    <row r="1310" spans="4:21" x14ac:dyDescent="0.2">
      <c r="D1310" s="4"/>
      <c r="G1310" s="5"/>
      <c r="H1310" s="7"/>
      <c r="I1310" s="4"/>
      <c r="J1310" s="4"/>
      <c r="K1310" s="5"/>
      <c r="Q1310" t="e">
        <f>VLOOKUP(A1310,'גיליון דאטה להכל'!A:E,5,0)</f>
        <v>#N/A</v>
      </c>
      <c r="R1310" t="e">
        <f>VLOOKUP(A1310,'לעדכן בסינתזה דאטה אריזה 42+24'!$A:$C,3,0)</f>
        <v>#N/A</v>
      </c>
      <c r="S1310" t="e">
        <f>VLOOKUP(#REF!,'מלאי לא תקין'!A:N,17,0)</f>
        <v>#REF!</v>
      </c>
      <c r="T1310" t="e">
        <f t="shared" si="42"/>
        <v>#REF!</v>
      </c>
      <c r="U1310" t="e">
        <f t="shared" si="43"/>
        <v>#REF!</v>
      </c>
    </row>
    <row r="1311" spans="4:21" x14ac:dyDescent="0.2">
      <c r="D1311" s="4"/>
      <c r="G1311" s="5"/>
      <c r="H1311" s="5"/>
      <c r="I1311" s="4"/>
      <c r="J1311" s="4"/>
      <c r="K1311" s="5"/>
      <c r="Q1311" t="e">
        <f>VLOOKUP(A1311,'גיליון דאטה להכל'!A:E,5,0)</f>
        <v>#N/A</v>
      </c>
      <c r="R1311" t="e">
        <f>VLOOKUP(A1311,'לעדכן בסינתזה דאטה אריזה 42+24'!$A:$C,3,0)</f>
        <v>#N/A</v>
      </c>
      <c r="S1311" t="e">
        <f>VLOOKUP(#REF!,'מלאי לא תקין'!A:N,17,0)</f>
        <v>#REF!</v>
      </c>
      <c r="T1311" t="e">
        <f t="shared" si="42"/>
        <v>#REF!</v>
      </c>
      <c r="U1311" t="e">
        <f t="shared" si="43"/>
        <v>#REF!</v>
      </c>
    </row>
    <row r="1312" spans="4:21" x14ac:dyDescent="0.2">
      <c r="D1312" s="4"/>
      <c r="G1312" s="5"/>
      <c r="H1312" s="5"/>
      <c r="I1312" s="4"/>
      <c r="J1312" s="4"/>
      <c r="K1312" s="5"/>
      <c r="Q1312" t="e">
        <f>VLOOKUP(A1312,'גיליון דאטה להכל'!A:E,5,0)</f>
        <v>#N/A</v>
      </c>
      <c r="R1312" t="e">
        <f>VLOOKUP(A1312,'לעדכן בסינתזה דאטה אריזה 42+24'!$A:$C,3,0)</f>
        <v>#N/A</v>
      </c>
      <c r="S1312" t="e">
        <f>VLOOKUP(#REF!,'מלאי לא תקין'!A:N,17,0)</f>
        <v>#REF!</v>
      </c>
      <c r="T1312" t="e">
        <f t="shared" si="42"/>
        <v>#REF!</v>
      </c>
      <c r="U1312" t="e">
        <f t="shared" si="43"/>
        <v>#REF!</v>
      </c>
    </row>
    <row r="1313" spans="4:21" x14ac:dyDescent="0.2">
      <c r="D1313" s="4"/>
      <c r="G1313" s="5"/>
      <c r="H1313" s="5"/>
      <c r="I1313" s="4"/>
      <c r="J1313" s="4"/>
      <c r="K1313" s="5"/>
      <c r="Q1313" t="e">
        <f>VLOOKUP(A1313,'גיליון דאטה להכל'!A:E,5,0)</f>
        <v>#N/A</v>
      </c>
      <c r="R1313" t="e">
        <f>VLOOKUP(A1313,'לעדכן בסינתזה דאטה אריזה 42+24'!$A:$C,3,0)</f>
        <v>#N/A</v>
      </c>
      <c r="S1313" t="e">
        <f>VLOOKUP(#REF!,'מלאי לא תקין'!A:N,17,0)</f>
        <v>#REF!</v>
      </c>
      <c r="T1313" t="e">
        <f t="shared" si="42"/>
        <v>#REF!</v>
      </c>
      <c r="U1313" t="e">
        <f t="shared" si="43"/>
        <v>#REF!</v>
      </c>
    </row>
    <row r="1314" spans="4:21" x14ac:dyDescent="0.2">
      <c r="D1314" s="4"/>
      <c r="G1314" s="5"/>
      <c r="H1314" s="5"/>
      <c r="I1314" s="4"/>
      <c r="J1314" s="4"/>
      <c r="K1314" s="5"/>
      <c r="Q1314" t="e">
        <f>VLOOKUP(A1314,'גיליון דאטה להכל'!A:E,5,0)</f>
        <v>#N/A</v>
      </c>
      <c r="R1314" t="e">
        <f>VLOOKUP(A1314,'לעדכן בסינתזה דאטה אריזה 42+24'!$A:$C,3,0)</f>
        <v>#N/A</v>
      </c>
      <c r="S1314" t="e">
        <f>VLOOKUP(#REF!,'מלאי לא תקין'!A:N,17,0)</f>
        <v>#REF!</v>
      </c>
      <c r="T1314" t="e">
        <f t="shared" si="42"/>
        <v>#REF!</v>
      </c>
      <c r="U1314" t="e">
        <f t="shared" si="43"/>
        <v>#REF!</v>
      </c>
    </row>
    <row r="1315" spans="4:21" x14ac:dyDescent="0.2">
      <c r="D1315" s="4"/>
      <c r="G1315" s="5"/>
      <c r="H1315" s="7"/>
      <c r="I1315" s="4"/>
      <c r="J1315" s="4"/>
      <c r="K1315" s="5"/>
      <c r="Q1315" t="e">
        <f>VLOOKUP(A1315,'גיליון דאטה להכל'!A:E,5,0)</f>
        <v>#N/A</v>
      </c>
      <c r="R1315" t="e">
        <f>VLOOKUP(A1315,'לעדכן בסינתזה דאטה אריזה 42+24'!$A:$C,3,0)</f>
        <v>#N/A</v>
      </c>
      <c r="S1315" t="e">
        <f>VLOOKUP(#REF!,'מלאי לא תקין'!A:N,17,0)</f>
        <v>#REF!</v>
      </c>
      <c r="T1315" t="e">
        <f t="shared" si="42"/>
        <v>#REF!</v>
      </c>
      <c r="U1315" t="e">
        <f t="shared" si="43"/>
        <v>#REF!</v>
      </c>
    </row>
    <row r="1316" spans="4:21" x14ac:dyDescent="0.2">
      <c r="D1316" s="4"/>
      <c r="G1316" s="5"/>
      <c r="H1316" s="5"/>
      <c r="I1316" s="4"/>
      <c r="J1316" s="4"/>
      <c r="K1316" s="5"/>
      <c r="Q1316" t="e">
        <f>VLOOKUP(A1316,'גיליון דאטה להכל'!A:E,5,0)</f>
        <v>#N/A</v>
      </c>
      <c r="R1316" t="e">
        <f>VLOOKUP(A1316,'לעדכן בסינתזה דאטה אריזה 42+24'!$A:$C,3,0)</f>
        <v>#N/A</v>
      </c>
      <c r="S1316" t="e">
        <f>VLOOKUP(#REF!,'מלאי לא תקין'!A:N,17,0)</f>
        <v>#REF!</v>
      </c>
      <c r="T1316" t="e">
        <f t="shared" si="42"/>
        <v>#REF!</v>
      </c>
      <c r="U1316" t="e">
        <f t="shared" si="43"/>
        <v>#REF!</v>
      </c>
    </row>
    <row r="1317" spans="4:21" x14ac:dyDescent="0.2">
      <c r="D1317" s="4"/>
      <c r="G1317" s="5"/>
      <c r="H1317" s="5"/>
      <c r="I1317" s="4"/>
      <c r="J1317" s="4"/>
      <c r="K1317" s="5"/>
      <c r="Q1317" t="e">
        <f>VLOOKUP(A1317,'גיליון דאטה להכל'!A:E,5,0)</f>
        <v>#N/A</v>
      </c>
      <c r="R1317" t="e">
        <f>VLOOKUP(A1317,'לעדכן בסינתזה דאטה אריזה 42+24'!$A:$C,3,0)</f>
        <v>#N/A</v>
      </c>
      <c r="S1317" t="e">
        <f>VLOOKUP(#REF!,'מלאי לא תקין'!A:N,17,0)</f>
        <v>#REF!</v>
      </c>
      <c r="T1317" t="e">
        <f t="shared" si="42"/>
        <v>#REF!</v>
      </c>
      <c r="U1317" t="e">
        <f t="shared" si="43"/>
        <v>#REF!</v>
      </c>
    </row>
    <row r="1318" spans="4:21" x14ac:dyDescent="0.2">
      <c r="D1318" s="4"/>
      <c r="G1318" s="5"/>
      <c r="H1318" s="5"/>
      <c r="I1318" s="4"/>
      <c r="J1318" s="4"/>
      <c r="K1318" s="5"/>
      <c r="Q1318" t="e">
        <f>VLOOKUP(A1318,'גיליון דאטה להכל'!A:E,5,0)</f>
        <v>#N/A</v>
      </c>
      <c r="R1318" t="e">
        <f>VLOOKUP(A1318,'לעדכן בסינתזה דאטה אריזה 42+24'!$A:$C,3,0)</f>
        <v>#N/A</v>
      </c>
      <c r="S1318" t="e">
        <f>VLOOKUP(#REF!,'מלאי לא תקין'!A:N,17,0)</f>
        <v>#REF!</v>
      </c>
      <c r="T1318" t="e">
        <f t="shared" si="42"/>
        <v>#REF!</v>
      </c>
      <c r="U1318" t="e">
        <f t="shared" si="43"/>
        <v>#REF!</v>
      </c>
    </row>
    <row r="1319" spans="4:21" x14ac:dyDescent="0.2">
      <c r="D1319" s="4"/>
      <c r="G1319" s="5"/>
      <c r="H1319" s="5"/>
      <c r="I1319" s="4"/>
      <c r="J1319" s="4"/>
      <c r="K1319" s="5"/>
      <c r="Q1319" t="e">
        <f>VLOOKUP(A1319,'גיליון דאטה להכל'!A:E,5,0)</f>
        <v>#N/A</v>
      </c>
      <c r="R1319" t="e">
        <f>VLOOKUP(A1319,'לעדכן בסינתזה דאטה אריזה 42+24'!$A:$C,3,0)</f>
        <v>#N/A</v>
      </c>
      <c r="S1319" t="e">
        <f>VLOOKUP(#REF!,'מלאי לא תקין'!A:N,17,0)</f>
        <v>#REF!</v>
      </c>
      <c r="T1319" t="e">
        <f t="shared" si="42"/>
        <v>#REF!</v>
      </c>
      <c r="U1319" t="e">
        <f t="shared" si="43"/>
        <v>#REF!</v>
      </c>
    </row>
    <row r="1320" spans="4:21" x14ac:dyDescent="0.2">
      <c r="D1320" s="4"/>
      <c r="G1320" s="5"/>
      <c r="H1320" s="7"/>
      <c r="I1320" s="4"/>
      <c r="J1320" s="4"/>
      <c r="K1320" s="5"/>
      <c r="Q1320" t="e">
        <f>VLOOKUP(A1320,'גיליון דאטה להכל'!A:E,5,0)</f>
        <v>#N/A</v>
      </c>
      <c r="R1320" t="e">
        <f>VLOOKUP(A1320,'לעדכן בסינתזה דאטה אריזה 42+24'!$A:$C,3,0)</f>
        <v>#N/A</v>
      </c>
      <c r="S1320" t="e">
        <f>VLOOKUP(#REF!,'מלאי לא תקין'!A:N,17,0)</f>
        <v>#REF!</v>
      </c>
      <c r="T1320" t="e">
        <f t="shared" si="42"/>
        <v>#REF!</v>
      </c>
      <c r="U1320" t="e">
        <f t="shared" si="43"/>
        <v>#REF!</v>
      </c>
    </row>
    <row r="1321" spans="4:21" x14ac:dyDescent="0.2">
      <c r="D1321" s="4"/>
      <c r="G1321" s="5"/>
      <c r="H1321" s="5"/>
      <c r="I1321" s="4"/>
      <c r="J1321" s="4"/>
      <c r="K1321" s="5"/>
      <c r="Q1321" t="e">
        <f>VLOOKUP(A1321,'גיליון דאטה להכל'!A:E,5,0)</f>
        <v>#N/A</v>
      </c>
      <c r="R1321" t="e">
        <f>VLOOKUP(A1321,'לעדכן בסינתזה דאטה אריזה 42+24'!$A:$C,3,0)</f>
        <v>#N/A</v>
      </c>
      <c r="S1321" t="e">
        <f>VLOOKUP(#REF!,'מלאי לא תקין'!A:N,17,0)</f>
        <v>#REF!</v>
      </c>
      <c r="T1321" t="e">
        <f t="shared" si="42"/>
        <v>#REF!</v>
      </c>
      <c r="U1321" t="e">
        <f t="shared" si="43"/>
        <v>#REF!</v>
      </c>
    </row>
    <row r="1322" spans="4:21" x14ac:dyDescent="0.2">
      <c r="D1322" s="4"/>
      <c r="G1322" s="5"/>
      <c r="H1322" s="5"/>
      <c r="I1322" s="4"/>
      <c r="J1322" s="4"/>
      <c r="K1322" s="5"/>
      <c r="Q1322" t="e">
        <f>VLOOKUP(A1322,'גיליון דאטה להכל'!A:E,5,0)</f>
        <v>#N/A</v>
      </c>
      <c r="R1322" t="e">
        <f>VLOOKUP(A1322,'לעדכן בסינתזה דאטה אריזה 42+24'!$A:$C,3,0)</f>
        <v>#N/A</v>
      </c>
      <c r="S1322" t="e">
        <f>VLOOKUP(#REF!,'מלאי לא תקין'!A:N,17,0)</f>
        <v>#REF!</v>
      </c>
      <c r="T1322" t="e">
        <f t="shared" si="42"/>
        <v>#REF!</v>
      </c>
      <c r="U1322" t="e">
        <f t="shared" si="43"/>
        <v>#REF!</v>
      </c>
    </row>
    <row r="1323" spans="4:21" x14ac:dyDescent="0.2">
      <c r="D1323" s="4"/>
      <c r="G1323" s="5"/>
      <c r="H1323" s="5"/>
      <c r="I1323" s="4"/>
      <c r="J1323" s="4"/>
      <c r="K1323" s="5"/>
      <c r="Q1323" t="e">
        <f>VLOOKUP(A1323,'גיליון דאטה להכל'!A:E,5,0)</f>
        <v>#N/A</v>
      </c>
      <c r="R1323" t="e">
        <f>VLOOKUP(A1323,'לעדכן בסינתזה דאטה אריזה 42+24'!$A:$C,3,0)</f>
        <v>#N/A</v>
      </c>
      <c r="S1323" t="e">
        <f>VLOOKUP(#REF!,'מלאי לא תקין'!A:N,17,0)</f>
        <v>#REF!</v>
      </c>
      <c r="T1323" t="e">
        <f t="shared" si="42"/>
        <v>#REF!</v>
      </c>
      <c r="U1323" t="e">
        <f t="shared" si="43"/>
        <v>#REF!</v>
      </c>
    </row>
    <row r="1324" spans="4:21" x14ac:dyDescent="0.2">
      <c r="D1324" s="4"/>
      <c r="G1324" s="5"/>
      <c r="H1324" s="5"/>
      <c r="I1324" s="4"/>
      <c r="J1324" s="4"/>
      <c r="K1324" s="5"/>
      <c r="Q1324" t="e">
        <f>VLOOKUP(A1324,'גיליון דאטה להכל'!A:E,5,0)</f>
        <v>#N/A</v>
      </c>
      <c r="R1324" t="e">
        <f>VLOOKUP(A1324,'לעדכן בסינתזה דאטה אריזה 42+24'!$A:$C,3,0)</f>
        <v>#N/A</v>
      </c>
      <c r="S1324" t="e">
        <f>VLOOKUP(#REF!,'מלאי לא תקין'!A:N,17,0)</f>
        <v>#REF!</v>
      </c>
      <c r="T1324" t="e">
        <f t="shared" si="42"/>
        <v>#REF!</v>
      </c>
      <c r="U1324" t="e">
        <f t="shared" si="43"/>
        <v>#REF!</v>
      </c>
    </row>
    <row r="1325" spans="4:21" x14ac:dyDescent="0.2">
      <c r="D1325" s="4"/>
      <c r="G1325" s="5"/>
      <c r="H1325" s="7"/>
      <c r="I1325" s="4"/>
      <c r="J1325" s="4"/>
      <c r="K1325" s="5"/>
      <c r="Q1325" t="e">
        <f>VLOOKUP(A1325,'גיליון דאטה להכל'!A:E,5,0)</f>
        <v>#N/A</v>
      </c>
      <c r="R1325" t="e">
        <f>VLOOKUP(A1325,'לעדכן בסינתזה דאטה אריזה 42+24'!$A:$C,3,0)</f>
        <v>#N/A</v>
      </c>
      <c r="S1325" t="e">
        <f>VLOOKUP(#REF!,'מלאי לא תקין'!A:N,17,0)</f>
        <v>#REF!</v>
      </c>
      <c r="T1325" t="e">
        <f t="shared" si="42"/>
        <v>#REF!</v>
      </c>
      <c r="U1325" t="e">
        <f t="shared" si="43"/>
        <v>#REF!</v>
      </c>
    </row>
    <row r="1326" spans="4:21" x14ac:dyDescent="0.2">
      <c r="D1326" s="4"/>
      <c r="G1326" s="5"/>
      <c r="H1326" s="5"/>
      <c r="I1326" s="4"/>
      <c r="J1326" s="4"/>
      <c r="K1326" s="5"/>
      <c r="Q1326" t="e">
        <f>VLOOKUP(A1326,'גיליון דאטה להכל'!A:E,5,0)</f>
        <v>#N/A</v>
      </c>
      <c r="R1326" t="e">
        <f>VLOOKUP(A1326,'לעדכן בסינתזה דאטה אריזה 42+24'!$A:$C,3,0)</f>
        <v>#N/A</v>
      </c>
      <c r="S1326" t="e">
        <f>VLOOKUP(#REF!,'מלאי לא תקין'!A:N,17,0)</f>
        <v>#REF!</v>
      </c>
      <c r="T1326" t="e">
        <f t="shared" si="42"/>
        <v>#REF!</v>
      </c>
      <c r="U1326" t="e">
        <f t="shared" si="43"/>
        <v>#REF!</v>
      </c>
    </row>
    <row r="1327" spans="4:21" x14ac:dyDescent="0.2">
      <c r="D1327" s="4"/>
      <c r="G1327" s="5"/>
      <c r="H1327" s="5"/>
      <c r="I1327" s="4"/>
      <c r="J1327" s="4"/>
      <c r="K1327" s="5"/>
      <c r="Q1327" t="e">
        <f>VLOOKUP(A1327,'גיליון דאטה להכל'!A:E,5,0)</f>
        <v>#N/A</v>
      </c>
      <c r="R1327" t="e">
        <f>VLOOKUP(A1327,'לעדכן בסינתזה דאטה אריזה 42+24'!$A:$C,3,0)</f>
        <v>#N/A</v>
      </c>
      <c r="S1327" t="e">
        <f>VLOOKUP(#REF!,'מלאי לא תקין'!A:N,17,0)</f>
        <v>#REF!</v>
      </c>
      <c r="T1327" t="e">
        <f t="shared" si="42"/>
        <v>#REF!</v>
      </c>
      <c r="U1327" t="e">
        <f t="shared" si="43"/>
        <v>#REF!</v>
      </c>
    </row>
    <row r="1328" spans="4:21" x14ac:dyDescent="0.2">
      <c r="D1328" s="4"/>
      <c r="G1328" s="5"/>
      <c r="H1328" s="5"/>
      <c r="I1328" s="4"/>
      <c r="J1328" s="4"/>
      <c r="K1328" s="5"/>
      <c r="Q1328" t="e">
        <f>VLOOKUP(A1328,'גיליון דאטה להכל'!A:E,5,0)</f>
        <v>#N/A</v>
      </c>
      <c r="R1328" t="e">
        <f>VLOOKUP(A1328,'לעדכן בסינתזה דאטה אריזה 42+24'!$A:$C,3,0)</f>
        <v>#N/A</v>
      </c>
      <c r="S1328" t="e">
        <f>VLOOKUP(#REF!,'מלאי לא תקין'!A:N,17,0)</f>
        <v>#REF!</v>
      </c>
      <c r="T1328" t="e">
        <f t="shared" si="42"/>
        <v>#REF!</v>
      </c>
      <c r="U1328" t="e">
        <f t="shared" si="43"/>
        <v>#REF!</v>
      </c>
    </row>
    <row r="1329" spans="4:21" x14ac:dyDescent="0.2">
      <c r="D1329" s="4"/>
      <c r="G1329" s="5"/>
      <c r="H1329" s="5"/>
      <c r="I1329" s="4"/>
      <c r="J1329" s="4"/>
      <c r="K1329" s="5"/>
      <c r="Q1329" t="e">
        <f>VLOOKUP(A1329,'גיליון דאטה להכל'!A:E,5,0)</f>
        <v>#N/A</v>
      </c>
      <c r="R1329" t="e">
        <f>VLOOKUP(A1329,'לעדכן בסינתזה דאטה אריזה 42+24'!$A:$C,3,0)</f>
        <v>#N/A</v>
      </c>
      <c r="S1329" t="e">
        <f>VLOOKUP(#REF!,'מלאי לא תקין'!A:N,17,0)</f>
        <v>#REF!</v>
      </c>
      <c r="T1329" t="e">
        <f t="shared" si="42"/>
        <v>#REF!</v>
      </c>
      <c r="U1329" t="e">
        <f t="shared" si="43"/>
        <v>#REF!</v>
      </c>
    </row>
    <row r="1330" spans="4:21" x14ac:dyDescent="0.2">
      <c r="D1330" s="4"/>
      <c r="G1330" s="5"/>
      <c r="H1330" s="7"/>
      <c r="I1330" s="4"/>
      <c r="J1330" s="4"/>
      <c r="K1330" s="5"/>
      <c r="Q1330" t="e">
        <f>VLOOKUP(A1330,'גיליון דאטה להכל'!A:E,5,0)</f>
        <v>#N/A</v>
      </c>
      <c r="R1330" t="e">
        <f>VLOOKUP(A1330,'לעדכן בסינתזה דאטה אריזה 42+24'!$A:$C,3,0)</f>
        <v>#N/A</v>
      </c>
      <c r="S1330" t="e">
        <f>VLOOKUP(#REF!,'מלאי לא תקין'!A:N,17,0)</f>
        <v>#REF!</v>
      </c>
      <c r="T1330" t="e">
        <f t="shared" si="42"/>
        <v>#REF!</v>
      </c>
      <c r="U1330" t="e">
        <f t="shared" si="43"/>
        <v>#REF!</v>
      </c>
    </row>
    <row r="1331" spans="4:21" x14ac:dyDescent="0.2">
      <c r="D1331" s="4"/>
      <c r="G1331" s="5"/>
      <c r="H1331" s="5"/>
      <c r="I1331" s="4"/>
      <c r="J1331" s="4"/>
      <c r="K1331" s="5"/>
      <c r="Q1331" t="e">
        <f>VLOOKUP(A1331,'גיליון דאטה להכל'!A:E,5,0)</f>
        <v>#N/A</v>
      </c>
      <c r="R1331" t="e">
        <f>VLOOKUP(A1331,'לעדכן בסינתזה דאטה אריזה 42+24'!$A:$C,3,0)</f>
        <v>#N/A</v>
      </c>
      <c r="S1331" t="e">
        <f>VLOOKUP(#REF!,'מלאי לא תקין'!A:N,17,0)</f>
        <v>#REF!</v>
      </c>
      <c r="T1331" t="e">
        <f t="shared" si="42"/>
        <v>#REF!</v>
      </c>
      <c r="U1331" t="e">
        <f t="shared" si="43"/>
        <v>#REF!</v>
      </c>
    </row>
    <row r="1332" spans="4:21" x14ac:dyDescent="0.2">
      <c r="D1332" s="4"/>
      <c r="G1332" s="5"/>
      <c r="H1332" s="5"/>
      <c r="I1332" s="4"/>
      <c r="J1332" s="4"/>
      <c r="K1332" s="5"/>
      <c r="Q1332" t="e">
        <f>VLOOKUP(A1332,'גיליון דאטה להכל'!A:E,5,0)</f>
        <v>#N/A</v>
      </c>
      <c r="R1332" t="e">
        <f>VLOOKUP(A1332,'לעדכן בסינתזה דאטה אריזה 42+24'!$A:$C,3,0)</f>
        <v>#N/A</v>
      </c>
      <c r="S1332" t="e">
        <f>VLOOKUP(#REF!,'מלאי לא תקין'!A:N,17,0)</f>
        <v>#REF!</v>
      </c>
      <c r="T1332" t="e">
        <f t="shared" si="42"/>
        <v>#REF!</v>
      </c>
      <c r="U1332" t="e">
        <f t="shared" si="43"/>
        <v>#REF!</v>
      </c>
    </row>
    <row r="1333" spans="4:21" x14ac:dyDescent="0.2">
      <c r="D1333" s="4"/>
      <c r="G1333" s="5"/>
      <c r="H1333" s="5"/>
      <c r="I1333" s="4"/>
      <c r="J1333" s="4"/>
      <c r="K1333" s="5"/>
      <c r="Q1333" t="e">
        <f>VLOOKUP(A1333,'גיליון דאטה להכל'!A:E,5,0)</f>
        <v>#N/A</v>
      </c>
      <c r="R1333" t="e">
        <f>VLOOKUP(A1333,'לעדכן בסינתזה דאטה אריזה 42+24'!$A:$C,3,0)</f>
        <v>#N/A</v>
      </c>
      <c r="S1333" t="e">
        <f>VLOOKUP(#REF!,'מלאי לא תקין'!A:N,17,0)</f>
        <v>#REF!</v>
      </c>
      <c r="T1333" t="e">
        <f t="shared" ref="T1333:T1396" si="44">_xlfn.CONCAT(S1333,Q1333)</f>
        <v>#REF!</v>
      </c>
      <c r="U1333" t="e">
        <f t="shared" ref="U1333:U1396" si="45">_xlfn.CONCAT(S1333,O1333)</f>
        <v>#REF!</v>
      </c>
    </row>
    <row r="1334" spans="4:21" x14ac:dyDescent="0.2">
      <c r="D1334" s="4"/>
      <c r="G1334" s="5"/>
      <c r="H1334" s="5"/>
      <c r="I1334" s="4"/>
      <c r="J1334" s="4"/>
      <c r="K1334" s="5"/>
      <c r="Q1334" t="e">
        <f>VLOOKUP(A1334,'גיליון דאטה להכל'!A:E,5,0)</f>
        <v>#N/A</v>
      </c>
      <c r="R1334" t="e">
        <f>VLOOKUP(A1334,'לעדכן בסינתזה דאטה אריזה 42+24'!$A:$C,3,0)</f>
        <v>#N/A</v>
      </c>
      <c r="S1334" t="e">
        <f>VLOOKUP(#REF!,'מלאי לא תקין'!A:N,17,0)</f>
        <v>#REF!</v>
      </c>
      <c r="T1334" t="e">
        <f t="shared" si="44"/>
        <v>#REF!</v>
      </c>
      <c r="U1334" t="e">
        <f t="shared" si="45"/>
        <v>#REF!</v>
      </c>
    </row>
    <row r="1335" spans="4:21" x14ac:dyDescent="0.2">
      <c r="D1335" s="4"/>
      <c r="G1335" s="5"/>
      <c r="H1335" s="7"/>
      <c r="I1335" s="4"/>
      <c r="J1335" s="4"/>
      <c r="K1335" s="5"/>
      <c r="Q1335" t="e">
        <f>VLOOKUP(A1335,'גיליון דאטה להכל'!A:E,5,0)</f>
        <v>#N/A</v>
      </c>
      <c r="R1335" t="e">
        <f>VLOOKUP(A1335,'לעדכן בסינתזה דאטה אריזה 42+24'!$A:$C,3,0)</f>
        <v>#N/A</v>
      </c>
      <c r="S1335" t="e">
        <f>VLOOKUP(#REF!,'מלאי לא תקין'!A:N,17,0)</f>
        <v>#REF!</v>
      </c>
      <c r="T1335" t="e">
        <f t="shared" si="44"/>
        <v>#REF!</v>
      </c>
      <c r="U1335" t="e">
        <f t="shared" si="45"/>
        <v>#REF!</v>
      </c>
    </row>
    <row r="1336" spans="4:21" x14ac:dyDescent="0.2">
      <c r="D1336" s="4"/>
      <c r="G1336" s="5"/>
      <c r="H1336" s="5"/>
      <c r="I1336" s="4"/>
      <c r="J1336" s="4"/>
      <c r="K1336" s="5"/>
      <c r="Q1336" t="e">
        <f>VLOOKUP(A1336,'גיליון דאטה להכל'!A:E,5,0)</f>
        <v>#N/A</v>
      </c>
      <c r="R1336" t="e">
        <f>VLOOKUP(A1336,'לעדכן בסינתזה דאטה אריזה 42+24'!$A:$C,3,0)</f>
        <v>#N/A</v>
      </c>
      <c r="S1336" t="e">
        <f>VLOOKUP(#REF!,'מלאי לא תקין'!A:N,17,0)</f>
        <v>#REF!</v>
      </c>
      <c r="T1336" t="e">
        <f t="shared" si="44"/>
        <v>#REF!</v>
      </c>
      <c r="U1336" t="e">
        <f t="shared" si="45"/>
        <v>#REF!</v>
      </c>
    </row>
    <row r="1337" spans="4:21" x14ac:dyDescent="0.2">
      <c r="D1337" s="4"/>
      <c r="G1337" s="5"/>
      <c r="H1337" s="5"/>
      <c r="I1337" s="4"/>
      <c r="J1337" s="4"/>
      <c r="K1337" s="5"/>
      <c r="Q1337" t="e">
        <f>VLOOKUP(A1337,'גיליון דאטה להכל'!A:E,5,0)</f>
        <v>#N/A</v>
      </c>
      <c r="R1337" t="e">
        <f>VLOOKUP(A1337,'לעדכן בסינתזה דאטה אריזה 42+24'!$A:$C,3,0)</f>
        <v>#N/A</v>
      </c>
      <c r="S1337" t="e">
        <f>VLOOKUP(#REF!,'מלאי לא תקין'!A:N,17,0)</f>
        <v>#REF!</v>
      </c>
      <c r="T1337" t="e">
        <f t="shared" si="44"/>
        <v>#REF!</v>
      </c>
      <c r="U1337" t="e">
        <f t="shared" si="45"/>
        <v>#REF!</v>
      </c>
    </row>
    <row r="1338" spans="4:21" x14ac:dyDescent="0.2">
      <c r="D1338" s="4"/>
      <c r="G1338" s="5"/>
      <c r="H1338" s="5"/>
      <c r="I1338" s="4"/>
      <c r="J1338" s="4"/>
      <c r="K1338" s="5"/>
      <c r="Q1338" t="e">
        <f>VLOOKUP(A1338,'גיליון דאטה להכל'!A:E,5,0)</f>
        <v>#N/A</v>
      </c>
      <c r="R1338" t="e">
        <f>VLOOKUP(A1338,'לעדכן בסינתזה דאטה אריזה 42+24'!$A:$C,3,0)</f>
        <v>#N/A</v>
      </c>
      <c r="S1338" t="e">
        <f>VLOOKUP(#REF!,'מלאי לא תקין'!A:N,17,0)</f>
        <v>#REF!</v>
      </c>
      <c r="T1338" t="e">
        <f t="shared" si="44"/>
        <v>#REF!</v>
      </c>
      <c r="U1338" t="e">
        <f t="shared" si="45"/>
        <v>#REF!</v>
      </c>
    </row>
    <row r="1339" spans="4:21" x14ac:dyDescent="0.2">
      <c r="D1339" s="4"/>
      <c r="G1339" s="5"/>
      <c r="H1339" s="5"/>
      <c r="I1339" s="4"/>
      <c r="J1339" s="4"/>
      <c r="K1339" s="5"/>
      <c r="Q1339" t="e">
        <f>VLOOKUP(A1339,'גיליון דאטה להכל'!A:E,5,0)</f>
        <v>#N/A</v>
      </c>
      <c r="R1339" t="e">
        <f>VLOOKUP(A1339,'לעדכן בסינתזה דאטה אריזה 42+24'!$A:$C,3,0)</f>
        <v>#N/A</v>
      </c>
      <c r="S1339" t="e">
        <f>VLOOKUP(#REF!,'מלאי לא תקין'!A:N,17,0)</f>
        <v>#REF!</v>
      </c>
      <c r="T1339" t="e">
        <f t="shared" si="44"/>
        <v>#REF!</v>
      </c>
      <c r="U1339" t="e">
        <f t="shared" si="45"/>
        <v>#REF!</v>
      </c>
    </row>
    <row r="1340" spans="4:21" x14ac:dyDescent="0.2">
      <c r="D1340" s="4"/>
      <c r="G1340" s="5"/>
      <c r="H1340" s="5"/>
      <c r="I1340" s="4"/>
      <c r="J1340" s="4"/>
      <c r="K1340" s="5"/>
      <c r="Q1340" t="e">
        <f>VLOOKUP(A1340,'גיליון דאטה להכל'!A:E,5,0)</f>
        <v>#N/A</v>
      </c>
      <c r="R1340" t="e">
        <f>VLOOKUP(A1340,'לעדכן בסינתזה דאטה אריזה 42+24'!$A:$C,3,0)</f>
        <v>#N/A</v>
      </c>
      <c r="S1340" t="e">
        <f>VLOOKUP(#REF!,'מלאי לא תקין'!A:N,17,0)</f>
        <v>#REF!</v>
      </c>
      <c r="T1340" t="e">
        <f t="shared" si="44"/>
        <v>#REF!</v>
      </c>
      <c r="U1340" t="e">
        <f t="shared" si="45"/>
        <v>#REF!</v>
      </c>
    </row>
    <row r="1341" spans="4:21" x14ac:dyDescent="0.2">
      <c r="D1341" s="4"/>
      <c r="G1341" s="5"/>
      <c r="H1341" s="7"/>
      <c r="I1341" s="4"/>
      <c r="J1341" s="4"/>
      <c r="K1341" s="5"/>
      <c r="Q1341" t="e">
        <f>VLOOKUP(A1341,'גיליון דאטה להכל'!A:E,5,0)</f>
        <v>#N/A</v>
      </c>
      <c r="R1341" t="e">
        <f>VLOOKUP(A1341,'לעדכן בסינתזה דאטה אריזה 42+24'!$A:$C,3,0)</f>
        <v>#N/A</v>
      </c>
      <c r="S1341" t="e">
        <f>VLOOKUP(#REF!,'מלאי לא תקין'!A:N,17,0)</f>
        <v>#REF!</v>
      </c>
      <c r="T1341" t="e">
        <f t="shared" si="44"/>
        <v>#REF!</v>
      </c>
      <c r="U1341" t="e">
        <f t="shared" si="45"/>
        <v>#REF!</v>
      </c>
    </row>
    <row r="1342" spans="4:21" x14ac:dyDescent="0.2">
      <c r="D1342" s="4"/>
      <c r="G1342" s="5"/>
      <c r="H1342" s="5"/>
      <c r="I1342" s="4"/>
      <c r="J1342" s="4"/>
      <c r="K1342" s="5"/>
      <c r="Q1342" t="e">
        <f>VLOOKUP(A1342,'גיליון דאטה להכל'!A:E,5,0)</f>
        <v>#N/A</v>
      </c>
      <c r="R1342" t="e">
        <f>VLOOKUP(A1342,'לעדכן בסינתזה דאטה אריזה 42+24'!$A:$C,3,0)</f>
        <v>#N/A</v>
      </c>
      <c r="S1342" t="e">
        <f>VLOOKUP(#REF!,'מלאי לא תקין'!A:N,17,0)</f>
        <v>#REF!</v>
      </c>
      <c r="T1342" t="e">
        <f t="shared" si="44"/>
        <v>#REF!</v>
      </c>
      <c r="U1342" t="e">
        <f t="shared" si="45"/>
        <v>#REF!</v>
      </c>
    </row>
    <row r="1343" spans="4:21" x14ac:dyDescent="0.2">
      <c r="D1343" s="4"/>
      <c r="G1343" s="5"/>
      <c r="H1343" s="7"/>
      <c r="I1343" s="4"/>
      <c r="J1343" s="4"/>
      <c r="K1343" s="5"/>
      <c r="Q1343" t="e">
        <f>VLOOKUP(A1343,'גיליון דאטה להכל'!A:E,5,0)</f>
        <v>#N/A</v>
      </c>
      <c r="R1343" t="e">
        <f>VLOOKUP(A1343,'לעדכן בסינתזה דאטה אריזה 42+24'!$A:$C,3,0)</f>
        <v>#N/A</v>
      </c>
      <c r="S1343" t="e">
        <f>VLOOKUP(#REF!,'מלאי לא תקין'!A:N,17,0)</f>
        <v>#REF!</v>
      </c>
      <c r="T1343" t="e">
        <f t="shared" si="44"/>
        <v>#REF!</v>
      </c>
      <c r="U1343" t="e">
        <f t="shared" si="45"/>
        <v>#REF!</v>
      </c>
    </row>
    <row r="1344" spans="4:21" x14ac:dyDescent="0.2">
      <c r="D1344" s="4"/>
      <c r="G1344" s="5"/>
      <c r="H1344" s="5"/>
      <c r="I1344" s="4"/>
      <c r="J1344" s="4"/>
      <c r="K1344" s="5"/>
      <c r="Q1344" t="e">
        <f>VLOOKUP(A1344,'גיליון דאטה להכל'!A:E,5,0)</f>
        <v>#N/A</v>
      </c>
      <c r="R1344" t="e">
        <f>VLOOKUP(A1344,'לעדכן בסינתזה דאטה אריזה 42+24'!$A:$C,3,0)</f>
        <v>#N/A</v>
      </c>
      <c r="S1344" t="e">
        <f>VLOOKUP(#REF!,'מלאי לא תקין'!A:N,17,0)</f>
        <v>#REF!</v>
      </c>
      <c r="T1344" t="e">
        <f t="shared" si="44"/>
        <v>#REF!</v>
      </c>
      <c r="U1344" t="e">
        <f t="shared" si="45"/>
        <v>#REF!</v>
      </c>
    </row>
    <row r="1345" spans="4:21" x14ac:dyDescent="0.2">
      <c r="D1345" s="4"/>
      <c r="G1345" s="5"/>
      <c r="H1345" s="5"/>
      <c r="I1345" s="4"/>
      <c r="J1345" s="4"/>
      <c r="K1345" s="5"/>
      <c r="Q1345" t="e">
        <f>VLOOKUP(A1345,'גיליון דאטה להכל'!A:E,5,0)</f>
        <v>#N/A</v>
      </c>
      <c r="R1345" t="e">
        <f>VLOOKUP(A1345,'לעדכן בסינתזה דאטה אריזה 42+24'!$A:$C,3,0)</f>
        <v>#N/A</v>
      </c>
      <c r="S1345" t="e">
        <f>VLOOKUP(#REF!,'מלאי לא תקין'!A:N,17,0)</f>
        <v>#REF!</v>
      </c>
      <c r="T1345" t="e">
        <f t="shared" si="44"/>
        <v>#REF!</v>
      </c>
      <c r="U1345" t="e">
        <f t="shared" si="45"/>
        <v>#REF!</v>
      </c>
    </row>
    <row r="1346" spans="4:21" x14ac:dyDescent="0.2">
      <c r="D1346" s="4"/>
      <c r="G1346" s="5"/>
      <c r="H1346" s="5"/>
      <c r="I1346" s="4"/>
      <c r="J1346" s="4"/>
      <c r="K1346" s="5"/>
      <c r="Q1346" t="e">
        <f>VLOOKUP(A1346,'גיליון דאטה להכל'!A:E,5,0)</f>
        <v>#N/A</v>
      </c>
      <c r="R1346" t="e">
        <f>VLOOKUP(A1346,'לעדכן בסינתזה דאטה אריזה 42+24'!$A:$C,3,0)</f>
        <v>#N/A</v>
      </c>
      <c r="S1346" t="e">
        <f>VLOOKUP(#REF!,'מלאי לא תקין'!A:N,17,0)</f>
        <v>#REF!</v>
      </c>
      <c r="T1346" t="e">
        <f t="shared" si="44"/>
        <v>#REF!</v>
      </c>
      <c r="U1346" t="e">
        <f t="shared" si="45"/>
        <v>#REF!</v>
      </c>
    </row>
    <row r="1347" spans="4:21" x14ac:dyDescent="0.2">
      <c r="D1347" s="4"/>
      <c r="G1347" s="5"/>
      <c r="H1347" s="5"/>
      <c r="I1347" s="4"/>
      <c r="J1347" s="4"/>
      <c r="K1347" s="5"/>
      <c r="Q1347" t="e">
        <f>VLOOKUP(A1347,'גיליון דאטה להכל'!A:E,5,0)</f>
        <v>#N/A</v>
      </c>
      <c r="R1347" t="e">
        <f>VLOOKUP(A1347,'לעדכן בסינתזה דאטה אריזה 42+24'!$A:$C,3,0)</f>
        <v>#N/A</v>
      </c>
      <c r="S1347" t="e">
        <f>VLOOKUP(#REF!,'מלאי לא תקין'!A:N,17,0)</f>
        <v>#REF!</v>
      </c>
      <c r="T1347" t="e">
        <f t="shared" si="44"/>
        <v>#REF!</v>
      </c>
      <c r="U1347" t="e">
        <f t="shared" si="45"/>
        <v>#REF!</v>
      </c>
    </row>
    <row r="1348" spans="4:21" x14ac:dyDescent="0.2">
      <c r="D1348" s="4"/>
      <c r="G1348" s="5"/>
      <c r="H1348" s="7"/>
      <c r="I1348" s="4"/>
      <c r="J1348" s="4"/>
      <c r="K1348" s="5"/>
      <c r="Q1348" t="e">
        <f>VLOOKUP(A1348,'גיליון דאטה להכל'!A:E,5,0)</f>
        <v>#N/A</v>
      </c>
      <c r="R1348" t="e">
        <f>VLOOKUP(A1348,'לעדכן בסינתזה דאטה אריזה 42+24'!$A:$C,3,0)</f>
        <v>#N/A</v>
      </c>
      <c r="S1348" t="e">
        <f>VLOOKUP(#REF!,'מלאי לא תקין'!A:N,17,0)</f>
        <v>#REF!</v>
      </c>
      <c r="T1348" t="e">
        <f t="shared" si="44"/>
        <v>#REF!</v>
      </c>
      <c r="U1348" t="e">
        <f t="shared" si="45"/>
        <v>#REF!</v>
      </c>
    </row>
    <row r="1349" spans="4:21" x14ac:dyDescent="0.2">
      <c r="D1349" s="4"/>
      <c r="G1349" s="5"/>
      <c r="H1349" s="5"/>
      <c r="I1349" s="4"/>
      <c r="J1349" s="4"/>
      <c r="K1349" s="5"/>
      <c r="Q1349" t="e">
        <f>VLOOKUP(A1349,'גיליון דאטה להכל'!A:E,5,0)</f>
        <v>#N/A</v>
      </c>
      <c r="R1349" t="e">
        <f>VLOOKUP(A1349,'לעדכן בסינתזה דאטה אריזה 42+24'!$A:$C,3,0)</f>
        <v>#N/A</v>
      </c>
      <c r="S1349" t="e">
        <f>VLOOKUP(#REF!,'מלאי לא תקין'!A:N,17,0)</f>
        <v>#REF!</v>
      </c>
      <c r="T1349" t="e">
        <f t="shared" si="44"/>
        <v>#REF!</v>
      </c>
      <c r="U1349" t="e">
        <f t="shared" si="45"/>
        <v>#REF!</v>
      </c>
    </row>
    <row r="1350" spans="4:21" x14ac:dyDescent="0.2">
      <c r="D1350" s="4"/>
      <c r="G1350" s="5"/>
      <c r="H1350" s="5"/>
      <c r="I1350" s="4"/>
      <c r="J1350" s="4"/>
      <c r="K1350" s="5"/>
      <c r="Q1350" t="e">
        <f>VLOOKUP(A1350,'גיליון דאטה להכל'!A:E,5,0)</f>
        <v>#N/A</v>
      </c>
      <c r="R1350" t="e">
        <f>VLOOKUP(A1350,'לעדכן בסינתזה דאטה אריזה 42+24'!$A:$C,3,0)</f>
        <v>#N/A</v>
      </c>
      <c r="S1350" t="e">
        <f>VLOOKUP(#REF!,'מלאי לא תקין'!A:N,17,0)</f>
        <v>#REF!</v>
      </c>
      <c r="T1350" t="e">
        <f t="shared" si="44"/>
        <v>#REF!</v>
      </c>
      <c r="U1350" t="e">
        <f t="shared" si="45"/>
        <v>#REF!</v>
      </c>
    </row>
    <row r="1351" spans="4:21" x14ac:dyDescent="0.2">
      <c r="D1351" s="4"/>
      <c r="G1351" s="5"/>
      <c r="H1351" s="5"/>
      <c r="I1351" s="4"/>
      <c r="J1351" s="4"/>
      <c r="K1351" s="5"/>
      <c r="Q1351" t="e">
        <f>VLOOKUP(A1351,'גיליון דאטה להכל'!A:E,5,0)</f>
        <v>#N/A</v>
      </c>
      <c r="R1351" t="e">
        <f>VLOOKUP(A1351,'לעדכן בסינתזה דאטה אריזה 42+24'!$A:$C,3,0)</f>
        <v>#N/A</v>
      </c>
      <c r="S1351" t="e">
        <f>VLOOKUP(#REF!,'מלאי לא תקין'!A:N,17,0)</f>
        <v>#REF!</v>
      </c>
      <c r="T1351" t="e">
        <f t="shared" si="44"/>
        <v>#REF!</v>
      </c>
      <c r="U1351" t="e">
        <f t="shared" si="45"/>
        <v>#REF!</v>
      </c>
    </row>
    <row r="1352" spans="4:21" x14ac:dyDescent="0.2">
      <c r="D1352" s="4"/>
      <c r="G1352" s="5"/>
      <c r="H1352" s="5"/>
      <c r="I1352" s="4"/>
      <c r="J1352" s="4"/>
      <c r="K1352" s="5"/>
      <c r="Q1352" t="e">
        <f>VLOOKUP(A1352,'גיליון דאטה להכל'!A:E,5,0)</f>
        <v>#N/A</v>
      </c>
      <c r="R1352" t="e">
        <f>VLOOKUP(A1352,'לעדכן בסינתזה דאטה אריזה 42+24'!$A:$C,3,0)</f>
        <v>#N/A</v>
      </c>
      <c r="S1352" t="e">
        <f>VLOOKUP(#REF!,'מלאי לא תקין'!A:N,17,0)</f>
        <v>#REF!</v>
      </c>
      <c r="T1352" t="e">
        <f t="shared" si="44"/>
        <v>#REF!</v>
      </c>
      <c r="U1352" t="e">
        <f t="shared" si="45"/>
        <v>#REF!</v>
      </c>
    </row>
    <row r="1353" spans="4:21" x14ac:dyDescent="0.2">
      <c r="D1353" s="4"/>
      <c r="G1353" s="5"/>
      <c r="H1353" s="5"/>
      <c r="I1353" s="4"/>
      <c r="J1353" s="4"/>
      <c r="K1353" s="5"/>
      <c r="Q1353" t="e">
        <f>VLOOKUP(A1353,'גיליון דאטה להכל'!A:E,5,0)</f>
        <v>#N/A</v>
      </c>
      <c r="R1353" t="e">
        <f>VLOOKUP(A1353,'לעדכן בסינתזה דאטה אריזה 42+24'!$A:$C,3,0)</f>
        <v>#N/A</v>
      </c>
      <c r="S1353" t="e">
        <f>VLOOKUP(#REF!,'מלאי לא תקין'!A:N,17,0)</f>
        <v>#REF!</v>
      </c>
      <c r="T1353" t="e">
        <f t="shared" si="44"/>
        <v>#REF!</v>
      </c>
      <c r="U1353" t="e">
        <f t="shared" si="45"/>
        <v>#REF!</v>
      </c>
    </row>
    <row r="1354" spans="4:21" x14ac:dyDescent="0.2">
      <c r="D1354" s="4"/>
      <c r="G1354" s="5"/>
      <c r="H1354" s="5"/>
      <c r="I1354" s="4"/>
      <c r="J1354" s="4"/>
      <c r="K1354" s="5"/>
      <c r="Q1354" t="e">
        <f>VLOOKUP(A1354,'גיליון דאטה להכל'!A:E,5,0)</f>
        <v>#N/A</v>
      </c>
      <c r="R1354" t="e">
        <f>VLOOKUP(A1354,'לעדכן בסינתזה דאטה אריזה 42+24'!$A:$C,3,0)</f>
        <v>#N/A</v>
      </c>
      <c r="S1354" t="e">
        <f>VLOOKUP(#REF!,'מלאי לא תקין'!A:N,17,0)</f>
        <v>#REF!</v>
      </c>
      <c r="T1354" t="e">
        <f t="shared" si="44"/>
        <v>#REF!</v>
      </c>
      <c r="U1354" t="e">
        <f t="shared" si="45"/>
        <v>#REF!</v>
      </c>
    </row>
    <row r="1355" spans="4:21" x14ac:dyDescent="0.2">
      <c r="D1355" s="4"/>
      <c r="G1355" s="5"/>
      <c r="H1355" s="5"/>
      <c r="I1355" s="4"/>
      <c r="J1355" s="4"/>
      <c r="K1355" s="5"/>
      <c r="Q1355" t="e">
        <f>VLOOKUP(A1355,'גיליון דאטה להכל'!A:E,5,0)</f>
        <v>#N/A</v>
      </c>
      <c r="R1355" t="e">
        <f>VLOOKUP(A1355,'לעדכן בסינתזה דאטה אריזה 42+24'!$A:$C,3,0)</f>
        <v>#N/A</v>
      </c>
      <c r="S1355" t="e">
        <f>VLOOKUP(#REF!,'מלאי לא תקין'!A:N,17,0)</f>
        <v>#REF!</v>
      </c>
      <c r="T1355" t="e">
        <f t="shared" si="44"/>
        <v>#REF!</v>
      </c>
      <c r="U1355" t="e">
        <f t="shared" si="45"/>
        <v>#REF!</v>
      </c>
    </row>
    <row r="1356" spans="4:21" x14ac:dyDescent="0.2">
      <c r="D1356" s="4"/>
      <c r="G1356" s="5"/>
      <c r="H1356" s="7"/>
      <c r="I1356" s="4"/>
      <c r="J1356" s="4"/>
      <c r="K1356" s="5"/>
      <c r="Q1356" t="e">
        <f>VLOOKUP(A1356,'גיליון דאטה להכל'!A:E,5,0)</f>
        <v>#N/A</v>
      </c>
      <c r="R1356" t="e">
        <f>VLOOKUP(A1356,'לעדכן בסינתזה דאטה אריזה 42+24'!$A:$C,3,0)</f>
        <v>#N/A</v>
      </c>
      <c r="S1356" t="e">
        <f>VLOOKUP(#REF!,'מלאי לא תקין'!A:N,17,0)</f>
        <v>#REF!</v>
      </c>
      <c r="T1356" t="e">
        <f t="shared" si="44"/>
        <v>#REF!</v>
      </c>
      <c r="U1356" t="e">
        <f t="shared" si="45"/>
        <v>#REF!</v>
      </c>
    </row>
    <row r="1357" spans="4:21" x14ac:dyDescent="0.2">
      <c r="D1357" s="4"/>
      <c r="G1357" s="5"/>
      <c r="H1357" s="5"/>
      <c r="I1357" s="4"/>
      <c r="J1357" s="4"/>
      <c r="K1357" s="5"/>
      <c r="Q1357" t="e">
        <f>VLOOKUP(A1357,'גיליון דאטה להכל'!A:E,5,0)</f>
        <v>#N/A</v>
      </c>
      <c r="R1357" t="e">
        <f>VLOOKUP(A1357,'לעדכן בסינתזה דאטה אריזה 42+24'!$A:$C,3,0)</f>
        <v>#N/A</v>
      </c>
      <c r="S1357" t="e">
        <f>VLOOKUP(#REF!,'מלאי לא תקין'!A:N,17,0)</f>
        <v>#REF!</v>
      </c>
      <c r="T1357" t="e">
        <f t="shared" si="44"/>
        <v>#REF!</v>
      </c>
      <c r="U1357" t="e">
        <f t="shared" si="45"/>
        <v>#REF!</v>
      </c>
    </row>
    <row r="1358" spans="4:21" x14ac:dyDescent="0.2">
      <c r="D1358" s="4"/>
      <c r="G1358" s="5"/>
      <c r="H1358" s="5"/>
      <c r="I1358" s="4"/>
      <c r="J1358" s="4"/>
      <c r="K1358" s="5"/>
      <c r="Q1358" t="e">
        <f>VLOOKUP(A1358,'גיליון דאטה להכל'!A:E,5,0)</f>
        <v>#N/A</v>
      </c>
      <c r="R1358" t="e">
        <f>VLOOKUP(A1358,'לעדכן בסינתזה דאטה אריזה 42+24'!$A:$C,3,0)</f>
        <v>#N/A</v>
      </c>
      <c r="S1358" t="e">
        <f>VLOOKUP(#REF!,'מלאי לא תקין'!A:N,17,0)</f>
        <v>#REF!</v>
      </c>
      <c r="T1358" t="e">
        <f t="shared" si="44"/>
        <v>#REF!</v>
      </c>
      <c r="U1358" t="e">
        <f t="shared" si="45"/>
        <v>#REF!</v>
      </c>
    </row>
    <row r="1359" spans="4:21" x14ac:dyDescent="0.2">
      <c r="D1359" s="4"/>
      <c r="G1359" s="5"/>
      <c r="H1359" s="5"/>
      <c r="I1359" s="4"/>
      <c r="J1359" s="4"/>
      <c r="K1359" s="5"/>
      <c r="Q1359" t="e">
        <f>VLOOKUP(A1359,'גיליון דאטה להכל'!A:E,5,0)</f>
        <v>#N/A</v>
      </c>
      <c r="R1359" t="e">
        <f>VLOOKUP(A1359,'לעדכן בסינתזה דאטה אריזה 42+24'!$A:$C,3,0)</f>
        <v>#N/A</v>
      </c>
      <c r="S1359" t="e">
        <f>VLOOKUP(#REF!,'מלאי לא תקין'!A:N,17,0)</f>
        <v>#REF!</v>
      </c>
      <c r="T1359" t="e">
        <f t="shared" si="44"/>
        <v>#REF!</v>
      </c>
      <c r="U1359" t="e">
        <f t="shared" si="45"/>
        <v>#REF!</v>
      </c>
    </row>
    <row r="1360" spans="4:21" x14ac:dyDescent="0.2">
      <c r="D1360" s="4"/>
      <c r="G1360" s="5"/>
      <c r="H1360" s="5"/>
      <c r="I1360" s="4"/>
      <c r="J1360" s="4"/>
      <c r="K1360" s="5"/>
      <c r="Q1360" t="e">
        <f>VLOOKUP(A1360,'גיליון דאטה להכל'!A:E,5,0)</f>
        <v>#N/A</v>
      </c>
      <c r="R1360" t="e">
        <f>VLOOKUP(A1360,'לעדכן בסינתזה דאטה אריזה 42+24'!$A:$C,3,0)</f>
        <v>#N/A</v>
      </c>
      <c r="S1360" t="e">
        <f>VLOOKUP(#REF!,'מלאי לא תקין'!A:N,17,0)</f>
        <v>#REF!</v>
      </c>
      <c r="T1360" t="e">
        <f t="shared" si="44"/>
        <v>#REF!</v>
      </c>
      <c r="U1360" t="e">
        <f t="shared" si="45"/>
        <v>#REF!</v>
      </c>
    </row>
    <row r="1361" spans="4:21" x14ac:dyDescent="0.2">
      <c r="D1361" s="4"/>
      <c r="G1361" s="5"/>
      <c r="H1361" s="7"/>
      <c r="I1361" s="4"/>
      <c r="J1361" s="4"/>
      <c r="K1361" s="5"/>
      <c r="Q1361" t="e">
        <f>VLOOKUP(A1361,'גיליון דאטה להכל'!A:E,5,0)</f>
        <v>#N/A</v>
      </c>
      <c r="R1361" t="e">
        <f>VLOOKUP(A1361,'לעדכן בסינתזה דאטה אריזה 42+24'!$A:$C,3,0)</f>
        <v>#N/A</v>
      </c>
      <c r="S1361" t="e">
        <f>VLOOKUP(#REF!,'מלאי לא תקין'!A:N,17,0)</f>
        <v>#REF!</v>
      </c>
      <c r="T1361" t="e">
        <f t="shared" si="44"/>
        <v>#REF!</v>
      </c>
      <c r="U1361" t="e">
        <f t="shared" si="45"/>
        <v>#REF!</v>
      </c>
    </row>
    <row r="1362" spans="4:21" x14ac:dyDescent="0.2">
      <c r="D1362" s="4"/>
      <c r="G1362" s="5"/>
      <c r="H1362" s="5"/>
      <c r="I1362" s="4"/>
      <c r="J1362" s="4"/>
      <c r="K1362" s="5"/>
      <c r="Q1362" t="e">
        <f>VLOOKUP(A1362,'גיליון דאטה להכל'!A:E,5,0)</f>
        <v>#N/A</v>
      </c>
      <c r="R1362" t="e">
        <f>VLOOKUP(A1362,'לעדכן בסינתזה דאטה אריזה 42+24'!$A:$C,3,0)</f>
        <v>#N/A</v>
      </c>
      <c r="S1362" t="e">
        <f>VLOOKUP(#REF!,'מלאי לא תקין'!A:N,17,0)</f>
        <v>#REF!</v>
      </c>
      <c r="T1362" t="e">
        <f t="shared" si="44"/>
        <v>#REF!</v>
      </c>
      <c r="U1362" t="e">
        <f t="shared" si="45"/>
        <v>#REF!</v>
      </c>
    </row>
    <row r="1363" spans="4:21" x14ac:dyDescent="0.2">
      <c r="D1363" s="4"/>
      <c r="G1363" s="5"/>
      <c r="H1363" s="5"/>
      <c r="I1363" s="4"/>
      <c r="J1363" s="4"/>
      <c r="K1363" s="5"/>
      <c r="Q1363" t="e">
        <f>VLOOKUP(A1363,'גיליון דאטה להכל'!A:E,5,0)</f>
        <v>#N/A</v>
      </c>
      <c r="R1363" t="e">
        <f>VLOOKUP(A1363,'לעדכן בסינתזה דאטה אריזה 42+24'!$A:$C,3,0)</f>
        <v>#N/A</v>
      </c>
      <c r="S1363" t="e">
        <f>VLOOKUP(#REF!,'מלאי לא תקין'!A:N,17,0)</f>
        <v>#REF!</v>
      </c>
      <c r="T1363" t="e">
        <f t="shared" si="44"/>
        <v>#REF!</v>
      </c>
      <c r="U1363" t="e">
        <f t="shared" si="45"/>
        <v>#REF!</v>
      </c>
    </row>
    <row r="1364" spans="4:21" x14ac:dyDescent="0.2">
      <c r="D1364" s="4"/>
      <c r="G1364" s="5"/>
      <c r="H1364" s="5"/>
      <c r="I1364" s="4"/>
      <c r="J1364" s="4"/>
      <c r="K1364" s="5"/>
      <c r="Q1364" t="e">
        <f>VLOOKUP(A1364,'גיליון דאטה להכל'!A:E,5,0)</f>
        <v>#N/A</v>
      </c>
      <c r="R1364" t="e">
        <f>VLOOKUP(A1364,'לעדכן בסינתזה דאטה אריזה 42+24'!$A:$C,3,0)</f>
        <v>#N/A</v>
      </c>
      <c r="S1364" t="e">
        <f>VLOOKUP(#REF!,'מלאי לא תקין'!A:N,17,0)</f>
        <v>#REF!</v>
      </c>
      <c r="T1364" t="e">
        <f t="shared" si="44"/>
        <v>#REF!</v>
      </c>
      <c r="U1364" t="e">
        <f t="shared" si="45"/>
        <v>#REF!</v>
      </c>
    </row>
    <row r="1365" spans="4:21" x14ac:dyDescent="0.2">
      <c r="D1365" s="4"/>
      <c r="G1365" s="5"/>
      <c r="H1365" s="5"/>
      <c r="I1365" s="4"/>
      <c r="J1365" s="4"/>
      <c r="K1365" s="5"/>
      <c r="Q1365" t="e">
        <f>VLOOKUP(A1365,'גיליון דאטה להכל'!A:E,5,0)</f>
        <v>#N/A</v>
      </c>
      <c r="R1365" t="e">
        <f>VLOOKUP(A1365,'לעדכן בסינתזה דאטה אריזה 42+24'!$A:$C,3,0)</f>
        <v>#N/A</v>
      </c>
      <c r="S1365" t="e">
        <f>VLOOKUP(#REF!,'מלאי לא תקין'!A:N,17,0)</f>
        <v>#REF!</v>
      </c>
      <c r="T1365" t="e">
        <f t="shared" si="44"/>
        <v>#REF!</v>
      </c>
      <c r="U1365" t="e">
        <f t="shared" si="45"/>
        <v>#REF!</v>
      </c>
    </row>
    <row r="1366" spans="4:21" x14ac:dyDescent="0.2">
      <c r="D1366" s="4"/>
      <c r="G1366" s="5"/>
      <c r="H1366" s="7"/>
      <c r="I1366" s="4"/>
      <c r="J1366" s="4"/>
      <c r="K1366" s="5"/>
      <c r="Q1366" t="e">
        <f>VLOOKUP(A1366,'גיליון דאטה להכל'!A:E,5,0)</f>
        <v>#N/A</v>
      </c>
      <c r="R1366" t="e">
        <f>VLOOKUP(A1366,'לעדכן בסינתזה דאטה אריזה 42+24'!$A:$C,3,0)</f>
        <v>#N/A</v>
      </c>
      <c r="S1366" t="e">
        <f>VLOOKUP(#REF!,'מלאי לא תקין'!A:N,17,0)</f>
        <v>#REF!</v>
      </c>
      <c r="T1366" t="e">
        <f t="shared" si="44"/>
        <v>#REF!</v>
      </c>
      <c r="U1366" t="e">
        <f t="shared" si="45"/>
        <v>#REF!</v>
      </c>
    </row>
    <row r="1367" spans="4:21" x14ac:dyDescent="0.2">
      <c r="D1367" s="4"/>
      <c r="G1367" s="5"/>
      <c r="H1367" s="5"/>
      <c r="I1367" s="4"/>
      <c r="J1367" s="4"/>
      <c r="K1367" s="5"/>
      <c r="Q1367" t="e">
        <f>VLOOKUP(A1367,'גיליון דאטה להכל'!A:E,5,0)</f>
        <v>#N/A</v>
      </c>
      <c r="R1367" t="e">
        <f>VLOOKUP(A1367,'לעדכן בסינתזה דאטה אריזה 42+24'!$A:$C,3,0)</f>
        <v>#N/A</v>
      </c>
      <c r="S1367" t="e">
        <f>VLOOKUP(#REF!,'מלאי לא תקין'!A:N,17,0)</f>
        <v>#REF!</v>
      </c>
      <c r="T1367" t="e">
        <f t="shared" si="44"/>
        <v>#REF!</v>
      </c>
      <c r="U1367" t="e">
        <f t="shared" si="45"/>
        <v>#REF!</v>
      </c>
    </row>
    <row r="1368" spans="4:21" x14ac:dyDescent="0.2">
      <c r="D1368" s="4"/>
      <c r="G1368" s="5"/>
      <c r="H1368" s="5"/>
      <c r="I1368" s="4"/>
      <c r="J1368" s="4"/>
      <c r="K1368" s="5"/>
      <c r="Q1368" t="e">
        <f>VLOOKUP(A1368,'גיליון דאטה להכל'!A:E,5,0)</f>
        <v>#N/A</v>
      </c>
      <c r="R1368" t="e">
        <f>VLOOKUP(A1368,'לעדכן בסינתזה דאטה אריזה 42+24'!$A:$C,3,0)</f>
        <v>#N/A</v>
      </c>
      <c r="S1368" t="e">
        <f>VLOOKUP(#REF!,'מלאי לא תקין'!A:N,17,0)</f>
        <v>#REF!</v>
      </c>
      <c r="T1368" t="e">
        <f t="shared" si="44"/>
        <v>#REF!</v>
      </c>
      <c r="U1368" t="e">
        <f t="shared" si="45"/>
        <v>#REF!</v>
      </c>
    </row>
    <row r="1369" spans="4:21" x14ac:dyDescent="0.2">
      <c r="D1369" s="4"/>
      <c r="G1369" s="5"/>
      <c r="H1369" s="5"/>
      <c r="I1369" s="4"/>
      <c r="J1369" s="4"/>
      <c r="K1369" s="5"/>
      <c r="Q1369" t="e">
        <f>VLOOKUP(A1369,'גיליון דאטה להכל'!A:E,5,0)</f>
        <v>#N/A</v>
      </c>
      <c r="R1369" t="e">
        <f>VLOOKUP(A1369,'לעדכן בסינתזה דאטה אריזה 42+24'!$A:$C,3,0)</f>
        <v>#N/A</v>
      </c>
      <c r="S1369" t="e">
        <f>VLOOKUP(#REF!,'מלאי לא תקין'!A:N,17,0)</f>
        <v>#REF!</v>
      </c>
      <c r="T1369" t="e">
        <f t="shared" si="44"/>
        <v>#REF!</v>
      </c>
      <c r="U1369" t="e">
        <f t="shared" si="45"/>
        <v>#REF!</v>
      </c>
    </row>
    <row r="1370" spans="4:21" x14ac:dyDescent="0.2">
      <c r="D1370" s="4"/>
      <c r="G1370" s="5"/>
      <c r="H1370" s="5"/>
      <c r="I1370" s="4"/>
      <c r="J1370" s="4"/>
      <c r="K1370" s="5"/>
      <c r="Q1370" t="e">
        <f>VLOOKUP(A1370,'גיליון דאטה להכל'!A:E,5,0)</f>
        <v>#N/A</v>
      </c>
      <c r="R1370" t="e">
        <f>VLOOKUP(A1370,'לעדכן בסינתזה דאטה אריזה 42+24'!$A:$C,3,0)</f>
        <v>#N/A</v>
      </c>
      <c r="S1370" t="e">
        <f>VLOOKUP(#REF!,'מלאי לא תקין'!A:N,17,0)</f>
        <v>#REF!</v>
      </c>
      <c r="T1370" t="e">
        <f t="shared" si="44"/>
        <v>#REF!</v>
      </c>
      <c r="U1370" t="e">
        <f t="shared" si="45"/>
        <v>#REF!</v>
      </c>
    </row>
    <row r="1371" spans="4:21" x14ac:dyDescent="0.2">
      <c r="D1371" s="4"/>
      <c r="G1371" s="5"/>
      <c r="H1371" s="7"/>
      <c r="I1371" s="4"/>
      <c r="J1371" s="4"/>
      <c r="K1371" s="5"/>
      <c r="Q1371" t="e">
        <f>VLOOKUP(A1371,'גיליון דאטה להכל'!A:E,5,0)</f>
        <v>#N/A</v>
      </c>
      <c r="R1371" t="e">
        <f>VLOOKUP(A1371,'לעדכן בסינתזה דאטה אריזה 42+24'!$A:$C,3,0)</f>
        <v>#N/A</v>
      </c>
      <c r="S1371" t="e">
        <f>VLOOKUP(#REF!,'מלאי לא תקין'!A:N,17,0)</f>
        <v>#REF!</v>
      </c>
      <c r="T1371" t="e">
        <f t="shared" si="44"/>
        <v>#REF!</v>
      </c>
      <c r="U1371" t="e">
        <f t="shared" si="45"/>
        <v>#REF!</v>
      </c>
    </row>
    <row r="1372" spans="4:21" x14ac:dyDescent="0.2">
      <c r="D1372" s="4"/>
      <c r="G1372" s="5"/>
      <c r="H1372" s="5"/>
      <c r="I1372" s="4"/>
      <c r="J1372" s="4"/>
      <c r="K1372" s="5"/>
      <c r="Q1372" t="e">
        <f>VLOOKUP(A1372,'גיליון דאטה להכל'!A:E,5,0)</f>
        <v>#N/A</v>
      </c>
      <c r="R1372" t="e">
        <f>VLOOKUP(A1372,'לעדכן בסינתזה דאטה אריזה 42+24'!$A:$C,3,0)</f>
        <v>#N/A</v>
      </c>
      <c r="S1372" t="e">
        <f>VLOOKUP(#REF!,'מלאי לא תקין'!A:N,17,0)</f>
        <v>#REF!</v>
      </c>
      <c r="T1372" t="e">
        <f t="shared" si="44"/>
        <v>#REF!</v>
      </c>
      <c r="U1372" t="e">
        <f t="shared" si="45"/>
        <v>#REF!</v>
      </c>
    </row>
    <row r="1373" spans="4:21" x14ac:dyDescent="0.2">
      <c r="D1373" s="4"/>
      <c r="G1373" s="5"/>
      <c r="H1373" s="5"/>
      <c r="I1373" s="4"/>
      <c r="J1373" s="4"/>
      <c r="K1373" s="5"/>
      <c r="Q1373" t="e">
        <f>VLOOKUP(A1373,'גיליון דאטה להכל'!A:E,5,0)</f>
        <v>#N/A</v>
      </c>
      <c r="R1373" t="e">
        <f>VLOOKUP(A1373,'לעדכן בסינתזה דאטה אריזה 42+24'!$A:$C,3,0)</f>
        <v>#N/A</v>
      </c>
      <c r="S1373" t="e">
        <f>VLOOKUP(#REF!,'מלאי לא תקין'!A:N,17,0)</f>
        <v>#REF!</v>
      </c>
      <c r="T1373" t="e">
        <f t="shared" si="44"/>
        <v>#REF!</v>
      </c>
      <c r="U1373" t="e">
        <f t="shared" si="45"/>
        <v>#REF!</v>
      </c>
    </row>
    <row r="1374" spans="4:21" x14ac:dyDescent="0.2">
      <c r="D1374" s="4"/>
      <c r="G1374" s="5"/>
      <c r="H1374" s="5"/>
      <c r="I1374" s="4"/>
      <c r="J1374" s="4"/>
      <c r="K1374" s="5"/>
      <c r="Q1374" t="e">
        <f>VLOOKUP(A1374,'גיליון דאטה להכל'!A:E,5,0)</f>
        <v>#N/A</v>
      </c>
      <c r="R1374" t="e">
        <f>VLOOKUP(A1374,'לעדכן בסינתזה דאטה אריזה 42+24'!$A:$C,3,0)</f>
        <v>#N/A</v>
      </c>
      <c r="S1374" t="e">
        <f>VLOOKUP(#REF!,'מלאי לא תקין'!A:N,17,0)</f>
        <v>#REF!</v>
      </c>
      <c r="T1374" t="e">
        <f t="shared" si="44"/>
        <v>#REF!</v>
      </c>
      <c r="U1374" t="e">
        <f t="shared" si="45"/>
        <v>#REF!</v>
      </c>
    </row>
    <row r="1375" spans="4:21" x14ac:dyDescent="0.2">
      <c r="D1375" s="4"/>
      <c r="G1375" s="5"/>
      <c r="H1375" s="5"/>
      <c r="I1375" s="4"/>
      <c r="J1375" s="4"/>
      <c r="K1375" s="5"/>
      <c r="Q1375" t="e">
        <f>VLOOKUP(A1375,'גיליון דאטה להכל'!A:E,5,0)</f>
        <v>#N/A</v>
      </c>
      <c r="R1375" t="e">
        <f>VLOOKUP(A1375,'לעדכן בסינתזה דאטה אריזה 42+24'!$A:$C,3,0)</f>
        <v>#N/A</v>
      </c>
      <c r="S1375" t="e">
        <f>VLOOKUP(#REF!,'מלאי לא תקין'!A:N,17,0)</f>
        <v>#REF!</v>
      </c>
      <c r="T1375" t="e">
        <f t="shared" si="44"/>
        <v>#REF!</v>
      </c>
      <c r="U1375" t="e">
        <f t="shared" si="45"/>
        <v>#REF!</v>
      </c>
    </row>
    <row r="1376" spans="4:21" x14ac:dyDescent="0.2">
      <c r="D1376" s="4"/>
      <c r="G1376" s="5"/>
      <c r="H1376" s="7"/>
      <c r="I1376" s="4"/>
      <c r="J1376" s="4"/>
      <c r="K1376" s="5"/>
      <c r="Q1376" t="e">
        <f>VLOOKUP(A1376,'גיליון דאטה להכל'!A:E,5,0)</f>
        <v>#N/A</v>
      </c>
      <c r="R1376" t="e">
        <f>VLOOKUP(A1376,'לעדכן בסינתזה דאטה אריזה 42+24'!$A:$C,3,0)</f>
        <v>#N/A</v>
      </c>
      <c r="S1376" t="e">
        <f>VLOOKUP(#REF!,'מלאי לא תקין'!A:N,17,0)</f>
        <v>#REF!</v>
      </c>
      <c r="T1376" t="e">
        <f t="shared" si="44"/>
        <v>#REF!</v>
      </c>
      <c r="U1376" t="e">
        <f t="shared" si="45"/>
        <v>#REF!</v>
      </c>
    </row>
    <row r="1377" spans="4:21" x14ac:dyDescent="0.2">
      <c r="D1377" s="4"/>
      <c r="G1377" s="5"/>
      <c r="H1377" s="5"/>
      <c r="I1377" s="4"/>
      <c r="J1377" s="4"/>
      <c r="K1377" s="5"/>
      <c r="Q1377" t="e">
        <f>VLOOKUP(A1377,'גיליון דאטה להכל'!A:E,5,0)</f>
        <v>#N/A</v>
      </c>
      <c r="R1377" t="e">
        <f>VLOOKUP(A1377,'לעדכן בסינתזה דאטה אריזה 42+24'!$A:$C,3,0)</f>
        <v>#N/A</v>
      </c>
      <c r="S1377" t="e">
        <f>VLOOKUP(#REF!,'מלאי לא תקין'!A:N,17,0)</f>
        <v>#REF!</v>
      </c>
      <c r="T1377" t="e">
        <f t="shared" si="44"/>
        <v>#REF!</v>
      </c>
      <c r="U1377" t="e">
        <f t="shared" si="45"/>
        <v>#REF!</v>
      </c>
    </row>
    <row r="1378" spans="4:21" x14ac:dyDescent="0.2">
      <c r="D1378" s="4"/>
      <c r="G1378" s="5"/>
      <c r="H1378" s="5"/>
      <c r="I1378" s="4"/>
      <c r="J1378" s="4"/>
      <c r="K1378" s="5"/>
      <c r="Q1378" t="e">
        <f>VLOOKUP(A1378,'גיליון דאטה להכל'!A:E,5,0)</f>
        <v>#N/A</v>
      </c>
      <c r="R1378" t="e">
        <f>VLOOKUP(A1378,'לעדכן בסינתזה דאטה אריזה 42+24'!$A:$C,3,0)</f>
        <v>#N/A</v>
      </c>
      <c r="S1378" t="e">
        <f>VLOOKUP(#REF!,'מלאי לא תקין'!A:N,17,0)</f>
        <v>#REF!</v>
      </c>
      <c r="T1378" t="e">
        <f t="shared" si="44"/>
        <v>#REF!</v>
      </c>
      <c r="U1378" t="e">
        <f t="shared" si="45"/>
        <v>#REF!</v>
      </c>
    </row>
    <row r="1379" spans="4:21" x14ac:dyDescent="0.2">
      <c r="D1379" s="4"/>
      <c r="G1379" s="5"/>
      <c r="H1379" s="7"/>
      <c r="I1379" s="4"/>
      <c r="J1379" s="4"/>
      <c r="K1379" s="5"/>
      <c r="Q1379" t="e">
        <f>VLOOKUP(A1379,'גיליון דאטה להכל'!A:E,5,0)</f>
        <v>#N/A</v>
      </c>
      <c r="R1379" t="e">
        <f>VLOOKUP(A1379,'לעדכן בסינתזה דאטה אריזה 42+24'!$A:$C,3,0)</f>
        <v>#N/A</v>
      </c>
      <c r="S1379" t="e">
        <f>VLOOKUP(#REF!,'מלאי לא תקין'!A:N,17,0)</f>
        <v>#REF!</v>
      </c>
      <c r="T1379" t="e">
        <f t="shared" si="44"/>
        <v>#REF!</v>
      </c>
      <c r="U1379" t="e">
        <f t="shared" si="45"/>
        <v>#REF!</v>
      </c>
    </row>
    <row r="1380" spans="4:21" x14ac:dyDescent="0.2">
      <c r="D1380" s="4"/>
      <c r="G1380" s="5"/>
      <c r="H1380" s="5"/>
      <c r="I1380" s="4"/>
      <c r="J1380" s="4"/>
      <c r="K1380" s="5"/>
      <c r="Q1380" t="e">
        <f>VLOOKUP(A1380,'גיליון דאטה להכל'!A:E,5,0)</f>
        <v>#N/A</v>
      </c>
      <c r="R1380" t="e">
        <f>VLOOKUP(A1380,'לעדכן בסינתזה דאטה אריזה 42+24'!$A:$C,3,0)</f>
        <v>#N/A</v>
      </c>
      <c r="S1380" t="e">
        <f>VLOOKUP(#REF!,'מלאי לא תקין'!A:N,17,0)</f>
        <v>#REF!</v>
      </c>
      <c r="T1380" t="e">
        <f t="shared" si="44"/>
        <v>#REF!</v>
      </c>
      <c r="U1380" t="e">
        <f t="shared" si="45"/>
        <v>#REF!</v>
      </c>
    </row>
    <row r="1381" spans="4:21" x14ac:dyDescent="0.2">
      <c r="D1381" s="4"/>
      <c r="G1381" s="5"/>
      <c r="H1381" s="5"/>
      <c r="I1381" s="4"/>
      <c r="J1381" s="4"/>
      <c r="K1381" s="5"/>
      <c r="Q1381" t="e">
        <f>VLOOKUP(A1381,'גיליון דאטה להכל'!A:E,5,0)</f>
        <v>#N/A</v>
      </c>
      <c r="R1381" t="e">
        <f>VLOOKUP(A1381,'לעדכן בסינתזה דאטה אריזה 42+24'!$A:$C,3,0)</f>
        <v>#N/A</v>
      </c>
      <c r="S1381" t="e">
        <f>VLOOKUP(#REF!,'מלאי לא תקין'!A:N,17,0)</f>
        <v>#REF!</v>
      </c>
      <c r="T1381" t="e">
        <f t="shared" si="44"/>
        <v>#REF!</v>
      </c>
      <c r="U1381" t="e">
        <f t="shared" si="45"/>
        <v>#REF!</v>
      </c>
    </row>
    <row r="1382" spans="4:21" x14ac:dyDescent="0.2">
      <c r="D1382" s="4"/>
      <c r="G1382" s="5"/>
      <c r="H1382" s="5"/>
      <c r="I1382" s="4"/>
      <c r="J1382" s="4"/>
      <c r="K1382" s="5"/>
      <c r="Q1382" t="e">
        <f>VLOOKUP(A1382,'גיליון דאטה להכל'!A:E,5,0)</f>
        <v>#N/A</v>
      </c>
      <c r="R1382" t="e">
        <f>VLOOKUP(A1382,'לעדכן בסינתזה דאטה אריזה 42+24'!$A:$C,3,0)</f>
        <v>#N/A</v>
      </c>
      <c r="S1382" t="e">
        <f>VLOOKUP(#REF!,'מלאי לא תקין'!A:N,17,0)</f>
        <v>#REF!</v>
      </c>
      <c r="T1382" t="e">
        <f t="shared" si="44"/>
        <v>#REF!</v>
      </c>
      <c r="U1382" t="e">
        <f t="shared" si="45"/>
        <v>#REF!</v>
      </c>
    </row>
    <row r="1383" spans="4:21" x14ac:dyDescent="0.2">
      <c r="D1383" s="4"/>
      <c r="G1383" s="5"/>
      <c r="H1383" s="5"/>
      <c r="I1383" s="4"/>
      <c r="J1383" s="4"/>
      <c r="K1383" s="5"/>
      <c r="Q1383" t="e">
        <f>VLOOKUP(A1383,'גיליון דאטה להכל'!A:E,5,0)</f>
        <v>#N/A</v>
      </c>
      <c r="R1383" t="e">
        <f>VLOOKUP(A1383,'לעדכן בסינתזה דאטה אריזה 42+24'!$A:$C,3,0)</f>
        <v>#N/A</v>
      </c>
      <c r="S1383" t="e">
        <f>VLOOKUP(#REF!,'מלאי לא תקין'!A:N,17,0)</f>
        <v>#REF!</v>
      </c>
      <c r="T1383" t="e">
        <f t="shared" si="44"/>
        <v>#REF!</v>
      </c>
      <c r="U1383" t="e">
        <f t="shared" si="45"/>
        <v>#REF!</v>
      </c>
    </row>
    <row r="1384" spans="4:21" x14ac:dyDescent="0.2">
      <c r="D1384" s="4"/>
      <c r="G1384" s="5"/>
      <c r="H1384" s="7"/>
      <c r="I1384" s="4"/>
      <c r="J1384" s="4"/>
      <c r="K1384" s="5"/>
      <c r="Q1384" t="e">
        <f>VLOOKUP(A1384,'גיליון דאטה להכל'!A:E,5,0)</f>
        <v>#N/A</v>
      </c>
      <c r="R1384" t="e">
        <f>VLOOKUP(A1384,'לעדכן בסינתזה דאטה אריזה 42+24'!$A:$C,3,0)</f>
        <v>#N/A</v>
      </c>
      <c r="S1384" t="e">
        <f>VLOOKUP(#REF!,'מלאי לא תקין'!A:N,17,0)</f>
        <v>#REF!</v>
      </c>
      <c r="T1384" t="e">
        <f t="shared" si="44"/>
        <v>#REF!</v>
      </c>
      <c r="U1384" t="e">
        <f t="shared" si="45"/>
        <v>#REF!</v>
      </c>
    </row>
    <row r="1385" spans="4:21" x14ac:dyDescent="0.2">
      <c r="D1385" s="4"/>
      <c r="G1385" s="5"/>
      <c r="H1385" s="5"/>
      <c r="I1385" s="4"/>
      <c r="J1385" s="4"/>
      <c r="K1385" s="5"/>
      <c r="Q1385" t="e">
        <f>VLOOKUP(A1385,'גיליון דאטה להכל'!A:E,5,0)</f>
        <v>#N/A</v>
      </c>
      <c r="R1385" t="e">
        <f>VLOOKUP(A1385,'לעדכן בסינתזה דאטה אריזה 42+24'!$A:$C,3,0)</f>
        <v>#N/A</v>
      </c>
      <c r="S1385" t="e">
        <f>VLOOKUP(#REF!,'מלאי לא תקין'!A:N,17,0)</f>
        <v>#REF!</v>
      </c>
      <c r="T1385" t="e">
        <f t="shared" si="44"/>
        <v>#REF!</v>
      </c>
      <c r="U1385" t="e">
        <f t="shared" si="45"/>
        <v>#REF!</v>
      </c>
    </row>
    <row r="1386" spans="4:21" x14ac:dyDescent="0.2">
      <c r="D1386" s="4"/>
      <c r="G1386" s="5"/>
      <c r="H1386" s="5"/>
      <c r="I1386" s="4"/>
      <c r="J1386" s="4"/>
      <c r="K1386" s="5"/>
      <c r="Q1386" t="e">
        <f>VLOOKUP(A1386,'גיליון דאטה להכל'!A:E,5,0)</f>
        <v>#N/A</v>
      </c>
      <c r="R1386" t="e">
        <f>VLOOKUP(A1386,'לעדכן בסינתזה דאטה אריזה 42+24'!$A:$C,3,0)</f>
        <v>#N/A</v>
      </c>
      <c r="S1386" t="e">
        <f>VLOOKUP(#REF!,'מלאי לא תקין'!A:N,17,0)</f>
        <v>#REF!</v>
      </c>
      <c r="T1386" t="e">
        <f t="shared" si="44"/>
        <v>#REF!</v>
      </c>
      <c r="U1386" t="e">
        <f t="shared" si="45"/>
        <v>#REF!</v>
      </c>
    </row>
    <row r="1387" spans="4:21" x14ac:dyDescent="0.2">
      <c r="D1387" s="4"/>
      <c r="G1387" s="5"/>
      <c r="H1387" s="5"/>
      <c r="I1387" s="4"/>
      <c r="J1387" s="4"/>
      <c r="K1387" s="5"/>
      <c r="Q1387" t="e">
        <f>VLOOKUP(A1387,'גיליון דאטה להכל'!A:E,5,0)</f>
        <v>#N/A</v>
      </c>
      <c r="R1387" t="e">
        <f>VLOOKUP(A1387,'לעדכן בסינתזה דאטה אריזה 42+24'!$A:$C,3,0)</f>
        <v>#N/A</v>
      </c>
      <c r="S1387" t="e">
        <f>VLOOKUP(#REF!,'מלאי לא תקין'!A:N,17,0)</f>
        <v>#REF!</v>
      </c>
      <c r="T1387" t="e">
        <f t="shared" si="44"/>
        <v>#REF!</v>
      </c>
      <c r="U1387" t="e">
        <f t="shared" si="45"/>
        <v>#REF!</v>
      </c>
    </row>
    <row r="1388" spans="4:21" x14ac:dyDescent="0.2">
      <c r="D1388" s="4"/>
      <c r="G1388" s="5"/>
      <c r="H1388" s="5"/>
      <c r="I1388" s="4"/>
      <c r="J1388" s="4"/>
      <c r="K1388" s="5"/>
      <c r="Q1388" t="e">
        <f>VLOOKUP(A1388,'גיליון דאטה להכל'!A:E,5,0)</f>
        <v>#N/A</v>
      </c>
      <c r="R1388" t="e">
        <f>VLOOKUP(A1388,'לעדכן בסינתזה דאטה אריזה 42+24'!$A:$C,3,0)</f>
        <v>#N/A</v>
      </c>
      <c r="S1388" t="e">
        <f>VLOOKUP(#REF!,'מלאי לא תקין'!A:N,17,0)</f>
        <v>#REF!</v>
      </c>
      <c r="T1388" t="e">
        <f t="shared" si="44"/>
        <v>#REF!</v>
      </c>
      <c r="U1388" t="e">
        <f t="shared" si="45"/>
        <v>#REF!</v>
      </c>
    </row>
    <row r="1389" spans="4:21" x14ac:dyDescent="0.2">
      <c r="D1389" s="4"/>
      <c r="G1389" s="5"/>
      <c r="H1389" s="7"/>
      <c r="I1389" s="4"/>
      <c r="J1389" s="4"/>
      <c r="K1389" s="5"/>
      <c r="Q1389" t="e">
        <f>VLOOKUP(A1389,'גיליון דאטה להכל'!A:E,5,0)</f>
        <v>#N/A</v>
      </c>
      <c r="R1389" t="e">
        <f>VLOOKUP(A1389,'לעדכן בסינתזה דאטה אריזה 42+24'!$A:$C,3,0)</f>
        <v>#N/A</v>
      </c>
      <c r="S1389" t="e">
        <f>VLOOKUP(#REF!,'מלאי לא תקין'!A:N,17,0)</f>
        <v>#REF!</v>
      </c>
      <c r="T1389" t="e">
        <f t="shared" si="44"/>
        <v>#REF!</v>
      </c>
      <c r="U1389" t="e">
        <f t="shared" si="45"/>
        <v>#REF!</v>
      </c>
    </row>
    <row r="1390" spans="4:21" x14ac:dyDescent="0.2">
      <c r="D1390" s="4"/>
      <c r="G1390" s="5"/>
      <c r="H1390" s="5"/>
      <c r="I1390" s="4"/>
      <c r="J1390" s="4"/>
      <c r="K1390" s="5"/>
      <c r="Q1390" t="e">
        <f>VLOOKUP(A1390,'גיליון דאטה להכל'!A:E,5,0)</f>
        <v>#N/A</v>
      </c>
      <c r="R1390" t="e">
        <f>VLOOKUP(A1390,'לעדכן בסינתזה דאטה אריזה 42+24'!$A:$C,3,0)</f>
        <v>#N/A</v>
      </c>
      <c r="S1390" t="e">
        <f>VLOOKUP(#REF!,'מלאי לא תקין'!A:N,17,0)</f>
        <v>#REF!</v>
      </c>
      <c r="T1390" t="e">
        <f t="shared" si="44"/>
        <v>#REF!</v>
      </c>
      <c r="U1390" t="e">
        <f t="shared" si="45"/>
        <v>#REF!</v>
      </c>
    </row>
    <row r="1391" spans="4:21" x14ac:dyDescent="0.2">
      <c r="D1391" s="4"/>
      <c r="G1391" s="5"/>
      <c r="H1391" s="5"/>
      <c r="I1391" s="4"/>
      <c r="J1391" s="4"/>
      <c r="K1391" s="5"/>
      <c r="Q1391" t="e">
        <f>VLOOKUP(A1391,'גיליון דאטה להכל'!A:E,5,0)</f>
        <v>#N/A</v>
      </c>
      <c r="R1391" t="e">
        <f>VLOOKUP(A1391,'לעדכן בסינתזה דאטה אריזה 42+24'!$A:$C,3,0)</f>
        <v>#N/A</v>
      </c>
      <c r="S1391" t="e">
        <f>VLOOKUP(#REF!,'מלאי לא תקין'!A:N,17,0)</f>
        <v>#REF!</v>
      </c>
      <c r="T1391" t="e">
        <f t="shared" si="44"/>
        <v>#REF!</v>
      </c>
      <c r="U1391" t="e">
        <f t="shared" si="45"/>
        <v>#REF!</v>
      </c>
    </row>
    <row r="1392" spans="4:21" x14ac:dyDescent="0.2">
      <c r="D1392" s="4"/>
      <c r="G1392" s="5"/>
      <c r="H1392" s="5"/>
      <c r="I1392" s="4"/>
      <c r="J1392" s="4"/>
      <c r="K1392" s="5"/>
      <c r="Q1392" t="e">
        <f>VLOOKUP(A1392,'גיליון דאטה להכל'!A:E,5,0)</f>
        <v>#N/A</v>
      </c>
      <c r="R1392" t="e">
        <f>VLOOKUP(A1392,'לעדכן בסינתזה דאטה אריזה 42+24'!$A:$C,3,0)</f>
        <v>#N/A</v>
      </c>
      <c r="S1392" t="e">
        <f>VLOOKUP(#REF!,'מלאי לא תקין'!A:N,17,0)</f>
        <v>#REF!</v>
      </c>
      <c r="T1392" t="e">
        <f t="shared" si="44"/>
        <v>#REF!</v>
      </c>
      <c r="U1392" t="e">
        <f t="shared" si="45"/>
        <v>#REF!</v>
      </c>
    </row>
    <row r="1393" spans="4:21" x14ac:dyDescent="0.2">
      <c r="D1393" s="4"/>
      <c r="G1393" s="5"/>
      <c r="H1393" s="5"/>
      <c r="I1393" s="4"/>
      <c r="J1393" s="4"/>
      <c r="K1393" s="5"/>
      <c r="Q1393" t="e">
        <f>VLOOKUP(A1393,'גיליון דאטה להכל'!A:E,5,0)</f>
        <v>#N/A</v>
      </c>
      <c r="R1393" t="e">
        <f>VLOOKUP(A1393,'לעדכן בסינתזה דאטה אריזה 42+24'!$A:$C,3,0)</f>
        <v>#N/A</v>
      </c>
      <c r="S1393" t="e">
        <f>VLOOKUP(#REF!,'מלאי לא תקין'!A:N,17,0)</f>
        <v>#REF!</v>
      </c>
      <c r="T1393" t="e">
        <f t="shared" si="44"/>
        <v>#REF!</v>
      </c>
      <c r="U1393" t="e">
        <f t="shared" si="45"/>
        <v>#REF!</v>
      </c>
    </row>
    <row r="1394" spans="4:21" x14ac:dyDescent="0.2">
      <c r="D1394" s="4"/>
      <c r="G1394" s="5"/>
      <c r="H1394" s="7"/>
      <c r="I1394" s="4"/>
      <c r="J1394" s="4"/>
      <c r="K1394" s="5"/>
      <c r="Q1394" t="e">
        <f>VLOOKUP(A1394,'גיליון דאטה להכל'!A:E,5,0)</f>
        <v>#N/A</v>
      </c>
      <c r="R1394" t="e">
        <f>VLOOKUP(A1394,'לעדכן בסינתזה דאטה אריזה 42+24'!$A:$C,3,0)</f>
        <v>#N/A</v>
      </c>
      <c r="S1394" t="e">
        <f>VLOOKUP(#REF!,'מלאי לא תקין'!A:N,17,0)</f>
        <v>#REF!</v>
      </c>
      <c r="T1394" t="e">
        <f t="shared" si="44"/>
        <v>#REF!</v>
      </c>
      <c r="U1394" t="e">
        <f t="shared" si="45"/>
        <v>#REF!</v>
      </c>
    </row>
    <row r="1395" spans="4:21" x14ac:dyDescent="0.2">
      <c r="D1395" s="4"/>
      <c r="G1395" s="5"/>
      <c r="H1395" s="5"/>
      <c r="I1395" s="4"/>
      <c r="J1395" s="4"/>
      <c r="K1395" s="5"/>
      <c r="Q1395" t="e">
        <f>VLOOKUP(A1395,'גיליון דאטה להכל'!A:E,5,0)</f>
        <v>#N/A</v>
      </c>
      <c r="R1395" t="e">
        <f>VLOOKUP(A1395,'לעדכן בסינתזה דאטה אריזה 42+24'!$A:$C,3,0)</f>
        <v>#N/A</v>
      </c>
      <c r="S1395" t="e">
        <f>VLOOKUP(#REF!,'מלאי לא תקין'!A:N,17,0)</f>
        <v>#REF!</v>
      </c>
      <c r="T1395" t="e">
        <f t="shared" si="44"/>
        <v>#REF!</v>
      </c>
      <c r="U1395" t="e">
        <f t="shared" si="45"/>
        <v>#REF!</v>
      </c>
    </row>
    <row r="1396" spans="4:21" x14ac:dyDescent="0.2">
      <c r="D1396" s="4"/>
      <c r="G1396" s="5"/>
      <c r="H1396" s="5"/>
      <c r="I1396" s="4"/>
      <c r="J1396" s="4"/>
      <c r="K1396" s="5"/>
      <c r="Q1396" t="e">
        <f>VLOOKUP(A1396,'גיליון דאטה להכל'!A:E,5,0)</f>
        <v>#N/A</v>
      </c>
      <c r="R1396" t="e">
        <f>VLOOKUP(A1396,'לעדכן בסינתזה דאטה אריזה 42+24'!$A:$C,3,0)</f>
        <v>#N/A</v>
      </c>
      <c r="S1396" t="e">
        <f>VLOOKUP(#REF!,'מלאי לא תקין'!A:N,17,0)</f>
        <v>#REF!</v>
      </c>
      <c r="T1396" t="e">
        <f t="shared" si="44"/>
        <v>#REF!</v>
      </c>
      <c r="U1396" t="e">
        <f t="shared" si="45"/>
        <v>#REF!</v>
      </c>
    </row>
    <row r="1397" spans="4:21" x14ac:dyDescent="0.2">
      <c r="D1397" s="4"/>
      <c r="G1397" s="5"/>
      <c r="H1397" s="5"/>
      <c r="I1397" s="4"/>
      <c r="J1397" s="4"/>
      <c r="K1397" s="5"/>
      <c r="Q1397" t="e">
        <f>VLOOKUP(A1397,'גיליון דאטה להכל'!A:E,5,0)</f>
        <v>#N/A</v>
      </c>
      <c r="R1397" t="e">
        <f>VLOOKUP(A1397,'לעדכן בסינתזה דאטה אריזה 42+24'!$A:$C,3,0)</f>
        <v>#N/A</v>
      </c>
      <c r="S1397" t="e">
        <f>VLOOKUP(#REF!,'מלאי לא תקין'!A:N,17,0)</f>
        <v>#REF!</v>
      </c>
      <c r="T1397" t="e">
        <f t="shared" ref="T1397:T1460" si="46">_xlfn.CONCAT(S1397,Q1397)</f>
        <v>#REF!</v>
      </c>
      <c r="U1397" t="e">
        <f t="shared" ref="U1397:U1460" si="47">_xlfn.CONCAT(S1397,O1397)</f>
        <v>#REF!</v>
      </c>
    </row>
    <row r="1398" spans="4:21" x14ac:dyDescent="0.2">
      <c r="D1398" s="4"/>
      <c r="G1398" s="5"/>
      <c r="H1398" s="5"/>
      <c r="I1398" s="4"/>
      <c r="J1398" s="4"/>
      <c r="K1398" s="5"/>
      <c r="Q1398" t="e">
        <f>VLOOKUP(A1398,'גיליון דאטה להכל'!A:E,5,0)</f>
        <v>#N/A</v>
      </c>
      <c r="R1398" t="e">
        <f>VLOOKUP(A1398,'לעדכן בסינתזה דאטה אריזה 42+24'!$A:$C,3,0)</f>
        <v>#N/A</v>
      </c>
      <c r="S1398" t="e">
        <f>VLOOKUP(#REF!,'מלאי לא תקין'!A:N,17,0)</f>
        <v>#REF!</v>
      </c>
      <c r="T1398" t="e">
        <f t="shared" si="46"/>
        <v>#REF!</v>
      </c>
      <c r="U1398" t="e">
        <f t="shared" si="47"/>
        <v>#REF!</v>
      </c>
    </row>
    <row r="1399" spans="4:21" x14ac:dyDescent="0.2">
      <c r="D1399" s="4"/>
      <c r="G1399" s="5"/>
      <c r="H1399" s="7"/>
      <c r="I1399" s="4"/>
      <c r="J1399" s="4"/>
      <c r="K1399" s="5"/>
      <c r="Q1399" t="e">
        <f>VLOOKUP(A1399,'גיליון דאטה להכל'!A:E,5,0)</f>
        <v>#N/A</v>
      </c>
      <c r="R1399" t="e">
        <f>VLOOKUP(A1399,'לעדכן בסינתזה דאטה אריזה 42+24'!$A:$C,3,0)</f>
        <v>#N/A</v>
      </c>
      <c r="S1399" t="e">
        <f>VLOOKUP(#REF!,'מלאי לא תקין'!A:N,17,0)</f>
        <v>#REF!</v>
      </c>
      <c r="T1399" t="e">
        <f t="shared" si="46"/>
        <v>#REF!</v>
      </c>
      <c r="U1399" t="e">
        <f t="shared" si="47"/>
        <v>#REF!</v>
      </c>
    </row>
    <row r="1400" spans="4:21" x14ac:dyDescent="0.2">
      <c r="D1400" s="4"/>
      <c r="G1400" s="5"/>
      <c r="H1400" s="5"/>
      <c r="I1400" s="4"/>
      <c r="J1400" s="4"/>
      <c r="K1400" s="5"/>
      <c r="Q1400" t="e">
        <f>VLOOKUP(A1400,'גיליון דאטה להכל'!A:E,5,0)</f>
        <v>#N/A</v>
      </c>
      <c r="R1400" t="e">
        <f>VLOOKUP(A1400,'לעדכן בסינתזה דאטה אריזה 42+24'!$A:$C,3,0)</f>
        <v>#N/A</v>
      </c>
      <c r="S1400" t="e">
        <f>VLOOKUP(#REF!,'מלאי לא תקין'!A:N,17,0)</f>
        <v>#REF!</v>
      </c>
      <c r="T1400" t="e">
        <f t="shared" si="46"/>
        <v>#REF!</v>
      </c>
      <c r="U1400" t="e">
        <f t="shared" si="47"/>
        <v>#REF!</v>
      </c>
    </row>
    <row r="1401" spans="4:21" x14ac:dyDescent="0.2">
      <c r="D1401" s="4"/>
      <c r="G1401" s="5"/>
      <c r="H1401" s="5"/>
      <c r="I1401" s="4"/>
      <c r="J1401" s="4"/>
      <c r="K1401" s="5"/>
      <c r="Q1401" t="e">
        <f>VLOOKUP(A1401,'גיליון דאטה להכל'!A:E,5,0)</f>
        <v>#N/A</v>
      </c>
      <c r="R1401" t="e">
        <f>VLOOKUP(A1401,'לעדכן בסינתזה דאטה אריזה 42+24'!$A:$C,3,0)</f>
        <v>#N/A</v>
      </c>
      <c r="S1401" t="e">
        <f>VLOOKUP(#REF!,'מלאי לא תקין'!A:N,17,0)</f>
        <v>#REF!</v>
      </c>
      <c r="T1401" t="e">
        <f t="shared" si="46"/>
        <v>#REF!</v>
      </c>
      <c r="U1401" t="e">
        <f t="shared" si="47"/>
        <v>#REF!</v>
      </c>
    </row>
    <row r="1402" spans="4:21" x14ac:dyDescent="0.2">
      <c r="D1402" s="4"/>
      <c r="G1402" s="5"/>
      <c r="H1402" s="5"/>
      <c r="I1402" s="4"/>
      <c r="J1402" s="4"/>
      <c r="K1402" s="5"/>
      <c r="Q1402" t="e">
        <f>VLOOKUP(A1402,'גיליון דאטה להכל'!A:E,5,0)</f>
        <v>#N/A</v>
      </c>
      <c r="R1402" t="e">
        <f>VLOOKUP(A1402,'לעדכן בסינתזה דאטה אריזה 42+24'!$A:$C,3,0)</f>
        <v>#N/A</v>
      </c>
      <c r="S1402" t="e">
        <f>VLOOKUP(#REF!,'מלאי לא תקין'!A:N,17,0)</f>
        <v>#REF!</v>
      </c>
      <c r="T1402" t="e">
        <f t="shared" si="46"/>
        <v>#REF!</v>
      </c>
      <c r="U1402" t="e">
        <f t="shared" si="47"/>
        <v>#REF!</v>
      </c>
    </row>
    <row r="1403" spans="4:21" x14ac:dyDescent="0.2">
      <c r="D1403" s="4"/>
      <c r="G1403" s="5"/>
      <c r="H1403" s="5"/>
      <c r="I1403" s="4"/>
      <c r="J1403" s="4"/>
      <c r="K1403" s="5"/>
      <c r="Q1403" t="e">
        <f>VLOOKUP(A1403,'גיליון דאטה להכל'!A:E,5,0)</f>
        <v>#N/A</v>
      </c>
      <c r="R1403" t="e">
        <f>VLOOKUP(A1403,'לעדכן בסינתזה דאטה אריזה 42+24'!$A:$C,3,0)</f>
        <v>#N/A</v>
      </c>
      <c r="S1403" t="e">
        <f>VLOOKUP(#REF!,'מלאי לא תקין'!A:N,17,0)</f>
        <v>#REF!</v>
      </c>
      <c r="T1403" t="e">
        <f t="shared" si="46"/>
        <v>#REF!</v>
      </c>
      <c r="U1403" t="e">
        <f t="shared" si="47"/>
        <v>#REF!</v>
      </c>
    </row>
    <row r="1404" spans="4:21" x14ac:dyDescent="0.2">
      <c r="D1404" s="4"/>
      <c r="G1404" s="5"/>
      <c r="H1404" s="7"/>
      <c r="I1404" s="4"/>
      <c r="J1404" s="4"/>
      <c r="K1404" s="5"/>
      <c r="Q1404" t="e">
        <f>VLOOKUP(A1404,'גיליון דאטה להכל'!A:E,5,0)</f>
        <v>#N/A</v>
      </c>
      <c r="R1404" t="e">
        <f>VLOOKUP(A1404,'לעדכן בסינתזה דאטה אריזה 42+24'!$A:$C,3,0)</f>
        <v>#N/A</v>
      </c>
      <c r="S1404" t="e">
        <f>VLOOKUP(#REF!,'מלאי לא תקין'!A:N,17,0)</f>
        <v>#REF!</v>
      </c>
      <c r="T1404" t="e">
        <f t="shared" si="46"/>
        <v>#REF!</v>
      </c>
      <c r="U1404" t="e">
        <f t="shared" si="47"/>
        <v>#REF!</v>
      </c>
    </row>
    <row r="1405" spans="4:21" x14ac:dyDescent="0.2">
      <c r="D1405" s="4"/>
      <c r="G1405" s="5"/>
      <c r="H1405" s="5"/>
      <c r="I1405" s="4"/>
      <c r="J1405" s="4"/>
      <c r="K1405" s="5"/>
      <c r="Q1405" t="e">
        <f>VLOOKUP(A1405,'גיליון דאטה להכל'!A:E,5,0)</f>
        <v>#N/A</v>
      </c>
      <c r="R1405" t="e">
        <f>VLOOKUP(A1405,'לעדכן בסינתזה דאטה אריזה 42+24'!$A:$C,3,0)</f>
        <v>#N/A</v>
      </c>
      <c r="S1405" t="e">
        <f>VLOOKUP(#REF!,'מלאי לא תקין'!A:N,17,0)</f>
        <v>#REF!</v>
      </c>
      <c r="T1405" t="e">
        <f t="shared" si="46"/>
        <v>#REF!</v>
      </c>
      <c r="U1405" t="e">
        <f t="shared" si="47"/>
        <v>#REF!</v>
      </c>
    </row>
    <row r="1406" spans="4:21" x14ac:dyDescent="0.2">
      <c r="D1406" s="4"/>
      <c r="G1406" s="5"/>
      <c r="H1406" s="5"/>
      <c r="I1406" s="4"/>
      <c r="J1406" s="4"/>
      <c r="K1406" s="5"/>
      <c r="Q1406" t="e">
        <f>VLOOKUP(A1406,'גיליון דאטה להכל'!A:E,5,0)</f>
        <v>#N/A</v>
      </c>
      <c r="R1406" t="e">
        <f>VLOOKUP(A1406,'לעדכן בסינתזה דאטה אריזה 42+24'!$A:$C,3,0)</f>
        <v>#N/A</v>
      </c>
      <c r="S1406" t="e">
        <f>VLOOKUP(#REF!,'מלאי לא תקין'!A:N,17,0)</f>
        <v>#REF!</v>
      </c>
      <c r="T1406" t="e">
        <f t="shared" si="46"/>
        <v>#REF!</v>
      </c>
      <c r="U1406" t="e">
        <f t="shared" si="47"/>
        <v>#REF!</v>
      </c>
    </row>
    <row r="1407" spans="4:21" x14ac:dyDescent="0.2">
      <c r="D1407" s="4"/>
      <c r="G1407" s="5"/>
      <c r="H1407" s="5"/>
      <c r="I1407" s="4"/>
      <c r="J1407" s="4"/>
      <c r="K1407" s="5"/>
      <c r="Q1407" t="e">
        <f>VLOOKUP(A1407,'גיליון דאטה להכל'!A:E,5,0)</f>
        <v>#N/A</v>
      </c>
      <c r="R1407" t="e">
        <f>VLOOKUP(A1407,'לעדכן בסינתזה דאטה אריזה 42+24'!$A:$C,3,0)</f>
        <v>#N/A</v>
      </c>
      <c r="S1407" t="e">
        <f>VLOOKUP(#REF!,'מלאי לא תקין'!A:N,17,0)</f>
        <v>#REF!</v>
      </c>
      <c r="T1407" t="e">
        <f t="shared" si="46"/>
        <v>#REF!</v>
      </c>
      <c r="U1407" t="e">
        <f t="shared" si="47"/>
        <v>#REF!</v>
      </c>
    </row>
    <row r="1408" spans="4:21" x14ac:dyDescent="0.2">
      <c r="D1408" s="4"/>
      <c r="G1408" s="5"/>
      <c r="H1408" s="5"/>
      <c r="I1408" s="4"/>
      <c r="J1408" s="4"/>
      <c r="K1408" s="5"/>
      <c r="Q1408" t="e">
        <f>VLOOKUP(A1408,'גיליון דאטה להכל'!A:E,5,0)</f>
        <v>#N/A</v>
      </c>
      <c r="R1408" t="e">
        <f>VLOOKUP(A1408,'לעדכן בסינתזה דאטה אריזה 42+24'!$A:$C,3,0)</f>
        <v>#N/A</v>
      </c>
      <c r="S1408" t="e">
        <f>VLOOKUP(#REF!,'מלאי לא תקין'!A:N,17,0)</f>
        <v>#REF!</v>
      </c>
      <c r="T1408" t="e">
        <f t="shared" si="46"/>
        <v>#REF!</v>
      </c>
      <c r="U1408" t="e">
        <f t="shared" si="47"/>
        <v>#REF!</v>
      </c>
    </row>
    <row r="1409" spans="4:21" x14ac:dyDescent="0.2">
      <c r="D1409" s="4"/>
      <c r="G1409" s="5"/>
      <c r="H1409" s="7"/>
      <c r="I1409" s="4"/>
      <c r="J1409" s="4"/>
      <c r="K1409" s="5"/>
      <c r="Q1409" t="e">
        <f>VLOOKUP(A1409,'גיליון דאטה להכל'!A:E,5,0)</f>
        <v>#N/A</v>
      </c>
      <c r="R1409" t="e">
        <f>VLOOKUP(A1409,'לעדכן בסינתזה דאטה אריזה 42+24'!$A:$C,3,0)</f>
        <v>#N/A</v>
      </c>
      <c r="S1409" t="e">
        <f>VLOOKUP(#REF!,'מלאי לא תקין'!A:N,17,0)</f>
        <v>#REF!</v>
      </c>
      <c r="T1409" t="e">
        <f t="shared" si="46"/>
        <v>#REF!</v>
      </c>
      <c r="U1409" t="e">
        <f t="shared" si="47"/>
        <v>#REF!</v>
      </c>
    </row>
    <row r="1410" spans="4:21" x14ac:dyDescent="0.2">
      <c r="D1410" s="4"/>
      <c r="G1410" s="5"/>
      <c r="H1410" s="5"/>
      <c r="I1410" s="4"/>
      <c r="J1410" s="4"/>
      <c r="K1410" s="5"/>
      <c r="Q1410" t="e">
        <f>VLOOKUP(A1410,'גיליון דאטה להכל'!A:E,5,0)</f>
        <v>#N/A</v>
      </c>
      <c r="R1410" t="e">
        <f>VLOOKUP(A1410,'לעדכן בסינתזה דאטה אריזה 42+24'!$A:$C,3,0)</f>
        <v>#N/A</v>
      </c>
      <c r="S1410" t="e">
        <f>VLOOKUP(#REF!,'מלאי לא תקין'!A:N,17,0)</f>
        <v>#REF!</v>
      </c>
      <c r="T1410" t="e">
        <f t="shared" si="46"/>
        <v>#REF!</v>
      </c>
      <c r="U1410" t="e">
        <f t="shared" si="47"/>
        <v>#REF!</v>
      </c>
    </row>
    <row r="1411" spans="4:21" x14ac:dyDescent="0.2">
      <c r="D1411" s="4"/>
      <c r="G1411" s="5"/>
      <c r="H1411" s="5"/>
      <c r="I1411" s="4"/>
      <c r="J1411" s="4"/>
      <c r="K1411" s="5"/>
      <c r="Q1411" t="e">
        <f>VLOOKUP(A1411,'גיליון דאטה להכל'!A:E,5,0)</f>
        <v>#N/A</v>
      </c>
      <c r="R1411" t="e">
        <f>VLOOKUP(A1411,'לעדכן בסינתזה דאטה אריזה 42+24'!$A:$C,3,0)</f>
        <v>#N/A</v>
      </c>
      <c r="S1411" t="e">
        <f>VLOOKUP(#REF!,'מלאי לא תקין'!A:N,17,0)</f>
        <v>#REF!</v>
      </c>
      <c r="T1411" t="e">
        <f t="shared" si="46"/>
        <v>#REF!</v>
      </c>
      <c r="U1411" t="e">
        <f t="shared" si="47"/>
        <v>#REF!</v>
      </c>
    </row>
    <row r="1412" spans="4:21" x14ac:dyDescent="0.2">
      <c r="D1412" s="4"/>
      <c r="G1412" s="5"/>
      <c r="H1412" s="5"/>
      <c r="I1412" s="4"/>
      <c r="J1412" s="4"/>
      <c r="K1412" s="5"/>
      <c r="Q1412" t="e">
        <f>VLOOKUP(A1412,'גיליון דאטה להכל'!A:E,5,0)</f>
        <v>#N/A</v>
      </c>
      <c r="R1412" t="e">
        <f>VLOOKUP(A1412,'לעדכן בסינתזה דאטה אריזה 42+24'!$A:$C,3,0)</f>
        <v>#N/A</v>
      </c>
      <c r="S1412" t="e">
        <f>VLOOKUP(#REF!,'מלאי לא תקין'!A:N,17,0)</f>
        <v>#REF!</v>
      </c>
      <c r="T1412" t="e">
        <f t="shared" si="46"/>
        <v>#REF!</v>
      </c>
      <c r="U1412" t="e">
        <f t="shared" si="47"/>
        <v>#REF!</v>
      </c>
    </row>
    <row r="1413" spans="4:21" x14ac:dyDescent="0.2">
      <c r="D1413" s="4"/>
      <c r="G1413" s="5"/>
      <c r="H1413" s="5"/>
      <c r="I1413" s="4"/>
      <c r="J1413" s="4"/>
      <c r="K1413" s="5"/>
      <c r="Q1413" t="e">
        <f>VLOOKUP(A1413,'גיליון דאטה להכל'!A:E,5,0)</f>
        <v>#N/A</v>
      </c>
      <c r="R1413" t="e">
        <f>VLOOKUP(A1413,'לעדכן בסינתזה דאטה אריזה 42+24'!$A:$C,3,0)</f>
        <v>#N/A</v>
      </c>
      <c r="S1413" t="e">
        <f>VLOOKUP(#REF!,'מלאי לא תקין'!A:N,17,0)</f>
        <v>#REF!</v>
      </c>
      <c r="T1413" t="e">
        <f t="shared" si="46"/>
        <v>#REF!</v>
      </c>
      <c r="U1413" t="e">
        <f t="shared" si="47"/>
        <v>#REF!</v>
      </c>
    </row>
    <row r="1414" spans="4:21" x14ac:dyDescent="0.2">
      <c r="D1414" s="4"/>
      <c r="G1414" s="5"/>
      <c r="H1414" s="7"/>
      <c r="I1414" s="4"/>
      <c r="J1414" s="4"/>
      <c r="K1414" s="5"/>
      <c r="Q1414" t="e">
        <f>VLOOKUP(A1414,'גיליון דאטה להכל'!A:E,5,0)</f>
        <v>#N/A</v>
      </c>
      <c r="R1414" t="e">
        <f>VLOOKUP(A1414,'לעדכן בסינתזה דאטה אריזה 42+24'!$A:$C,3,0)</f>
        <v>#N/A</v>
      </c>
      <c r="S1414" t="e">
        <f>VLOOKUP(#REF!,'מלאי לא תקין'!A:N,17,0)</f>
        <v>#REF!</v>
      </c>
      <c r="T1414" t="e">
        <f t="shared" si="46"/>
        <v>#REF!</v>
      </c>
      <c r="U1414" t="e">
        <f t="shared" si="47"/>
        <v>#REF!</v>
      </c>
    </row>
    <row r="1415" spans="4:21" x14ac:dyDescent="0.2">
      <c r="D1415" s="4"/>
      <c r="G1415" s="5"/>
      <c r="H1415" s="5"/>
      <c r="I1415" s="4"/>
      <c r="J1415" s="4"/>
      <c r="K1415" s="5"/>
      <c r="Q1415" t="e">
        <f>VLOOKUP(A1415,'גיליון דאטה להכל'!A:E,5,0)</f>
        <v>#N/A</v>
      </c>
      <c r="R1415" t="e">
        <f>VLOOKUP(A1415,'לעדכן בסינתזה דאטה אריזה 42+24'!$A:$C,3,0)</f>
        <v>#N/A</v>
      </c>
      <c r="S1415" t="e">
        <f>VLOOKUP(#REF!,'מלאי לא תקין'!A:N,17,0)</f>
        <v>#REF!</v>
      </c>
      <c r="T1415" t="e">
        <f t="shared" si="46"/>
        <v>#REF!</v>
      </c>
      <c r="U1415" t="e">
        <f t="shared" si="47"/>
        <v>#REF!</v>
      </c>
    </row>
    <row r="1416" spans="4:21" x14ac:dyDescent="0.2">
      <c r="D1416" s="4"/>
      <c r="G1416" s="5"/>
      <c r="H1416" s="5"/>
      <c r="I1416" s="4"/>
      <c r="J1416" s="4"/>
      <c r="K1416" s="5"/>
      <c r="Q1416" t="e">
        <f>VLOOKUP(A1416,'גיליון דאטה להכל'!A:E,5,0)</f>
        <v>#N/A</v>
      </c>
      <c r="R1416" t="e">
        <f>VLOOKUP(A1416,'לעדכן בסינתזה דאטה אריזה 42+24'!$A:$C,3,0)</f>
        <v>#N/A</v>
      </c>
      <c r="S1416" t="e">
        <f>VLOOKUP(#REF!,'מלאי לא תקין'!A:N,17,0)</f>
        <v>#REF!</v>
      </c>
      <c r="T1416" t="e">
        <f t="shared" si="46"/>
        <v>#REF!</v>
      </c>
      <c r="U1416" t="e">
        <f t="shared" si="47"/>
        <v>#REF!</v>
      </c>
    </row>
    <row r="1417" spans="4:21" x14ac:dyDescent="0.2">
      <c r="D1417" s="4"/>
      <c r="G1417" s="5"/>
      <c r="H1417" s="5"/>
      <c r="I1417" s="4"/>
      <c r="J1417" s="4"/>
      <c r="K1417" s="5"/>
      <c r="Q1417" t="e">
        <f>VLOOKUP(A1417,'גיליון דאטה להכל'!A:E,5,0)</f>
        <v>#N/A</v>
      </c>
      <c r="R1417" t="e">
        <f>VLOOKUP(A1417,'לעדכן בסינתזה דאטה אריזה 42+24'!$A:$C,3,0)</f>
        <v>#N/A</v>
      </c>
      <c r="S1417" t="e">
        <f>VLOOKUP(#REF!,'מלאי לא תקין'!A:N,17,0)</f>
        <v>#REF!</v>
      </c>
      <c r="T1417" t="e">
        <f t="shared" si="46"/>
        <v>#REF!</v>
      </c>
      <c r="U1417" t="e">
        <f t="shared" si="47"/>
        <v>#REF!</v>
      </c>
    </row>
    <row r="1418" spans="4:21" x14ac:dyDescent="0.2">
      <c r="D1418" s="4"/>
      <c r="G1418" s="5"/>
      <c r="H1418" s="5"/>
      <c r="I1418" s="4"/>
      <c r="J1418" s="4"/>
      <c r="K1418" s="5"/>
      <c r="Q1418" t="e">
        <f>VLOOKUP(A1418,'גיליון דאטה להכל'!A:E,5,0)</f>
        <v>#N/A</v>
      </c>
      <c r="R1418" t="e">
        <f>VLOOKUP(A1418,'לעדכן בסינתזה דאטה אריזה 42+24'!$A:$C,3,0)</f>
        <v>#N/A</v>
      </c>
      <c r="S1418" t="e">
        <f>VLOOKUP(#REF!,'מלאי לא תקין'!A:N,17,0)</f>
        <v>#REF!</v>
      </c>
      <c r="T1418" t="e">
        <f t="shared" si="46"/>
        <v>#REF!</v>
      </c>
      <c r="U1418" t="e">
        <f t="shared" si="47"/>
        <v>#REF!</v>
      </c>
    </row>
    <row r="1419" spans="4:21" x14ac:dyDescent="0.2">
      <c r="D1419" s="4"/>
      <c r="G1419" s="5"/>
      <c r="H1419" s="7"/>
      <c r="I1419" s="4"/>
      <c r="J1419" s="4"/>
      <c r="K1419" s="5"/>
      <c r="Q1419" t="e">
        <f>VLOOKUP(A1419,'גיליון דאטה להכל'!A:E,5,0)</f>
        <v>#N/A</v>
      </c>
      <c r="R1419" t="e">
        <f>VLOOKUP(A1419,'לעדכן בסינתזה דאטה אריזה 42+24'!$A:$C,3,0)</f>
        <v>#N/A</v>
      </c>
      <c r="S1419" t="e">
        <f>VLOOKUP(#REF!,'מלאי לא תקין'!A:N,17,0)</f>
        <v>#REF!</v>
      </c>
      <c r="T1419" t="e">
        <f t="shared" si="46"/>
        <v>#REF!</v>
      </c>
      <c r="U1419" t="e">
        <f t="shared" si="47"/>
        <v>#REF!</v>
      </c>
    </row>
    <row r="1420" spans="4:21" x14ac:dyDescent="0.2">
      <c r="D1420" s="4"/>
      <c r="G1420" s="5"/>
      <c r="H1420" s="5"/>
      <c r="I1420" s="4"/>
      <c r="J1420" s="4"/>
      <c r="K1420" s="5"/>
      <c r="Q1420" t="e">
        <f>VLOOKUP(A1420,'גיליון דאטה להכל'!A:E,5,0)</f>
        <v>#N/A</v>
      </c>
      <c r="R1420" t="e">
        <f>VLOOKUP(A1420,'לעדכן בסינתזה דאטה אריזה 42+24'!$A:$C,3,0)</f>
        <v>#N/A</v>
      </c>
      <c r="S1420" t="e">
        <f>VLOOKUP(#REF!,'מלאי לא תקין'!A:N,17,0)</f>
        <v>#REF!</v>
      </c>
      <c r="T1420" t="e">
        <f t="shared" si="46"/>
        <v>#REF!</v>
      </c>
      <c r="U1420" t="e">
        <f t="shared" si="47"/>
        <v>#REF!</v>
      </c>
    </row>
    <row r="1421" spans="4:21" x14ac:dyDescent="0.2">
      <c r="D1421" s="4"/>
      <c r="G1421" s="5"/>
      <c r="H1421" s="5"/>
      <c r="I1421" s="4"/>
      <c r="J1421" s="4"/>
      <c r="K1421" s="5"/>
      <c r="Q1421" t="e">
        <f>VLOOKUP(A1421,'גיליון דאטה להכל'!A:E,5,0)</f>
        <v>#N/A</v>
      </c>
      <c r="R1421" t="e">
        <f>VLOOKUP(A1421,'לעדכן בסינתזה דאטה אריזה 42+24'!$A:$C,3,0)</f>
        <v>#N/A</v>
      </c>
      <c r="S1421" t="e">
        <f>VLOOKUP(#REF!,'מלאי לא תקין'!A:N,17,0)</f>
        <v>#REF!</v>
      </c>
      <c r="T1421" t="e">
        <f t="shared" si="46"/>
        <v>#REF!</v>
      </c>
      <c r="U1421" t="e">
        <f t="shared" si="47"/>
        <v>#REF!</v>
      </c>
    </row>
    <row r="1422" spans="4:21" x14ac:dyDescent="0.2">
      <c r="D1422" s="4"/>
      <c r="G1422" s="5"/>
      <c r="H1422" s="5"/>
      <c r="I1422" s="4"/>
      <c r="J1422" s="4"/>
      <c r="K1422" s="5"/>
      <c r="Q1422" t="e">
        <f>VLOOKUP(A1422,'גיליון דאטה להכל'!A:E,5,0)</f>
        <v>#N/A</v>
      </c>
      <c r="R1422" t="e">
        <f>VLOOKUP(A1422,'לעדכן בסינתזה דאטה אריזה 42+24'!$A:$C,3,0)</f>
        <v>#N/A</v>
      </c>
      <c r="S1422" t="e">
        <f>VLOOKUP(#REF!,'מלאי לא תקין'!A:N,17,0)</f>
        <v>#REF!</v>
      </c>
      <c r="T1422" t="e">
        <f t="shared" si="46"/>
        <v>#REF!</v>
      </c>
      <c r="U1422" t="e">
        <f t="shared" si="47"/>
        <v>#REF!</v>
      </c>
    </row>
    <row r="1423" spans="4:21" x14ac:dyDescent="0.2">
      <c r="D1423" s="4"/>
      <c r="G1423" s="5"/>
      <c r="H1423" s="5"/>
      <c r="I1423" s="4"/>
      <c r="J1423" s="4"/>
      <c r="K1423" s="5"/>
      <c r="Q1423" t="e">
        <f>VLOOKUP(A1423,'גיליון דאטה להכל'!A:E,5,0)</f>
        <v>#N/A</v>
      </c>
      <c r="R1423" t="e">
        <f>VLOOKUP(A1423,'לעדכן בסינתזה דאטה אריזה 42+24'!$A:$C,3,0)</f>
        <v>#N/A</v>
      </c>
      <c r="S1423" t="e">
        <f>VLOOKUP(#REF!,'מלאי לא תקין'!A:N,17,0)</f>
        <v>#REF!</v>
      </c>
      <c r="T1423" t="e">
        <f t="shared" si="46"/>
        <v>#REF!</v>
      </c>
      <c r="U1423" t="e">
        <f t="shared" si="47"/>
        <v>#REF!</v>
      </c>
    </row>
    <row r="1424" spans="4:21" x14ac:dyDescent="0.2">
      <c r="D1424" s="4"/>
      <c r="G1424" s="5"/>
      <c r="H1424" s="7"/>
      <c r="I1424" s="4"/>
      <c r="J1424" s="4"/>
      <c r="K1424" s="5"/>
      <c r="Q1424" t="e">
        <f>VLOOKUP(A1424,'גיליון דאטה להכל'!A:E,5,0)</f>
        <v>#N/A</v>
      </c>
      <c r="R1424" t="e">
        <f>VLOOKUP(A1424,'לעדכן בסינתזה דאטה אריזה 42+24'!$A:$C,3,0)</f>
        <v>#N/A</v>
      </c>
      <c r="S1424" t="e">
        <f>VLOOKUP(#REF!,'מלאי לא תקין'!A:N,17,0)</f>
        <v>#REF!</v>
      </c>
      <c r="T1424" t="e">
        <f t="shared" si="46"/>
        <v>#REF!</v>
      </c>
      <c r="U1424" t="e">
        <f t="shared" si="47"/>
        <v>#REF!</v>
      </c>
    </row>
    <row r="1425" spans="4:21" x14ac:dyDescent="0.2">
      <c r="D1425" s="4"/>
      <c r="G1425" s="5"/>
      <c r="H1425" s="5"/>
      <c r="I1425" s="4"/>
      <c r="J1425" s="4"/>
      <c r="K1425" s="5"/>
      <c r="Q1425" t="e">
        <f>VLOOKUP(A1425,'גיליון דאטה להכל'!A:E,5,0)</f>
        <v>#N/A</v>
      </c>
      <c r="R1425" t="e">
        <f>VLOOKUP(A1425,'לעדכן בסינתזה דאטה אריזה 42+24'!$A:$C,3,0)</f>
        <v>#N/A</v>
      </c>
      <c r="S1425" t="e">
        <f>VLOOKUP(#REF!,'מלאי לא תקין'!A:N,17,0)</f>
        <v>#REF!</v>
      </c>
      <c r="T1425" t="e">
        <f t="shared" si="46"/>
        <v>#REF!</v>
      </c>
      <c r="U1425" t="e">
        <f t="shared" si="47"/>
        <v>#REF!</v>
      </c>
    </row>
    <row r="1426" spans="4:21" x14ac:dyDescent="0.2">
      <c r="D1426" s="4"/>
      <c r="G1426" s="5"/>
      <c r="H1426" s="5"/>
      <c r="I1426" s="4"/>
      <c r="J1426" s="4"/>
      <c r="K1426" s="5"/>
      <c r="Q1426" t="e">
        <f>VLOOKUP(A1426,'גיליון דאטה להכל'!A:E,5,0)</f>
        <v>#N/A</v>
      </c>
      <c r="R1426" t="e">
        <f>VLOOKUP(A1426,'לעדכן בסינתזה דאטה אריזה 42+24'!$A:$C,3,0)</f>
        <v>#N/A</v>
      </c>
      <c r="S1426" t="e">
        <f>VLOOKUP(#REF!,'מלאי לא תקין'!A:N,17,0)</f>
        <v>#REF!</v>
      </c>
      <c r="T1426" t="e">
        <f t="shared" si="46"/>
        <v>#REF!</v>
      </c>
      <c r="U1426" t="e">
        <f t="shared" si="47"/>
        <v>#REF!</v>
      </c>
    </row>
    <row r="1427" spans="4:21" x14ac:dyDescent="0.2">
      <c r="D1427" s="4"/>
      <c r="G1427" s="5"/>
      <c r="H1427" s="5"/>
      <c r="I1427" s="4"/>
      <c r="J1427" s="4"/>
      <c r="K1427" s="5"/>
      <c r="Q1427" t="e">
        <f>VLOOKUP(A1427,'גיליון דאטה להכל'!A:E,5,0)</f>
        <v>#N/A</v>
      </c>
      <c r="R1427" t="e">
        <f>VLOOKUP(A1427,'לעדכן בסינתזה דאטה אריזה 42+24'!$A:$C,3,0)</f>
        <v>#N/A</v>
      </c>
      <c r="S1427" t="e">
        <f>VLOOKUP(#REF!,'מלאי לא תקין'!A:N,17,0)</f>
        <v>#REF!</v>
      </c>
      <c r="T1427" t="e">
        <f t="shared" si="46"/>
        <v>#REF!</v>
      </c>
      <c r="U1427" t="e">
        <f t="shared" si="47"/>
        <v>#REF!</v>
      </c>
    </row>
    <row r="1428" spans="4:21" x14ac:dyDescent="0.2">
      <c r="D1428" s="4"/>
      <c r="G1428" s="5"/>
      <c r="H1428" s="5"/>
      <c r="I1428" s="4"/>
      <c r="J1428" s="4"/>
      <c r="K1428" s="5"/>
      <c r="Q1428" t="e">
        <f>VLOOKUP(A1428,'גיליון דאטה להכל'!A:E,5,0)</f>
        <v>#N/A</v>
      </c>
      <c r="R1428" t="e">
        <f>VLOOKUP(A1428,'לעדכן בסינתזה דאטה אריזה 42+24'!$A:$C,3,0)</f>
        <v>#N/A</v>
      </c>
      <c r="S1428" t="e">
        <f>VLOOKUP(#REF!,'מלאי לא תקין'!A:N,17,0)</f>
        <v>#REF!</v>
      </c>
      <c r="T1428" t="e">
        <f t="shared" si="46"/>
        <v>#REF!</v>
      </c>
      <c r="U1428" t="e">
        <f t="shared" si="47"/>
        <v>#REF!</v>
      </c>
    </row>
    <row r="1429" spans="4:21" x14ac:dyDescent="0.2">
      <c r="D1429" s="4"/>
      <c r="G1429" s="5"/>
      <c r="H1429" s="7"/>
      <c r="I1429" s="4"/>
      <c r="J1429" s="4"/>
      <c r="K1429" s="5"/>
      <c r="Q1429" t="e">
        <f>VLOOKUP(A1429,'גיליון דאטה להכל'!A:E,5,0)</f>
        <v>#N/A</v>
      </c>
      <c r="R1429" t="e">
        <f>VLOOKUP(A1429,'לעדכן בסינתזה דאטה אריזה 42+24'!$A:$C,3,0)</f>
        <v>#N/A</v>
      </c>
      <c r="S1429" t="e">
        <f>VLOOKUP(#REF!,'מלאי לא תקין'!A:N,17,0)</f>
        <v>#REF!</v>
      </c>
      <c r="T1429" t="e">
        <f t="shared" si="46"/>
        <v>#REF!</v>
      </c>
      <c r="U1429" t="e">
        <f t="shared" si="47"/>
        <v>#REF!</v>
      </c>
    </row>
    <row r="1430" spans="4:21" x14ac:dyDescent="0.2">
      <c r="D1430" s="4"/>
      <c r="G1430" s="5"/>
      <c r="H1430" s="5"/>
      <c r="I1430" s="4"/>
      <c r="J1430" s="4"/>
      <c r="K1430" s="5"/>
      <c r="Q1430" t="e">
        <f>VLOOKUP(A1430,'גיליון דאטה להכל'!A:E,5,0)</f>
        <v>#N/A</v>
      </c>
      <c r="R1430" t="e">
        <f>VLOOKUP(A1430,'לעדכן בסינתזה דאטה אריזה 42+24'!$A:$C,3,0)</f>
        <v>#N/A</v>
      </c>
      <c r="S1430" t="e">
        <f>VLOOKUP(#REF!,'מלאי לא תקין'!A:N,17,0)</f>
        <v>#REF!</v>
      </c>
      <c r="T1430" t="e">
        <f t="shared" si="46"/>
        <v>#REF!</v>
      </c>
      <c r="U1430" t="e">
        <f t="shared" si="47"/>
        <v>#REF!</v>
      </c>
    </row>
    <row r="1431" spans="4:21" x14ac:dyDescent="0.2">
      <c r="D1431" s="4"/>
      <c r="G1431" s="5"/>
      <c r="H1431" s="5"/>
      <c r="I1431" s="4"/>
      <c r="J1431" s="4"/>
      <c r="K1431" s="5"/>
      <c r="Q1431" t="e">
        <f>VLOOKUP(A1431,'גיליון דאטה להכל'!A:E,5,0)</f>
        <v>#N/A</v>
      </c>
      <c r="R1431" t="e">
        <f>VLOOKUP(A1431,'לעדכן בסינתזה דאטה אריזה 42+24'!$A:$C,3,0)</f>
        <v>#N/A</v>
      </c>
      <c r="S1431" t="e">
        <f>VLOOKUP(#REF!,'מלאי לא תקין'!A:N,17,0)</f>
        <v>#REF!</v>
      </c>
      <c r="T1431" t="e">
        <f t="shared" si="46"/>
        <v>#REF!</v>
      </c>
      <c r="U1431" t="e">
        <f t="shared" si="47"/>
        <v>#REF!</v>
      </c>
    </row>
    <row r="1432" spans="4:21" x14ac:dyDescent="0.2">
      <c r="D1432" s="4"/>
      <c r="G1432" s="5"/>
      <c r="H1432" s="5"/>
      <c r="I1432" s="4"/>
      <c r="J1432" s="4"/>
      <c r="K1432" s="5"/>
      <c r="Q1432" t="e">
        <f>VLOOKUP(A1432,'גיליון דאטה להכל'!A:E,5,0)</f>
        <v>#N/A</v>
      </c>
      <c r="R1432" t="e">
        <f>VLOOKUP(A1432,'לעדכן בסינתזה דאטה אריזה 42+24'!$A:$C,3,0)</f>
        <v>#N/A</v>
      </c>
      <c r="S1432" t="e">
        <f>VLOOKUP(#REF!,'מלאי לא תקין'!A:N,17,0)</f>
        <v>#REF!</v>
      </c>
      <c r="T1432" t="e">
        <f t="shared" si="46"/>
        <v>#REF!</v>
      </c>
      <c r="U1432" t="e">
        <f t="shared" si="47"/>
        <v>#REF!</v>
      </c>
    </row>
    <row r="1433" spans="4:21" x14ac:dyDescent="0.2">
      <c r="D1433" s="4"/>
      <c r="G1433" s="5"/>
      <c r="H1433" s="5"/>
      <c r="I1433" s="4"/>
      <c r="J1433" s="4"/>
      <c r="K1433" s="5"/>
      <c r="Q1433" t="e">
        <f>VLOOKUP(A1433,'גיליון דאטה להכל'!A:E,5,0)</f>
        <v>#N/A</v>
      </c>
      <c r="R1433" t="e">
        <f>VLOOKUP(A1433,'לעדכן בסינתזה דאטה אריזה 42+24'!$A:$C,3,0)</f>
        <v>#N/A</v>
      </c>
      <c r="S1433" t="e">
        <f>VLOOKUP(#REF!,'מלאי לא תקין'!A:N,17,0)</f>
        <v>#REF!</v>
      </c>
      <c r="T1433" t="e">
        <f t="shared" si="46"/>
        <v>#REF!</v>
      </c>
      <c r="U1433" t="e">
        <f t="shared" si="47"/>
        <v>#REF!</v>
      </c>
    </row>
    <row r="1434" spans="4:21" x14ac:dyDescent="0.2">
      <c r="D1434" s="4"/>
      <c r="G1434" s="5"/>
      <c r="H1434" s="7"/>
      <c r="I1434" s="4"/>
      <c r="J1434" s="4"/>
      <c r="K1434" s="5"/>
      <c r="Q1434" t="e">
        <f>VLOOKUP(A1434,'גיליון דאטה להכל'!A:E,5,0)</f>
        <v>#N/A</v>
      </c>
      <c r="R1434" t="e">
        <f>VLOOKUP(A1434,'לעדכן בסינתזה דאטה אריזה 42+24'!$A:$C,3,0)</f>
        <v>#N/A</v>
      </c>
      <c r="S1434" t="e">
        <f>VLOOKUP(#REF!,'מלאי לא תקין'!A:N,17,0)</f>
        <v>#REF!</v>
      </c>
      <c r="T1434" t="e">
        <f t="shared" si="46"/>
        <v>#REF!</v>
      </c>
      <c r="U1434" t="e">
        <f t="shared" si="47"/>
        <v>#REF!</v>
      </c>
    </row>
    <row r="1435" spans="4:21" x14ac:dyDescent="0.2">
      <c r="D1435" s="4"/>
      <c r="G1435" s="5"/>
      <c r="H1435" s="5"/>
      <c r="I1435" s="4"/>
      <c r="J1435" s="4"/>
      <c r="K1435" s="5"/>
      <c r="Q1435" t="e">
        <f>VLOOKUP(A1435,'גיליון דאטה להכל'!A:E,5,0)</f>
        <v>#N/A</v>
      </c>
      <c r="R1435" t="e">
        <f>VLOOKUP(A1435,'לעדכן בסינתזה דאטה אריזה 42+24'!$A:$C,3,0)</f>
        <v>#N/A</v>
      </c>
      <c r="S1435" t="e">
        <f>VLOOKUP(#REF!,'מלאי לא תקין'!A:N,17,0)</f>
        <v>#REF!</v>
      </c>
      <c r="T1435" t="e">
        <f t="shared" si="46"/>
        <v>#REF!</v>
      </c>
      <c r="U1435" t="e">
        <f t="shared" si="47"/>
        <v>#REF!</v>
      </c>
    </row>
    <row r="1436" spans="4:21" x14ac:dyDescent="0.2">
      <c r="D1436" s="4"/>
      <c r="G1436" s="5"/>
      <c r="H1436" s="5"/>
      <c r="I1436" s="4"/>
      <c r="J1436" s="4"/>
      <c r="K1436" s="5"/>
      <c r="Q1436" t="e">
        <f>VLOOKUP(A1436,'גיליון דאטה להכל'!A:E,5,0)</f>
        <v>#N/A</v>
      </c>
      <c r="R1436" t="e">
        <f>VLOOKUP(A1436,'לעדכן בסינתזה דאטה אריזה 42+24'!$A:$C,3,0)</f>
        <v>#N/A</v>
      </c>
      <c r="S1436" t="e">
        <f>VLOOKUP(#REF!,'מלאי לא תקין'!A:N,17,0)</f>
        <v>#REF!</v>
      </c>
      <c r="T1436" t="e">
        <f t="shared" si="46"/>
        <v>#REF!</v>
      </c>
      <c r="U1436" t="e">
        <f t="shared" si="47"/>
        <v>#REF!</v>
      </c>
    </row>
    <row r="1437" spans="4:21" x14ac:dyDescent="0.2">
      <c r="D1437" s="4"/>
      <c r="G1437" s="5"/>
      <c r="H1437" s="5"/>
      <c r="I1437" s="4"/>
      <c r="J1437" s="4"/>
      <c r="K1437" s="5"/>
      <c r="Q1437" t="e">
        <f>VLOOKUP(A1437,'גיליון דאטה להכל'!A:E,5,0)</f>
        <v>#N/A</v>
      </c>
      <c r="R1437" t="e">
        <f>VLOOKUP(A1437,'לעדכן בסינתזה דאטה אריזה 42+24'!$A:$C,3,0)</f>
        <v>#N/A</v>
      </c>
      <c r="S1437" t="e">
        <f>VLOOKUP(#REF!,'מלאי לא תקין'!A:N,17,0)</f>
        <v>#REF!</v>
      </c>
      <c r="T1437" t="e">
        <f t="shared" si="46"/>
        <v>#REF!</v>
      </c>
      <c r="U1437" t="e">
        <f t="shared" si="47"/>
        <v>#REF!</v>
      </c>
    </row>
    <row r="1438" spans="4:21" x14ac:dyDescent="0.2">
      <c r="D1438" s="4"/>
      <c r="G1438" s="5"/>
      <c r="H1438" s="5"/>
      <c r="I1438" s="4"/>
      <c r="J1438" s="4"/>
      <c r="K1438" s="5"/>
      <c r="Q1438" t="e">
        <f>VLOOKUP(A1438,'גיליון דאטה להכל'!A:E,5,0)</f>
        <v>#N/A</v>
      </c>
      <c r="R1438" t="e">
        <f>VLOOKUP(A1438,'לעדכן בסינתזה דאטה אריזה 42+24'!$A:$C,3,0)</f>
        <v>#N/A</v>
      </c>
      <c r="S1438" t="e">
        <f>VLOOKUP(#REF!,'מלאי לא תקין'!A:N,17,0)</f>
        <v>#REF!</v>
      </c>
      <c r="T1438" t="e">
        <f t="shared" si="46"/>
        <v>#REF!</v>
      </c>
      <c r="U1438" t="e">
        <f t="shared" si="47"/>
        <v>#REF!</v>
      </c>
    </row>
    <row r="1439" spans="4:21" x14ac:dyDescent="0.2">
      <c r="D1439" s="4"/>
      <c r="G1439" s="5"/>
      <c r="H1439" s="7"/>
      <c r="I1439" s="4"/>
      <c r="J1439" s="4"/>
      <c r="K1439" s="5"/>
      <c r="Q1439" t="e">
        <f>VLOOKUP(A1439,'גיליון דאטה להכל'!A:E,5,0)</f>
        <v>#N/A</v>
      </c>
      <c r="R1439" t="e">
        <f>VLOOKUP(A1439,'לעדכן בסינתזה דאטה אריזה 42+24'!$A:$C,3,0)</f>
        <v>#N/A</v>
      </c>
      <c r="S1439" t="e">
        <f>VLOOKUP(#REF!,'מלאי לא תקין'!A:N,17,0)</f>
        <v>#REF!</v>
      </c>
      <c r="T1439" t="e">
        <f t="shared" si="46"/>
        <v>#REF!</v>
      </c>
      <c r="U1439" t="e">
        <f t="shared" si="47"/>
        <v>#REF!</v>
      </c>
    </row>
    <row r="1440" spans="4:21" x14ac:dyDescent="0.2">
      <c r="D1440" s="4"/>
      <c r="G1440" s="5"/>
      <c r="H1440" s="5"/>
      <c r="I1440" s="4"/>
      <c r="J1440" s="4"/>
      <c r="K1440" s="5"/>
      <c r="Q1440" t="e">
        <f>VLOOKUP(A1440,'גיליון דאטה להכל'!A:E,5,0)</f>
        <v>#N/A</v>
      </c>
      <c r="R1440" t="e">
        <f>VLOOKUP(A1440,'לעדכן בסינתזה דאטה אריזה 42+24'!$A:$C,3,0)</f>
        <v>#N/A</v>
      </c>
      <c r="S1440" t="e">
        <f>VLOOKUP(#REF!,'מלאי לא תקין'!A:N,17,0)</f>
        <v>#REF!</v>
      </c>
      <c r="T1440" t="e">
        <f t="shared" si="46"/>
        <v>#REF!</v>
      </c>
      <c r="U1440" t="e">
        <f t="shared" si="47"/>
        <v>#REF!</v>
      </c>
    </row>
    <row r="1441" spans="4:21" x14ac:dyDescent="0.2">
      <c r="D1441" s="4"/>
      <c r="G1441" s="5"/>
      <c r="H1441" s="5"/>
      <c r="I1441" s="4"/>
      <c r="J1441" s="4"/>
      <c r="K1441" s="5"/>
      <c r="Q1441" t="e">
        <f>VLOOKUP(A1441,'גיליון דאטה להכל'!A:E,5,0)</f>
        <v>#N/A</v>
      </c>
      <c r="R1441" t="e">
        <f>VLOOKUP(A1441,'לעדכן בסינתזה דאטה אריזה 42+24'!$A:$C,3,0)</f>
        <v>#N/A</v>
      </c>
      <c r="S1441" t="e">
        <f>VLOOKUP(#REF!,'מלאי לא תקין'!A:N,17,0)</f>
        <v>#REF!</v>
      </c>
      <c r="T1441" t="e">
        <f t="shared" si="46"/>
        <v>#REF!</v>
      </c>
      <c r="U1441" t="e">
        <f t="shared" si="47"/>
        <v>#REF!</v>
      </c>
    </row>
    <row r="1442" spans="4:21" x14ac:dyDescent="0.2">
      <c r="D1442" s="4"/>
      <c r="G1442" s="5"/>
      <c r="H1442" s="5"/>
      <c r="I1442" s="4"/>
      <c r="J1442" s="4"/>
      <c r="K1442" s="5"/>
      <c r="Q1442" t="e">
        <f>VLOOKUP(A1442,'גיליון דאטה להכל'!A:E,5,0)</f>
        <v>#N/A</v>
      </c>
      <c r="R1442" t="e">
        <f>VLOOKUP(A1442,'לעדכן בסינתזה דאטה אריזה 42+24'!$A:$C,3,0)</f>
        <v>#N/A</v>
      </c>
      <c r="S1442" t="e">
        <f>VLOOKUP(#REF!,'מלאי לא תקין'!A:N,17,0)</f>
        <v>#REF!</v>
      </c>
      <c r="T1442" t="e">
        <f t="shared" si="46"/>
        <v>#REF!</v>
      </c>
      <c r="U1442" t="e">
        <f t="shared" si="47"/>
        <v>#REF!</v>
      </c>
    </row>
    <row r="1443" spans="4:21" x14ac:dyDescent="0.2">
      <c r="D1443" s="4"/>
      <c r="G1443" s="5"/>
      <c r="H1443" s="5"/>
      <c r="I1443" s="4"/>
      <c r="J1443" s="4"/>
      <c r="K1443" s="5"/>
      <c r="Q1443" t="e">
        <f>VLOOKUP(A1443,'גיליון דאטה להכל'!A:E,5,0)</f>
        <v>#N/A</v>
      </c>
      <c r="R1443" t="e">
        <f>VLOOKUP(A1443,'לעדכן בסינתזה דאטה אריזה 42+24'!$A:$C,3,0)</f>
        <v>#N/A</v>
      </c>
      <c r="S1443" t="e">
        <f>VLOOKUP(#REF!,'מלאי לא תקין'!A:N,17,0)</f>
        <v>#REF!</v>
      </c>
      <c r="T1443" t="e">
        <f t="shared" si="46"/>
        <v>#REF!</v>
      </c>
      <c r="U1443" t="e">
        <f t="shared" si="47"/>
        <v>#REF!</v>
      </c>
    </row>
    <row r="1444" spans="4:21" x14ac:dyDescent="0.2">
      <c r="D1444" s="4"/>
      <c r="G1444" s="5"/>
      <c r="H1444" s="7"/>
      <c r="I1444" s="4"/>
      <c r="J1444" s="4"/>
      <c r="K1444" s="5"/>
      <c r="Q1444" t="e">
        <f>VLOOKUP(A1444,'גיליון דאטה להכל'!A:E,5,0)</f>
        <v>#N/A</v>
      </c>
      <c r="R1444" t="e">
        <f>VLOOKUP(A1444,'לעדכן בסינתזה דאטה אריזה 42+24'!$A:$C,3,0)</f>
        <v>#N/A</v>
      </c>
      <c r="S1444" t="e">
        <f>VLOOKUP(#REF!,'מלאי לא תקין'!A:N,17,0)</f>
        <v>#REF!</v>
      </c>
      <c r="T1444" t="e">
        <f t="shared" si="46"/>
        <v>#REF!</v>
      </c>
      <c r="U1444" t="e">
        <f t="shared" si="47"/>
        <v>#REF!</v>
      </c>
    </row>
    <row r="1445" spans="4:21" x14ac:dyDescent="0.2">
      <c r="D1445" s="4"/>
      <c r="G1445" s="5"/>
      <c r="H1445" s="5"/>
      <c r="I1445" s="4"/>
      <c r="J1445" s="4"/>
      <c r="K1445" s="5"/>
      <c r="Q1445" t="e">
        <f>VLOOKUP(A1445,'גיליון דאטה להכל'!A:E,5,0)</f>
        <v>#N/A</v>
      </c>
      <c r="R1445" t="e">
        <f>VLOOKUP(A1445,'לעדכן בסינתזה דאטה אריזה 42+24'!$A:$C,3,0)</f>
        <v>#N/A</v>
      </c>
      <c r="S1445" t="e">
        <f>VLOOKUP(#REF!,'מלאי לא תקין'!A:N,17,0)</f>
        <v>#REF!</v>
      </c>
      <c r="T1445" t="e">
        <f t="shared" si="46"/>
        <v>#REF!</v>
      </c>
      <c r="U1445" t="e">
        <f t="shared" si="47"/>
        <v>#REF!</v>
      </c>
    </row>
    <row r="1446" spans="4:21" x14ac:dyDescent="0.2">
      <c r="D1446" s="4"/>
      <c r="G1446" s="5"/>
      <c r="H1446" s="5"/>
      <c r="I1446" s="4"/>
      <c r="J1446" s="4"/>
      <c r="K1446" s="5"/>
      <c r="Q1446" t="e">
        <f>VLOOKUP(A1446,'גיליון דאטה להכל'!A:E,5,0)</f>
        <v>#N/A</v>
      </c>
      <c r="R1446" t="e">
        <f>VLOOKUP(A1446,'לעדכן בסינתזה דאטה אריזה 42+24'!$A:$C,3,0)</f>
        <v>#N/A</v>
      </c>
      <c r="S1446" t="e">
        <f>VLOOKUP(#REF!,'מלאי לא תקין'!A:N,17,0)</f>
        <v>#REF!</v>
      </c>
      <c r="T1446" t="e">
        <f t="shared" si="46"/>
        <v>#REF!</v>
      </c>
      <c r="U1446" t="e">
        <f t="shared" si="47"/>
        <v>#REF!</v>
      </c>
    </row>
    <row r="1447" spans="4:21" x14ac:dyDescent="0.2">
      <c r="D1447" s="4"/>
      <c r="G1447" s="5"/>
      <c r="H1447" s="5"/>
      <c r="I1447" s="4"/>
      <c r="J1447" s="4"/>
      <c r="K1447" s="5"/>
      <c r="Q1447" t="e">
        <f>VLOOKUP(A1447,'גיליון דאטה להכל'!A:E,5,0)</f>
        <v>#N/A</v>
      </c>
      <c r="R1447" t="e">
        <f>VLOOKUP(A1447,'לעדכן בסינתזה דאטה אריזה 42+24'!$A:$C,3,0)</f>
        <v>#N/A</v>
      </c>
      <c r="S1447" t="e">
        <f>VLOOKUP(#REF!,'מלאי לא תקין'!A:N,17,0)</f>
        <v>#REF!</v>
      </c>
      <c r="T1447" t="e">
        <f t="shared" si="46"/>
        <v>#REF!</v>
      </c>
      <c r="U1447" t="e">
        <f t="shared" si="47"/>
        <v>#REF!</v>
      </c>
    </row>
    <row r="1448" spans="4:21" x14ac:dyDescent="0.2">
      <c r="D1448" s="4"/>
      <c r="G1448" s="5"/>
      <c r="H1448" s="5"/>
      <c r="I1448" s="4"/>
      <c r="J1448" s="4"/>
      <c r="K1448" s="5"/>
      <c r="Q1448" t="e">
        <f>VLOOKUP(A1448,'גיליון דאטה להכל'!A:E,5,0)</f>
        <v>#N/A</v>
      </c>
      <c r="R1448" t="e">
        <f>VLOOKUP(A1448,'לעדכן בסינתזה דאטה אריזה 42+24'!$A:$C,3,0)</f>
        <v>#N/A</v>
      </c>
      <c r="S1448" t="e">
        <f>VLOOKUP(#REF!,'מלאי לא תקין'!A:N,17,0)</f>
        <v>#REF!</v>
      </c>
      <c r="T1448" t="e">
        <f t="shared" si="46"/>
        <v>#REF!</v>
      </c>
      <c r="U1448" t="e">
        <f t="shared" si="47"/>
        <v>#REF!</v>
      </c>
    </row>
    <row r="1449" spans="4:21" x14ac:dyDescent="0.2">
      <c r="D1449" s="4"/>
      <c r="G1449" s="5"/>
      <c r="H1449" s="7"/>
      <c r="I1449" s="4"/>
      <c r="J1449" s="4"/>
      <c r="K1449" s="5"/>
      <c r="Q1449" t="e">
        <f>VLOOKUP(A1449,'גיליון דאטה להכל'!A:E,5,0)</f>
        <v>#N/A</v>
      </c>
      <c r="R1449" t="e">
        <f>VLOOKUP(A1449,'לעדכן בסינתזה דאטה אריזה 42+24'!$A:$C,3,0)</f>
        <v>#N/A</v>
      </c>
      <c r="S1449" t="e">
        <f>VLOOKUP(#REF!,'מלאי לא תקין'!A:N,17,0)</f>
        <v>#REF!</v>
      </c>
      <c r="T1449" t="e">
        <f t="shared" si="46"/>
        <v>#REF!</v>
      </c>
      <c r="U1449" t="e">
        <f t="shared" si="47"/>
        <v>#REF!</v>
      </c>
    </row>
    <row r="1450" spans="4:21" x14ac:dyDescent="0.2">
      <c r="D1450" s="4"/>
      <c r="G1450" s="5"/>
      <c r="H1450" s="5"/>
      <c r="I1450" s="4"/>
      <c r="J1450" s="4"/>
      <c r="K1450" s="5"/>
      <c r="Q1450" t="e">
        <f>VLOOKUP(A1450,'גיליון דאטה להכל'!A:E,5,0)</f>
        <v>#N/A</v>
      </c>
      <c r="R1450" t="e">
        <f>VLOOKUP(A1450,'לעדכן בסינתזה דאטה אריזה 42+24'!$A:$C,3,0)</f>
        <v>#N/A</v>
      </c>
      <c r="S1450" t="e">
        <f>VLOOKUP(#REF!,'מלאי לא תקין'!A:N,17,0)</f>
        <v>#REF!</v>
      </c>
      <c r="T1450" t="e">
        <f t="shared" si="46"/>
        <v>#REF!</v>
      </c>
      <c r="U1450" t="e">
        <f t="shared" si="47"/>
        <v>#REF!</v>
      </c>
    </row>
    <row r="1451" spans="4:21" x14ac:dyDescent="0.2">
      <c r="D1451" s="4"/>
      <c r="G1451" s="5"/>
      <c r="H1451" s="5"/>
      <c r="I1451" s="4"/>
      <c r="J1451" s="4"/>
      <c r="K1451" s="5"/>
      <c r="Q1451" t="e">
        <f>VLOOKUP(A1451,'גיליון דאטה להכל'!A:E,5,0)</f>
        <v>#N/A</v>
      </c>
      <c r="R1451" t="e">
        <f>VLOOKUP(A1451,'לעדכן בסינתזה דאטה אריזה 42+24'!$A:$C,3,0)</f>
        <v>#N/A</v>
      </c>
      <c r="S1451" t="e">
        <f>VLOOKUP(#REF!,'מלאי לא תקין'!A:N,17,0)</f>
        <v>#REF!</v>
      </c>
      <c r="T1451" t="e">
        <f t="shared" si="46"/>
        <v>#REF!</v>
      </c>
      <c r="U1451" t="e">
        <f t="shared" si="47"/>
        <v>#REF!</v>
      </c>
    </row>
    <row r="1452" spans="4:21" x14ac:dyDescent="0.2">
      <c r="D1452" s="4"/>
      <c r="G1452" s="5"/>
      <c r="H1452" s="5"/>
      <c r="I1452" s="4"/>
      <c r="J1452" s="4"/>
      <c r="K1452" s="5"/>
      <c r="Q1452" t="e">
        <f>VLOOKUP(A1452,'גיליון דאטה להכל'!A:E,5,0)</f>
        <v>#N/A</v>
      </c>
      <c r="R1452" t="e">
        <f>VLOOKUP(A1452,'לעדכן בסינתזה דאטה אריזה 42+24'!$A:$C,3,0)</f>
        <v>#N/A</v>
      </c>
      <c r="S1452" t="e">
        <f>VLOOKUP(#REF!,'מלאי לא תקין'!A:N,17,0)</f>
        <v>#REF!</v>
      </c>
      <c r="T1452" t="e">
        <f t="shared" si="46"/>
        <v>#REF!</v>
      </c>
      <c r="U1452" t="e">
        <f t="shared" si="47"/>
        <v>#REF!</v>
      </c>
    </row>
    <row r="1453" spans="4:21" x14ac:dyDescent="0.2">
      <c r="D1453" s="4"/>
      <c r="G1453" s="5"/>
      <c r="H1453" s="5"/>
      <c r="I1453" s="4"/>
      <c r="J1453" s="4"/>
      <c r="K1453" s="5"/>
      <c r="Q1453" t="e">
        <f>VLOOKUP(A1453,'גיליון דאטה להכל'!A:E,5,0)</f>
        <v>#N/A</v>
      </c>
      <c r="R1453" t="e">
        <f>VLOOKUP(A1453,'לעדכן בסינתזה דאטה אריזה 42+24'!$A:$C,3,0)</f>
        <v>#N/A</v>
      </c>
      <c r="S1453" t="e">
        <f>VLOOKUP(#REF!,'מלאי לא תקין'!A:N,17,0)</f>
        <v>#REF!</v>
      </c>
      <c r="T1453" t="e">
        <f t="shared" si="46"/>
        <v>#REF!</v>
      </c>
      <c r="U1453" t="e">
        <f t="shared" si="47"/>
        <v>#REF!</v>
      </c>
    </row>
    <row r="1454" spans="4:21" x14ac:dyDescent="0.2">
      <c r="D1454" s="4"/>
      <c r="G1454" s="5"/>
      <c r="H1454" s="7"/>
      <c r="I1454" s="4"/>
      <c r="J1454" s="4"/>
      <c r="K1454" s="5"/>
      <c r="Q1454" t="e">
        <f>VLOOKUP(A1454,'גיליון דאטה להכל'!A:E,5,0)</f>
        <v>#N/A</v>
      </c>
      <c r="R1454" t="e">
        <f>VLOOKUP(A1454,'לעדכן בסינתזה דאטה אריזה 42+24'!$A:$C,3,0)</f>
        <v>#N/A</v>
      </c>
      <c r="S1454" t="e">
        <f>VLOOKUP(#REF!,'מלאי לא תקין'!A:N,17,0)</f>
        <v>#REF!</v>
      </c>
      <c r="T1454" t="e">
        <f t="shared" si="46"/>
        <v>#REF!</v>
      </c>
      <c r="U1454" t="e">
        <f t="shared" si="47"/>
        <v>#REF!</v>
      </c>
    </row>
    <row r="1455" spans="4:21" x14ac:dyDescent="0.2">
      <c r="D1455" s="4"/>
      <c r="G1455" s="5"/>
      <c r="H1455" s="5"/>
      <c r="I1455" s="4"/>
      <c r="J1455" s="4"/>
      <c r="K1455" s="5"/>
      <c r="Q1455" t="e">
        <f>VLOOKUP(A1455,'גיליון דאטה להכל'!A:E,5,0)</f>
        <v>#N/A</v>
      </c>
      <c r="R1455" t="e">
        <f>VLOOKUP(A1455,'לעדכן בסינתזה דאטה אריזה 42+24'!$A:$C,3,0)</f>
        <v>#N/A</v>
      </c>
      <c r="S1455" t="e">
        <f>VLOOKUP(#REF!,'מלאי לא תקין'!A:N,17,0)</f>
        <v>#REF!</v>
      </c>
      <c r="T1455" t="e">
        <f t="shared" si="46"/>
        <v>#REF!</v>
      </c>
      <c r="U1455" t="e">
        <f t="shared" si="47"/>
        <v>#REF!</v>
      </c>
    </row>
    <row r="1456" spans="4:21" x14ac:dyDescent="0.2">
      <c r="D1456" s="4"/>
      <c r="G1456" s="5"/>
      <c r="H1456" s="5"/>
      <c r="I1456" s="4"/>
      <c r="J1456" s="4"/>
      <c r="K1456" s="5"/>
      <c r="Q1456" t="e">
        <f>VLOOKUP(A1456,'גיליון דאטה להכל'!A:E,5,0)</f>
        <v>#N/A</v>
      </c>
      <c r="R1456" t="e">
        <f>VLOOKUP(A1456,'לעדכן בסינתזה דאטה אריזה 42+24'!$A:$C,3,0)</f>
        <v>#N/A</v>
      </c>
      <c r="S1456" t="e">
        <f>VLOOKUP(#REF!,'מלאי לא תקין'!A:N,17,0)</f>
        <v>#REF!</v>
      </c>
      <c r="T1456" t="e">
        <f t="shared" si="46"/>
        <v>#REF!</v>
      </c>
      <c r="U1456" t="e">
        <f t="shared" si="47"/>
        <v>#REF!</v>
      </c>
    </row>
    <row r="1457" spans="4:21" x14ac:dyDescent="0.2">
      <c r="D1457" s="4"/>
      <c r="G1457" s="5"/>
      <c r="H1457" s="5"/>
      <c r="I1457" s="4"/>
      <c r="J1457" s="4"/>
      <c r="K1457" s="5"/>
      <c r="Q1457" t="e">
        <f>VLOOKUP(A1457,'גיליון דאטה להכל'!A:E,5,0)</f>
        <v>#N/A</v>
      </c>
      <c r="R1457" t="e">
        <f>VLOOKUP(A1457,'לעדכן בסינתזה דאטה אריזה 42+24'!$A:$C,3,0)</f>
        <v>#N/A</v>
      </c>
      <c r="S1457" t="e">
        <f>VLOOKUP(#REF!,'מלאי לא תקין'!A:N,17,0)</f>
        <v>#REF!</v>
      </c>
      <c r="T1457" t="e">
        <f t="shared" si="46"/>
        <v>#REF!</v>
      </c>
      <c r="U1457" t="e">
        <f t="shared" si="47"/>
        <v>#REF!</v>
      </c>
    </row>
    <row r="1458" spans="4:21" x14ac:dyDescent="0.2">
      <c r="D1458" s="4"/>
      <c r="G1458" s="5"/>
      <c r="H1458" s="5"/>
      <c r="I1458" s="4"/>
      <c r="J1458" s="4"/>
      <c r="K1458" s="5"/>
      <c r="Q1458" t="e">
        <f>VLOOKUP(A1458,'גיליון דאטה להכל'!A:E,5,0)</f>
        <v>#N/A</v>
      </c>
      <c r="R1458" t="e">
        <f>VLOOKUP(A1458,'לעדכן בסינתזה דאטה אריזה 42+24'!$A:$C,3,0)</f>
        <v>#N/A</v>
      </c>
      <c r="S1458" t="e">
        <f>VLOOKUP(#REF!,'מלאי לא תקין'!A:N,17,0)</f>
        <v>#REF!</v>
      </c>
      <c r="T1458" t="e">
        <f t="shared" si="46"/>
        <v>#REF!</v>
      </c>
      <c r="U1458" t="e">
        <f t="shared" si="47"/>
        <v>#REF!</v>
      </c>
    </row>
    <row r="1459" spans="4:21" x14ac:dyDescent="0.2">
      <c r="D1459" s="4"/>
      <c r="G1459" s="5"/>
      <c r="H1459" s="7"/>
      <c r="I1459" s="4"/>
      <c r="J1459" s="4"/>
      <c r="K1459" s="5"/>
      <c r="Q1459" t="e">
        <f>VLOOKUP(A1459,'גיליון דאטה להכל'!A:E,5,0)</f>
        <v>#N/A</v>
      </c>
      <c r="R1459" t="e">
        <f>VLOOKUP(A1459,'לעדכן בסינתזה דאטה אריזה 42+24'!$A:$C,3,0)</f>
        <v>#N/A</v>
      </c>
      <c r="S1459" t="e">
        <f>VLOOKUP(#REF!,'מלאי לא תקין'!A:N,17,0)</f>
        <v>#REF!</v>
      </c>
      <c r="T1459" t="e">
        <f t="shared" si="46"/>
        <v>#REF!</v>
      </c>
      <c r="U1459" t="e">
        <f t="shared" si="47"/>
        <v>#REF!</v>
      </c>
    </row>
    <row r="1460" spans="4:21" x14ac:dyDescent="0.2">
      <c r="D1460" s="4"/>
      <c r="G1460" s="5"/>
      <c r="H1460" s="5"/>
      <c r="I1460" s="4"/>
      <c r="J1460" s="4"/>
      <c r="K1460" s="5"/>
      <c r="Q1460" t="e">
        <f>VLOOKUP(A1460,'גיליון דאטה להכל'!A:E,5,0)</f>
        <v>#N/A</v>
      </c>
      <c r="R1460" t="e">
        <f>VLOOKUP(A1460,'לעדכן בסינתזה דאטה אריזה 42+24'!$A:$C,3,0)</f>
        <v>#N/A</v>
      </c>
      <c r="S1460" t="e">
        <f>VLOOKUP(#REF!,'מלאי לא תקין'!A:N,17,0)</f>
        <v>#REF!</v>
      </c>
      <c r="T1460" t="e">
        <f t="shared" si="46"/>
        <v>#REF!</v>
      </c>
      <c r="U1460" t="e">
        <f t="shared" si="47"/>
        <v>#REF!</v>
      </c>
    </row>
    <row r="1461" spans="4:21" x14ac:dyDescent="0.2">
      <c r="D1461" s="4"/>
      <c r="G1461" s="5"/>
      <c r="H1461" s="5"/>
      <c r="I1461" s="4"/>
      <c r="J1461" s="4"/>
      <c r="K1461" s="5"/>
      <c r="Q1461" t="e">
        <f>VLOOKUP(A1461,'גיליון דאטה להכל'!A:E,5,0)</f>
        <v>#N/A</v>
      </c>
      <c r="R1461" t="e">
        <f>VLOOKUP(A1461,'לעדכן בסינתזה דאטה אריזה 42+24'!$A:$C,3,0)</f>
        <v>#N/A</v>
      </c>
      <c r="S1461" t="e">
        <f>VLOOKUP(#REF!,'מלאי לא תקין'!A:N,17,0)</f>
        <v>#REF!</v>
      </c>
      <c r="T1461" t="e">
        <f t="shared" ref="T1461:T1524" si="48">_xlfn.CONCAT(S1461,Q1461)</f>
        <v>#REF!</v>
      </c>
      <c r="U1461" t="e">
        <f t="shared" ref="U1461:U1524" si="49">_xlfn.CONCAT(S1461,O1461)</f>
        <v>#REF!</v>
      </c>
    </row>
    <row r="1462" spans="4:21" x14ac:dyDescent="0.2">
      <c r="D1462" s="4"/>
      <c r="G1462" s="5"/>
      <c r="H1462" s="5"/>
      <c r="I1462" s="4"/>
      <c r="J1462" s="4"/>
      <c r="K1462" s="5"/>
      <c r="Q1462" t="e">
        <f>VLOOKUP(A1462,'גיליון דאטה להכל'!A:E,5,0)</f>
        <v>#N/A</v>
      </c>
      <c r="R1462" t="e">
        <f>VLOOKUP(A1462,'לעדכן בסינתזה דאטה אריזה 42+24'!$A:$C,3,0)</f>
        <v>#N/A</v>
      </c>
      <c r="S1462" t="e">
        <f>VLOOKUP(#REF!,'מלאי לא תקין'!A:N,17,0)</f>
        <v>#REF!</v>
      </c>
      <c r="T1462" t="e">
        <f t="shared" si="48"/>
        <v>#REF!</v>
      </c>
      <c r="U1462" t="e">
        <f t="shared" si="49"/>
        <v>#REF!</v>
      </c>
    </row>
    <row r="1463" spans="4:21" x14ac:dyDescent="0.2">
      <c r="D1463" s="4"/>
      <c r="G1463" s="5"/>
      <c r="H1463" s="5"/>
      <c r="I1463" s="4"/>
      <c r="J1463" s="4"/>
      <c r="K1463" s="5"/>
      <c r="Q1463" t="e">
        <f>VLOOKUP(A1463,'גיליון דאטה להכל'!A:E,5,0)</f>
        <v>#N/A</v>
      </c>
      <c r="R1463" t="e">
        <f>VLOOKUP(A1463,'לעדכן בסינתזה דאטה אריזה 42+24'!$A:$C,3,0)</f>
        <v>#N/A</v>
      </c>
      <c r="S1463" t="e">
        <f>VLOOKUP(#REF!,'מלאי לא תקין'!A:N,17,0)</f>
        <v>#REF!</v>
      </c>
      <c r="T1463" t="e">
        <f t="shared" si="48"/>
        <v>#REF!</v>
      </c>
      <c r="U1463" t="e">
        <f t="shared" si="49"/>
        <v>#REF!</v>
      </c>
    </row>
    <row r="1464" spans="4:21" x14ac:dyDescent="0.2">
      <c r="D1464" s="4"/>
      <c r="G1464" s="5"/>
      <c r="H1464" s="7"/>
      <c r="I1464" s="4"/>
      <c r="J1464" s="4"/>
      <c r="K1464" s="5"/>
      <c r="Q1464" t="e">
        <f>VLOOKUP(A1464,'גיליון דאטה להכל'!A:E,5,0)</f>
        <v>#N/A</v>
      </c>
      <c r="R1464" t="e">
        <f>VLOOKUP(A1464,'לעדכן בסינתזה דאטה אריזה 42+24'!$A:$C,3,0)</f>
        <v>#N/A</v>
      </c>
      <c r="S1464" t="e">
        <f>VLOOKUP(#REF!,'מלאי לא תקין'!A:N,17,0)</f>
        <v>#REF!</v>
      </c>
      <c r="T1464" t="e">
        <f t="shared" si="48"/>
        <v>#REF!</v>
      </c>
      <c r="U1464" t="e">
        <f t="shared" si="49"/>
        <v>#REF!</v>
      </c>
    </row>
    <row r="1465" spans="4:21" x14ac:dyDescent="0.2">
      <c r="D1465" s="4"/>
      <c r="G1465" s="5"/>
      <c r="H1465" s="5"/>
      <c r="I1465" s="4"/>
      <c r="J1465" s="4"/>
      <c r="K1465" s="5"/>
      <c r="Q1465" t="e">
        <f>VLOOKUP(A1465,'גיליון דאטה להכל'!A:E,5,0)</f>
        <v>#N/A</v>
      </c>
      <c r="R1465" t="e">
        <f>VLOOKUP(A1465,'לעדכן בסינתזה דאטה אריזה 42+24'!$A:$C,3,0)</f>
        <v>#N/A</v>
      </c>
      <c r="S1465" t="e">
        <f>VLOOKUP(#REF!,'מלאי לא תקין'!A:N,17,0)</f>
        <v>#REF!</v>
      </c>
      <c r="T1465" t="e">
        <f t="shared" si="48"/>
        <v>#REF!</v>
      </c>
      <c r="U1465" t="e">
        <f t="shared" si="49"/>
        <v>#REF!</v>
      </c>
    </row>
    <row r="1466" spans="4:21" x14ac:dyDescent="0.2">
      <c r="D1466" s="4"/>
      <c r="G1466" s="5"/>
      <c r="H1466" s="5"/>
      <c r="I1466" s="4"/>
      <c r="J1466" s="4"/>
      <c r="K1466" s="5"/>
      <c r="Q1466" t="e">
        <f>VLOOKUP(A1466,'גיליון דאטה להכל'!A:E,5,0)</f>
        <v>#N/A</v>
      </c>
      <c r="R1466" t="e">
        <f>VLOOKUP(A1466,'לעדכן בסינתזה דאטה אריזה 42+24'!$A:$C,3,0)</f>
        <v>#N/A</v>
      </c>
      <c r="S1466" t="e">
        <f>VLOOKUP(#REF!,'מלאי לא תקין'!A:N,17,0)</f>
        <v>#REF!</v>
      </c>
      <c r="T1466" t="e">
        <f t="shared" si="48"/>
        <v>#REF!</v>
      </c>
      <c r="U1466" t="e">
        <f t="shared" si="49"/>
        <v>#REF!</v>
      </c>
    </row>
    <row r="1467" spans="4:21" x14ac:dyDescent="0.2">
      <c r="D1467" s="4"/>
      <c r="G1467" s="5"/>
      <c r="H1467" s="5"/>
      <c r="I1467" s="4"/>
      <c r="J1467" s="4"/>
      <c r="K1467" s="5"/>
      <c r="Q1467" t="e">
        <f>VLOOKUP(A1467,'גיליון דאטה להכל'!A:E,5,0)</f>
        <v>#N/A</v>
      </c>
      <c r="R1467" t="e">
        <f>VLOOKUP(A1467,'לעדכן בסינתזה דאטה אריזה 42+24'!$A:$C,3,0)</f>
        <v>#N/A</v>
      </c>
      <c r="S1467" t="e">
        <f>VLOOKUP(#REF!,'מלאי לא תקין'!A:N,17,0)</f>
        <v>#REF!</v>
      </c>
      <c r="T1467" t="e">
        <f t="shared" si="48"/>
        <v>#REF!</v>
      </c>
      <c r="U1467" t="e">
        <f t="shared" si="49"/>
        <v>#REF!</v>
      </c>
    </row>
    <row r="1468" spans="4:21" x14ac:dyDescent="0.2">
      <c r="D1468" s="4"/>
      <c r="G1468" s="5"/>
      <c r="H1468" s="5"/>
      <c r="I1468" s="4"/>
      <c r="J1468" s="4"/>
      <c r="K1468" s="5"/>
      <c r="Q1468" t="e">
        <f>VLOOKUP(A1468,'גיליון דאטה להכל'!A:E,5,0)</f>
        <v>#N/A</v>
      </c>
      <c r="R1468" t="e">
        <f>VLOOKUP(A1468,'לעדכן בסינתזה דאטה אריזה 42+24'!$A:$C,3,0)</f>
        <v>#N/A</v>
      </c>
      <c r="S1468" t="e">
        <f>VLOOKUP(#REF!,'מלאי לא תקין'!A:N,17,0)</f>
        <v>#REF!</v>
      </c>
      <c r="T1468" t="e">
        <f t="shared" si="48"/>
        <v>#REF!</v>
      </c>
      <c r="U1468" t="e">
        <f t="shared" si="49"/>
        <v>#REF!</v>
      </c>
    </row>
    <row r="1469" spans="4:21" x14ac:dyDescent="0.2">
      <c r="D1469" s="4"/>
      <c r="G1469" s="5"/>
      <c r="H1469" s="7"/>
      <c r="I1469" s="4"/>
      <c r="J1469" s="4"/>
      <c r="K1469" s="5"/>
      <c r="Q1469" t="e">
        <f>VLOOKUP(A1469,'גיליון דאטה להכל'!A:E,5,0)</f>
        <v>#N/A</v>
      </c>
      <c r="R1469" t="e">
        <f>VLOOKUP(A1469,'לעדכן בסינתזה דאטה אריזה 42+24'!$A:$C,3,0)</f>
        <v>#N/A</v>
      </c>
      <c r="S1469" t="e">
        <f>VLOOKUP(#REF!,'מלאי לא תקין'!A:N,17,0)</f>
        <v>#REF!</v>
      </c>
      <c r="T1469" t="e">
        <f t="shared" si="48"/>
        <v>#REF!</v>
      </c>
      <c r="U1469" t="e">
        <f t="shared" si="49"/>
        <v>#REF!</v>
      </c>
    </row>
    <row r="1470" spans="4:21" x14ac:dyDescent="0.2">
      <c r="D1470" s="4"/>
      <c r="G1470" s="5"/>
      <c r="H1470" s="5"/>
      <c r="I1470" s="4"/>
      <c r="J1470" s="4"/>
      <c r="K1470" s="5"/>
      <c r="Q1470" t="e">
        <f>VLOOKUP(A1470,'גיליון דאטה להכל'!A:E,5,0)</f>
        <v>#N/A</v>
      </c>
      <c r="R1470" t="e">
        <f>VLOOKUP(A1470,'לעדכן בסינתזה דאטה אריזה 42+24'!$A:$C,3,0)</f>
        <v>#N/A</v>
      </c>
      <c r="S1470" t="e">
        <f>VLOOKUP(#REF!,'מלאי לא תקין'!A:N,17,0)</f>
        <v>#REF!</v>
      </c>
      <c r="T1470" t="e">
        <f t="shared" si="48"/>
        <v>#REF!</v>
      </c>
      <c r="U1470" t="e">
        <f t="shared" si="49"/>
        <v>#REF!</v>
      </c>
    </row>
    <row r="1471" spans="4:21" x14ac:dyDescent="0.2">
      <c r="D1471" s="4"/>
      <c r="G1471" s="5"/>
      <c r="H1471" s="5"/>
      <c r="I1471" s="4"/>
      <c r="J1471" s="4"/>
      <c r="K1471" s="5"/>
      <c r="Q1471" t="e">
        <f>VLOOKUP(A1471,'גיליון דאטה להכל'!A:E,5,0)</f>
        <v>#N/A</v>
      </c>
      <c r="R1471" t="e">
        <f>VLOOKUP(A1471,'לעדכן בסינתזה דאטה אריזה 42+24'!$A:$C,3,0)</f>
        <v>#N/A</v>
      </c>
      <c r="S1471" t="e">
        <f>VLOOKUP(#REF!,'מלאי לא תקין'!A:N,17,0)</f>
        <v>#REF!</v>
      </c>
      <c r="T1471" t="e">
        <f t="shared" si="48"/>
        <v>#REF!</v>
      </c>
      <c r="U1471" t="e">
        <f t="shared" si="49"/>
        <v>#REF!</v>
      </c>
    </row>
    <row r="1472" spans="4:21" x14ac:dyDescent="0.2">
      <c r="D1472" s="4"/>
      <c r="G1472" s="5"/>
      <c r="H1472" s="5"/>
      <c r="I1472" s="4"/>
      <c r="J1472" s="4"/>
      <c r="K1472" s="5"/>
      <c r="Q1472" t="e">
        <f>VLOOKUP(A1472,'גיליון דאטה להכל'!A:E,5,0)</f>
        <v>#N/A</v>
      </c>
      <c r="R1472" t="e">
        <f>VLOOKUP(A1472,'לעדכן בסינתזה דאטה אריזה 42+24'!$A:$C,3,0)</f>
        <v>#N/A</v>
      </c>
      <c r="S1472" t="e">
        <f>VLOOKUP(#REF!,'מלאי לא תקין'!A:N,17,0)</f>
        <v>#REF!</v>
      </c>
      <c r="T1472" t="e">
        <f t="shared" si="48"/>
        <v>#REF!</v>
      </c>
      <c r="U1472" t="e">
        <f t="shared" si="49"/>
        <v>#REF!</v>
      </c>
    </row>
    <row r="1473" spans="4:21" x14ac:dyDescent="0.2">
      <c r="D1473" s="4"/>
      <c r="G1473" s="5"/>
      <c r="H1473" s="5"/>
      <c r="I1473" s="4"/>
      <c r="J1473" s="4"/>
      <c r="K1473" s="5"/>
      <c r="Q1473" t="e">
        <f>VLOOKUP(A1473,'גיליון דאטה להכל'!A:E,5,0)</f>
        <v>#N/A</v>
      </c>
      <c r="R1473" t="e">
        <f>VLOOKUP(A1473,'לעדכן בסינתזה דאטה אריזה 42+24'!$A:$C,3,0)</f>
        <v>#N/A</v>
      </c>
      <c r="S1473" t="e">
        <f>VLOOKUP(#REF!,'מלאי לא תקין'!A:N,17,0)</f>
        <v>#REF!</v>
      </c>
      <c r="T1473" t="e">
        <f t="shared" si="48"/>
        <v>#REF!</v>
      </c>
      <c r="U1473" t="e">
        <f t="shared" si="49"/>
        <v>#REF!</v>
      </c>
    </row>
    <row r="1474" spans="4:21" x14ac:dyDescent="0.2">
      <c r="D1474" s="4"/>
      <c r="G1474" s="5"/>
      <c r="H1474" s="7"/>
      <c r="I1474" s="4"/>
      <c r="J1474" s="4"/>
      <c r="K1474" s="5"/>
      <c r="Q1474" t="e">
        <f>VLOOKUP(A1474,'גיליון דאטה להכל'!A:E,5,0)</f>
        <v>#N/A</v>
      </c>
      <c r="R1474" t="e">
        <f>VLOOKUP(A1474,'לעדכן בסינתזה דאטה אריזה 42+24'!$A:$C,3,0)</f>
        <v>#N/A</v>
      </c>
      <c r="S1474" t="e">
        <f>VLOOKUP(#REF!,'מלאי לא תקין'!A:N,17,0)</f>
        <v>#REF!</v>
      </c>
      <c r="T1474" t="e">
        <f t="shared" si="48"/>
        <v>#REF!</v>
      </c>
      <c r="U1474" t="e">
        <f t="shared" si="49"/>
        <v>#REF!</v>
      </c>
    </row>
    <row r="1475" spans="4:21" x14ac:dyDescent="0.2">
      <c r="D1475" s="4"/>
      <c r="G1475" s="5"/>
      <c r="H1475" s="5"/>
      <c r="I1475" s="4"/>
      <c r="J1475" s="4"/>
      <c r="K1475" s="5"/>
      <c r="Q1475" t="e">
        <f>VLOOKUP(A1475,'גיליון דאטה להכל'!A:E,5,0)</f>
        <v>#N/A</v>
      </c>
      <c r="R1475" t="e">
        <f>VLOOKUP(A1475,'לעדכן בסינתזה דאטה אריזה 42+24'!$A:$C,3,0)</f>
        <v>#N/A</v>
      </c>
      <c r="S1475" t="e">
        <f>VLOOKUP(#REF!,'מלאי לא תקין'!A:N,17,0)</f>
        <v>#REF!</v>
      </c>
      <c r="T1475" t="e">
        <f t="shared" si="48"/>
        <v>#REF!</v>
      </c>
      <c r="U1475" t="e">
        <f t="shared" si="49"/>
        <v>#REF!</v>
      </c>
    </row>
    <row r="1476" spans="4:21" x14ac:dyDescent="0.2">
      <c r="D1476" s="4"/>
      <c r="G1476" s="5"/>
      <c r="H1476" s="5"/>
      <c r="I1476" s="4"/>
      <c r="J1476" s="4"/>
      <c r="K1476" s="5"/>
      <c r="Q1476" t="e">
        <f>VLOOKUP(A1476,'גיליון דאטה להכל'!A:E,5,0)</f>
        <v>#N/A</v>
      </c>
      <c r="R1476" t="e">
        <f>VLOOKUP(A1476,'לעדכן בסינתזה דאטה אריזה 42+24'!$A:$C,3,0)</f>
        <v>#N/A</v>
      </c>
      <c r="S1476" t="e">
        <f>VLOOKUP(#REF!,'מלאי לא תקין'!A:N,17,0)</f>
        <v>#REF!</v>
      </c>
      <c r="T1476" t="e">
        <f t="shared" si="48"/>
        <v>#REF!</v>
      </c>
      <c r="U1476" t="e">
        <f t="shared" si="49"/>
        <v>#REF!</v>
      </c>
    </row>
    <row r="1477" spans="4:21" x14ac:dyDescent="0.2">
      <c r="D1477" s="4"/>
      <c r="G1477" s="5"/>
      <c r="H1477" s="5"/>
      <c r="I1477" s="4"/>
      <c r="J1477" s="4"/>
      <c r="K1477" s="5"/>
      <c r="Q1477" t="e">
        <f>VLOOKUP(A1477,'גיליון דאטה להכל'!A:E,5,0)</f>
        <v>#N/A</v>
      </c>
      <c r="R1477" t="e">
        <f>VLOOKUP(A1477,'לעדכן בסינתזה דאטה אריזה 42+24'!$A:$C,3,0)</f>
        <v>#N/A</v>
      </c>
      <c r="S1477" t="e">
        <f>VLOOKUP(#REF!,'מלאי לא תקין'!A:N,17,0)</f>
        <v>#REF!</v>
      </c>
      <c r="T1477" t="e">
        <f t="shared" si="48"/>
        <v>#REF!</v>
      </c>
      <c r="U1477" t="e">
        <f t="shared" si="49"/>
        <v>#REF!</v>
      </c>
    </row>
    <row r="1478" spans="4:21" x14ac:dyDescent="0.2">
      <c r="D1478" s="4"/>
      <c r="G1478" s="5"/>
      <c r="H1478" s="5"/>
      <c r="I1478" s="4"/>
      <c r="J1478" s="4"/>
      <c r="K1478" s="5"/>
      <c r="Q1478" t="e">
        <f>VLOOKUP(A1478,'גיליון דאטה להכל'!A:E,5,0)</f>
        <v>#N/A</v>
      </c>
      <c r="R1478" t="e">
        <f>VLOOKUP(A1478,'לעדכן בסינתזה דאטה אריזה 42+24'!$A:$C,3,0)</f>
        <v>#N/A</v>
      </c>
      <c r="S1478" t="e">
        <f>VLOOKUP(#REF!,'מלאי לא תקין'!A:N,17,0)</f>
        <v>#REF!</v>
      </c>
      <c r="T1478" t="e">
        <f t="shared" si="48"/>
        <v>#REF!</v>
      </c>
      <c r="U1478" t="e">
        <f t="shared" si="49"/>
        <v>#REF!</v>
      </c>
    </row>
    <row r="1479" spans="4:21" x14ac:dyDescent="0.2">
      <c r="D1479" s="4"/>
      <c r="G1479" s="5"/>
      <c r="H1479" s="7"/>
      <c r="I1479" s="4"/>
      <c r="J1479" s="4"/>
      <c r="K1479" s="5"/>
      <c r="Q1479" t="e">
        <f>VLOOKUP(A1479,'גיליון דאטה להכל'!A:E,5,0)</f>
        <v>#N/A</v>
      </c>
      <c r="R1479" t="e">
        <f>VLOOKUP(A1479,'לעדכן בסינתזה דאטה אריזה 42+24'!$A:$C,3,0)</f>
        <v>#N/A</v>
      </c>
      <c r="S1479" t="e">
        <f>VLOOKUP(#REF!,'מלאי לא תקין'!A:N,17,0)</f>
        <v>#REF!</v>
      </c>
      <c r="T1479" t="e">
        <f t="shared" si="48"/>
        <v>#REF!</v>
      </c>
      <c r="U1479" t="e">
        <f t="shared" si="49"/>
        <v>#REF!</v>
      </c>
    </row>
    <row r="1480" spans="4:21" x14ac:dyDescent="0.2">
      <c r="D1480" s="4"/>
      <c r="G1480" s="5"/>
      <c r="H1480" s="5"/>
      <c r="I1480" s="4"/>
      <c r="J1480" s="4"/>
      <c r="K1480" s="5"/>
      <c r="Q1480" t="e">
        <f>VLOOKUP(A1480,'גיליון דאטה להכל'!A:E,5,0)</f>
        <v>#N/A</v>
      </c>
      <c r="R1480" t="e">
        <f>VLOOKUP(A1480,'לעדכן בסינתזה דאטה אריזה 42+24'!$A:$C,3,0)</f>
        <v>#N/A</v>
      </c>
      <c r="S1480" t="e">
        <f>VLOOKUP(#REF!,'מלאי לא תקין'!A:N,17,0)</f>
        <v>#REF!</v>
      </c>
      <c r="T1480" t="e">
        <f t="shared" si="48"/>
        <v>#REF!</v>
      </c>
      <c r="U1480" t="e">
        <f t="shared" si="49"/>
        <v>#REF!</v>
      </c>
    </row>
    <row r="1481" spans="4:21" x14ac:dyDescent="0.2">
      <c r="D1481" s="4"/>
      <c r="G1481" s="5"/>
      <c r="H1481" s="5"/>
      <c r="I1481" s="4"/>
      <c r="J1481" s="4"/>
      <c r="K1481" s="5"/>
      <c r="Q1481" t="e">
        <f>VLOOKUP(A1481,'גיליון דאטה להכל'!A:E,5,0)</f>
        <v>#N/A</v>
      </c>
      <c r="R1481" t="e">
        <f>VLOOKUP(A1481,'לעדכן בסינתזה דאטה אריזה 42+24'!$A:$C,3,0)</f>
        <v>#N/A</v>
      </c>
      <c r="S1481" t="e">
        <f>VLOOKUP(#REF!,'מלאי לא תקין'!A:N,17,0)</f>
        <v>#REF!</v>
      </c>
      <c r="T1481" t="e">
        <f t="shared" si="48"/>
        <v>#REF!</v>
      </c>
      <c r="U1481" t="e">
        <f t="shared" si="49"/>
        <v>#REF!</v>
      </c>
    </row>
    <row r="1482" spans="4:21" x14ac:dyDescent="0.2">
      <c r="D1482" s="4"/>
      <c r="G1482" s="5"/>
      <c r="H1482" s="5"/>
      <c r="I1482" s="4"/>
      <c r="J1482" s="4"/>
      <c r="K1482" s="5"/>
      <c r="Q1482" t="e">
        <f>VLOOKUP(A1482,'גיליון דאטה להכל'!A:E,5,0)</f>
        <v>#N/A</v>
      </c>
      <c r="R1482" t="e">
        <f>VLOOKUP(A1482,'לעדכן בסינתזה דאטה אריזה 42+24'!$A:$C,3,0)</f>
        <v>#N/A</v>
      </c>
      <c r="S1482" t="e">
        <f>VLOOKUP(#REF!,'מלאי לא תקין'!A:N,17,0)</f>
        <v>#REF!</v>
      </c>
      <c r="T1482" t="e">
        <f t="shared" si="48"/>
        <v>#REF!</v>
      </c>
      <c r="U1482" t="e">
        <f t="shared" si="49"/>
        <v>#REF!</v>
      </c>
    </row>
    <row r="1483" spans="4:21" x14ac:dyDescent="0.2">
      <c r="D1483" s="4"/>
      <c r="G1483" s="5"/>
      <c r="H1483" s="5"/>
      <c r="I1483" s="4"/>
      <c r="J1483" s="4"/>
      <c r="K1483" s="5"/>
      <c r="Q1483" t="e">
        <f>VLOOKUP(A1483,'גיליון דאטה להכל'!A:E,5,0)</f>
        <v>#N/A</v>
      </c>
      <c r="R1483" t="e">
        <f>VLOOKUP(A1483,'לעדכן בסינתזה דאטה אריזה 42+24'!$A:$C,3,0)</f>
        <v>#N/A</v>
      </c>
      <c r="S1483" t="e">
        <f>VLOOKUP(#REF!,'מלאי לא תקין'!A:N,17,0)</f>
        <v>#REF!</v>
      </c>
      <c r="T1483" t="e">
        <f t="shared" si="48"/>
        <v>#REF!</v>
      </c>
      <c r="U1483" t="e">
        <f t="shared" si="49"/>
        <v>#REF!</v>
      </c>
    </row>
    <row r="1484" spans="4:21" x14ac:dyDescent="0.2">
      <c r="D1484" s="4"/>
      <c r="G1484" s="5"/>
      <c r="H1484" s="7"/>
      <c r="I1484" s="4"/>
      <c r="J1484" s="4"/>
      <c r="K1484" s="5"/>
      <c r="Q1484" t="e">
        <f>VLOOKUP(A1484,'גיליון דאטה להכל'!A:E,5,0)</f>
        <v>#N/A</v>
      </c>
      <c r="R1484" t="e">
        <f>VLOOKUP(A1484,'לעדכן בסינתזה דאטה אריזה 42+24'!$A:$C,3,0)</f>
        <v>#N/A</v>
      </c>
      <c r="S1484" t="e">
        <f>VLOOKUP(#REF!,'מלאי לא תקין'!A:N,17,0)</f>
        <v>#REF!</v>
      </c>
      <c r="T1484" t="e">
        <f t="shared" si="48"/>
        <v>#REF!</v>
      </c>
      <c r="U1484" t="e">
        <f t="shared" si="49"/>
        <v>#REF!</v>
      </c>
    </row>
    <row r="1485" spans="4:21" x14ac:dyDescent="0.2">
      <c r="D1485" s="4"/>
      <c r="G1485" s="5"/>
      <c r="H1485" s="5"/>
      <c r="I1485" s="4"/>
      <c r="J1485" s="4"/>
      <c r="K1485" s="5"/>
      <c r="Q1485" t="e">
        <f>VLOOKUP(A1485,'גיליון דאטה להכל'!A:E,5,0)</f>
        <v>#N/A</v>
      </c>
      <c r="R1485" t="e">
        <f>VLOOKUP(A1485,'לעדכן בסינתזה דאטה אריזה 42+24'!$A:$C,3,0)</f>
        <v>#N/A</v>
      </c>
      <c r="S1485" t="e">
        <f>VLOOKUP(#REF!,'מלאי לא תקין'!A:N,17,0)</f>
        <v>#REF!</v>
      </c>
      <c r="T1485" t="e">
        <f t="shared" si="48"/>
        <v>#REF!</v>
      </c>
      <c r="U1485" t="e">
        <f t="shared" si="49"/>
        <v>#REF!</v>
      </c>
    </row>
    <row r="1486" spans="4:21" x14ac:dyDescent="0.2">
      <c r="D1486" s="4"/>
      <c r="G1486" s="5"/>
      <c r="H1486" s="5"/>
      <c r="I1486" s="4"/>
      <c r="J1486" s="4"/>
      <c r="K1486" s="5"/>
      <c r="Q1486" t="e">
        <f>VLOOKUP(A1486,'גיליון דאטה להכל'!A:E,5,0)</f>
        <v>#N/A</v>
      </c>
      <c r="R1486" t="e">
        <f>VLOOKUP(A1486,'לעדכן בסינתזה דאטה אריזה 42+24'!$A:$C,3,0)</f>
        <v>#N/A</v>
      </c>
      <c r="S1486" t="e">
        <f>VLOOKUP(#REF!,'מלאי לא תקין'!A:N,17,0)</f>
        <v>#REF!</v>
      </c>
      <c r="T1486" t="e">
        <f t="shared" si="48"/>
        <v>#REF!</v>
      </c>
      <c r="U1486" t="e">
        <f t="shared" si="49"/>
        <v>#REF!</v>
      </c>
    </row>
    <row r="1487" spans="4:21" x14ac:dyDescent="0.2">
      <c r="D1487" s="4"/>
      <c r="G1487" s="5"/>
      <c r="H1487" s="5"/>
      <c r="I1487" s="4"/>
      <c r="J1487" s="4"/>
      <c r="K1487" s="5"/>
      <c r="Q1487" t="e">
        <f>VLOOKUP(A1487,'גיליון דאטה להכל'!A:E,5,0)</f>
        <v>#N/A</v>
      </c>
      <c r="R1487" t="e">
        <f>VLOOKUP(A1487,'לעדכן בסינתזה דאטה אריזה 42+24'!$A:$C,3,0)</f>
        <v>#N/A</v>
      </c>
      <c r="S1487" t="e">
        <f>VLOOKUP(#REF!,'מלאי לא תקין'!A:N,17,0)</f>
        <v>#REF!</v>
      </c>
      <c r="T1487" t="e">
        <f t="shared" si="48"/>
        <v>#REF!</v>
      </c>
      <c r="U1487" t="e">
        <f t="shared" si="49"/>
        <v>#REF!</v>
      </c>
    </row>
    <row r="1488" spans="4:21" x14ac:dyDescent="0.2">
      <c r="D1488" s="4"/>
      <c r="G1488" s="5"/>
      <c r="H1488" s="5"/>
      <c r="I1488" s="4"/>
      <c r="J1488" s="4"/>
      <c r="K1488" s="5"/>
      <c r="Q1488" t="e">
        <f>VLOOKUP(A1488,'גיליון דאטה להכל'!A:E,5,0)</f>
        <v>#N/A</v>
      </c>
      <c r="R1488" t="e">
        <f>VLOOKUP(A1488,'לעדכן בסינתזה דאטה אריזה 42+24'!$A:$C,3,0)</f>
        <v>#N/A</v>
      </c>
      <c r="S1488" t="e">
        <f>VLOOKUP(#REF!,'מלאי לא תקין'!A:N,17,0)</f>
        <v>#REF!</v>
      </c>
      <c r="T1488" t="e">
        <f t="shared" si="48"/>
        <v>#REF!</v>
      </c>
      <c r="U1488" t="e">
        <f t="shared" si="49"/>
        <v>#REF!</v>
      </c>
    </row>
    <row r="1489" spans="4:21" x14ac:dyDescent="0.2">
      <c r="D1489" s="4"/>
      <c r="G1489" s="5"/>
      <c r="H1489" s="7"/>
      <c r="I1489" s="4"/>
      <c r="J1489" s="4"/>
      <c r="K1489" s="5"/>
      <c r="Q1489" t="e">
        <f>VLOOKUP(A1489,'גיליון דאטה להכל'!A:E,5,0)</f>
        <v>#N/A</v>
      </c>
      <c r="R1489" t="e">
        <f>VLOOKUP(A1489,'לעדכן בסינתזה דאטה אריזה 42+24'!$A:$C,3,0)</f>
        <v>#N/A</v>
      </c>
      <c r="S1489" t="e">
        <f>VLOOKUP(#REF!,'מלאי לא תקין'!A:N,17,0)</f>
        <v>#REF!</v>
      </c>
      <c r="T1489" t="e">
        <f t="shared" si="48"/>
        <v>#REF!</v>
      </c>
      <c r="U1489" t="e">
        <f t="shared" si="49"/>
        <v>#REF!</v>
      </c>
    </row>
    <row r="1490" spans="4:21" x14ac:dyDescent="0.2">
      <c r="D1490" s="4"/>
      <c r="G1490" s="5"/>
      <c r="H1490" s="5"/>
      <c r="I1490" s="4"/>
      <c r="J1490" s="4"/>
      <c r="K1490" s="5"/>
      <c r="Q1490" t="e">
        <f>VLOOKUP(A1490,'גיליון דאטה להכל'!A:E,5,0)</f>
        <v>#N/A</v>
      </c>
      <c r="R1490" t="e">
        <f>VLOOKUP(A1490,'לעדכן בסינתזה דאטה אריזה 42+24'!$A:$C,3,0)</f>
        <v>#N/A</v>
      </c>
      <c r="S1490" t="e">
        <f>VLOOKUP(#REF!,'מלאי לא תקין'!A:N,17,0)</f>
        <v>#REF!</v>
      </c>
      <c r="T1490" t="e">
        <f t="shared" si="48"/>
        <v>#REF!</v>
      </c>
      <c r="U1490" t="e">
        <f t="shared" si="49"/>
        <v>#REF!</v>
      </c>
    </row>
    <row r="1491" spans="4:21" x14ac:dyDescent="0.2">
      <c r="D1491" s="4"/>
      <c r="G1491" s="5"/>
      <c r="H1491" s="5"/>
      <c r="I1491" s="4"/>
      <c r="J1491" s="4"/>
      <c r="K1491" s="5"/>
      <c r="Q1491" t="e">
        <f>VLOOKUP(A1491,'גיליון דאטה להכל'!A:E,5,0)</f>
        <v>#N/A</v>
      </c>
      <c r="R1491" t="e">
        <f>VLOOKUP(A1491,'לעדכן בסינתזה דאטה אריזה 42+24'!$A:$C,3,0)</f>
        <v>#N/A</v>
      </c>
      <c r="S1491" t="e">
        <f>VLOOKUP(#REF!,'מלאי לא תקין'!A:N,17,0)</f>
        <v>#REF!</v>
      </c>
      <c r="T1491" t="e">
        <f t="shared" si="48"/>
        <v>#REF!</v>
      </c>
      <c r="U1491" t="e">
        <f t="shared" si="49"/>
        <v>#REF!</v>
      </c>
    </row>
    <row r="1492" spans="4:21" x14ac:dyDescent="0.2">
      <c r="D1492" s="4"/>
      <c r="G1492" s="5"/>
      <c r="H1492" s="5"/>
      <c r="I1492" s="4"/>
      <c r="J1492" s="4"/>
      <c r="K1492" s="5"/>
      <c r="Q1492" t="e">
        <f>VLOOKUP(A1492,'גיליון דאטה להכל'!A:E,5,0)</f>
        <v>#N/A</v>
      </c>
      <c r="R1492" t="e">
        <f>VLOOKUP(A1492,'לעדכן בסינתזה דאטה אריזה 42+24'!$A:$C,3,0)</f>
        <v>#N/A</v>
      </c>
      <c r="S1492" t="e">
        <f>VLOOKUP(#REF!,'מלאי לא תקין'!A:N,17,0)</f>
        <v>#REF!</v>
      </c>
      <c r="T1492" t="e">
        <f t="shared" si="48"/>
        <v>#REF!</v>
      </c>
      <c r="U1492" t="e">
        <f t="shared" si="49"/>
        <v>#REF!</v>
      </c>
    </row>
    <row r="1493" spans="4:21" x14ac:dyDescent="0.2">
      <c r="D1493" s="4"/>
      <c r="G1493" s="5"/>
      <c r="H1493" s="5"/>
      <c r="I1493" s="4"/>
      <c r="J1493" s="4"/>
      <c r="K1493" s="5"/>
      <c r="Q1493" t="e">
        <f>VLOOKUP(A1493,'גיליון דאטה להכל'!A:E,5,0)</f>
        <v>#N/A</v>
      </c>
      <c r="R1493" t="e">
        <f>VLOOKUP(A1493,'לעדכן בסינתזה דאטה אריזה 42+24'!$A:$C,3,0)</f>
        <v>#N/A</v>
      </c>
      <c r="S1493" t="e">
        <f>VLOOKUP(#REF!,'מלאי לא תקין'!A:N,17,0)</f>
        <v>#REF!</v>
      </c>
      <c r="T1493" t="e">
        <f t="shared" si="48"/>
        <v>#REF!</v>
      </c>
      <c r="U1493" t="e">
        <f t="shared" si="49"/>
        <v>#REF!</v>
      </c>
    </row>
    <row r="1494" spans="4:21" x14ac:dyDescent="0.2">
      <c r="D1494" s="4"/>
      <c r="G1494" s="5"/>
      <c r="H1494" s="7"/>
      <c r="I1494" s="4"/>
      <c r="J1494" s="4"/>
      <c r="K1494" s="5"/>
      <c r="Q1494" t="e">
        <f>VLOOKUP(A1494,'גיליון דאטה להכל'!A:E,5,0)</f>
        <v>#N/A</v>
      </c>
      <c r="R1494" t="e">
        <f>VLOOKUP(A1494,'לעדכן בסינתזה דאטה אריזה 42+24'!$A:$C,3,0)</f>
        <v>#N/A</v>
      </c>
      <c r="S1494" t="e">
        <f>VLOOKUP(#REF!,'מלאי לא תקין'!A:N,17,0)</f>
        <v>#REF!</v>
      </c>
      <c r="T1494" t="e">
        <f t="shared" si="48"/>
        <v>#REF!</v>
      </c>
      <c r="U1494" t="e">
        <f t="shared" si="49"/>
        <v>#REF!</v>
      </c>
    </row>
    <row r="1495" spans="4:21" x14ac:dyDescent="0.2">
      <c r="D1495" s="4"/>
      <c r="G1495" s="5"/>
      <c r="H1495" s="5"/>
      <c r="I1495" s="4"/>
      <c r="J1495" s="4"/>
      <c r="K1495" s="5"/>
      <c r="Q1495" t="e">
        <f>VLOOKUP(A1495,'גיליון דאטה להכל'!A:E,5,0)</f>
        <v>#N/A</v>
      </c>
      <c r="R1495" t="e">
        <f>VLOOKUP(A1495,'לעדכן בסינתזה דאטה אריזה 42+24'!$A:$C,3,0)</f>
        <v>#N/A</v>
      </c>
      <c r="S1495" t="e">
        <f>VLOOKUP(#REF!,'מלאי לא תקין'!A:N,17,0)</f>
        <v>#REF!</v>
      </c>
      <c r="T1495" t="e">
        <f t="shared" si="48"/>
        <v>#REF!</v>
      </c>
      <c r="U1495" t="e">
        <f t="shared" si="49"/>
        <v>#REF!</v>
      </c>
    </row>
    <row r="1496" spans="4:21" x14ac:dyDescent="0.2">
      <c r="D1496" s="4"/>
      <c r="G1496" s="5"/>
      <c r="H1496" s="5"/>
      <c r="I1496" s="4"/>
      <c r="J1496" s="4"/>
      <c r="K1496" s="5"/>
      <c r="Q1496" t="e">
        <f>VLOOKUP(A1496,'גיליון דאטה להכל'!A:E,5,0)</f>
        <v>#N/A</v>
      </c>
      <c r="R1496" t="e">
        <f>VLOOKUP(A1496,'לעדכן בסינתזה דאטה אריזה 42+24'!$A:$C,3,0)</f>
        <v>#N/A</v>
      </c>
      <c r="S1496" t="e">
        <f>VLOOKUP(#REF!,'מלאי לא תקין'!A:N,17,0)</f>
        <v>#REF!</v>
      </c>
      <c r="T1496" t="e">
        <f t="shared" si="48"/>
        <v>#REF!</v>
      </c>
      <c r="U1496" t="e">
        <f t="shared" si="49"/>
        <v>#REF!</v>
      </c>
    </row>
    <row r="1497" spans="4:21" x14ac:dyDescent="0.2">
      <c r="D1497" s="4"/>
      <c r="G1497" s="5"/>
      <c r="H1497" s="5"/>
      <c r="I1497" s="4"/>
      <c r="J1497" s="4"/>
      <c r="K1497" s="5"/>
      <c r="Q1497" t="e">
        <f>VLOOKUP(A1497,'גיליון דאטה להכל'!A:E,5,0)</f>
        <v>#N/A</v>
      </c>
      <c r="R1497" t="e">
        <f>VLOOKUP(A1497,'לעדכן בסינתזה דאטה אריזה 42+24'!$A:$C,3,0)</f>
        <v>#N/A</v>
      </c>
      <c r="S1497" t="e">
        <f>VLOOKUP(#REF!,'מלאי לא תקין'!A:N,17,0)</f>
        <v>#REF!</v>
      </c>
      <c r="T1497" t="e">
        <f t="shared" si="48"/>
        <v>#REF!</v>
      </c>
      <c r="U1497" t="e">
        <f t="shared" si="49"/>
        <v>#REF!</v>
      </c>
    </row>
    <row r="1498" spans="4:21" x14ac:dyDescent="0.2">
      <c r="D1498" s="4"/>
      <c r="G1498" s="5"/>
      <c r="H1498" s="5"/>
      <c r="I1498" s="4"/>
      <c r="J1498" s="4"/>
      <c r="K1498" s="5"/>
      <c r="Q1498" t="e">
        <f>VLOOKUP(A1498,'גיליון דאטה להכל'!A:E,5,0)</f>
        <v>#N/A</v>
      </c>
      <c r="R1498" t="e">
        <f>VLOOKUP(A1498,'לעדכן בסינתזה דאטה אריזה 42+24'!$A:$C,3,0)</f>
        <v>#N/A</v>
      </c>
      <c r="S1498" t="e">
        <f>VLOOKUP(#REF!,'מלאי לא תקין'!A:N,17,0)</f>
        <v>#REF!</v>
      </c>
      <c r="T1498" t="e">
        <f t="shared" si="48"/>
        <v>#REF!</v>
      </c>
      <c r="U1498" t="e">
        <f t="shared" si="49"/>
        <v>#REF!</v>
      </c>
    </row>
    <row r="1499" spans="4:21" x14ac:dyDescent="0.2">
      <c r="D1499" s="4"/>
      <c r="G1499" s="5"/>
      <c r="H1499" s="7"/>
      <c r="I1499" s="4"/>
      <c r="J1499" s="4"/>
      <c r="K1499" s="5"/>
      <c r="Q1499" t="e">
        <f>VLOOKUP(A1499,'גיליון דאטה להכל'!A:E,5,0)</f>
        <v>#N/A</v>
      </c>
      <c r="R1499" t="e">
        <f>VLOOKUP(A1499,'לעדכן בסינתזה דאטה אריזה 42+24'!$A:$C,3,0)</f>
        <v>#N/A</v>
      </c>
      <c r="S1499" t="e">
        <f>VLOOKUP(#REF!,'מלאי לא תקין'!A:N,17,0)</f>
        <v>#REF!</v>
      </c>
      <c r="T1499" t="e">
        <f t="shared" si="48"/>
        <v>#REF!</v>
      </c>
      <c r="U1499" t="e">
        <f t="shared" si="49"/>
        <v>#REF!</v>
      </c>
    </row>
    <row r="1500" spans="4:21" x14ac:dyDescent="0.2">
      <c r="D1500" s="4"/>
      <c r="G1500" s="5"/>
      <c r="H1500" s="5"/>
      <c r="I1500" s="4"/>
      <c r="J1500" s="4"/>
      <c r="K1500" s="5"/>
      <c r="Q1500" t="e">
        <f>VLOOKUP(A1500,'גיליון דאטה להכל'!A:E,5,0)</f>
        <v>#N/A</v>
      </c>
      <c r="R1500" t="e">
        <f>VLOOKUP(A1500,'לעדכן בסינתזה דאטה אריזה 42+24'!$A:$C,3,0)</f>
        <v>#N/A</v>
      </c>
      <c r="S1500" t="e">
        <f>VLOOKUP(#REF!,'מלאי לא תקין'!A:N,17,0)</f>
        <v>#REF!</v>
      </c>
      <c r="T1500" t="e">
        <f t="shared" si="48"/>
        <v>#REF!</v>
      </c>
      <c r="U1500" t="e">
        <f t="shared" si="49"/>
        <v>#REF!</v>
      </c>
    </row>
    <row r="1501" spans="4:21" x14ac:dyDescent="0.2">
      <c r="D1501" s="4"/>
      <c r="G1501" s="5"/>
      <c r="H1501" s="5"/>
      <c r="I1501" s="4"/>
      <c r="J1501" s="4"/>
      <c r="K1501" s="5"/>
      <c r="Q1501" t="e">
        <f>VLOOKUP(A1501,'גיליון דאטה להכל'!A:E,5,0)</f>
        <v>#N/A</v>
      </c>
      <c r="R1501" t="e">
        <f>VLOOKUP(A1501,'לעדכן בסינתזה דאטה אריזה 42+24'!$A:$C,3,0)</f>
        <v>#N/A</v>
      </c>
      <c r="S1501" t="e">
        <f>VLOOKUP(#REF!,'מלאי לא תקין'!A:N,17,0)</f>
        <v>#REF!</v>
      </c>
      <c r="T1501" t="e">
        <f t="shared" si="48"/>
        <v>#REF!</v>
      </c>
      <c r="U1501" t="e">
        <f t="shared" si="49"/>
        <v>#REF!</v>
      </c>
    </row>
    <row r="1502" spans="4:21" x14ac:dyDescent="0.2">
      <c r="D1502" s="4"/>
      <c r="G1502" s="5"/>
      <c r="H1502" s="5"/>
      <c r="I1502" s="4"/>
      <c r="J1502" s="4"/>
      <c r="K1502" s="5"/>
      <c r="Q1502" t="e">
        <f>VLOOKUP(A1502,'גיליון דאטה להכל'!A:E,5,0)</f>
        <v>#N/A</v>
      </c>
      <c r="R1502" t="e">
        <f>VLOOKUP(A1502,'לעדכן בסינתזה דאטה אריזה 42+24'!$A:$C,3,0)</f>
        <v>#N/A</v>
      </c>
      <c r="S1502" t="e">
        <f>VLOOKUP(#REF!,'מלאי לא תקין'!A:N,17,0)</f>
        <v>#REF!</v>
      </c>
      <c r="T1502" t="e">
        <f t="shared" si="48"/>
        <v>#REF!</v>
      </c>
      <c r="U1502" t="e">
        <f t="shared" si="49"/>
        <v>#REF!</v>
      </c>
    </row>
    <row r="1503" spans="4:21" x14ac:dyDescent="0.2">
      <c r="D1503" s="4"/>
      <c r="G1503" s="5"/>
      <c r="H1503" s="5"/>
      <c r="I1503" s="4"/>
      <c r="J1503" s="4"/>
      <c r="K1503" s="5"/>
      <c r="Q1503" t="e">
        <f>VLOOKUP(A1503,'גיליון דאטה להכל'!A:E,5,0)</f>
        <v>#N/A</v>
      </c>
      <c r="R1503" t="e">
        <f>VLOOKUP(A1503,'לעדכן בסינתזה דאטה אריזה 42+24'!$A:$C,3,0)</f>
        <v>#N/A</v>
      </c>
      <c r="S1503" t="e">
        <f>VLOOKUP(#REF!,'מלאי לא תקין'!A:N,17,0)</f>
        <v>#REF!</v>
      </c>
      <c r="T1503" t="e">
        <f t="shared" si="48"/>
        <v>#REF!</v>
      </c>
      <c r="U1503" t="e">
        <f t="shared" si="49"/>
        <v>#REF!</v>
      </c>
    </row>
    <row r="1504" spans="4:21" x14ac:dyDescent="0.2">
      <c r="D1504" s="4"/>
      <c r="G1504" s="5"/>
      <c r="H1504" s="5"/>
      <c r="I1504" s="4"/>
      <c r="J1504" s="4"/>
      <c r="K1504" s="5"/>
      <c r="Q1504" t="e">
        <f>VLOOKUP(A1504,'גיליון דאטה להכל'!A:E,5,0)</f>
        <v>#N/A</v>
      </c>
      <c r="R1504" t="e">
        <f>VLOOKUP(A1504,'לעדכן בסינתזה דאטה אריזה 42+24'!$A:$C,3,0)</f>
        <v>#N/A</v>
      </c>
      <c r="S1504" t="e">
        <f>VLOOKUP(#REF!,'מלאי לא תקין'!A:N,17,0)</f>
        <v>#REF!</v>
      </c>
      <c r="T1504" t="e">
        <f t="shared" si="48"/>
        <v>#REF!</v>
      </c>
      <c r="U1504" t="e">
        <f t="shared" si="49"/>
        <v>#REF!</v>
      </c>
    </row>
    <row r="1505" spans="4:21" x14ac:dyDescent="0.2">
      <c r="D1505" s="4"/>
      <c r="G1505" s="5"/>
      <c r="H1505" s="5"/>
      <c r="I1505" s="4"/>
      <c r="J1505" s="4"/>
      <c r="K1505" s="5"/>
      <c r="Q1505" t="e">
        <f>VLOOKUP(A1505,'גיליון דאטה להכל'!A:E,5,0)</f>
        <v>#N/A</v>
      </c>
      <c r="R1505" t="e">
        <f>VLOOKUP(A1505,'לעדכן בסינתזה דאטה אריזה 42+24'!$A:$C,3,0)</f>
        <v>#N/A</v>
      </c>
      <c r="S1505" t="e">
        <f>VLOOKUP(#REF!,'מלאי לא תקין'!A:N,17,0)</f>
        <v>#REF!</v>
      </c>
      <c r="T1505" t="e">
        <f t="shared" si="48"/>
        <v>#REF!</v>
      </c>
      <c r="U1505" t="e">
        <f t="shared" si="49"/>
        <v>#REF!</v>
      </c>
    </row>
    <row r="1506" spans="4:21" x14ac:dyDescent="0.2">
      <c r="D1506" s="4"/>
      <c r="G1506" s="5"/>
      <c r="H1506" s="7"/>
      <c r="I1506" s="4"/>
      <c r="J1506" s="4"/>
      <c r="K1506" s="5"/>
      <c r="Q1506" t="e">
        <f>VLOOKUP(A1506,'גיליון דאטה להכל'!A:E,5,0)</f>
        <v>#N/A</v>
      </c>
      <c r="R1506" t="e">
        <f>VLOOKUP(A1506,'לעדכן בסינתזה דאטה אריזה 42+24'!$A:$C,3,0)</f>
        <v>#N/A</v>
      </c>
      <c r="S1506" t="e">
        <f>VLOOKUP(#REF!,'מלאי לא תקין'!A:N,17,0)</f>
        <v>#REF!</v>
      </c>
      <c r="T1506" t="e">
        <f t="shared" si="48"/>
        <v>#REF!</v>
      </c>
      <c r="U1506" t="e">
        <f t="shared" si="49"/>
        <v>#REF!</v>
      </c>
    </row>
    <row r="1507" spans="4:21" x14ac:dyDescent="0.2">
      <c r="D1507" s="4"/>
      <c r="G1507" s="5"/>
      <c r="H1507" s="5"/>
      <c r="I1507" s="4"/>
      <c r="J1507" s="4"/>
      <c r="K1507" s="5"/>
      <c r="Q1507" t="e">
        <f>VLOOKUP(A1507,'גיליון דאטה להכל'!A:E,5,0)</f>
        <v>#N/A</v>
      </c>
      <c r="R1507" t="e">
        <f>VLOOKUP(A1507,'לעדכן בסינתזה דאטה אריזה 42+24'!$A:$C,3,0)</f>
        <v>#N/A</v>
      </c>
      <c r="S1507" t="e">
        <f>VLOOKUP(#REF!,'מלאי לא תקין'!A:N,17,0)</f>
        <v>#REF!</v>
      </c>
      <c r="T1507" t="e">
        <f t="shared" si="48"/>
        <v>#REF!</v>
      </c>
      <c r="U1507" t="e">
        <f t="shared" si="49"/>
        <v>#REF!</v>
      </c>
    </row>
    <row r="1508" spans="4:21" x14ac:dyDescent="0.2">
      <c r="D1508" s="4"/>
      <c r="G1508" s="5"/>
      <c r="H1508" s="5"/>
      <c r="I1508" s="4"/>
      <c r="J1508" s="4"/>
      <c r="K1508" s="5"/>
      <c r="Q1508" t="e">
        <f>VLOOKUP(A1508,'גיליון דאטה להכל'!A:E,5,0)</f>
        <v>#N/A</v>
      </c>
      <c r="R1508" t="e">
        <f>VLOOKUP(A1508,'לעדכן בסינתזה דאטה אריזה 42+24'!$A:$C,3,0)</f>
        <v>#N/A</v>
      </c>
      <c r="S1508" t="e">
        <f>VLOOKUP(#REF!,'מלאי לא תקין'!A:N,17,0)</f>
        <v>#REF!</v>
      </c>
      <c r="T1508" t="e">
        <f t="shared" si="48"/>
        <v>#REF!</v>
      </c>
      <c r="U1508" t="e">
        <f t="shared" si="49"/>
        <v>#REF!</v>
      </c>
    </row>
    <row r="1509" spans="4:21" x14ac:dyDescent="0.2">
      <c r="D1509" s="4"/>
      <c r="G1509" s="5"/>
      <c r="H1509" s="5"/>
      <c r="I1509" s="4"/>
      <c r="J1509" s="4"/>
      <c r="K1509" s="5"/>
      <c r="Q1509" t="e">
        <f>VLOOKUP(A1509,'גיליון דאטה להכל'!A:E,5,0)</f>
        <v>#N/A</v>
      </c>
      <c r="R1509" t="e">
        <f>VLOOKUP(A1509,'לעדכן בסינתזה דאטה אריזה 42+24'!$A:$C,3,0)</f>
        <v>#N/A</v>
      </c>
      <c r="S1509" t="e">
        <f>VLOOKUP(#REF!,'מלאי לא תקין'!A:N,17,0)</f>
        <v>#REF!</v>
      </c>
      <c r="T1509" t="e">
        <f t="shared" si="48"/>
        <v>#REF!</v>
      </c>
      <c r="U1509" t="e">
        <f t="shared" si="49"/>
        <v>#REF!</v>
      </c>
    </row>
    <row r="1510" spans="4:21" x14ac:dyDescent="0.2">
      <c r="D1510" s="4"/>
      <c r="G1510" s="5"/>
      <c r="H1510" s="5"/>
      <c r="I1510" s="4"/>
      <c r="J1510" s="4"/>
      <c r="K1510" s="5"/>
      <c r="Q1510" t="e">
        <f>VLOOKUP(A1510,'גיליון דאטה להכל'!A:E,5,0)</f>
        <v>#N/A</v>
      </c>
      <c r="R1510" t="e">
        <f>VLOOKUP(A1510,'לעדכן בסינתזה דאטה אריזה 42+24'!$A:$C,3,0)</f>
        <v>#N/A</v>
      </c>
      <c r="S1510" t="e">
        <f>VLOOKUP(#REF!,'מלאי לא תקין'!A:N,17,0)</f>
        <v>#REF!</v>
      </c>
      <c r="T1510" t="e">
        <f t="shared" si="48"/>
        <v>#REF!</v>
      </c>
      <c r="U1510" t="e">
        <f t="shared" si="49"/>
        <v>#REF!</v>
      </c>
    </row>
    <row r="1511" spans="4:21" x14ac:dyDescent="0.2">
      <c r="D1511" s="4"/>
      <c r="G1511" s="5"/>
      <c r="H1511" s="7"/>
      <c r="I1511" s="4"/>
      <c r="J1511" s="4"/>
      <c r="K1511" s="5"/>
      <c r="Q1511" t="e">
        <f>VLOOKUP(A1511,'גיליון דאטה להכל'!A:E,5,0)</f>
        <v>#N/A</v>
      </c>
      <c r="R1511" t="e">
        <f>VLOOKUP(A1511,'לעדכן בסינתזה דאטה אריזה 42+24'!$A:$C,3,0)</f>
        <v>#N/A</v>
      </c>
      <c r="S1511" t="e">
        <f>VLOOKUP(#REF!,'מלאי לא תקין'!A:N,17,0)</f>
        <v>#REF!</v>
      </c>
      <c r="T1511" t="e">
        <f t="shared" si="48"/>
        <v>#REF!</v>
      </c>
      <c r="U1511" t="e">
        <f t="shared" si="49"/>
        <v>#REF!</v>
      </c>
    </row>
    <row r="1512" spans="4:21" x14ac:dyDescent="0.2">
      <c r="D1512" s="4"/>
      <c r="G1512" s="5"/>
      <c r="H1512" s="5"/>
      <c r="I1512" s="4"/>
      <c r="J1512" s="4"/>
      <c r="K1512" s="5"/>
      <c r="Q1512" t="e">
        <f>VLOOKUP(A1512,'גיליון דאטה להכל'!A:E,5,0)</f>
        <v>#N/A</v>
      </c>
      <c r="R1512" t="e">
        <f>VLOOKUP(A1512,'לעדכן בסינתזה דאטה אריזה 42+24'!$A:$C,3,0)</f>
        <v>#N/A</v>
      </c>
      <c r="S1512" t="e">
        <f>VLOOKUP(#REF!,'מלאי לא תקין'!A:N,17,0)</f>
        <v>#REF!</v>
      </c>
      <c r="T1512" t="e">
        <f t="shared" si="48"/>
        <v>#REF!</v>
      </c>
      <c r="U1512" t="e">
        <f t="shared" si="49"/>
        <v>#REF!</v>
      </c>
    </row>
    <row r="1513" spans="4:21" x14ac:dyDescent="0.2">
      <c r="D1513" s="4"/>
      <c r="G1513" s="5"/>
      <c r="H1513" s="5"/>
      <c r="I1513" s="4"/>
      <c r="J1513" s="4"/>
      <c r="K1513" s="5"/>
      <c r="Q1513" t="e">
        <f>VLOOKUP(A1513,'גיליון דאטה להכל'!A:E,5,0)</f>
        <v>#N/A</v>
      </c>
      <c r="R1513" t="e">
        <f>VLOOKUP(A1513,'לעדכן בסינתזה דאטה אריזה 42+24'!$A:$C,3,0)</f>
        <v>#N/A</v>
      </c>
      <c r="S1513" t="e">
        <f>VLOOKUP(#REF!,'מלאי לא תקין'!A:N,17,0)</f>
        <v>#REF!</v>
      </c>
      <c r="T1513" t="e">
        <f t="shared" si="48"/>
        <v>#REF!</v>
      </c>
      <c r="U1513" t="e">
        <f t="shared" si="49"/>
        <v>#REF!</v>
      </c>
    </row>
    <row r="1514" spans="4:21" x14ac:dyDescent="0.2">
      <c r="D1514" s="4"/>
      <c r="G1514" s="5"/>
      <c r="H1514" s="5"/>
      <c r="I1514" s="4"/>
      <c r="J1514" s="4"/>
      <c r="K1514" s="5"/>
      <c r="Q1514" t="e">
        <f>VLOOKUP(A1514,'גיליון דאטה להכל'!A:E,5,0)</f>
        <v>#N/A</v>
      </c>
      <c r="R1514" t="e">
        <f>VLOOKUP(A1514,'לעדכן בסינתזה דאטה אריזה 42+24'!$A:$C,3,0)</f>
        <v>#N/A</v>
      </c>
      <c r="S1514" t="e">
        <f>VLOOKUP(#REF!,'מלאי לא תקין'!A:N,17,0)</f>
        <v>#REF!</v>
      </c>
      <c r="T1514" t="e">
        <f t="shared" si="48"/>
        <v>#REF!</v>
      </c>
      <c r="U1514" t="e">
        <f t="shared" si="49"/>
        <v>#REF!</v>
      </c>
    </row>
    <row r="1515" spans="4:21" x14ac:dyDescent="0.2">
      <c r="D1515" s="4"/>
      <c r="G1515" s="5"/>
      <c r="H1515" s="5"/>
      <c r="I1515" s="4"/>
      <c r="J1515" s="4"/>
      <c r="K1515" s="5"/>
      <c r="Q1515" t="e">
        <f>VLOOKUP(A1515,'גיליון דאטה להכל'!A:E,5,0)</f>
        <v>#N/A</v>
      </c>
      <c r="R1515" t="e">
        <f>VLOOKUP(A1515,'לעדכן בסינתזה דאטה אריזה 42+24'!$A:$C,3,0)</f>
        <v>#N/A</v>
      </c>
      <c r="S1515" t="e">
        <f>VLOOKUP(#REF!,'מלאי לא תקין'!A:N,17,0)</f>
        <v>#REF!</v>
      </c>
      <c r="T1515" t="e">
        <f t="shared" si="48"/>
        <v>#REF!</v>
      </c>
      <c r="U1515" t="e">
        <f t="shared" si="49"/>
        <v>#REF!</v>
      </c>
    </row>
    <row r="1516" spans="4:21" x14ac:dyDescent="0.2">
      <c r="D1516" s="4"/>
      <c r="G1516" s="5"/>
      <c r="H1516" s="7"/>
      <c r="I1516" s="4"/>
      <c r="J1516" s="4"/>
      <c r="K1516" s="5"/>
      <c r="Q1516" t="e">
        <f>VLOOKUP(A1516,'גיליון דאטה להכל'!A:E,5,0)</f>
        <v>#N/A</v>
      </c>
      <c r="R1516" t="e">
        <f>VLOOKUP(A1516,'לעדכן בסינתזה דאטה אריזה 42+24'!$A:$C,3,0)</f>
        <v>#N/A</v>
      </c>
      <c r="S1516" t="e">
        <f>VLOOKUP(#REF!,'מלאי לא תקין'!A:N,17,0)</f>
        <v>#REF!</v>
      </c>
      <c r="T1516" t="e">
        <f t="shared" si="48"/>
        <v>#REF!</v>
      </c>
      <c r="U1516" t="e">
        <f t="shared" si="49"/>
        <v>#REF!</v>
      </c>
    </row>
    <row r="1517" spans="4:21" x14ac:dyDescent="0.2">
      <c r="D1517" s="4"/>
      <c r="G1517" s="5"/>
      <c r="H1517" s="5"/>
      <c r="I1517" s="4"/>
      <c r="J1517" s="4"/>
      <c r="K1517" s="5"/>
      <c r="Q1517" t="e">
        <f>VLOOKUP(A1517,'גיליון דאטה להכל'!A:E,5,0)</f>
        <v>#N/A</v>
      </c>
      <c r="R1517" t="e">
        <f>VLOOKUP(A1517,'לעדכן בסינתזה דאטה אריזה 42+24'!$A:$C,3,0)</f>
        <v>#N/A</v>
      </c>
      <c r="S1517" t="e">
        <f>VLOOKUP(#REF!,'מלאי לא תקין'!A:N,17,0)</f>
        <v>#REF!</v>
      </c>
      <c r="T1517" t="e">
        <f t="shared" si="48"/>
        <v>#REF!</v>
      </c>
      <c r="U1517" t="e">
        <f t="shared" si="49"/>
        <v>#REF!</v>
      </c>
    </row>
    <row r="1518" spans="4:21" x14ac:dyDescent="0.2">
      <c r="D1518" s="4"/>
      <c r="G1518" s="5"/>
      <c r="H1518" s="5"/>
      <c r="I1518" s="4"/>
      <c r="J1518" s="4"/>
      <c r="K1518" s="5"/>
      <c r="Q1518" t="e">
        <f>VLOOKUP(A1518,'גיליון דאטה להכל'!A:E,5,0)</f>
        <v>#N/A</v>
      </c>
      <c r="R1518" t="e">
        <f>VLOOKUP(A1518,'לעדכן בסינתזה דאטה אריזה 42+24'!$A:$C,3,0)</f>
        <v>#N/A</v>
      </c>
      <c r="S1518" t="e">
        <f>VLOOKUP(#REF!,'מלאי לא תקין'!A:N,17,0)</f>
        <v>#REF!</v>
      </c>
      <c r="T1518" t="e">
        <f t="shared" si="48"/>
        <v>#REF!</v>
      </c>
      <c r="U1518" t="e">
        <f t="shared" si="49"/>
        <v>#REF!</v>
      </c>
    </row>
    <row r="1519" spans="4:21" x14ac:dyDescent="0.2">
      <c r="D1519" s="4"/>
      <c r="G1519" s="5"/>
      <c r="H1519" s="5"/>
      <c r="I1519" s="4"/>
      <c r="J1519" s="4"/>
      <c r="K1519" s="5"/>
      <c r="Q1519" t="e">
        <f>VLOOKUP(A1519,'גיליון דאטה להכל'!A:E,5,0)</f>
        <v>#N/A</v>
      </c>
      <c r="R1519" t="e">
        <f>VLOOKUP(A1519,'לעדכן בסינתזה דאטה אריזה 42+24'!$A:$C,3,0)</f>
        <v>#N/A</v>
      </c>
      <c r="S1519" t="e">
        <f>VLOOKUP(#REF!,'מלאי לא תקין'!A:N,17,0)</f>
        <v>#REF!</v>
      </c>
      <c r="T1519" t="e">
        <f t="shared" si="48"/>
        <v>#REF!</v>
      </c>
      <c r="U1519" t="e">
        <f t="shared" si="49"/>
        <v>#REF!</v>
      </c>
    </row>
    <row r="1520" spans="4:21" x14ac:dyDescent="0.2">
      <c r="D1520" s="4"/>
      <c r="G1520" s="5"/>
      <c r="H1520" s="5"/>
      <c r="I1520" s="4"/>
      <c r="J1520" s="4"/>
      <c r="K1520" s="5"/>
      <c r="Q1520" t="e">
        <f>VLOOKUP(A1520,'גיליון דאטה להכל'!A:E,5,0)</f>
        <v>#N/A</v>
      </c>
      <c r="R1520" t="e">
        <f>VLOOKUP(A1520,'לעדכן בסינתזה דאטה אריזה 42+24'!$A:$C,3,0)</f>
        <v>#N/A</v>
      </c>
      <c r="S1520" t="e">
        <f>VLOOKUP(#REF!,'מלאי לא תקין'!A:N,17,0)</f>
        <v>#REF!</v>
      </c>
      <c r="T1520" t="e">
        <f t="shared" si="48"/>
        <v>#REF!</v>
      </c>
      <c r="U1520" t="e">
        <f t="shared" si="49"/>
        <v>#REF!</v>
      </c>
    </row>
    <row r="1521" spans="4:21" x14ac:dyDescent="0.2">
      <c r="D1521" s="4"/>
      <c r="G1521" s="5"/>
      <c r="H1521" s="7"/>
      <c r="I1521" s="4"/>
      <c r="J1521" s="4"/>
      <c r="K1521" s="5"/>
      <c r="Q1521" t="e">
        <f>VLOOKUP(A1521,'גיליון דאטה להכל'!A:E,5,0)</f>
        <v>#N/A</v>
      </c>
      <c r="R1521" t="e">
        <f>VLOOKUP(A1521,'לעדכן בסינתזה דאטה אריזה 42+24'!$A:$C,3,0)</f>
        <v>#N/A</v>
      </c>
      <c r="S1521" t="e">
        <f>VLOOKUP(#REF!,'מלאי לא תקין'!A:N,17,0)</f>
        <v>#REF!</v>
      </c>
      <c r="T1521" t="e">
        <f t="shared" si="48"/>
        <v>#REF!</v>
      </c>
      <c r="U1521" t="e">
        <f t="shared" si="49"/>
        <v>#REF!</v>
      </c>
    </row>
    <row r="1522" spans="4:21" x14ac:dyDescent="0.2">
      <c r="D1522" s="4"/>
      <c r="G1522" s="5"/>
      <c r="H1522" s="5"/>
      <c r="I1522" s="4"/>
      <c r="J1522" s="4"/>
      <c r="K1522" s="5"/>
      <c r="Q1522" t="e">
        <f>VLOOKUP(A1522,'גיליון דאטה להכל'!A:E,5,0)</f>
        <v>#N/A</v>
      </c>
      <c r="R1522" t="e">
        <f>VLOOKUP(A1522,'לעדכן בסינתזה דאטה אריזה 42+24'!$A:$C,3,0)</f>
        <v>#N/A</v>
      </c>
      <c r="S1522" t="e">
        <f>VLOOKUP(#REF!,'מלאי לא תקין'!A:N,17,0)</f>
        <v>#REF!</v>
      </c>
      <c r="T1522" t="e">
        <f t="shared" si="48"/>
        <v>#REF!</v>
      </c>
      <c r="U1522" t="e">
        <f t="shared" si="49"/>
        <v>#REF!</v>
      </c>
    </row>
    <row r="1523" spans="4:21" x14ac:dyDescent="0.2">
      <c r="D1523" s="4"/>
      <c r="G1523" s="5"/>
      <c r="H1523" s="5"/>
      <c r="I1523" s="4"/>
      <c r="J1523" s="4"/>
      <c r="K1523" s="5"/>
      <c r="Q1523" t="e">
        <f>VLOOKUP(A1523,'גיליון דאטה להכל'!A:E,5,0)</f>
        <v>#N/A</v>
      </c>
      <c r="R1523" t="e">
        <f>VLOOKUP(A1523,'לעדכן בסינתזה דאטה אריזה 42+24'!$A:$C,3,0)</f>
        <v>#N/A</v>
      </c>
      <c r="S1523" t="e">
        <f>VLOOKUP(#REF!,'מלאי לא תקין'!A:N,17,0)</f>
        <v>#REF!</v>
      </c>
      <c r="T1523" t="e">
        <f t="shared" si="48"/>
        <v>#REF!</v>
      </c>
      <c r="U1523" t="e">
        <f t="shared" si="49"/>
        <v>#REF!</v>
      </c>
    </row>
    <row r="1524" spans="4:21" x14ac:dyDescent="0.2">
      <c r="D1524" s="4"/>
      <c r="G1524" s="5"/>
      <c r="H1524" s="5"/>
      <c r="I1524" s="4"/>
      <c r="J1524" s="4"/>
      <c r="K1524" s="5"/>
      <c r="Q1524" t="e">
        <f>VLOOKUP(A1524,'גיליון דאטה להכל'!A:E,5,0)</f>
        <v>#N/A</v>
      </c>
      <c r="R1524" t="e">
        <f>VLOOKUP(A1524,'לעדכן בסינתזה דאטה אריזה 42+24'!$A:$C,3,0)</f>
        <v>#N/A</v>
      </c>
      <c r="S1524" t="e">
        <f>VLOOKUP(#REF!,'מלאי לא תקין'!A:N,17,0)</f>
        <v>#REF!</v>
      </c>
      <c r="T1524" t="e">
        <f t="shared" si="48"/>
        <v>#REF!</v>
      </c>
      <c r="U1524" t="e">
        <f t="shared" si="49"/>
        <v>#REF!</v>
      </c>
    </row>
    <row r="1525" spans="4:21" x14ac:dyDescent="0.2">
      <c r="D1525" s="4"/>
      <c r="G1525" s="5"/>
      <c r="H1525" s="5"/>
      <c r="I1525" s="4"/>
      <c r="J1525" s="4"/>
      <c r="K1525" s="5"/>
      <c r="Q1525" t="e">
        <f>VLOOKUP(A1525,'גיליון דאטה להכל'!A:E,5,0)</f>
        <v>#N/A</v>
      </c>
      <c r="R1525" t="e">
        <f>VLOOKUP(A1525,'לעדכן בסינתזה דאטה אריזה 42+24'!$A:$C,3,0)</f>
        <v>#N/A</v>
      </c>
      <c r="S1525" t="e">
        <f>VLOOKUP(#REF!,'מלאי לא תקין'!A:N,17,0)</f>
        <v>#REF!</v>
      </c>
      <c r="T1525" t="e">
        <f t="shared" ref="T1525:T1588" si="50">_xlfn.CONCAT(S1525,Q1525)</f>
        <v>#REF!</v>
      </c>
      <c r="U1525" t="e">
        <f t="shared" ref="U1525:U1588" si="51">_xlfn.CONCAT(S1525,O1525)</f>
        <v>#REF!</v>
      </c>
    </row>
    <row r="1526" spans="4:21" x14ac:dyDescent="0.2">
      <c r="D1526" s="4"/>
      <c r="G1526" s="5"/>
      <c r="H1526" s="7"/>
      <c r="I1526" s="4"/>
      <c r="J1526" s="4"/>
      <c r="K1526" s="5"/>
      <c r="Q1526" t="e">
        <f>VLOOKUP(A1526,'גיליון דאטה להכל'!A:E,5,0)</f>
        <v>#N/A</v>
      </c>
      <c r="R1526" t="e">
        <f>VLOOKUP(A1526,'לעדכן בסינתזה דאטה אריזה 42+24'!$A:$C,3,0)</f>
        <v>#N/A</v>
      </c>
      <c r="S1526" t="e">
        <f>VLOOKUP(#REF!,'מלאי לא תקין'!A:N,17,0)</f>
        <v>#REF!</v>
      </c>
      <c r="T1526" t="e">
        <f t="shared" si="50"/>
        <v>#REF!</v>
      </c>
      <c r="U1526" t="e">
        <f t="shared" si="51"/>
        <v>#REF!</v>
      </c>
    </row>
    <row r="1527" spans="4:21" x14ac:dyDescent="0.2">
      <c r="D1527" s="4"/>
      <c r="G1527" s="5"/>
      <c r="H1527" s="5"/>
      <c r="I1527" s="4"/>
      <c r="J1527" s="4"/>
      <c r="K1527" s="5"/>
      <c r="Q1527" t="e">
        <f>VLOOKUP(A1527,'גיליון דאטה להכל'!A:E,5,0)</f>
        <v>#N/A</v>
      </c>
      <c r="R1527" t="e">
        <f>VLOOKUP(A1527,'לעדכן בסינתזה דאטה אריזה 42+24'!$A:$C,3,0)</f>
        <v>#N/A</v>
      </c>
      <c r="S1527" t="e">
        <f>VLOOKUP(#REF!,'מלאי לא תקין'!A:N,17,0)</f>
        <v>#REF!</v>
      </c>
      <c r="T1527" t="e">
        <f t="shared" si="50"/>
        <v>#REF!</v>
      </c>
      <c r="U1527" t="e">
        <f t="shared" si="51"/>
        <v>#REF!</v>
      </c>
    </row>
    <row r="1528" spans="4:21" x14ac:dyDescent="0.2">
      <c r="D1528" s="4"/>
      <c r="G1528" s="5"/>
      <c r="H1528" s="5"/>
      <c r="I1528" s="4"/>
      <c r="J1528" s="4"/>
      <c r="K1528" s="5"/>
      <c r="Q1528" t="e">
        <f>VLOOKUP(A1528,'גיליון דאטה להכל'!A:E,5,0)</f>
        <v>#N/A</v>
      </c>
      <c r="R1528" t="e">
        <f>VLOOKUP(A1528,'לעדכן בסינתזה דאטה אריזה 42+24'!$A:$C,3,0)</f>
        <v>#N/A</v>
      </c>
      <c r="S1528" t="e">
        <f>VLOOKUP(#REF!,'מלאי לא תקין'!A:N,17,0)</f>
        <v>#REF!</v>
      </c>
      <c r="T1528" t="e">
        <f t="shared" si="50"/>
        <v>#REF!</v>
      </c>
      <c r="U1528" t="e">
        <f t="shared" si="51"/>
        <v>#REF!</v>
      </c>
    </row>
    <row r="1529" spans="4:21" x14ac:dyDescent="0.2">
      <c r="D1529" s="4"/>
      <c r="G1529" s="5"/>
      <c r="H1529" s="5"/>
      <c r="I1529" s="4"/>
      <c r="J1529" s="4"/>
      <c r="K1529" s="5"/>
      <c r="Q1529" t="e">
        <f>VLOOKUP(A1529,'גיליון דאטה להכל'!A:E,5,0)</f>
        <v>#N/A</v>
      </c>
      <c r="R1529" t="e">
        <f>VLOOKUP(A1529,'לעדכן בסינתזה דאטה אריזה 42+24'!$A:$C,3,0)</f>
        <v>#N/A</v>
      </c>
      <c r="S1529" t="e">
        <f>VLOOKUP(#REF!,'מלאי לא תקין'!A:N,17,0)</f>
        <v>#REF!</v>
      </c>
      <c r="T1529" t="e">
        <f t="shared" si="50"/>
        <v>#REF!</v>
      </c>
      <c r="U1529" t="e">
        <f t="shared" si="51"/>
        <v>#REF!</v>
      </c>
    </row>
    <row r="1530" spans="4:21" x14ac:dyDescent="0.2">
      <c r="D1530" s="4"/>
      <c r="G1530" s="5"/>
      <c r="H1530" s="5"/>
      <c r="I1530" s="4"/>
      <c r="J1530" s="4"/>
      <c r="K1530" s="5"/>
      <c r="Q1530" t="e">
        <f>VLOOKUP(A1530,'גיליון דאטה להכל'!A:E,5,0)</f>
        <v>#N/A</v>
      </c>
      <c r="R1530" t="e">
        <f>VLOOKUP(A1530,'לעדכן בסינתזה דאטה אריזה 42+24'!$A:$C,3,0)</f>
        <v>#N/A</v>
      </c>
      <c r="S1530" t="e">
        <f>VLOOKUP(#REF!,'מלאי לא תקין'!A:N,17,0)</f>
        <v>#REF!</v>
      </c>
      <c r="T1530" t="e">
        <f t="shared" si="50"/>
        <v>#REF!</v>
      </c>
      <c r="U1530" t="e">
        <f t="shared" si="51"/>
        <v>#REF!</v>
      </c>
    </row>
    <row r="1531" spans="4:21" x14ac:dyDescent="0.2">
      <c r="D1531" s="4"/>
      <c r="G1531" s="5"/>
      <c r="H1531" s="7"/>
      <c r="I1531" s="4"/>
      <c r="J1531" s="4"/>
      <c r="K1531" s="5"/>
      <c r="Q1531" t="e">
        <f>VLOOKUP(A1531,'גיליון דאטה להכל'!A:E,5,0)</f>
        <v>#N/A</v>
      </c>
      <c r="R1531" t="e">
        <f>VLOOKUP(A1531,'לעדכן בסינתזה דאטה אריזה 42+24'!$A:$C,3,0)</f>
        <v>#N/A</v>
      </c>
      <c r="S1531" t="e">
        <f>VLOOKUP(#REF!,'מלאי לא תקין'!A:N,17,0)</f>
        <v>#REF!</v>
      </c>
      <c r="T1531" t="e">
        <f t="shared" si="50"/>
        <v>#REF!</v>
      </c>
      <c r="U1531" t="e">
        <f t="shared" si="51"/>
        <v>#REF!</v>
      </c>
    </row>
    <row r="1532" spans="4:21" x14ac:dyDescent="0.2">
      <c r="D1532" s="4"/>
      <c r="G1532" s="5"/>
      <c r="H1532" s="5"/>
      <c r="I1532" s="4"/>
      <c r="J1532" s="4"/>
      <c r="K1532" s="5"/>
      <c r="Q1532" t="e">
        <f>VLOOKUP(A1532,'גיליון דאטה להכל'!A:E,5,0)</f>
        <v>#N/A</v>
      </c>
      <c r="R1532" t="e">
        <f>VLOOKUP(A1532,'לעדכן בסינתזה דאטה אריזה 42+24'!$A:$C,3,0)</f>
        <v>#N/A</v>
      </c>
      <c r="S1532" t="e">
        <f>VLOOKUP(#REF!,'מלאי לא תקין'!A:N,17,0)</f>
        <v>#REF!</v>
      </c>
      <c r="T1532" t="e">
        <f t="shared" si="50"/>
        <v>#REF!</v>
      </c>
      <c r="U1532" t="e">
        <f t="shared" si="51"/>
        <v>#REF!</v>
      </c>
    </row>
    <row r="1533" spans="4:21" x14ac:dyDescent="0.2">
      <c r="D1533" s="4"/>
      <c r="G1533" s="5"/>
      <c r="H1533" s="5"/>
      <c r="I1533" s="4"/>
      <c r="J1533" s="4"/>
      <c r="K1533" s="5"/>
      <c r="Q1533" t="e">
        <f>VLOOKUP(A1533,'גיליון דאטה להכל'!A:E,5,0)</f>
        <v>#N/A</v>
      </c>
      <c r="R1533" t="e">
        <f>VLOOKUP(A1533,'לעדכן בסינתזה דאטה אריזה 42+24'!$A:$C,3,0)</f>
        <v>#N/A</v>
      </c>
      <c r="S1533" t="e">
        <f>VLOOKUP(#REF!,'מלאי לא תקין'!A:N,17,0)</f>
        <v>#REF!</v>
      </c>
      <c r="T1533" t="e">
        <f t="shared" si="50"/>
        <v>#REF!</v>
      </c>
      <c r="U1533" t="e">
        <f t="shared" si="51"/>
        <v>#REF!</v>
      </c>
    </row>
    <row r="1534" spans="4:21" x14ac:dyDescent="0.2">
      <c r="D1534" s="4"/>
      <c r="G1534" s="5"/>
      <c r="H1534" s="5"/>
      <c r="I1534" s="4"/>
      <c r="J1534" s="4"/>
      <c r="K1534" s="5"/>
      <c r="Q1534" t="e">
        <f>VLOOKUP(A1534,'גיליון דאטה להכל'!A:E,5,0)</f>
        <v>#N/A</v>
      </c>
      <c r="R1534" t="e">
        <f>VLOOKUP(A1534,'לעדכן בסינתזה דאטה אריזה 42+24'!$A:$C,3,0)</f>
        <v>#N/A</v>
      </c>
      <c r="S1534" t="e">
        <f>VLOOKUP(#REF!,'מלאי לא תקין'!A:N,17,0)</f>
        <v>#REF!</v>
      </c>
      <c r="T1534" t="e">
        <f t="shared" si="50"/>
        <v>#REF!</v>
      </c>
      <c r="U1534" t="e">
        <f t="shared" si="51"/>
        <v>#REF!</v>
      </c>
    </row>
    <row r="1535" spans="4:21" x14ac:dyDescent="0.2">
      <c r="D1535" s="4"/>
      <c r="G1535" s="5"/>
      <c r="H1535" s="5"/>
      <c r="I1535" s="4"/>
      <c r="J1535" s="4"/>
      <c r="K1535" s="5"/>
      <c r="Q1535" t="e">
        <f>VLOOKUP(A1535,'גיליון דאטה להכל'!A:E,5,0)</f>
        <v>#N/A</v>
      </c>
      <c r="R1535" t="e">
        <f>VLOOKUP(A1535,'לעדכן בסינתזה דאטה אריזה 42+24'!$A:$C,3,0)</f>
        <v>#N/A</v>
      </c>
      <c r="S1535" t="e">
        <f>VLOOKUP(#REF!,'מלאי לא תקין'!A:N,17,0)</f>
        <v>#REF!</v>
      </c>
      <c r="T1535" t="e">
        <f t="shared" si="50"/>
        <v>#REF!</v>
      </c>
      <c r="U1535" t="e">
        <f t="shared" si="51"/>
        <v>#REF!</v>
      </c>
    </row>
    <row r="1536" spans="4:21" x14ac:dyDescent="0.2">
      <c r="D1536" s="4"/>
      <c r="G1536" s="5"/>
      <c r="H1536" s="7"/>
      <c r="I1536" s="4"/>
      <c r="J1536" s="4"/>
      <c r="K1536" s="5"/>
      <c r="Q1536" t="e">
        <f>VLOOKUP(A1536,'גיליון דאטה להכל'!A:E,5,0)</f>
        <v>#N/A</v>
      </c>
      <c r="R1536" t="e">
        <f>VLOOKUP(A1536,'לעדכן בסינתזה דאטה אריזה 42+24'!$A:$C,3,0)</f>
        <v>#N/A</v>
      </c>
      <c r="S1536" t="e">
        <f>VLOOKUP(#REF!,'מלאי לא תקין'!A:N,17,0)</f>
        <v>#REF!</v>
      </c>
      <c r="T1536" t="e">
        <f t="shared" si="50"/>
        <v>#REF!</v>
      </c>
      <c r="U1536" t="e">
        <f t="shared" si="51"/>
        <v>#REF!</v>
      </c>
    </row>
    <row r="1537" spans="4:21" x14ac:dyDescent="0.2">
      <c r="D1537" s="4"/>
      <c r="G1537" s="5"/>
      <c r="H1537" s="5"/>
      <c r="I1537" s="4"/>
      <c r="J1537" s="4"/>
      <c r="K1537" s="5"/>
      <c r="Q1537" t="e">
        <f>VLOOKUP(A1537,'גיליון דאטה להכל'!A:E,5,0)</f>
        <v>#N/A</v>
      </c>
      <c r="R1537" t="e">
        <f>VLOOKUP(A1537,'לעדכן בסינתזה דאטה אריזה 42+24'!$A:$C,3,0)</f>
        <v>#N/A</v>
      </c>
      <c r="S1537" t="e">
        <f>VLOOKUP(#REF!,'מלאי לא תקין'!A:N,17,0)</f>
        <v>#REF!</v>
      </c>
      <c r="T1537" t="e">
        <f t="shared" si="50"/>
        <v>#REF!</v>
      </c>
      <c r="U1537" t="e">
        <f t="shared" si="51"/>
        <v>#REF!</v>
      </c>
    </row>
    <row r="1538" spans="4:21" x14ac:dyDescent="0.2">
      <c r="D1538" s="4"/>
      <c r="G1538" s="5"/>
      <c r="H1538" s="5"/>
      <c r="I1538" s="4"/>
      <c r="J1538" s="4"/>
      <c r="K1538" s="5"/>
      <c r="Q1538" t="e">
        <f>VLOOKUP(A1538,'גיליון דאטה להכל'!A:E,5,0)</f>
        <v>#N/A</v>
      </c>
      <c r="R1538" t="e">
        <f>VLOOKUP(A1538,'לעדכן בסינתזה דאטה אריזה 42+24'!$A:$C,3,0)</f>
        <v>#N/A</v>
      </c>
      <c r="S1538" t="e">
        <f>VLOOKUP(#REF!,'מלאי לא תקין'!A:N,17,0)</f>
        <v>#REF!</v>
      </c>
      <c r="T1538" t="e">
        <f t="shared" si="50"/>
        <v>#REF!</v>
      </c>
      <c r="U1538" t="e">
        <f t="shared" si="51"/>
        <v>#REF!</v>
      </c>
    </row>
    <row r="1539" spans="4:21" x14ac:dyDescent="0.2">
      <c r="D1539" s="4"/>
      <c r="G1539" s="5"/>
      <c r="H1539" s="5"/>
      <c r="I1539" s="4"/>
      <c r="J1539" s="4"/>
      <c r="K1539" s="5"/>
      <c r="Q1539" t="e">
        <f>VLOOKUP(A1539,'גיליון דאטה להכל'!A:E,5,0)</f>
        <v>#N/A</v>
      </c>
      <c r="R1539" t="e">
        <f>VLOOKUP(A1539,'לעדכן בסינתזה דאטה אריזה 42+24'!$A:$C,3,0)</f>
        <v>#N/A</v>
      </c>
      <c r="S1539" t="e">
        <f>VLOOKUP(#REF!,'מלאי לא תקין'!A:N,17,0)</f>
        <v>#REF!</v>
      </c>
      <c r="T1539" t="e">
        <f t="shared" si="50"/>
        <v>#REF!</v>
      </c>
      <c r="U1539" t="e">
        <f t="shared" si="51"/>
        <v>#REF!</v>
      </c>
    </row>
    <row r="1540" spans="4:21" x14ac:dyDescent="0.2">
      <c r="D1540" s="4"/>
      <c r="G1540" s="5"/>
      <c r="H1540" s="5"/>
      <c r="I1540" s="4"/>
      <c r="J1540" s="4"/>
      <c r="K1540" s="5"/>
      <c r="Q1540" t="e">
        <f>VLOOKUP(A1540,'גיליון דאטה להכל'!A:E,5,0)</f>
        <v>#N/A</v>
      </c>
      <c r="R1540" t="e">
        <f>VLOOKUP(A1540,'לעדכן בסינתזה דאטה אריזה 42+24'!$A:$C,3,0)</f>
        <v>#N/A</v>
      </c>
      <c r="S1540" t="e">
        <f>VLOOKUP(#REF!,'מלאי לא תקין'!A:N,17,0)</f>
        <v>#REF!</v>
      </c>
      <c r="T1540" t="e">
        <f t="shared" si="50"/>
        <v>#REF!</v>
      </c>
      <c r="U1540" t="e">
        <f t="shared" si="51"/>
        <v>#REF!</v>
      </c>
    </row>
    <row r="1541" spans="4:21" x14ac:dyDescent="0.2">
      <c r="D1541" s="4"/>
      <c r="G1541" s="5"/>
      <c r="H1541" s="7"/>
      <c r="I1541" s="4"/>
      <c r="J1541" s="4"/>
      <c r="K1541" s="5"/>
      <c r="Q1541" t="e">
        <f>VLOOKUP(A1541,'גיליון דאטה להכל'!A:E,5,0)</f>
        <v>#N/A</v>
      </c>
      <c r="R1541" t="e">
        <f>VLOOKUP(A1541,'לעדכן בסינתזה דאטה אריזה 42+24'!$A:$C,3,0)</f>
        <v>#N/A</v>
      </c>
      <c r="S1541" t="e">
        <f>VLOOKUP(#REF!,'מלאי לא תקין'!A:N,17,0)</f>
        <v>#REF!</v>
      </c>
      <c r="T1541" t="e">
        <f t="shared" si="50"/>
        <v>#REF!</v>
      </c>
      <c r="U1541" t="e">
        <f t="shared" si="51"/>
        <v>#REF!</v>
      </c>
    </row>
    <row r="1542" spans="4:21" x14ac:dyDescent="0.2">
      <c r="D1542" s="4"/>
      <c r="G1542" s="5"/>
      <c r="H1542" s="5"/>
      <c r="I1542" s="4"/>
      <c r="J1542" s="4"/>
      <c r="K1542" s="5"/>
      <c r="Q1542" t="e">
        <f>VLOOKUP(A1542,'גיליון דאטה להכל'!A:E,5,0)</f>
        <v>#N/A</v>
      </c>
      <c r="R1542" t="e">
        <f>VLOOKUP(A1542,'לעדכן בסינתזה דאטה אריזה 42+24'!$A:$C,3,0)</f>
        <v>#N/A</v>
      </c>
      <c r="S1542" t="e">
        <f>VLOOKUP(#REF!,'מלאי לא תקין'!A:N,17,0)</f>
        <v>#REF!</v>
      </c>
      <c r="T1542" t="e">
        <f t="shared" si="50"/>
        <v>#REF!</v>
      </c>
      <c r="U1542" t="e">
        <f t="shared" si="51"/>
        <v>#REF!</v>
      </c>
    </row>
    <row r="1543" spans="4:21" x14ac:dyDescent="0.2">
      <c r="D1543" s="4"/>
      <c r="G1543" s="5"/>
      <c r="H1543" s="5"/>
      <c r="I1543" s="4"/>
      <c r="J1543" s="4"/>
      <c r="K1543" s="5"/>
      <c r="Q1543" t="e">
        <f>VLOOKUP(A1543,'גיליון דאטה להכל'!A:E,5,0)</f>
        <v>#N/A</v>
      </c>
      <c r="R1543" t="e">
        <f>VLOOKUP(A1543,'לעדכן בסינתזה דאטה אריזה 42+24'!$A:$C,3,0)</f>
        <v>#N/A</v>
      </c>
      <c r="S1543" t="e">
        <f>VLOOKUP(#REF!,'מלאי לא תקין'!A:N,17,0)</f>
        <v>#REF!</v>
      </c>
      <c r="T1543" t="e">
        <f t="shared" si="50"/>
        <v>#REF!</v>
      </c>
      <c r="U1543" t="e">
        <f t="shared" si="51"/>
        <v>#REF!</v>
      </c>
    </row>
    <row r="1544" spans="4:21" x14ac:dyDescent="0.2">
      <c r="D1544" s="4"/>
      <c r="G1544" s="5"/>
      <c r="H1544" s="5"/>
      <c r="I1544" s="4"/>
      <c r="J1544" s="4"/>
      <c r="K1544" s="5"/>
      <c r="Q1544" t="e">
        <f>VLOOKUP(A1544,'גיליון דאטה להכל'!A:E,5,0)</f>
        <v>#N/A</v>
      </c>
      <c r="R1544" t="e">
        <f>VLOOKUP(A1544,'לעדכן בסינתזה דאטה אריזה 42+24'!$A:$C,3,0)</f>
        <v>#N/A</v>
      </c>
      <c r="S1544" t="e">
        <f>VLOOKUP(#REF!,'מלאי לא תקין'!A:N,17,0)</f>
        <v>#REF!</v>
      </c>
      <c r="T1544" t="e">
        <f t="shared" si="50"/>
        <v>#REF!</v>
      </c>
      <c r="U1544" t="e">
        <f t="shared" si="51"/>
        <v>#REF!</v>
      </c>
    </row>
    <row r="1545" spans="4:21" x14ac:dyDescent="0.2">
      <c r="D1545" s="4"/>
      <c r="G1545" s="5"/>
      <c r="H1545" s="5"/>
      <c r="I1545" s="4"/>
      <c r="J1545" s="4"/>
      <c r="K1545" s="5"/>
      <c r="Q1545" t="e">
        <f>VLOOKUP(A1545,'גיליון דאטה להכל'!A:E,5,0)</f>
        <v>#N/A</v>
      </c>
      <c r="R1545" t="e">
        <f>VLOOKUP(A1545,'לעדכן בסינתזה דאטה אריזה 42+24'!$A:$C,3,0)</f>
        <v>#N/A</v>
      </c>
      <c r="S1545" t="e">
        <f>VLOOKUP(#REF!,'מלאי לא תקין'!A:N,17,0)</f>
        <v>#REF!</v>
      </c>
      <c r="T1545" t="e">
        <f t="shared" si="50"/>
        <v>#REF!</v>
      </c>
      <c r="U1545" t="e">
        <f t="shared" si="51"/>
        <v>#REF!</v>
      </c>
    </row>
    <row r="1546" spans="4:21" x14ac:dyDescent="0.2">
      <c r="D1546" s="4"/>
      <c r="G1546" s="5"/>
      <c r="H1546" s="7"/>
      <c r="I1546" s="4"/>
      <c r="J1546" s="4"/>
      <c r="K1546" s="5"/>
      <c r="Q1546" t="e">
        <f>VLOOKUP(A1546,'גיליון דאטה להכל'!A:E,5,0)</f>
        <v>#N/A</v>
      </c>
      <c r="R1546" t="e">
        <f>VLOOKUP(A1546,'לעדכן בסינתזה דאטה אריזה 42+24'!$A:$C,3,0)</f>
        <v>#N/A</v>
      </c>
      <c r="S1546" t="e">
        <f>VLOOKUP(#REF!,'מלאי לא תקין'!A:N,17,0)</f>
        <v>#REF!</v>
      </c>
      <c r="T1546" t="e">
        <f t="shared" si="50"/>
        <v>#REF!</v>
      </c>
      <c r="U1546" t="e">
        <f t="shared" si="51"/>
        <v>#REF!</v>
      </c>
    </row>
    <row r="1547" spans="4:21" x14ac:dyDescent="0.2">
      <c r="D1547" s="4"/>
      <c r="G1547" s="5"/>
      <c r="H1547" s="5"/>
      <c r="I1547" s="4"/>
      <c r="J1547" s="4"/>
      <c r="K1547" s="5"/>
      <c r="Q1547" t="e">
        <f>VLOOKUP(A1547,'גיליון דאטה להכל'!A:E,5,0)</f>
        <v>#N/A</v>
      </c>
      <c r="R1547" t="e">
        <f>VLOOKUP(A1547,'לעדכן בסינתזה דאטה אריזה 42+24'!$A:$C,3,0)</f>
        <v>#N/A</v>
      </c>
      <c r="S1547" t="e">
        <f>VLOOKUP(#REF!,'מלאי לא תקין'!A:N,17,0)</f>
        <v>#REF!</v>
      </c>
      <c r="T1547" t="e">
        <f t="shared" si="50"/>
        <v>#REF!</v>
      </c>
      <c r="U1547" t="e">
        <f t="shared" si="51"/>
        <v>#REF!</v>
      </c>
    </row>
    <row r="1548" spans="4:21" x14ac:dyDescent="0.2">
      <c r="D1548" s="4"/>
      <c r="G1548" s="5"/>
      <c r="H1548" s="5"/>
      <c r="I1548" s="4"/>
      <c r="J1548" s="4"/>
      <c r="K1548" s="5"/>
      <c r="Q1548" t="e">
        <f>VLOOKUP(A1548,'גיליון דאטה להכל'!A:E,5,0)</f>
        <v>#N/A</v>
      </c>
      <c r="R1548" t="e">
        <f>VLOOKUP(A1548,'לעדכן בסינתזה דאטה אריזה 42+24'!$A:$C,3,0)</f>
        <v>#N/A</v>
      </c>
      <c r="S1548" t="e">
        <f>VLOOKUP(#REF!,'מלאי לא תקין'!A:N,17,0)</f>
        <v>#REF!</v>
      </c>
      <c r="T1548" t="e">
        <f t="shared" si="50"/>
        <v>#REF!</v>
      </c>
      <c r="U1548" t="e">
        <f t="shared" si="51"/>
        <v>#REF!</v>
      </c>
    </row>
    <row r="1549" spans="4:21" x14ac:dyDescent="0.2">
      <c r="D1549" s="4"/>
      <c r="G1549" s="5"/>
      <c r="H1549" s="5"/>
      <c r="I1549" s="4"/>
      <c r="J1549" s="4"/>
      <c r="K1549" s="5"/>
      <c r="Q1549" t="e">
        <f>VLOOKUP(A1549,'גיליון דאטה להכל'!A:E,5,0)</f>
        <v>#N/A</v>
      </c>
      <c r="R1549" t="e">
        <f>VLOOKUP(A1549,'לעדכן בסינתזה דאטה אריזה 42+24'!$A:$C,3,0)</f>
        <v>#N/A</v>
      </c>
      <c r="S1549" t="e">
        <f>VLOOKUP(#REF!,'מלאי לא תקין'!A:N,17,0)</f>
        <v>#REF!</v>
      </c>
      <c r="T1549" t="e">
        <f t="shared" si="50"/>
        <v>#REF!</v>
      </c>
      <c r="U1549" t="e">
        <f t="shared" si="51"/>
        <v>#REF!</v>
      </c>
    </row>
    <row r="1550" spans="4:21" x14ac:dyDescent="0.2">
      <c r="D1550" s="4"/>
      <c r="G1550" s="5"/>
      <c r="H1550" s="5"/>
      <c r="I1550" s="4"/>
      <c r="J1550" s="4"/>
      <c r="K1550" s="5"/>
      <c r="Q1550" t="e">
        <f>VLOOKUP(A1550,'גיליון דאטה להכל'!A:E,5,0)</f>
        <v>#N/A</v>
      </c>
      <c r="R1550" t="e">
        <f>VLOOKUP(A1550,'לעדכן בסינתזה דאטה אריזה 42+24'!$A:$C,3,0)</f>
        <v>#N/A</v>
      </c>
      <c r="S1550" t="e">
        <f>VLOOKUP(#REF!,'מלאי לא תקין'!A:N,17,0)</f>
        <v>#REF!</v>
      </c>
      <c r="T1550" t="e">
        <f t="shared" si="50"/>
        <v>#REF!</v>
      </c>
      <c r="U1550" t="e">
        <f t="shared" si="51"/>
        <v>#REF!</v>
      </c>
    </row>
    <row r="1551" spans="4:21" x14ac:dyDescent="0.2">
      <c r="D1551" s="4"/>
      <c r="G1551" s="5"/>
      <c r="H1551" s="7"/>
      <c r="I1551" s="4"/>
      <c r="J1551" s="4"/>
      <c r="K1551" s="5"/>
      <c r="Q1551" t="e">
        <f>VLOOKUP(A1551,'גיליון דאטה להכל'!A:E,5,0)</f>
        <v>#N/A</v>
      </c>
      <c r="R1551" t="e">
        <f>VLOOKUP(A1551,'לעדכן בסינתזה דאטה אריזה 42+24'!$A:$C,3,0)</f>
        <v>#N/A</v>
      </c>
      <c r="S1551" t="e">
        <f>VLOOKUP(#REF!,'מלאי לא תקין'!A:N,17,0)</f>
        <v>#REF!</v>
      </c>
      <c r="T1551" t="e">
        <f t="shared" si="50"/>
        <v>#REF!</v>
      </c>
      <c r="U1551" t="e">
        <f t="shared" si="51"/>
        <v>#REF!</v>
      </c>
    </row>
    <row r="1552" spans="4:21" x14ac:dyDescent="0.2">
      <c r="D1552" s="4"/>
      <c r="G1552" s="5"/>
      <c r="H1552" s="5"/>
      <c r="I1552" s="4"/>
      <c r="J1552" s="4"/>
      <c r="K1552" s="5"/>
      <c r="Q1552" t="e">
        <f>VLOOKUP(A1552,'גיליון דאטה להכל'!A:E,5,0)</f>
        <v>#N/A</v>
      </c>
      <c r="R1552" t="e">
        <f>VLOOKUP(A1552,'לעדכן בסינתזה דאטה אריזה 42+24'!$A:$C,3,0)</f>
        <v>#N/A</v>
      </c>
      <c r="S1552" t="e">
        <f>VLOOKUP(#REF!,'מלאי לא תקין'!A:N,17,0)</f>
        <v>#REF!</v>
      </c>
      <c r="T1552" t="e">
        <f t="shared" si="50"/>
        <v>#REF!</v>
      </c>
      <c r="U1552" t="e">
        <f t="shared" si="51"/>
        <v>#REF!</v>
      </c>
    </row>
    <row r="1553" spans="4:21" x14ac:dyDescent="0.2">
      <c r="D1553" s="4"/>
      <c r="G1553" s="5"/>
      <c r="H1553" s="5"/>
      <c r="I1553" s="4"/>
      <c r="J1553" s="4"/>
      <c r="K1553" s="5"/>
      <c r="Q1553" t="e">
        <f>VLOOKUP(A1553,'גיליון דאטה להכל'!A:E,5,0)</f>
        <v>#N/A</v>
      </c>
      <c r="R1553" t="e">
        <f>VLOOKUP(A1553,'לעדכן בסינתזה דאטה אריזה 42+24'!$A:$C,3,0)</f>
        <v>#N/A</v>
      </c>
      <c r="S1553" t="e">
        <f>VLOOKUP(#REF!,'מלאי לא תקין'!A:N,17,0)</f>
        <v>#REF!</v>
      </c>
      <c r="T1553" t="e">
        <f t="shared" si="50"/>
        <v>#REF!</v>
      </c>
      <c r="U1553" t="e">
        <f t="shared" si="51"/>
        <v>#REF!</v>
      </c>
    </row>
    <row r="1554" spans="4:21" x14ac:dyDescent="0.2">
      <c r="D1554" s="4"/>
      <c r="G1554" s="5"/>
      <c r="H1554" s="5"/>
      <c r="I1554" s="4"/>
      <c r="J1554" s="4"/>
      <c r="K1554" s="5"/>
      <c r="Q1554" t="e">
        <f>VLOOKUP(A1554,'גיליון דאטה להכל'!A:E,5,0)</f>
        <v>#N/A</v>
      </c>
      <c r="R1554" t="e">
        <f>VLOOKUP(A1554,'לעדכן בסינתזה דאטה אריזה 42+24'!$A:$C,3,0)</f>
        <v>#N/A</v>
      </c>
      <c r="S1554" t="e">
        <f>VLOOKUP(#REF!,'מלאי לא תקין'!A:N,17,0)</f>
        <v>#REF!</v>
      </c>
      <c r="T1554" t="e">
        <f t="shared" si="50"/>
        <v>#REF!</v>
      </c>
      <c r="U1554" t="e">
        <f t="shared" si="51"/>
        <v>#REF!</v>
      </c>
    </row>
    <row r="1555" spans="4:21" x14ac:dyDescent="0.2">
      <c r="D1555" s="4"/>
      <c r="G1555" s="5"/>
      <c r="H1555" s="5"/>
      <c r="I1555" s="4"/>
      <c r="J1555" s="4"/>
      <c r="K1555" s="5"/>
      <c r="Q1555" t="e">
        <f>VLOOKUP(A1555,'גיליון דאטה להכל'!A:E,5,0)</f>
        <v>#N/A</v>
      </c>
      <c r="R1555" t="e">
        <f>VLOOKUP(A1555,'לעדכן בסינתזה דאטה אריזה 42+24'!$A:$C,3,0)</f>
        <v>#N/A</v>
      </c>
      <c r="S1555" t="e">
        <f>VLOOKUP(#REF!,'מלאי לא תקין'!A:N,17,0)</f>
        <v>#REF!</v>
      </c>
      <c r="T1555" t="e">
        <f t="shared" si="50"/>
        <v>#REF!</v>
      </c>
      <c r="U1555" t="e">
        <f t="shared" si="51"/>
        <v>#REF!</v>
      </c>
    </row>
    <row r="1556" spans="4:21" x14ac:dyDescent="0.2">
      <c r="D1556" s="4"/>
      <c r="G1556" s="5"/>
      <c r="H1556" s="7"/>
      <c r="I1556" s="4"/>
      <c r="J1556" s="4"/>
      <c r="K1556" s="5"/>
      <c r="Q1556" t="e">
        <f>VLOOKUP(A1556,'גיליון דאטה להכל'!A:E,5,0)</f>
        <v>#N/A</v>
      </c>
      <c r="R1556" t="e">
        <f>VLOOKUP(A1556,'לעדכן בסינתזה דאטה אריזה 42+24'!$A:$C,3,0)</f>
        <v>#N/A</v>
      </c>
      <c r="S1556" t="e">
        <f>VLOOKUP(#REF!,'מלאי לא תקין'!A:N,17,0)</f>
        <v>#REF!</v>
      </c>
      <c r="T1556" t="e">
        <f t="shared" si="50"/>
        <v>#REF!</v>
      </c>
      <c r="U1556" t="e">
        <f t="shared" si="51"/>
        <v>#REF!</v>
      </c>
    </row>
    <row r="1557" spans="4:21" x14ac:dyDescent="0.2">
      <c r="D1557" s="4"/>
      <c r="G1557" s="5"/>
      <c r="H1557" s="5"/>
      <c r="I1557" s="4"/>
      <c r="J1557" s="4"/>
      <c r="K1557" s="5"/>
      <c r="Q1557" t="e">
        <f>VLOOKUP(A1557,'גיליון דאטה להכל'!A:E,5,0)</f>
        <v>#N/A</v>
      </c>
      <c r="R1557" t="e">
        <f>VLOOKUP(A1557,'לעדכן בסינתזה דאטה אריזה 42+24'!$A:$C,3,0)</f>
        <v>#N/A</v>
      </c>
      <c r="S1557" t="e">
        <f>VLOOKUP(#REF!,'מלאי לא תקין'!A:N,17,0)</f>
        <v>#REF!</v>
      </c>
      <c r="T1557" t="e">
        <f t="shared" si="50"/>
        <v>#REF!</v>
      </c>
      <c r="U1557" t="e">
        <f t="shared" si="51"/>
        <v>#REF!</v>
      </c>
    </row>
    <row r="1558" spans="4:21" x14ac:dyDescent="0.2">
      <c r="D1558" s="4"/>
      <c r="G1558" s="5"/>
      <c r="H1558" s="5"/>
      <c r="I1558" s="4"/>
      <c r="J1558" s="4"/>
      <c r="K1558" s="5"/>
      <c r="Q1558" t="e">
        <f>VLOOKUP(A1558,'גיליון דאטה להכל'!A:E,5,0)</f>
        <v>#N/A</v>
      </c>
      <c r="R1558" t="e">
        <f>VLOOKUP(A1558,'לעדכן בסינתזה דאטה אריזה 42+24'!$A:$C,3,0)</f>
        <v>#N/A</v>
      </c>
      <c r="S1558" t="e">
        <f>VLOOKUP(#REF!,'מלאי לא תקין'!A:N,17,0)</f>
        <v>#REF!</v>
      </c>
      <c r="T1558" t="e">
        <f t="shared" si="50"/>
        <v>#REF!</v>
      </c>
      <c r="U1558" t="e">
        <f t="shared" si="51"/>
        <v>#REF!</v>
      </c>
    </row>
    <row r="1559" spans="4:21" x14ac:dyDescent="0.2">
      <c r="D1559" s="4"/>
      <c r="G1559" s="5"/>
      <c r="H1559" s="5"/>
      <c r="I1559" s="4"/>
      <c r="J1559" s="4"/>
      <c r="K1559" s="5"/>
      <c r="Q1559" t="e">
        <f>VLOOKUP(A1559,'גיליון דאטה להכל'!A:E,5,0)</f>
        <v>#N/A</v>
      </c>
      <c r="R1559" t="e">
        <f>VLOOKUP(A1559,'לעדכן בסינתזה דאטה אריזה 42+24'!$A:$C,3,0)</f>
        <v>#N/A</v>
      </c>
      <c r="S1559" t="e">
        <f>VLOOKUP(#REF!,'מלאי לא תקין'!A:N,17,0)</f>
        <v>#REF!</v>
      </c>
      <c r="T1559" t="e">
        <f t="shared" si="50"/>
        <v>#REF!</v>
      </c>
      <c r="U1559" t="e">
        <f t="shared" si="51"/>
        <v>#REF!</v>
      </c>
    </row>
    <row r="1560" spans="4:21" x14ac:dyDescent="0.2">
      <c r="D1560" s="4"/>
      <c r="G1560" s="5"/>
      <c r="H1560" s="5"/>
      <c r="I1560" s="4"/>
      <c r="J1560" s="4"/>
      <c r="K1560" s="5"/>
      <c r="Q1560" t="e">
        <f>VLOOKUP(A1560,'גיליון דאטה להכל'!A:E,5,0)</f>
        <v>#N/A</v>
      </c>
      <c r="R1560" t="e">
        <f>VLOOKUP(A1560,'לעדכן בסינתזה דאטה אריזה 42+24'!$A:$C,3,0)</f>
        <v>#N/A</v>
      </c>
      <c r="S1560" t="e">
        <f>VLOOKUP(#REF!,'מלאי לא תקין'!A:N,17,0)</f>
        <v>#REF!</v>
      </c>
      <c r="T1560" t="e">
        <f t="shared" si="50"/>
        <v>#REF!</v>
      </c>
      <c r="U1560" t="e">
        <f t="shared" si="51"/>
        <v>#REF!</v>
      </c>
    </row>
    <row r="1561" spans="4:21" x14ac:dyDescent="0.2">
      <c r="D1561" s="4"/>
      <c r="G1561" s="5"/>
      <c r="H1561" s="7"/>
      <c r="I1561" s="4"/>
      <c r="J1561" s="4"/>
      <c r="K1561" s="5"/>
      <c r="Q1561" t="e">
        <f>VLOOKUP(A1561,'גיליון דאטה להכל'!A:E,5,0)</f>
        <v>#N/A</v>
      </c>
      <c r="R1561" t="e">
        <f>VLOOKUP(A1561,'לעדכן בסינתזה דאטה אריזה 42+24'!$A:$C,3,0)</f>
        <v>#N/A</v>
      </c>
      <c r="S1561" t="e">
        <f>VLOOKUP(#REF!,'מלאי לא תקין'!A:N,17,0)</f>
        <v>#REF!</v>
      </c>
      <c r="T1561" t="e">
        <f t="shared" si="50"/>
        <v>#REF!</v>
      </c>
      <c r="U1561" t="e">
        <f t="shared" si="51"/>
        <v>#REF!</v>
      </c>
    </row>
    <row r="1562" spans="4:21" x14ac:dyDescent="0.2">
      <c r="D1562" s="4"/>
      <c r="G1562" s="5"/>
      <c r="H1562" s="5"/>
      <c r="I1562" s="4"/>
      <c r="J1562" s="4"/>
      <c r="K1562" s="5"/>
      <c r="Q1562" t="e">
        <f>VLOOKUP(A1562,'גיליון דאטה להכל'!A:E,5,0)</f>
        <v>#N/A</v>
      </c>
      <c r="R1562" t="e">
        <f>VLOOKUP(A1562,'לעדכן בסינתזה דאטה אריזה 42+24'!$A:$C,3,0)</f>
        <v>#N/A</v>
      </c>
      <c r="S1562" t="e">
        <f>VLOOKUP(#REF!,'מלאי לא תקין'!A:N,17,0)</f>
        <v>#REF!</v>
      </c>
      <c r="T1562" t="e">
        <f t="shared" si="50"/>
        <v>#REF!</v>
      </c>
      <c r="U1562" t="e">
        <f t="shared" si="51"/>
        <v>#REF!</v>
      </c>
    </row>
    <row r="1563" spans="4:21" x14ac:dyDescent="0.2">
      <c r="D1563" s="4"/>
      <c r="G1563" s="5"/>
      <c r="H1563" s="5"/>
      <c r="I1563" s="4"/>
      <c r="J1563" s="4"/>
      <c r="K1563" s="5"/>
      <c r="Q1563" t="e">
        <f>VLOOKUP(A1563,'גיליון דאטה להכל'!A:E,5,0)</f>
        <v>#N/A</v>
      </c>
      <c r="R1563" t="e">
        <f>VLOOKUP(A1563,'לעדכן בסינתזה דאטה אריזה 42+24'!$A:$C,3,0)</f>
        <v>#N/A</v>
      </c>
      <c r="S1563" t="e">
        <f>VLOOKUP(#REF!,'מלאי לא תקין'!A:N,17,0)</f>
        <v>#REF!</v>
      </c>
      <c r="T1563" t="e">
        <f t="shared" si="50"/>
        <v>#REF!</v>
      </c>
      <c r="U1563" t="e">
        <f t="shared" si="51"/>
        <v>#REF!</v>
      </c>
    </row>
    <row r="1564" spans="4:21" x14ac:dyDescent="0.2">
      <c r="D1564" s="4"/>
      <c r="G1564" s="5"/>
      <c r="H1564" s="5"/>
      <c r="I1564" s="4"/>
      <c r="J1564" s="4"/>
      <c r="K1564" s="5"/>
      <c r="Q1564" t="e">
        <f>VLOOKUP(A1564,'גיליון דאטה להכל'!A:E,5,0)</f>
        <v>#N/A</v>
      </c>
      <c r="R1564" t="e">
        <f>VLOOKUP(A1564,'לעדכן בסינתזה דאטה אריזה 42+24'!$A:$C,3,0)</f>
        <v>#N/A</v>
      </c>
      <c r="S1564" t="e">
        <f>VLOOKUP(#REF!,'מלאי לא תקין'!A:N,17,0)</f>
        <v>#REF!</v>
      </c>
      <c r="T1564" t="e">
        <f t="shared" si="50"/>
        <v>#REF!</v>
      </c>
      <c r="U1564" t="e">
        <f t="shared" si="51"/>
        <v>#REF!</v>
      </c>
    </row>
    <row r="1565" spans="4:21" x14ac:dyDescent="0.2">
      <c r="D1565" s="4"/>
      <c r="G1565" s="5"/>
      <c r="H1565" s="7"/>
      <c r="I1565" s="4"/>
      <c r="J1565" s="4"/>
      <c r="K1565" s="5"/>
      <c r="Q1565" t="e">
        <f>VLOOKUP(A1565,'גיליון דאטה להכל'!A:E,5,0)</f>
        <v>#N/A</v>
      </c>
      <c r="R1565" t="e">
        <f>VLOOKUP(A1565,'לעדכן בסינתזה דאטה אריזה 42+24'!$A:$C,3,0)</f>
        <v>#N/A</v>
      </c>
      <c r="S1565" t="e">
        <f>VLOOKUP(#REF!,'מלאי לא תקין'!A:N,17,0)</f>
        <v>#REF!</v>
      </c>
      <c r="T1565" t="e">
        <f t="shared" si="50"/>
        <v>#REF!</v>
      </c>
      <c r="U1565" t="e">
        <f t="shared" si="51"/>
        <v>#REF!</v>
      </c>
    </row>
    <row r="1566" spans="4:21" x14ac:dyDescent="0.2">
      <c r="D1566" s="4"/>
      <c r="G1566" s="5"/>
      <c r="H1566" s="5"/>
      <c r="I1566" s="4"/>
      <c r="J1566" s="4"/>
      <c r="K1566" s="5"/>
      <c r="Q1566" t="e">
        <f>VLOOKUP(A1566,'גיליון דאטה להכל'!A:E,5,0)</f>
        <v>#N/A</v>
      </c>
      <c r="R1566" t="e">
        <f>VLOOKUP(A1566,'לעדכן בסינתזה דאטה אריזה 42+24'!$A:$C,3,0)</f>
        <v>#N/A</v>
      </c>
      <c r="S1566" t="e">
        <f>VLOOKUP(#REF!,'מלאי לא תקין'!A:N,17,0)</f>
        <v>#REF!</v>
      </c>
      <c r="T1566" t="e">
        <f t="shared" si="50"/>
        <v>#REF!</v>
      </c>
      <c r="U1566" t="e">
        <f t="shared" si="51"/>
        <v>#REF!</v>
      </c>
    </row>
    <row r="1567" spans="4:21" x14ac:dyDescent="0.2">
      <c r="D1567" s="4"/>
      <c r="G1567" s="5"/>
      <c r="H1567" s="5"/>
      <c r="I1567" s="4"/>
      <c r="J1567" s="4"/>
      <c r="K1567" s="5"/>
      <c r="Q1567" t="e">
        <f>VLOOKUP(A1567,'גיליון דאטה להכל'!A:E,5,0)</f>
        <v>#N/A</v>
      </c>
      <c r="R1567" t="e">
        <f>VLOOKUP(A1567,'לעדכן בסינתזה דאטה אריזה 42+24'!$A:$C,3,0)</f>
        <v>#N/A</v>
      </c>
      <c r="S1567" t="e">
        <f>VLOOKUP(#REF!,'מלאי לא תקין'!A:N,17,0)</f>
        <v>#REF!</v>
      </c>
      <c r="T1567" t="e">
        <f t="shared" si="50"/>
        <v>#REF!</v>
      </c>
      <c r="U1567" t="e">
        <f t="shared" si="51"/>
        <v>#REF!</v>
      </c>
    </row>
    <row r="1568" spans="4:21" x14ac:dyDescent="0.2">
      <c r="D1568" s="4"/>
      <c r="G1568" s="5"/>
      <c r="H1568" s="5"/>
      <c r="I1568" s="4"/>
      <c r="J1568" s="4"/>
      <c r="K1568" s="5"/>
      <c r="Q1568" t="e">
        <f>VLOOKUP(A1568,'גיליון דאטה להכל'!A:E,5,0)</f>
        <v>#N/A</v>
      </c>
      <c r="R1568" t="e">
        <f>VLOOKUP(A1568,'לעדכן בסינתזה דאטה אריזה 42+24'!$A:$C,3,0)</f>
        <v>#N/A</v>
      </c>
      <c r="S1568" t="e">
        <f>VLOOKUP(#REF!,'מלאי לא תקין'!A:N,17,0)</f>
        <v>#REF!</v>
      </c>
      <c r="T1568" t="e">
        <f t="shared" si="50"/>
        <v>#REF!</v>
      </c>
      <c r="U1568" t="e">
        <f t="shared" si="51"/>
        <v>#REF!</v>
      </c>
    </row>
    <row r="1569" spans="4:21" x14ac:dyDescent="0.2">
      <c r="D1569" s="4"/>
      <c r="G1569" s="5"/>
      <c r="H1569" s="5"/>
      <c r="I1569" s="4"/>
      <c r="J1569" s="4"/>
      <c r="K1569" s="5"/>
      <c r="Q1569" t="e">
        <f>VLOOKUP(A1569,'גיליון דאטה להכל'!A:E,5,0)</f>
        <v>#N/A</v>
      </c>
      <c r="R1569" t="e">
        <f>VLOOKUP(A1569,'לעדכן בסינתזה דאטה אריזה 42+24'!$A:$C,3,0)</f>
        <v>#N/A</v>
      </c>
      <c r="S1569" t="e">
        <f>VLOOKUP(#REF!,'מלאי לא תקין'!A:N,17,0)</f>
        <v>#REF!</v>
      </c>
      <c r="T1569" t="e">
        <f t="shared" si="50"/>
        <v>#REF!</v>
      </c>
      <c r="U1569" t="e">
        <f t="shared" si="51"/>
        <v>#REF!</v>
      </c>
    </row>
    <row r="1570" spans="4:21" x14ac:dyDescent="0.2">
      <c r="D1570" s="4"/>
      <c r="G1570" s="5"/>
      <c r="H1570" s="7"/>
      <c r="I1570" s="4"/>
      <c r="J1570" s="4"/>
      <c r="K1570" s="5"/>
      <c r="Q1570" t="e">
        <f>VLOOKUP(A1570,'גיליון דאטה להכל'!A:E,5,0)</f>
        <v>#N/A</v>
      </c>
      <c r="R1570" t="e">
        <f>VLOOKUP(A1570,'לעדכן בסינתזה דאטה אריזה 42+24'!$A:$C,3,0)</f>
        <v>#N/A</v>
      </c>
      <c r="S1570" t="e">
        <f>VLOOKUP(#REF!,'מלאי לא תקין'!A:N,17,0)</f>
        <v>#REF!</v>
      </c>
      <c r="T1570" t="e">
        <f t="shared" si="50"/>
        <v>#REF!</v>
      </c>
      <c r="U1570" t="e">
        <f t="shared" si="51"/>
        <v>#REF!</v>
      </c>
    </row>
    <row r="1571" spans="4:21" x14ac:dyDescent="0.2">
      <c r="D1571" s="4"/>
      <c r="G1571" s="5"/>
      <c r="H1571" s="5"/>
      <c r="I1571" s="4"/>
      <c r="J1571" s="4"/>
      <c r="K1571" s="5"/>
      <c r="Q1571" t="e">
        <f>VLOOKUP(A1571,'גיליון דאטה להכל'!A:E,5,0)</f>
        <v>#N/A</v>
      </c>
      <c r="R1571" t="e">
        <f>VLOOKUP(A1571,'לעדכן בסינתזה דאטה אריזה 42+24'!$A:$C,3,0)</f>
        <v>#N/A</v>
      </c>
      <c r="S1571" t="e">
        <f>VLOOKUP(#REF!,'מלאי לא תקין'!A:N,17,0)</f>
        <v>#REF!</v>
      </c>
      <c r="T1571" t="e">
        <f t="shared" si="50"/>
        <v>#REF!</v>
      </c>
      <c r="U1571" t="e">
        <f t="shared" si="51"/>
        <v>#REF!</v>
      </c>
    </row>
    <row r="1572" spans="4:21" x14ac:dyDescent="0.2">
      <c r="D1572" s="4"/>
      <c r="G1572" s="5"/>
      <c r="H1572" s="5"/>
      <c r="I1572" s="4"/>
      <c r="J1572" s="4"/>
      <c r="K1572" s="5"/>
      <c r="Q1572" t="e">
        <f>VLOOKUP(A1572,'גיליון דאטה להכל'!A:E,5,0)</f>
        <v>#N/A</v>
      </c>
      <c r="R1572" t="e">
        <f>VLOOKUP(A1572,'לעדכן בסינתזה דאטה אריזה 42+24'!$A:$C,3,0)</f>
        <v>#N/A</v>
      </c>
      <c r="S1572" t="e">
        <f>VLOOKUP(#REF!,'מלאי לא תקין'!A:N,17,0)</f>
        <v>#REF!</v>
      </c>
      <c r="T1572" t="e">
        <f t="shared" si="50"/>
        <v>#REF!</v>
      </c>
      <c r="U1572" t="e">
        <f t="shared" si="51"/>
        <v>#REF!</v>
      </c>
    </row>
    <row r="1573" spans="4:21" x14ac:dyDescent="0.2">
      <c r="D1573" s="4"/>
      <c r="G1573" s="5"/>
      <c r="H1573" s="5"/>
      <c r="I1573" s="4"/>
      <c r="J1573" s="4"/>
      <c r="K1573" s="5"/>
      <c r="Q1573" t="e">
        <f>VLOOKUP(A1573,'גיליון דאטה להכל'!A:E,5,0)</f>
        <v>#N/A</v>
      </c>
      <c r="R1573" t="e">
        <f>VLOOKUP(A1573,'לעדכן בסינתזה דאטה אריזה 42+24'!$A:$C,3,0)</f>
        <v>#N/A</v>
      </c>
      <c r="S1573" t="e">
        <f>VLOOKUP(#REF!,'מלאי לא תקין'!A:N,17,0)</f>
        <v>#REF!</v>
      </c>
      <c r="T1573" t="e">
        <f t="shared" si="50"/>
        <v>#REF!</v>
      </c>
      <c r="U1573" t="e">
        <f t="shared" si="51"/>
        <v>#REF!</v>
      </c>
    </row>
    <row r="1574" spans="4:21" x14ac:dyDescent="0.2">
      <c r="D1574" s="4"/>
      <c r="G1574" s="5"/>
      <c r="H1574" s="5"/>
      <c r="I1574" s="4"/>
      <c r="J1574" s="4"/>
      <c r="K1574" s="5"/>
      <c r="Q1574" t="e">
        <f>VLOOKUP(A1574,'גיליון דאטה להכל'!A:E,5,0)</f>
        <v>#N/A</v>
      </c>
      <c r="R1574" t="e">
        <f>VLOOKUP(A1574,'לעדכן בסינתזה דאטה אריזה 42+24'!$A:$C,3,0)</f>
        <v>#N/A</v>
      </c>
      <c r="S1574" t="e">
        <f>VLOOKUP(#REF!,'מלאי לא תקין'!A:N,17,0)</f>
        <v>#REF!</v>
      </c>
      <c r="T1574" t="e">
        <f t="shared" si="50"/>
        <v>#REF!</v>
      </c>
      <c r="U1574" t="e">
        <f t="shared" si="51"/>
        <v>#REF!</v>
      </c>
    </row>
    <row r="1575" spans="4:21" x14ac:dyDescent="0.2">
      <c r="D1575" s="4"/>
      <c r="G1575" s="5"/>
      <c r="H1575" s="7"/>
      <c r="I1575" s="4"/>
      <c r="J1575" s="4"/>
      <c r="K1575" s="5"/>
      <c r="Q1575" t="e">
        <f>VLOOKUP(A1575,'גיליון דאטה להכל'!A:E,5,0)</f>
        <v>#N/A</v>
      </c>
      <c r="R1575" t="e">
        <f>VLOOKUP(A1575,'לעדכן בסינתזה דאטה אריזה 42+24'!$A:$C,3,0)</f>
        <v>#N/A</v>
      </c>
      <c r="S1575" t="e">
        <f>VLOOKUP(#REF!,'מלאי לא תקין'!A:N,17,0)</f>
        <v>#REF!</v>
      </c>
      <c r="T1575" t="e">
        <f t="shared" si="50"/>
        <v>#REF!</v>
      </c>
      <c r="U1575" t="e">
        <f t="shared" si="51"/>
        <v>#REF!</v>
      </c>
    </row>
    <row r="1576" spans="4:21" x14ac:dyDescent="0.2">
      <c r="D1576" s="4"/>
      <c r="G1576" s="5"/>
      <c r="H1576" s="5"/>
      <c r="I1576" s="4"/>
      <c r="J1576" s="4"/>
      <c r="K1576" s="5"/>
      <c r="Q1576" t="e">
        <f>VLOOKUP(A1576,'גיליון דאטה להכל'!A:E,5,0)</f>
        <v>#N/A</v>
      </c>
      <c r="R1576" t="e">
        <f>VLOOKUP(A1576,'לעדכן בסינתזה דאטה אריזה 42+24'!$A:$C,3,0)</f>
        <v>#N/A</v>
      </c>
      <c r="S1576" t="e">
        <f>VLOOKUP(#REF!,'מלאי לא תקין'!A:N,17,0)</f>
        <v>#REF!</v>
      </c>
      <c r="T1576" t="e">
        <f t="shared" si="50"/>
        <v>#REF!</v>
      </c>
      <c r="U1576" t="e">
        <f t="shared" si="51"/>
        <v>#REF!</v>
      </c>
    </row>
    <row r="1577" spans="4:21" x14ac:dyDescent="0.2">
      <c r="D1577" s="4"/>
      <c r="G1577" s="5"/>
      <c r="H1577" s="5"/>
      <c r="I1577" s="4"/>
      <c r="J1577" s="4"/>
      <c r="K1577" s="5"/>
      <c r="Q1577" t="e">
        <f>VLOOKUP(A1577,'גיליון דאטה להכל'!A:E,5,0)</f>
        <v>#N/A</v>
      </c>
      <c r="R1577" t="e">
        <f>VLOOKUP(A1577,'לעדכן בסינתזה דאטה אריזה 42+24'!$A:$C,3,0)</f>
        <v>#N/A</v>
      </c>
      <c r="S1577" t="e">
        <f>VLOOKUP(#REF!,'מלאי לא תקין'!A:N,17,0)</f>
        <v>#REF!</v>
      </c>
      <c r="T1577" t="e">
        <f t="shared" si="50"/>
        <v>#REF!</v>
      </c>
      <c r="U1577" t="e">
        <f t="shared" si="51"/>
        <v>#REF!</v>
      </c>
    </row>
    <row r="1578" spans="4:21" x14ac:dyDescent="0.2">
      <c r="D1578" s="4"/>
      <c r="G1578" s="5"/>
      <c r="H1578" s="5"/>
      <c r="I1578" s="4"/>
      <c r="J1578" s="4"/>
      <c r="K1578" s="5"/>
      <c r="Q1578" t="e">
        <f>VLOOKUP(A1578,'גיליון דאטה להכל'!A:E,5,0)</f>
        <v>#N/A</v>
      </c>
      <c r="R1578" t="e">
        <f>VLOOKUP(A1578,'לעדכן בסינתזה דאטה אריזה 42+24'!$A:$C,3,0)</f>
        <v>#N/A</v>
      </c>
      <c r="S1578" t="e">
        <f>VLOOKUP(#REF!,'מלאי לא תקין'!A:N,17,0)</f>
        <v>#REF!</v>
      </c>
      <c r="T1578" t="e">
        <f t="shared" si="50"/>
        <v>#REF!</v>
      </c>
      <c r="U1578" t="e">
        <f t="shared" si="51"/>
        <v>#REF!</v>
      </c>
    </row>
    <row r="1579" spans="4:21" x14ac:dyDescent="0.2">
      <c r="D1579" s="4"/>
      <c r="G1579" s="5"/>
      <c r="H1579" s="5"/>
      <c r="I1579" s="4"/>
      <c r="J1579" s="4"/>
      <c r="K1579" s="5"/>
      <c r="Q1579" t="e">
        <f>VLOOKUP(A1579,'גיליון דאטה להכל'!A:E,5,0)</f>
        <v>#N/A</v>
      </c>
      <c r="R1579" t="e">
        <f>VLOOKUP(A1579,'לעדכן בסינתזה דאטה אריזה 42+24'!$A:$C,3,0)</f>
        <v>#N/A</v>
      </c>
      <c r="S1579" t="e">
        <f>VLOOKUP(#REF!,'מלאי לא תקין'!A:N,17,0)</f>
        <v>#REF!</v>
      </c>
      <c r="T1579" t="e">
        <f t="shared" si="50"/>
        <v>#REF!</v>
      </c>
      <c r="U1579" t="e">
        <f t="shared" si="51"/>
        <v>#REF!</v>
      </c>
    </row>
    <row r="1580" spans="4:21" x14ac:dyDescent="0.2">
      <c r="D1580" s="4"/>
      <c r="G1580" s="5"/>
      <c r="H1580" s="7"/>
      <c r="I1580" s="4"/>
      <c r="J1580" s="4"/>
      <c r="K1580" s="5"/>
      <c r="Q1580" t="e">
        <f>VLOOKUP(A1580,'גיליון דאטה להכל'!A:E,5,0)</f>
        <v>#N/A</v>
      </c>
      <c r="R1580" t="e">
        <f>VLOOKUP(A1580,'לעדכן בסינתזה דאטה אריזה 42+24'!$A:$C,3,0)</f>
        <v>#N/A</v>
      </c>
      <c r="S1580" t="e">
        <f>VLOOKUP(#REF!,'מלאי לא תקין'!A:N,17,0)</f>
        <v>#REF!</v>
      </c>
      <c r="T1580" t="e">
        <f t="shared" si="50"/>
        <v>#REF!</v>
      </c>
      <c r="U1580" t="e">
        <f t="shared" si="51"/>
        <v>#REF!</v>
      </c>
    </row>
    <row r="1581" spans="4:21" x14ac:dyDescent="0.2">
      <c r="D1581" s="4"/>
      <c r="G1581" s="5"/>
      <c r="H1581" s="5"/>
      <c r="I1581" s="4"/>
      <c r="J1581" s="4"/>
      <c r="K1581" s="5"/>
      <c r="Q1581" t="e">
        <f>VLOOKUP(A1581,'גיליון דאטה להכל'!A:E,5,0)</f>
        <v>#N/A</v>
      </c>
      <c r="R1581" t="e">
        <f>VLOOKUP(A1581,'לעדכן בסינתזה דאטה אריזה 42+24'!$A:$C,3,0)</f>
        <v>#N/A</v>
      </c>
      <c r="S1581" t="e">
        <f>VLOOKUP(#REF!,'מלאי לא תקין'!A:N,17,0)</f>
        <v>#REF!</v>
      </c>
      <c r="T1581" t="e">
        <f t="shared" si="50"/>
        <v>#REF!</v>
      </c>
      <c r="U1581" t="e">
        <f t="shared" si="51"/>
        <v>#REF!</v>
      </c>
    </row>
    <row r="1582" spans="4:21" x14ac:dyDescent="0.2">
      <c r="D1582" s="4"/>
      <c r="G1582" s="5"/>
      <c r="H1582" s="5"/>
      <c r="I1582" s="4"/>
      <c r="J1582" s="4"/>
      <c r="K1582" s="5"/>
      <c r="Q1582" t="e">
        <f>VLOOKUP(A1582,'גיליון דאטה להכל'!A:E,5,0)</f>
        <v>#N/A</v>
      </c>
      <c r="R1582" t="e">
        <f>VLOOKUP(A1582,'לעדכן בסינתזה דאטה אריזה 42+24'!$A:$C,3,0)</f>
        <v>#N/A</v>
      </c>
      <c r="S1582" t="e">
        <f>VLOOKUP(#REF!,'מלאי לא תקין'!A:N,17,0)</f>
        <v>#REF!</v>
      </c>
      <c r="T1582" t="e">
        <f t="shared" si="50"/>
        <v>#REF!</v>
      </c>
      <c r="U1582" t="e">
        <f t="shared" si="51"/>
        <v>#REF!</v>
      </c>
    </row>
    <row r="1583" spans="4:21" x14ac:dyDescent="0.2">
      <c r="D1583" s="4"/>
      <c r="G1583" s="5"/>
      <c r="H1583" s="5"/>
      <c r="I1583" s="4"/>
      <c r="J1583" s="4"/>
      <c r="K1583" s="5"/>
      <c r="Q1583" t="e">
        <f>VLOOKUP(A1583,'גיליון דאטה להכל'!A:E,5,0)</f>
        <v>#N/A</v>
      </c>
      <c r="R1583" t="e">
        <f>VLOOKUP(A1583,'לעדכן בסינתזה דאטה אריזה 42+24'!$A:$C,3,0)</f>
        <v>#N/A</v>
      </c>
      <c r="S1583" t="e">
        <f>VLOOKUP(#REF!,'מלאי לא תקין'!A:N,17,0)</f>
        <v>#REF!</v>
      </c>
      <c r="T1583" t="e">
        <f t="shared" si="50"/>
        <v>#REF!</v>
      </c>
      <c r="U1583" t="e">
        <f t="shared" si="51"/>
        <v>#REF!</v>
      </c>
    </row>
    <row r="1584" spans="4:21" x14ac:dyDescent="0.2">
      <c r="D1584" s="4"/>
      <c r="G1584" s="5"/>
      <c r="H1584" s="5"/>
      <c r="I1584" s="4"/>
      <c r="J1584" s="4"/>
      <c r="K1584" s="5"/>
      <c r="Q1584" t="e">
        <f>VLOOKUP(A1584,'גיליון דאטה להכל'!A:E,5,0)</f>
        <v>#N/A</v>
      </c>
      <c r="R1584" t="e">
        <f>VLOOKUP(A1584,'לעדכן בסינתזה דאטה אריזה 42+24'!$A:$C,3,0)</f>
        <v>#N/A</v>
      </c>
      <c r="S1584" t="e">
        <f>VLOOKUP(#REF!,'מלאי לא תקין'!A:N,17,0)</f>
        <v>#REF!</v>
      </c>
      <c r="T1584" t="e">
        <f t="shared" si="50"/>
        <v>#REF!</v>
      </c>
      <c r="U1584" t="e">
        <f t="shared" si="51"/>
        <v>#REF!</v>
      </c>
    </row>
    <row r="1585" spans="4:21" x14ac:dyDescent="0.2">
      <c r="D1585" s="4"/>
      <c r="G1585" s="5"/>
      <c r="H1585" s="7"/>
      <c r="I1585" s="4"/>
      <c r="J1585" s="4"/>
      <c r="K1585" s="5"/>
      <c r="Q1585" t="e">
        <f>VLOOKUP(A1585,'גיליון דאטה להכל'!A:E,5,0)</f>
        <v>#N/A</v>
      </c>
      <c r="R1585" t="e">
        <f>VLOOKUP(A1585,'לעדכן בסינתזה דאטה אריזה 42+24'!$A:$C,3,0)</f>
        <v>#N/A</v>
      </c>
      <c r="S1585" t="e">
        <f>VLOOKUP(#REF!,'מלאי לא תקין'!A:N,17,0)</f>
        <v>#REF!</v>
      </c>
      <c r="T1585" t="e">
        <f t="shared" si="50"/>
        <v>#REF!</v>
      </c>
      <c r="U1585" t="e">
        <f t="shared" si="51"/>
        <v>#REF!</v>
      </c>
    </row>
    <row r="1586" spans="4:21" x14ac:dyDescent="0.2">
      <c r="D1586" s="4"/>
      <c r="G1586" s="5"/>
      <c r="H1586" s="5"/>
      <c r="I1586" s="4"/>
      <c r="J1586" s="4"/>
      <c r="K1586" s="5"/>
      <c r="Q1586" t="e">
        <f>VLOOKUP(A1586,'גיליון דאטה להכל'!A:E,5,0)</f>
        <v>#N/A</v>
      </c>
      <c r="R1586" t="e">
        <f>VLOOKUP(A1586,'לעדכן בסינתזה דאטה אריזה 42+24'!$A:$C,3,0)</f>
        <v>#N/A</v>
      </c>
      <c r="S1586" t="e">
        <f>VLOOKUP(#REF!,'מלאי לא תקין'!A:N,17,0)</f>
        <v>#REF!</v>
      </c>
      <c r="T1586" t="e">
        <f t="shared" si="50"/>
        <v>#REF!</v>
      </c>
      <c r="U1586" t="e">
        <f t="shared" si="51"/>
        <v>#REF!</v>
      </c>
    </row>
    <row r="1587" spans="4:21" x14ac:dyDescent="0.2">
      <c r="D1587" s="4"/>
      <c r="G1587" s="5"/>
      <c r="H1587" s="5"/>
      <c r="I1587" s="4"/>
      <c r="J1587" s="4"/>
      <c r="K1587" s="5"/>
      <c r="Q1587" t="e">
        <f>VLOOKUP(A1587,'גיליון דאטה להכל'!A:E,5,0)</f>
        <v>#N/A</v>
      </c>
      <c r="R1587" t="e">
        <f>VLOOKUP(A1587,'לעדכן בסינתזה דאטה אריזה 42+24'!$A:$C,3,0)</f>
        <v>#N/A</v>
      </c>
      <c r="S1587" t="e">
        <f>VLOOKUP(#REF!,'מלאי לא תקין'!A:N,17,0)</f>
        <v>#REF!</v>
      </c>
      <c r="T1587" t="e">
        <f t="shared" si="50"/>
        <v>#REF!</v>
      </c>
      <c r="U1587" t="e">
        <f t="shared" si="51"/>
        <v>#REF!</v>
      </c>
    </row>
    <row r="1588" spans="4:21" x14ac:dyDescent="0.2">
      <c r="D1588" s="4"/>
      <c r="G1588" s="5"/>
      <c r="H1588" s="5"/>
      <c r="I1588" s="4"/>
      <c r="J1588" s="4"/>
      <c r="K1588" s="5"/>
      <c r="Q1588" t="e">
        <f>VLOOKUP(A1588,'גיליון דאטה להכל'!A:E,5,0)</f>
        <v>#N/A</v>
      </c>
      <c r="R1588" t="e">
        <f>VLOOKUP(A1588,'לעדכן בסינתזה דאטה אריזה 42+24'!$A:$C,3,0)</f>
        <v>#N/A</v>
      </c>
      <c r="S1588" t="e">
        <f>VLOOKUP(#REF!,'מלאי לא תקין'!A:N,17,0)</f>
        <v>#REF!</v>
      </c>
      <c r="T1588" t="e">
        <f t="shared" si="50"/>
        <v>#REF!</v>
      </c>
      <c r="U1588" t="e">
        <f t="shared" si="51"/>
        <v>#REF!</v>
      </c>
    </row>
    <row r="1589" spans="4:21" x14ac:dyDescent="0.2">
      <c r="D1589" s="4"/>
      <c r="G1589" s="5"/>
      <c r="H1589" s="5"/>
      <c r="I1589" s="4"/>
      <c r="J1589" s="4"/>
      <c r="K1589" s="5"/>
      <c r="Q1589" t="e">
        <f>VLOOKUP(A1589,'גיליון דאטה להכל'!A:E,5,0)</f>
        <v>#N/A</v>
      </c>
      <c r="R1589" t="e">
        <f>VLOOKUP(A1589,'לעדכן בסינתזה דאטה אריזה 42+24'!$A:$C,3,0)</f>
        <v>#N/A</v>
      </c>
      <c r="S1589" t="e">
        <f>VLOOKUP(#REF!,'מלאי לא תקין'!A:N,17,0)</f>
        <v>#REF!</v>
      </c>
      <c r="T1589" t="e">
        <f t="shared" ref="T1589:T1652" si="52">_xlfn.CONCAT(S1589,Q1589)</f>
        <v>#REF!</v>
      </c>
      <c r="U1589" t="e">
        <f t="shared" ref="U1589:U1652" si="53">_xlfn.CONCAT(S1589,O1589)</f>
        <v>#REF!</v>
      </c>
    </row>
    <row r="1590" spans="4:21" x14ac:dyDescent="0.2">
      <c r="D1590" s="4"/>
      <c r="G1590" s="5"/>
      <c r="H1590" s="7"/>
      <c r="I1590" s="4"/>
      <c r="J1590" s="4"/>
      <c r="K1590" s="5"/>
      <c r="Q1590" t="e">
        <f>VLOOKUP(A1590,'גיליון דאטה להכל'!A:E,5,0)</f>
        <v>#N/A</v>
      </c>
      <c r="R1590" t="e">
        <f>VLOOKUP(A1590,'לעדכן בסינתזה דאטה אריזה 42+24'!$A:$C,3,0)</f>
        <v>#N/A</v>
      </c>
      <c r="S1590" t="e">
        <f>VLOOKUP(#REF!,'מלאי לא תקין'!A:N,17,0)</f>
        <v>#REF!</v>
      </c>
      <c r="T1590" t="e">
        <f t="shared" si="52"/>
        <v>#REF!</v>
      </c>
      <c r="U1590" t="e">
        <f t="shared" si="53"/>
        <v>#REF!</v>
      </c>
    </row>
    <row r="1591" spans="4:21" x14ac:dyDescent="0.2">
      <c r="D1591" s="4"/>
      <c r="G1591" s="5"/>
      <c r="H1591" s="5"/>
      <c r="I1591" s="4"/>
      <c r="J1591" s="4"/>
      <c r="K1591" s="5"/>
      <c r="Q1591" t="e">
        <f>VLOOKUP(A1591,'גיליון דאטה להכל'!A:E,5,0)</f>
        <v>#N/A</v>
      </c>
      <c r="R1591" t="e">
        <f>VLOOKUP(A1591,'לעדכן בסינתזה דאטה אריזה 42+24'!$A:$C,3,0)</f>
        <v>#N/A</v>
      </c>
      <c r="S1591" t="e">
        <f>VLOOKUP(#REF!,'מלאי לא תקין'!A:N,17,0)</f>
        <v>#REF!</v>
      </c>
      <c r="T1591" t="e">
        <f t="shared" si="52"/>
        <v>#REF!</v>
      </c>
      <c r="U1591" t="e">
        <f t="shared" si="53"/>
        <v>#REF!</v>
      </c>
    </row>
    <row r="1592" spans="4:21" x14ac:dyDescent="0.2">
      <c r="D1592" s="4"/>
      <c r="G1592" s="5"/>
      <c r="H1592" s="5"/>
      <c r="I1592" s="4"/>
      <c r="J1592" s="4"/>
      <c r="K1592" s="5"/>
      <c r="Q1592" t="e">
        <f>VLOOKUP(A1592,'גיליון דאטה להכל'!A:E,5,0)</f>
        <v>#N/A</v>
      </c>
      <c r="R1592" t="e">
        <f>VLOOKUP(A1592,'לעדכן בסינתזה דאטה אריזה 42+24'!$A:$C,3,0)</f>
        <v>#N/A</v>
      </c>
      <c r="S1592" t="e">
        <f>VLOOKUP(#REF!,'מלאי לא תקין'!A:N,17,0)</f>
        <v>#REF!</v>
      </c>
      <c r="T1592" t="e">
        <f t="shared" si="52"/>
        <v>#REF!</v>
      </c>
      <c r="U1592" t="e">
        <f t="shared" si="53"/>
        <v>#REF!</v>
      </c>
    </row>
    <row r="1593" spans="4:21" x14ac:dyDescent="0.2">
      <c r="D1593" s="4"/>
      <c r="G1593" s="5"/>
      <c r="H1593" s="5"/>
      <c r="I1593" s="4"/>
      <c r="J1593" s="4"/>
      <c r="K1593" s="5"/>
      <c r="Q1593" t="e">
        <f>VLOOKUP(A1593,'גיליון דאטה להכל'!A:E,5,0)</f>
        <v>#N/A</v>
      </c>
      <c r="R1593" t="e">
        <f>VLOOKUP(A1593,'לעדכן בסינתזה דאטה אריזה 42+24'!$A:$C,3,0)</f>
        <v>#N/A</v>
      </c>
      <c r="S1593" t="e">
        <f>VLOOKUP(#REF!,'מלאי לא תקין'!A:N,17,0)</f>
        <v>#REF!</v>
      </c>
      <c r="T1593" t="e">
        <f t="shared" si="52"/>
        <v>#REF!</v>
      </c>
      <c r="U1593" t="e">
        <f t="shared" si="53"/>
        <v>#REF!</v>
      </c>
    </row>
    <row r="1594" spans="4:21" x14ac:dyDescent="0.2">
      <c r="D1594" s="4"/>
      <c r="G1594" s="5"/>
      <c r="H1594" s="5"/>
      <c r="I1594" s="4"/>
      <c r="J1594" s="4"/>
      <c r="K1594" s="5"/>
      <c r="Q1594" t="e">
        <f>VLOOKUP(A1594,'גיליון דאטה להכל'!A:E,5,0)</f>
        <v>#N/A</v>
      </c>
      <c r="R1594" t="e">
        <f>VLOOKUP(A1594,'לעדכן בסינתזה דאטה אריזה 42+24'!$A:$C,3,0)</f>
        <v>#N/A</v>
      </c>
      <c r="S1594" t="e">
        <f>VLOOKUP(#REF!,'מלאי לא תקין'!A:N,17,0)</f>
        <v>#REF!</v>
      </c>
      <c r="T1594" t="e">
        <f t="shared" si="52"/>
        <v>#REF!</v>
      </c>
      <c r="U1594" t="e">
        <f t="shared" si="53"/>
        <v>#REF!</v>
      </c>
    </row>
    <row r="1595" spans="4:21" x14ac:dyDescent="0.2">
      <c r="D1595" s="4"/>
      <c r="G1595" s="5"/>
      <c r="H1595" s="7"/>
      <c r="I1595" s="4"/>
      <c r="J1595" s="4"/>
      <c r="K1595" s="5"/>
      <c r="Q1595" t="e">
        <f>VLOOKUP(A1595,'גיליון דאטה להכל'!A:E,5,0)</f>
        <v>#N/A</v>
      </c>
      <c r="R1595" t="e">
        <f>VLOOKUP(A1595,'לעדכן בסינתזה דאטה אריזה 42+24'!$A:$C,3,0)</f>
        <v>#N/A</v>
      </c>
      <c r="S1595" t="e">
        <f>VLOOKUP(#REF!,'מלאי לא תקין'!A:N,17,0)</f>
        <v>#REF!</v>
      </c>
      <c r="T1595" t="e">
        <f t="shared" si="52"/>
        <v>#REF!</v>
      </c>
      <c r="U1595" t="e">
        <f t="shared" si="53"/>
        <v>#REF!</v>
      </c>
    </row>
    <row r="1596" spans="4:21" x14ac:dyDescent="0.2">
      <c r="D1596" s="4"/>
      <c r="G1596" s="5"/>
      <c r="H1596" s="5"/>
      <c r="I1596" s="4"/>
      <c r="J1596" s="4"/>
      <c r="K1596" s="5"/>
      <c r="Q1596" t="e">
        <f>VLOOKUP(A1596,'גיליון דאטה להכל'!A:E,5,0)</f>
        <v>#N/A</v>
      </c>
      <c r="R1596" t="e">
        <f>VLOOKUP(A1596,'לעדכן בסינתזה דאטה אריזה 42+24'!$A:$C,3,0)</f>
        <v>#N/A</v>
      </c>
      <c r="S1596" t="e">
        <f>VLOOKUP(#REF!,'מלאי לא תקין'!A:N,17,0)</f>
        <v>#REF!</v>
      </c>
      <c r="T1596" t="e">
        <f t="shared" si="52"/>
        <v>#REF!</v>
      </c>
      <c r="U1596" t="e">
        <f t="shared" si="53"/>
        <v>#REF!</v>
      </c>
    </row>
    <row r="1597" spans="4:21" x14ac:dyDescent="0.2">
      <c r="D1597" s="4"/>
      <c r="G1597" s="5"/>
      <c r="H1597" s="5"/>
      <c r="I1597" s="4"/>
      <c r="J1597" s="4"/>
      <c r="K1597" s="5"/>
      <c r="Q1597" t="e">
        <f>VLOOKUP(A1597,'גיליון דאטה להכל'!A:E,5,0)</f>
        <v>#N/A</v>
      </c>
      <c r="R1597" t="e">
        <f>VLOOKUP(A1597,'לעדכן בסינתזה דאטה אריזה 42+24'!$A:$C,3,0)</f>
        <v>#N/A</v>
      </c>
      <c r="S1597" t="e">
        <f>VLOOKUP(#REF!,'מלאי לא תקין'!A:N,17,0)</f>
        <v>#REF!</v>
      </c>
      <c r="T1597" t="e">
        <f t="shared" si="52"/>
        <v>#REF!</v>
      </c>
      <c r="U1597" t="e">
        <f t="shared" si="53"/>
        <v>#REF!</v>
      </c>
    </row>
    <row r="1598" spans="4:21" x14ac:dyDescent="0.2">
      <c r="D1598" s="4"/>
      <c r="G1598" s="5"/>
      <c r="H1598" s="5"/>
      <c r="I1598" s="4"/>
      <c r="J1598" s="4"/>
      <c r="K1598" s="5"/>
      <c r="Q1598" t="e">
        <f>VLOOKUP(A1598,'גיליון דאטה להכל'!A:E,5,0)</f>
        <v>#N/A</v>
      </c>
      <c r="R1598" t="e">
        <f>VLOOKUP(A1598,'לעדכן בסינתזה דאטה אריזה 42+24'!$A:$C,3,0)</f>
        <v>#N/A</v>
      </c>
      <c r="S1598" t="e">
        <f>VLOOKUP(#REF!,'מלאי לא תקין'!A:N,17,0)</f>
        <v>#REF!</v>
      </c>
      <c r="T1598" t="e">
        <f t="shared" si="52"/>
        <v>#REF!</v>
      </c>
      <c r="U1598" t="e">
        <f t="shared" si="53"/>
        <v>#REF!</v>
      </c>
    </row>
    <row r="1599" spans="4:21" x14ac:dyDescent="0.2">
      <c r="D1599" s="4"/>
      <c r="G1599" s="5"/>
      <c r="H1599" s="5"/>
      <c r="I1599" s="4"/>
      <c r="J1599" s="4"/>
      <c r="K1599" s="5"/>
      <c r="Q1599" t="e">
        <f>VLOOKUP(A1599,'גיליון דאטה להכל'!A:E,5,0)</f>
        <v>#N/A</v>
      </c>
      <c r="R1599" t="e">
        <f>VLOOKUP(A1599,'לעדכן בסינתזה דאטה אריזה 42+24'!$A:$C,3,0)</f>
        <v>#N/A</v>
      </c>
      <c r="S1599" t="e">
        <f>VLOOKUP(#REF!,'מלאי לא תקין'!A:N,17,0)</f>
        <v>#REF!</v>
      </c>
      <c r="T1599" t="e">
        <f t="shared" si="52"/>
        <v>#REF!</v>
      </c>
      <c r="U1599" t="e">
        <f t="shared" si="53"/>
        <v>#REF!</v>
      </c>
    </row>
    <row r="1600" spans="4:21" x14ac:dyDescent="0.2">
      <c r="D1600" s="4"/>
      <c r="G1600" s="5"/>
      <c r="H1600" s="7"/>
      <c r="I1600" s="4"/>
      <c r="J1600" s="4"/>
      <c r="K1600" s="5"/>
      <c r="Q1600" t="e">
        <f>VLOOKUP(A1600,'גיליון דאטה להכל'!A:E,5,0)</f>
        <v>#N/A</v>
      </c>
      <c r="R1600" t="e">
        <f>VLOOKUP(A1600,'לעדכן בסינתזה דאטה אריזה 42+24'!$A:$C,3,0)</f>
        <v>#N/A</v>
      </c>
      <c r="S1600" t="e">
        <f>VLOOKUP(#REF!,'מלאי לא תקין'!A:N,17,0)</f>
        <v>#REF!</v>
      </c>
      <c r="T1600" t="e">
        <f t="shared" si="52"/>
        <v>#REF!</v>
      </c>
      <c r="U1600" t="e">
        <f t="shared" si="53"/>
        <v>#REF!</v>
      </c>
    </row>
    <row r="1601" spans="4:21" x14ac:dyDescent="0.2">
      <c r="D1601" s="4"/>
      <c r="G1601" s="5"/>
      <c r="H1601" s="5"/>
      <c r="I1601" s="4"/>
      <c r="J1601" s="4"/>
      <c r="K1601" s="5"/>
      <c r="Q1601" t="e">
        <f>VLOOKUP(A1601,'גיליון דאטה להכל'!A:E,5,0)</f>
        <v>#N/A</v>
      </c>
      <c r="R1601" t="e">
        <f>VLOOKUP(A1601,'לעדכן בסינתזה דאטה אריזה 42+24'!$A:$C,3,0)</f>
        <v>#N/A</v>
      </c>
      <c r="S1601" t="e">
        <f>VLOOKUP(#REF!,'מלאי לא תקין'!A:N,17,0)</f>
        <v>#REF!</v>
      </c>
      <c r="T1601" t="e">
        <f t="shared" si="52"/>
        <v>#REF!</v>
      </c>
      <c r="U1601" t="e">
        <f t="shared" si="53"/>
        <v>#REF!</v>
      </c>
    </row>
    <row r="1602" spans="4:21" x14ac:dyDescent="0.2">
      <c r="D1602" s="4"/>
      <c r="G1602" s="5"/>
      <c r="H1602" s="5"/>
      <c r="I1602" s="4"/>
      <c r="J1602" s="4"/>
      <c r="K1602" s="5"/>
      <c r="Q1602" t="e">
        <f>VLOOKUP(A1602,'גיליון דאטה להכל'!A:E,5,0)</f>
        <v>#N/A</v>
      </c>
      <c r="R1602" t="e">
        <f>VLOOKUP(A1602,'לעדכן בסינתזה דאטה אריזה 42+24'!$A:$C,3,0)</f>
        <v>#N/A</v>
      </c>
      <c r="S1602" t="e">
        <f>VLOOKUP(#REF!,'מלאי לא תקין'!A:N,17,0)</f>
        <v>#REF!</v>
      </c>
      <c r="T1602" t="e">
        <f t="shared" si="52"/>
        <v>#REF!</v>
      </c>
      <c r="U1602" t="e">
        <f t="shared" si="53"/>
        <v>#REF!</v>
      </c>
    </row>
    <row r="1603" spans="4:21" x14ac:dyDescent="0.2">
      <c r="D1603" s="4"/>
      <c r="G1603" s="5"/>
      <c r="H1603" s="5"/>
      <c r="I1603" s="4"/>
      <c r="J1603" s="4"/>
      <c r="K1603" s="5"/>
      <c r="Q1603" t="e">
        <f>VLOOKUP(A1603,'גיליון דאטה להכל'!A:E,5,0)</f>
        <v>#N/A</v>
      </c>
      <c r="R1603" t="e">
        <f>VLOOKUP(A1603,'לעדכן בסינתזה דאטה אריזה 42+24'!$A:$C,3,0)</f>
        <v>#N/A</v>
      </c>
      <c r="S1603" t="e">
        <f>VLOOKUP(#REF!,'מלאי לא תקין'!A:N,17,0)</f>
        <v>#REF!</v>
      </c>
      <c r="T1603" t="e">
        <f t="shared" si="52"/>
        <v>#REF!</v>
      </c>
      <c r="U1603" t="e">
        <f t="shared" si="53"/>
        <v>#REF!</v>
      </c>
    </row>
    <row r="1604" spans="4:21" x14ac:dyDescent="0.2">
      <c r="D1604" s="4"/>
      <c r="G1604" s="5"/>
      <c r="H1604" s="5"/>
      <c r="I1604" s="4"/>
      <c r="J1604" s="4"/>
      <c r="K1604" s="5"/>
      <c r="Q1604" t="e">
        <f>VLOOKUP(A1604,'גיליון דאטה להכל'!A:E,5,0)</f>
        <v>#N/A</v>
      </c>
      <c r="R1604" t="e">
        <f>VLOOKUP(A1604,'לעדכן בסינתזה דאטה אריזה 42+24'!$A:$C,3,0)</f>
        <v>#N/A</v>
      </c>
      <c r="S1604" t="e">
        <f>VLOOKUP(#REF!,'מלאי לא תקין'!A:N,17,0)</f>
        <v>#REF!</v>
      </c>
      <c r="T1604" t="e">
        <f t="shared" si="52"/>
        <v>#REF!</v>
      </c>
      <c r="U1604" t="e">
        <f t="shared" si="53"/>
        <v>#REF!</v>
      </c>
    </row>
    <row r="1605" spans="4:21" x14ac:dyDescent="0.2">
      <c r="D1605" s="4"/>
      <c r="G1605" s="5"/>
      <c r="H1605" s="7"/>
      <c r="I1605" s="4"/>
      <c r="J1605" s="4"/>
      <c r="K1605" s="5"/>
      <c r="Q1605" t="e">
        <f>VLOOKUP(A1605,'גיליון דאטה להכל'!A:E,5,0)</f>
        <v>#N/A</v>
      </c>
      <c r="R1605" t="e">
        <f>VLOOKUP(A1605,'לעדכן בסינתזה דאטה אריזה 42+24'!$A:$C,3,0)</f>
        <v>#N/A</v>
      </c>
      <c r="S1605" t="e">
        <f>VLOOKUP(#REF!,'מלאי לא תקין'!A:N,17,0)</f>
        <v>#REF!</v>
      </c>
      <c r="T1605" t="e">
        <f t="shared" si="52"/>
        <v>#REF!</v>
      </c>
      <c r="U1605" t="e">
        <f t="shared" si="53"/>
        <v>#REF!</v>
      </c>
    </row>
    <row r="1606" spans="4:21" x14ac:dyDescent="0.2">
      <c r="D1606" s="4"/>
      <c r="G1606" s="5"/>
      <c r="H1606" s="5"/>
      <c r="I1606" s="4"/>
      <c r="J1606" s="4"/>
      <c r="K1606" s="5"/>
      <c r="Q1606" t="e">
        <f>VLOOKUP(A1606,'גיליון דאטה להכל'!A:E,5,0)</f>
        <v>#N/A</v>
      </c>
      <c r="R1606" t="e">
        <f>VLOOKUP(A1606,'לעדכן בסינתזה דאטה אריזה 42+24'!$A:$C,3,0)</f>
        <v>#N/A</v>
      </c>
      <c r="S1606" t="e">
        <f>VLOOKUP(#REF!,'מלאי לא תקין'!A:N,17,0)</f>
        <v>#REF!</v>
      </c>
      <c r="T1606" t="e">
        <f t="shared" si="52"/>
        <v>#REF!</v>
      </c>
      <c r="U1606" t="e">
        <f t="shared" si="53"/>
        <v>#REF!</v>
      </c>
    </row>
    <row r="1607" spans="4:21" x14ac:dyDescent="0.2">
      <c r="D1607" s="4"/>
      <c r="G1607" s="5"/>
      <c r="H1607" s="5"/>
      <c r="I1607" s="4"/>
      <c r="J1607" s="4"/>
      <c r="K1607" s="5"/>
      <c r="Q1607" t="e">
        <f>VLOOKUP(A1607,'גיליון דאטה להכל'!A:E,5,0)</f>
        <v>#N/A</v>
      </c>
      <c r="R1607" t="e">
        <f>VLOOKUP(A1607,'לעדכן בסינתזה דאטה אריזה 42+24'!$A:$C,3,0)</f>
        <v>#N/A</v>
      </c>
      <c r="S1607" t="e">
        <f>VLOOKUP(#REF!,'מלאי לא תקין'!A:N,17,0)</f>
        <v>#REF!</v>
      </c>
      <c r="T1607" t="e">
        <f t="shared" si="52"/>
        <v>#REF!</v>
      </c>
      <c r="U1607" t="e">
        <f t="shared" si="53"/>
        <v>#REF!</v>
      </c>
    </row>
    <row r="1608" spans="4:21" x14ac:dyDescent="0.2">
      <c r="D1608" s="4"/>
      <c r="G1608" s="5"/>
      <c r="H1608" s="5"/>
      <c r="I1608" s="4"/>
      <c r="J1608" s="4"/>
      <c r="K1608" s="5"/>
      <c r="Q1608" t="e">
        <f>VLOOKUP(A1608,'גיליון דאטה להכל'!A:E,5,0)</f>
        <v>#N/A</v>
      </c>
      <c r="R1608" t="e">
        <f>VLOOKUP(A1608,'לעדכן בסינתזה דאטה אריזה 42+24'!$A:$C,3,0)</f>
        <v>#N/A</v>
      </c>
      <c r="S1608" t="e">
        <f>VLOOKUP(#REF!,'מלאי לא תקין'!A:N,17,0)</f>
        <v>#REF!</v>
      </c>
      <c r="T1608" t="e">
        <f t="shared" si="52"/>
        <v>#REF!</v>
      </c>
      <c r="U1608" t="e">
        <f t="shared" si="53"/>
        <v>#REF!</v>
      </c>
    </row>
    <row r="1609" spans="4:21" x14ac:dyDescent="0.2">
      <c r="D1609" s="4"/>
      <c r="G1609" s="5"/>
      <c r="H1609" s="7"/>
      <c r="I1609" s="4"/>
      <c r="J1609" s="4"/>
      <c r="K1609" s="5"/>
      <c r="Q1609" t="e">
        <f>VLOOKUP(A1609,'גיליון דאטה להכל'!A:E,5,0)</f>
        <v>#N/A</v>
      </c>
      <c r="R1609" t="e">
        <f>VLOOKUP(A1609,'לעדכן בסינתזה דאטה אריזה 42+24'!$A:$C,3,0)</f>
        <v>#N/A</v>
      </c>
      <c r="S1609" t="e">
        <f>VLOOKUP(#REF!,'מלאי לא תקין'!A:N,17,0)</f>
        <v>#REF!</v>
      </c>
      <c r="T1609" t="e">
        <f t="shared" si="52"/>
        <v>#REF!</v>
      </c>
      <c r="U1609" t="e">
        <f t="shared" si="53"/>
        <v>#REF!</v>
      </c>
    </row>
    <row r="1610" spans="4:21" x14ac:dyDescent="0.2">
      <c r="D1610" s="4"/>
      <c r="G1610" s="5"/>
      <c r="H1610" s="5"/>
      <c r="I1610" s="4"/>
      <c r="J1610" s="4"/>
      <c r="K1610" s="5"/>
      <c r="Q1610" t="e">
        <f>VLOOKUP(A1610,'גיליון דאטה להכל'!A:E,5,0)</f>
        <v>#N/A</v>
      </c>
      <c r="R1610" t="e">
        <f>VLOOKUP(A1610,'לעדכן בסינתזה דאטה אריזה 42+24'!$A:$C,3,0)</f>
        <v>#N/A</v>
      </c>
      <c r="S1610" t="e">
        <f>VLOOKUP(#REF!,'מלאי לא תקין'!A:N,17,0)</f>
        <v>#REF!</v>
      </c>
      <c r="T1610" t="e">
        <f t="shared" si="52"/>
        <v>#REF!</v>
      </c>
      <c r="U1610" t="e">
        <f t="shared" si="53"/>
        <v>#REF!</v>
      </c>
    </row>
    <row r="1611" spans="4:21" x14ac:dyDescent="0.2">
      <c r="D1611" s="4"/>
      <c r="G1611" s="5"/>
      <c r="H1611" s="5"/>
      <c r="I1611" s="4"/>
      <c r="J1611" s="4"/>
      <c r="K1611" s="5"/>
      <c r="Q1611" t="e">
        <f>VLOOKUP(A1611,'גיליון דאטה להכל'!A:E,5,0)</f>
        <v>#N/A</v>
      </c>
      <c r="R1611" t="e">
        <f>VLOOKUP(A1611,'לעדכן בסינתזה דאטה אריזה 42+24'!$A:$C,3,0)</f>
        <v>#N/A</v>
      </c>
      <c r="S1611" t="e">
        <f>VLOOKUP(#REF!,'מלאי לא תקין'!A:N,17,0)</f>
        <v>#REF!</v>
      </c>
      <c r="T1611" t="e">
        <f t="shared" si="52"/>
        <v>#REF!</v>
      </c>
      <c r="U1611" t="e">
        <f t="shared" si="53"/>
        <v>#REF!</v>
      </c>
    </row>
    <row r="1612" spans="4:21" x14ac:dyDescent="0.2">
      <c r="D1612" s="4"/>
      <c r="G1612" s="5"/>
      <c r="H1612" s="5"/>
      <c r="I1612" s="4"/>
      <c r="J1612" s="4"/>
      <c r="K1612" s="5"/>
      <c r="Q1612" t="e">
        <f>VLOOKUP(A1612,'גיליון דאטה להכל'!A:E,5,0)</f>
        <v>#N/A</v>
      </c>
      <c r="R1612" t="e">
        <f>VLOOKUP(A1612,'לעדכן בסינתזה דאטה אריזה 42+24'!$A:$C,3,0)</f>
        <v>#N/A</v>
      </c>
      <c r="S1612" t="e">
        <f>VLOOKUP(#REF!,'מלאי לא תקין'!A:N,17,0)</f>
        <v>#REF!</v>
      </c>
      <c r="T1612" t="e">
        <f t="shared" si="52"/>
        <v>#REF!</v>
      </c>
      <c r="U1612" t="e">
        <f t="shared" si="53"/>
        <v>#REF!</v>
      </c>
    </row>
    <row r="1613" spans="4:21" x14ac:dyDescent="0.2">
      <c r="D1613" s="4"/>
      <c r="G1613" s="5"/>
      <c r="H1613" s="5"/>
      <c r="I1613" s="4"/>
      <c r="J1613" s="4"/>
      <c r="K1613" s="5"/>
      <c r="Q1613" t="e">
        <f>VLOOKUP(A1613,'גיליון דאטה להכל'!A:E,5,0)</f>
        <v>#N/A</v>
      </c>
      <c r="R1613" t="e">
        <f>VLOOKUP(A1613,'לעדכן בסינתזה דאטה אריזה 42+24'!$A:$C,3,0)</f>
        <v>#N/A</v>
      </c>
      <c r="S1613" t="e">
        <f>VLOOKUP(#REF!,'מלאי לא תקין'!A:N,17,0)</f>
        <v>#REF!</v>
      </c>
      <c r="T1613" t="e">
        <f t="shared" si="52"/>
        <v>#REF!</v>
      </c>
      <c r="U1613" t="e">
        <f t="shared" si="53"/>
        <v>#REF!</v>
      </c>
    </row>
    <row r="1614" spans="4:21" x14ac:dyDescent="0.2">
      <c r="D1614" s="4"/>
      <c r="G1614" s="5"/>
      <c r="H1614" s="7"/>
      <c r="I1614" s="4"/>
      <c r="J1614" s="4"/>
      <c r="K1614" s="5"/>
      <c r="Q1614" t="e">
        <f>VLOOKUP(A1614,'גיליון דאטה להכל'!A:E,5,0)</f>
        <v>#N/A</v>
      </c>
      <c r="R1614" t="e">
        <f>VLOOKUP(A1614,'לעדכן בסינתזה דאטה אריזה 42+24'!$A:$C,3,0)</f>
        <v>#N/A</v>
      </c>
      <c r="S1614" t="e">
        <f>VLOOKUP(#REF!,'מלאי לא תקין'!A:N,17,0)</f>
        <v>#REF!</v>
      </c>
      <c r="T1614" t="e">
        <f t="shared" si="52"/>
        <v>#REF!</v>
      </c>
      <c r="U1614" t="e">
        <f t="shared" si="53"/>
        <v>#REF!</v>
      </c>
    </row>
    <row r="1615" spans="4:21" x14ac:dyDescent="0.2">
      <c r="D1615" s="4"/>
      <c r="G1615" s="5"/>
      <c r="H1615" s="5"/>
      <c r="I1615" s="4"/>
      <c r="J1615" s="4"/>
      <c r="K1615" s="5"/>
      <c r="Q1615" t="e">
        <f>VLOOKUP(A1615,'גיליון דאטה להכל'!A:E,5,0)</f>
        <v>#N/A</v>
      </c>
      <c r="R1615" t="e">
        <f>VLOOKUP(A1615,'לעדכן בסינתזה דאטה אריזה 42+24'!$A:$C,3,0)</f>
        <v>#N/A</v>
      </c>
      <c r="S1615" t="e">
        <f>VLOOKUP(#REF!,'מלאי לא תקין'!A:N,17,0)</f>
        <v>#REF!</v>
      </c>
      <c r="T1615" t="e">
        <f t="shared" si="52"/>
        <v>#REF!</v>
      </c>
      <c r="U1615" t="e">
        <f t="shared" si="53"/>
        <v>#REF!</v>
      </c>
    </row>
    <row r="1616" spans="4:21" x14ac:dyDescent="0.2">
      <c r="D1616" s="4"/>
      <c r="G1616" s="5"/>
      <c r="H1616" s="5"/>
      <c r="I1616" s="4"/>
      <c r="J1616" s="4"/>
      <c r="K1616" s="5"/>
      <c r="Q1616" t="e">
        <f>VLOOKUP(A1616,'גיליון דאטה להכל'!A:E,5,0)</f>
        <v>#N/A</v>
      </c>
      <c r="R1616" t="e">
        <f>VLOOKUP(A1616,'לעדכן בסינתזה דאטה אריזה 42+24'!$A:$C,3,0)</f>
        <v>#N/A</v>
      </c>
      <c r="S1616" t="e">
        <f>VLOOKUP(#REF!,'מלאי לא תקין'!A:N,17,0)</f>
        <v>#REF!</v>
      </c>
      <c r="T1616" t="e">
        <f t="shared" si="52"/>
        <v>#REF!</v>
      </c>
      <c r="U1616" t="e">
        <f t="shared" si="53"/>
        <v>#REF!</v>
      </c>
    </row>
    <row r="1617" spans="4:21" x14ac:dyDescent="0.2">
      <c r="D1617" s="4"/>
      <c r="G1617" s="5"/>
      <c r="H1617" s="5"/>
      <c r="I1617" s="4"/>
      <c r="J1617" s="4"/>
      <c r="K1617" s="5"/>
      <c r="Q1617" t="e">
        <f>VLOOKUP(A1617,'גיליון דאטה להכל'!A:E,5,0)</f>
        <v>#N/A</v>
      </c>
      <c r="R1617" t="e">
        <f>VLOOKUP(A1617,'לעדכן בסינתזה דאטה אריזה 42+24'!$A:$C,3,0)</f>
        <v>#N/A</v>
      </c>
      <c r="S1617" t="e">
        <f>VLOOKUP(#REF!,'מלאי לא תקין'!A:N,17,0)</f>
        <v>#REF!</v>
      </c>
      <c r="T1617" t="e">
        <f t="shared" si="52"/>
        <v>#REF!</v>
      </c>
      <c r="U1617" t="e">
        <f t="shared" si="53"/>
        <v>#REF!</v>
      </c>
    </row>
    <row r="1618" spans="4:21" x14ac:dyDescent="0.2">
      <c r="D1618" s="4"/>
      <c r="G1618" s="5"/>
      <c r="H1618" s="5"/>
      <c r="I1618" s="4"/>
      <c r="J1618" s="4"/>
      <c r="K1618" s="5"/>
      <c r="Q1618" t="e">
        <f>VLOOKUP(A1618,'גיליון דאטה להכל'!A:E,5,0)</f>
        <v>#N/A</v>
      </c>
      <c r="R1618" t="e">
        <f>VLOOKUP(A1618,'לעדכן בסינתזה דאטה אריזה 42+24'!$A:$C,3,0)</f>
        <v>#N/A</v>
      </c>
      <c r="S1618" t="e">
        <f>VLOOKUP(#REF!,'מלאי לא תקין'!A:N,17,0)</f>
        <v>#REF!</v>
      </c>
      <c r="T1618" t="e">
        <f t="shared" si="52"/>
        <v>#REF!</v>
      </c>
      <c r="U1618" t="e">
        <f t="shared" si="53"/>
        <v>#REF!</v>
      </c>
    </row>
    <row r="1619" spans="4:21" x14ac:dyDescent="0.2">
      <c r="D1619" s="4"/>
      <c r="G1619" s="5"/>
      <c r="H1619" s="7"/>
      <c r="I1619" s="4"/>
      <c r="J1619" s="4"/>
      <c r="K1619" s="5"/>
      <c r="Q1619" t="e">
        <f>VLOOKUP(A1619,'גיליון דאטה להכל'!A:E,5,0)</f>
        <v>#N/A</v>
      </c>
      <c r="R1619" t="e">
        <f>VLOOKUP(A1619,'לעדכן בסינתזה דאטה אריזה 42+24'!$A:$C,3,0)</f>
        <v>#N/A</v>
      </c>
      <c r="S1619" t="e">
        <f>VLOOKUP(#REF!,'מלאי לא תקין'!A:N,17,0)</f>
        <v>#REF!</v>
      </c>
      <c r="T1619" t="e">
        <f t="shared" si="52"/>
        <v>#REF!</v>
      </c>
      <c r="U1619" t="e">
        <f t="shared" si="53"/>
        <v>#REF!</v>
      </c>
    </row>
    <row r="1620" spans="4:21" x14ac:dyDescent="0.2">
      <c r="D1620" s="4"/>
      <c r="G1620" s="5"/>
      <c r="H1620" s="5"/>
      <c r="I1620" s="4"/>
      <c r="J1620" s="4"/>
      <c r="K1620" s="5"/>
      <c r="Q1620" t="e">
        <f>VLOOKUP(A1620,'גיליון דאטה להכל'!A:E,5,0)</f>
        <v>#N/A</v>
      </c>
      <c r="R1620" t="e">
        <f>VLOOKUP(A1620,'לעדכן בסינתזה דאטה אריזה 42+24'!$A:$C,3,0)</f>
        <v>#N/A</v>
      </c>
      <c r="S1620" t="e">
        <f>VLOOKUP(#REF!,'מלאי לא תקין'!A:N,17,0)</f>
        <v>#REF!</v>
      </c>
      <c r="T1620" t="e">
        <f t="shared" si="52"/>
        <v>#REF!</v>
      </c>
      <c r="U1620" t="e">
        <f t="shared" si="53"/>
        <v>#REF!</v>
      </c>
    </row>
    <row r="1621" spans="4:21" x14ac:dyDescent="0.2">
      <c r="D1621" s="4"/>
      <c r="G1621" s="5"/>
      <c r="H1621" s="5"/>
      <c r="I1621" s="4"/>
      <c r="J1621" s="4"/>
      <c r="K1621" s="5"/>
      <c r="Q1621" t="e">
        <f>VLOOKUP(A1621,'גיליון דאטה להכל'!A:E,5,0)</f>
        <v>#N/A</v>
      </c>
      <c r="R1621" t="e">
        <f>VLOOKUP(A1621,'לעדכן בסינתזה דאטה אריזה 42+24'!$A:$C,3,0)</f>
        <v>#N/A</v>
      </c>
      <c r="S1621" t="e">
        <f>VLOOKUP(#REF!,'מלאי לא תקין'!A:N,17,0)</f>
        <v>#REF!</v>
      </c>
      <c r="T1621" t="e">
        <f t="shared" si="52"/>
        <v>#REF!</v>
      </c>
      <c r="U1621" t="e">
        <f t="shared" si="53"/>
        <v>#REF!</v>
      </c>
    </row>
    <row r="1622" spans="4:21" x14ac:dyDescent="0.2">
      <c r="D1622" s="4"/>
      <c r="G1622" s="5"/>
      <c r="H1622" s="5"/>
      <c r="I1622" s="4"/>
      <c r="J1622" s="4"/>
      <c r="K1622" s="5"/>
      <c r="Q1622" t="e">
        <f>VLOOKUP(A1622,'גיליון דאטה להכל'!A:E,5,0)</f>
        <v>#N/A</v>
      </c>
      <c r="R1622" t="e">
        <f>VLOOKUP(A1622,'לעדכן בסינתזה דאטה אריזה 42+24'!$A:$C,3,0)</f>
        <v>#N/A</v>
      </c>
      <c r="S1622" t="e">
        <f>VLOOKUP(#REF!,'מלאי לא תקין'!A:N,17,0)</f>
        <v>#REF!</v>
      </c>
      <c r="T1622" t="e">
        <f t="shared" si="52"/>
        <v>#REF!</v>
      </c>
      <c r="U1622" t="e">
        <f t="shared" si="53"/>
        <v>#REF!</v>
      </c>
    </row>
    <row r="1623" spans="4:21" x14ac:dyDescent="0.2">
      <c r="D1623" s="4"/>
      <c r="G1623" s="5"/>
      <c r="H1623" s="5"/>
      <c r="I1623" s="4"/>
      <c r="J1623" s="4"/>
      <c r="K1623" s="5"/>
      <c r="Q1623" t="e">
        <f>VLOOKUP(A1623,'גיליון דאטה להכל'!A:E,5,0)</f>
        <v>#N/A</v>
      </c>
      <c r="R1623" t="e">
        <f>VLOOKUP(A1623,'לעדכן בסינתזה דאטה אריזה 42+24'!$A:$C,3,0)</f>
        <v>#N/A</v>
      </c>
      <c r="S1623" t="e">
        <f>VLOOKUP(#REF!,'מלאי לא תקין'!A:N,17,0)</f>
        <v>#REF!</v>
      </c>
      <c r="T1623" t="e">
        <f t="shared" si="52"/>
        <v>#REF!</v>
      </c>
      <c r="U1623" t="e">
        <f t="shared" si="53"/>
        <v>#REF!</v>
      </c>
    </row>
    <row r="1624" spans="4:21" x14ac:dyDescent="0.2">
      <c r="D1624" s="4"/>
      <c r="G1624" s="5"/>
      <c r="H1624" s="5"/>
      <c r="I1624" s="4"/>
      <c r="J1624" s="4"/>
      <c r="K1624" s="5"/>
      <c r="Q1624" t="e">
        <f>VLOOKUP(A1624,'גיליון דאטה להכל'!A:E,5,0)</f>
        <v>#N/A</v>
      </c>
      <c r="R1624" t="e">
        <f>VLOOKUP(A1624,'לעדכן בסינתזה דאטה אריזה 42+24'!$A:$C,3,0)</f>
        <v>#N/A</v>
      </c>
      <c r="S1624" t="e">
        <f>VLOOKUP(#REF!,'מלאי לא תקין'!A:N,17,0)</f>
        <v>#REF!</v>
      </c>
      <c r="T1624" t="e">
        <f t="shared" si="52"/>
        <v>#REF!</v>
      </c>
      <c r="U1624" t="e">
        <f t="shared" si="53"/>
        <v>#REF!</v>
      </c>
    </row>
    <row r="1625" spans="4:21" x14ac:dyDescent="0.2">
      <c r="D1625" s="4"/>
      <c r="G1625" s="5"/>
      <c r="H1625" s="5"/>
      <c r="I1625" s="4"/>
      <c r="J1625" s="4"/>
      <c r="K1625" s="5"/>
      <c r="Q1625" t="e">
        <f>VLOOKUP(A1625,'גיליון דאטה להכל'!A:E,5,0)</f>
        <v>#N/A</v>
      </c>
      <c r="R1625" t="e">
        <f>VLOOKUP(A1625,'לעדכן בסינתזה דאטה אריזה 42+24'!$A:$C,3,0)</f>
        <v>#N/A</v>
      </c>
      <c r="S1625" t="e">
        <f>VLOOKUP(#REF!,'מלאי לא תקין'!A:N,17,0)</f>
        <v>#REF!</v>
      </c>
      <c r="T1625" t="e">
        <f t="shared" si="52"/>
        <v>#REF!</v>
      </c>
      <c r="U1625" t="e">
        <f t="shared" si="53"/>
        <v>#REF!</v>
      </c>
    </row>
    <row r="1626" spans="4:21" x14ac:dyDescent="0.2">
      <c r="D1626" s="4"/>
      <c r="G1626" s="5"/>
      <c r="H1626" s="5"/>
      <c r="I1626" s="4"/>
      <c r="J1626" s="4"/>
      <c r="K1626" s="5"/>
      <c r="Q1626" t="e">
        <f>VLOOKUP(A1626,'גיליון דאטה להכל'!A:E,5,0)</f>
        <v>#N/A</v>
      </c>
      <c r="R1626" t="e">
        <f>VLOOKUP(A1626,'לעדכן בסינתזה דאטה אריזה 42+24'!$A:$C,3,0)</f>
        <v>#N/A</v>
      </c>
      <c r="S1626" t="e">
        <f>VLOOKUP(#REF!,'מלאי לא תקין'!A:N,17,0)</f>
        <v>#REF!</v>
      </c>
      <c r="T1626" t="e">
        <f t="shared" si="52"/>
        <v>#REF!</v>
      </c>
      <c r="U1626" t="e">
        <f t="shared" si="53"/>
        <v>#REF!</v>
      </c>
    </row>
    <row r="1627" spans="4:21" x14ac:dyDescent="0.2">
      <c r="D1627" s="4"/>
      <c r="G1627" s="5"/>
      <c r="H1627" s="5"/>
      <c r="I1627" s="4"/>
      <c r="J1627" s="4"/>
      <c r="K1627" s="5"/>
      <c r="Q1627" t="e">
        <f>VLOOKUP(A1627,'גיליון דאטה להכל'!A:E,5,0)</f>
        <v>#N/A</v>
      </c>
      <c r="R1627" t="e">
        <f>VLOOKUP(A1627,'לעדכן בסינתזה דאטה אריזה 42+24'!$A:$C,3,0)</f>
        <v>#N/A</v>
      </c>
      <c r="S1627" t="e">
        <f>VLOOKUP(#REF!,'מלאי לא תקין'!A:N,17,0)</f>
        <v>#REF!</v>
      </c>
      <c r="T1627" t="e">
        <f t="shared" si="52"/>
        <v>#REF!</v>
      </c>
      <c r="U1627" t="e">
        <f t="shared" si="53"/>
        <v>#REF!</v>
      </c>
    </row>
    <row r="1628" spans="4:21" x14ac:dyDescent="0.2">
      <c r="D1628" s="4"/>
      <c r="G1628" s="5"/>
      <c r="H1628" s="5"/>
      <c r="I1628" s="4"/>
      <c r="J1628" s="4"/>
      <c r="K1628" s="5"/>
      <c r="Q1628" t="e">
        <f>VLOOKUP(A1628,'גיליון דאטה להכל'!A:E,5,0)</f>
        <v>#N/A</v>
      </c>
      <c r="R1628" t="e">
        <f>VLOOKUP(A1628,'לעדכן בסינתזה דאטה אריזה 42+24'!$A:$C,3,0)</f>
        <v>#N/A</v>
      </c>
      <c r="S1628" t="e">
        <f>VLOOKUP(#REF!,'מלאי לא תקין'!A:N,17,0)</f>
        <v>#REF!</v>
      </c>
      <c r="T1628" t="e">
        <f t="shared" si="52"/>
        <v>#REF!</v>
      </c>
      <c r="U1628" t="e">
        <f t="shared" si="53"/>
        <v>#REF!</v>
      </c>
    </row>
    <row r="1629" spans="4:21" x14ac:dyDescent="0.2">
      <c r="D1629" s="4"/>
      <c r="G1629" s="5"/>
      <c r="H1629" s="7"/>
      <c r="I1629" s="4"/>
      <c r="J1629" s="4"/>
      <c r="K1629" s="5"/>
      <c r="Q1629" t="e">
        <f>VLOOKUP(A1629,'גיליון דאטה להכל'!A:E,5,0)</f>
        <v>#N/A</v>
      </c>
      <c r="R1629" t="e">
        <f>VLOOKUP(A1629,'לעדכן בסינתזה דאטה אריזה 42+24'!$A:$C,3,0)</f>
        <v>#N/A</v>
      </c>
      <c r="S1629" t="e">
        <f>VLOOKUP(#REF!,'מלאי לא תקין'!A:N,17,0)</f>
        <v>#REF!</v>
      </c>
      <c r="T1629" t="e">
        <f t="shared" si="52"/>
        <v>#REF!</v>
      </c>
      <c r="U1629" t="e">
        <f t="shared" si="53"/>
        <v>#REF!</v>
      </c>
    </row>
    <row r="1630" spans="4:21" x14ac:dyDescent="0.2">
      <c r="D1630" s="4"/>
      <c r="G1630" s="5"/>
      <c r="H1630" s="5"/>
      <c r="I1630" s="4"/>
      <c r="J1630" s="4"/>
      <c r="K1630" s="5"/>
      <c r="Q1630" t="e">
        <f>VLOOKUP(A1630,'גיליון דאטה להכל'!A:E,5,0)</f>
        <v>#N/A</v>
      </c>
      <c r="R1630" t="e">
        <f>VLOOKUP(A1630,'לעדכן בסינתזה דאטה אריזה 42+24'!$A:$C,3,0)</f>
        <v>#N/A</v>
      </c>
      <c r="S1630" t="e">
        <f>VLOOKUP(#REF!,'מלאי לא תקין'!A:N,17,0)</f>
        <v>#REF!</v>
      </c>
      <c r="T1630" t="e">
        <f t="shared" si="52"/>
        <v>#REF!</v>
      </c>
      <c r="U1630" t="e">
        <f t="shared" si="53"/>
        <v>#REF!</v>
      </c>
    </row>
    <row r="1631" spans="4:21" x14ac:dyDescent="0.2">
      <c r="D1631" s="4"/>
      <c r="G1631" s="5"/>
      <c r="H1631" s="5"/>
      <c r="I1631" s="4"/>
      <c r="J1631" s="4"/>
      <c r="K1631" s="5"/>
      <c r="Q1631" t="e">
        <f>VLOOKUP(A1631,'גיליון דאטה להכל'!A:E,5,0)</f>
        <v>#N/A</v>
      </c>
      <c r="R1631" t="e">
        <f>VLOOKUP(A1631,'לעדכן בסינתזה דאטה אריזה 42+24'!$A:$C,3,0)</f>
        <v>#N/A</v>
      </c>
      <c r="S1631" t="e">
        <f>VLOOKUP(#REF!,'מלאי לא תקין'!A:N,17,0)</f>
        <v>#REF!</v>
      </c>
      <c r="T1631" t="e">
        <f t="shared" si="52"/>
        <v>#REF!</v>
      </c>
      <c r="U1631" t="e">
        <f t="shared" si="53"/>
        <v>#REF!</v>
      </c>
    </row>
    <row r="1632" spans="4:21" x14ac:dyDescent="0.2">
      <c r="D1632" s="4"/>
      <c r="G1632" s="5"/>
      <c r="H1632" s="5"/>
      <c r="I1632" s="4"/>
      <c r="J1632" s="4"/>
      <c r="K1632" s="5"/>
      <c r="Q1632" t="e">
        <f>VLOOKUP(A1632,'גיליון דאטה להכל'!A:E,5,0)</f>
        <v>#N/A</v>
      </c>
      <c r="R1632" t="e">
        <f>VLOOKUP(A1632,'לעדכן בסינתזה דאטה אריזה 42+24'!$A:$C,3,0)</f>
        <v>#N/A</v>
      </c>
      <c r="S1632" t="e">
        <f>VLOOKUP(#REF!,'מלאי לא תקין'!A:N,17,0)</f>
        <v>#REF!</v>
      </c>
      <c r="T1632" t="e">
        <f t="shared" si="52"/>
        <v>#REF!</v>
      </c>
      <c r="U1632" t="e">
        <f t="shared" si="53"/>
        <v>#REF!</v>
      </c>
    </row>
    <row r="1633" spans="4:21" x14ac:dyDescent="0.2">
      <c r="D1633" s="4"/>
      <c r="G1633" s="5"/>
      <c r="H1633" s="5"/>
      <c r="I1633" s="4"/>
      <c r="J1633" s="4"/>
      <c r="K1633" s="5"/>
      <c r="Q1633" t="e">
        <f>VLOOKUP(A1633,'גיליון דאטה להכל'!A:E,5,0)</f>
        <v>#N/A</v>
      </c>
      <c r="R1633" t="e">
        <f>VLOOKUP(A1633,'לעדכן בסינתזה דאטה אריזה 42+24'!$A:$C,3,0)</f>
        <v>#N/A</v>
      </c>
      <c r="S1633" t="e">
        <f>VLOOKUP(#REF!,'מלאי לא תקין'!A:N,17,0)</f>
        <v>#REF!</v>
      </c>
      <c r="T1633" t="e">
        <f t="shared" si="52"/>
        <v>#REF!</v>
      </c>
      <c r="U1633" t="e">
        <f t="shared" si="53"/>
        <v>#REF!</v>
      </c>
    </row>
    <row r="1634" spans="4:21" x14ac:dyDescent="0.2">
      <c r="D1634" s="4"/>
      <c r="G1634" s="5"/>
      <c r="H1634" s="7"/>
      <c r="I1634" s="4"/>
      <c r="J1634" s="4"/>
      <c r="K1634" s="5"/>
      <c r="Q1634" t="e">
        <f>VLOOKUP(A1634,'גיליון דאטה להכל'!A:E,5,0)</f>
        <v>#N/A</v>
      </c>
      <c r="R1634" t="e">
        <f>VLOOKUP(A1634,'לעדכן בסינתזה דאטה אריזה 42+24'!$A:$C,3,0)</f>
        <v>#N/A</v>
      </c>
      <c r="S1634" t="e">
        <f>VLOOKUP(#REF!,'מלאי לא תקין'!A:N,17,0)</f>
        <v>#REF!</v>
      </c>
      <c r="T1634" t="e">
        <f t="shared" si="52"/>
        <v>#REF!</v>
      </c>
      <c r="U1634" t="e">
        <f t="shared" si="53"/>
        <v>#REF!</v>
      </c>
    </row>
    <row r="1635" spans="4:21" x14ac:dyDescent="0.2">
      <c r="D1635" s="4"/>
      <c r="G1635" s="5"/>
      <c r="H1635" s="5"/>
      <c r="I1635" s="4"/>
      <c r="J1635" s="4"/>
      <c r="K1635" s="5"/>
      <c r="Q1635" t="e">
        <f>VLOOKUP(A1635,'גיליון דאטה להכל'!A:E,5,0)</f>
        <v>#N/A</v>
      </c>
      <c r="R1635" t="e">
        <f>VLOOKUP(A1635,'לעדכן בסינתזה דאטה אריזה 42+24'!$A:$C,3,0)</f>
        <v>#N/A</v>
      </c>
      <c r="S1635" t="e">
        <f>VLOOKUP(#REF!,'מלאי לא תקין'!A:N,17,0)</f>
        <v>#REF!</v>
      </c>
      <c r="T1635" t="e">
        <f t="shared" si="52"/>
        <v>#REF!</v>
      </c>
      <c r="U1635" t="e">
        <f t="shared" si="53"/>
        <v>#REF!</v>
      </c>
    </row>
    <row r="1636" spans="4:21" x14ac:dyDescent="0.2">
      <c r="D1636" s="4"/>
      <c r="G1636" s="5"/>
      <c r="H1636" s="5"/>
      <c r="I1636" s="4"/>
      <c r="J1636" s="4"/>
      <c r="K1636" s="5"/>
      <c r="Q1636" t="e">
        <f>VLOOKUP(A1636,'גיליון דאטה להכל'!A:E,5,0)</f>
        <v>#N/A</v>
      </c>
      <c r="R1636" t="e">
        <f>VLOOKUP(A1636,'לעדכן בסינתזה דאטה אריזה 42+24'!$A:$C,3,0)</f>
        <v>#N/A</v>
      </c>
      <c r="S1636" t="e">
        <f>VLOOKUP(#REF!,'מלאי לא תקין'!A:N,17,0)</f>
        <v>#REF!</v>
      </c>
      <c r="T1636" t="e">
        <f t="shared" si="52"/>
        <v>#REF!</v>
      </c>
      <c r="U1636" t="e">
        <f t="shared" si="53"/>
        <v>#REF!</v>
      </c>
    </row>
    <row r="1637" spans="4:21" x14ac:dyDescent="0.2">
      <c r="D1637" s="4"/>
      <c r="G1637" s="5"/>
      <c r="H1637" s="5"/>
      <c r="I1637" s="4"/>
      <c r="J1637" s="4"/>
      <c r="K1637" s="5"/>
      <c r="Q1637" t="e">
        <f>VLOOKUP(A1637,'גיליון דאטה להכל'!A:E,5,0)</f>
        <v>#N/A</v>
      </c>
      <c r="R1637" t="e">
        <f>VLOOKUP(A1637,'לעדכן בסינתזה דאטה אריזה 42+24'!$A:$C,3,0)</f>
        <v>#N/A</v>
      </c>
      <c r="S1637" t="e">
        <f>VLOOKUP(#REF!,'מלאי לא תקין'!A:N,17,0)</f>
        <v>#REF!</v>
      </c>
      <c r="T1637" t="e">
        <f t="shared" si="52"/>
        <v>#REF!</v>
      </c>
      <c r="U1637" t="e">
        <f t="shared" si="53"/>
        <v>#REF!</v>
      </c>
    </row>
    <row r="1638" spans="4:21" x14ac:dyDescent="0.2">
      <c r="D1638" s="4"/>
      <c r="G1638" s="5"/>
      <c r="H1638" s="5"/>
      <c r="I1638" s="4"/>
      <c r="J1638" s="4"/>
      <c r="K1638" s="5"/>
      <c r="Q1638" t="e">
        <f>VLOOKUP(A1638,'גיליון דאטה להכל'!A:E,5,0)</f>
        <v>#N/A</v>
      </c>
      <c r="R1638" t="e">
        <f>VLOOKUP(A1638,'לעדכן בסינתזה דאטה אריזה 42+24'!$A:$C,3,0)</f>
        <v>#N/A</v>
      </c>
      <c r="S1638" t="e">
        <f>VLOOKUP(#REF!,'מלאי לא תקין'!A:N,17,0)</f>
        <v>#REF!</v>
      </c>
      <c r="T1638" t="e">
        <f t="shared" si="52"/>
        <v>#REF!</v>
      </c>
      <c r="U1638" t="e">
        <f t="shared" si="53"/>
        <v>#REF!</v>
      </c>
    </row>
    <row r="1639" spans="4:21" x14ac:dyDescent="0.2">
      <c r="D1639" s="4"/>
      <c r="G1639" s="5"/>
      <c r="H1639" s="7"/>
      <c r="I1639" s="4"/>
      <c r="J1639" s="4"/>
      <c r="K1639" s="5"/>
      <c r="Q1639" t="e">
        <f>VLOOKUP(A1639,'גיליון דאטה להכל'!A:E,5,0)</f>
        <v>#N/A</v>
      </c>
      <c r="R1639" t="e">
        <f>VLOOKUP(A1639,'לעדכן בסינתזה דאטה אריזה 42+24'!$A:$C,3,0)</f>
        <v>#N/A</v>
      </c>
      <c r="S1639" t="e">
        <f>VLOOKUP(#REF!,'מלאי לא תקין'!A:N,17,0)</f>
        <v>#REF!</v>
      </c>
      <c r="T1639" t="e">
        <f t="shared" si="52"/>
        <v>#REF!</v>
      </c>
      <c r="U1639" t="e">
        <f t="shared" si="53"/>
        <v>#REF!</v>
      </c>
    </row>
    <row r="1640" spans="4:21" x14ac:dyDescent="0.2">
      <c r="D1640" s="4"/>
      <c r="G1640" s="5"/>
      <c r="H1640" s="5"/>
      <c r="I1640" s="4"/>
      <c r="J1640" s="4"/>
      <c r="K1640" s="5"/>
      <c r="Q1640" t="e">
        <f>VLOOKUP(A1640,'גיליון דאטה להכל'!A:E,5,0)</f>
        <v>#N/A</v>
      </c>
      <c r="R1640" t="e">
        <f>VLOOKUP(A1640,'לעדכן בסינתזה דאטה אריזה 42+24'!$A:$C,3,0)</f>
        <v>#N/A</v>
      </c>
      <c r="S1640" t="e">
        <f>VLOOKUP(#REF!,'מלאי לא תקין'!A:N,17,0)</f>
        <v>#REF!</v>
      </c>
      <c r="T1640" t="e">
        <f t="shared" si="52"/>
        <v>#REF!</v>
      </c>
      <c r="U1640" t="e">
        <f t="shared" si="53"/>
        <v>#REF!</v>
      </c>
    </row>
    <row r="1641" spans="4:21" x14ac:dyDescent="0.2">
      <c r="D1641" s="4"/>
      <c r="G1641" s="5"/>
      <c r="H1641" s="5"/>
      <c r="I1641" s="4"/>
      <c r="J1641" s="4"/>
      <c r="K1641" s="5"/>
      <c r="Q1641" t="e">
        <f>VLOOKUP(A1641,'גיליון דאטה להכל'!A:E,5,0)</f>
        <v>#N/A</v>
      </c>
      <c r="R1641" t="e">
        <f>VLOOKUP(A1641,'לעדכן בסינתזה דאטה אריזה 42+24'!$A:$C,3,0)</f>
        <v>#N/A</v>
      </c>
      <c r="S1641" t="e">
        <f>VLOOKUP(#REF!,'מלאי לא תקין'!A:N,17,0)</f>
        <v>#REF!</v>
      </c>
      <c r="T1641" t="e">
        <f t="shared" si="52"/>
        <v>#REF!</v>
      </c>
      <c r="U1641" t="e">
        <f t="shared" si="53"/>
        <v>#REF!</v>
      </c>
    </row>
    <row r="1642" spans="4:21" x14ac:dyDescent="0.2">
      <c r="D1642" s="4"/>
      <c r="G1642" s="5"/>
      <c r="H1642" s="5"/>
      <c r="I1642" s="4"/>
      <c r="J1642" s="4"/>
      <c r="K1642" s="5"/>
      <c r="Q1642" t="e">
        <f>VLOOKUP(A1642,'גיליון דאטה להכל'!A:E,5,0)</f>
        <v>#N/A</v>
      </c>
      <c r="R1642" t="e">
        <f>VLOOKUP(A1642,'לעדכן בסינתזה דאטה אריזה 42+24'!$A:$C,3,0)</f>
        <v>#N/A</v>
      </c>
      <c r="S1642" t="e">
        <f>VLOOKUP(#REF!,'מלאי לא תקין'!A:N,17,0)</f>
        <v>#REF!</v>
      </c>
      <c r="T1642" t="e">
        <f t="shared" si="52"/>
        <v>#REF!</v>
      </c>
      <c r="U1642" t="e">
        <f t="shared" si="53"/>
        <v>#REF!</v>
      </c>
    </row>
    <row r="1643" spans="4:21" x14ac:dyDescent="0.2">
      <c r="D1643" s="4"/>
      <c r="G1643" s="5"/>
      <c r="H1643" s="5"/>
      <c r="I1643" s="4"/>
      <c r="J1643" s="4"/>
      <c r="K1643" s="5"/>
      <c r="Q1643" t="e">
        <f>VLOOKUP(A1643,'גיליון דאטה להכל'!A:E,5,0)</f>
        <v>#N/A</v>
      </c>
      <c r="R1643" t="e">
        <f>VLOOKUP(A1643,'לעדכן בסינתזה דאטה אריזה 42+24'!$A:$C,3,0)</f>
        <v>#N/A</v>
      </c>
      <c r="S1643" t="e">
        <f>VLOOKUP(#REF!,'מלאי לא תקין'!A:N,17,0)</f>
        <v>#REF!</v>
      </c>
      <c r="T1643" t="e">
        <f t="shared" si="52"/>
        <v>#REF!</v>
      </c>
      <c r="U1643" t="e">
        <f t="shared" si="53"/>
        <v>#REF!</v>
      </c>
    </row>
    <row r="1644" spans="4:21" x14ac:dyDescent="0.2">
      <c r="D1644" s="4"/>
      <c r="G1644" s="5"/>
      <c r="H1644" s="7"/>
      <c r="I1644" s="4"/>
      <c r="J1644" s="4"/>
      <c r="K1644" s="5"/>
      <c r="Q1644" t="e">
        <f>VLOOKUP(A1644,'גיליון דאטה להכל'!A:E,5,0)</f>
        <v>#N/A</v>
      </c>
      <c r="R1644" t="e">
        <f>VLOOKUP(A1644,'לעדכן בסינתזה דאטה אריזה 42+24'!$A:$C,3,0)</f>
        <v>#N/A</v>
      </c>
      <c r="S1644" t="e">
        <f>VLOOKUP(#REF!,'מלאי לא תקין'!A:N,17,0)</f>
        <v>#REF!</v>
      </c>
      <c r="T1644" t="e">
        <f t="shared" si="52"/>
        <v>#REF!</v>
      </c>
      <c r="U1644" t="e">
        <f t="shared" si="53"/>
        <v>#REF!</v>
      </c>
    </row>
    <row r="1645" spans="4:21" x14ac:dyDescent="0.2">
      <c r="D1645" s="4"/>
      <c r="G1645" s="5"/>
      <c r="H1645" s="5"/>
      <c r="I1645" s="4"/>
      <c r="J1645" s="4"/>
      <c r="K1645" s="5"/>
      <c r="Q1645" t="e">
        <f>VLOOKUP(A1645,'גיליון דאטה להכל'!A:E,5,0)</f>
        <v>#N/A</v>
      </c>
      <c r="R1645" t="e">
        <f>VLOOKUP(A1645,'לעדכן בסינתזה דאטה אריזה 42+24'!$A:$C,3,0)</f>
        <v>#N/A</v>
      </c>
      <c r="S1645" t="e">
        <f>VLOOKUP(#REF!,'מלאי לא תקין'!A:N,17,0)</f>
        <v>#REF!</v>
      </c>
      <c r="T1645" t="e">
        <f t="shared" si="52"/>
        <v>#REF!</v>
      </c>
      <c r="U1645" t="e">
        <f t="shared" si="53"/>
        <v>#REF!</v>
      </c>
    </row>
    <row r="1646" spans="4:21" x14ac:dyDescent="0.2">
      <c r="D1646" s="4"/>
      <c r="G1646" s="5"/>
      <c r="H1646" s="5"/>
      <c r="I1646" s="4"/>
      <c r="J1646" s="4"/>
      <c r="K1646" s="5"/>
      <c r="Q1646" t="e">
        <f>VLOOKUP(A1646,'גיליון דאטה להכל'!A:E,5,0)</f>
        <v>#N/A</v>
      </c>
      <c r="R1646" t="e">
        <f>VLOOKUP(A1646,'לעדכן בסינתזה דאטה אריזה 42+24'!$A:$C,3,0)</f>
        <v>#N/A</v>
      </c>
      <c r="S1646" t="e">
        <f>VLOOKUP(#REF!,'מלאי לא תקין'!A:N,17,0)</f>
        <v>#REF!</v>
      </c>
      <c r="T1646" t="e">
        <f t="shared" si="52"/>
        <v>#REF!</v>
      </c>
      <c r="U1646" t="e">
        <f t="shared" si="53"/>
        <v>#REF!</v>
      </c>
    </row>
    <row r="1647" spans="4:21" x14ac:dyDescent="0.2">
      <c r="D1647" s="4"/>
      <c r="G1647" s="5"/>
      <c r="H1647" s="5"/>
      <c r="I1647" s="4"/>
      <c r="J1647" s="4"/>
      <c r="K1647" s="5"/>
      <c r="Q1647" t="e">
        <f>VLOOKUP(A1647,'גיליון דאטה להכל'!A:E,5,0)</f>
        <v>#N/A</v>
      </c>
      <c r="R1647" t="e">
        <f>VLOOKUP(A1647,'לעדכן בסינתזה דאטה אריזה 42+24'!$A:$C,3,0)</f>
        <v>#N/A</v>
      </c>
      <c r="S1647" t="e">
        <f>VLOOKUP(#REF!,'מלאי לא תקין'!A:N,17,0)</f>
        <v>#REF!</v>
      </c>
      <c r="T1647" t="e">
        <f t="shared" si="52"/>
        <v>#REF!</v>
      </c>
      <c r="U1647" t="e">
        <f t="shared" si="53"/>
        <v>#REF!</v>
      </c>
    </row>
    <row r="1648" spans="4:21" x14ac:dyDescent="0.2">
      <c r="D1648" s="4"/>
      <c r="G1648" s="5"/>
      <c r="H1648" s="5"/>
      <c r="I1648" s="4"/>
      <c r="J1648" s="4"/>
      <c r="K1648" s="5"/>
      <c r="Q1648" t="e">
        <f>VLOOKUP(A1648,'גיליון דאטה להכל'!A:E,5,0)</f>
        <v>#N/A</v>
      </c>
      <c r="R1648" t="e">
        <f>VLOOKUP(A1648,'לעדכן בסינתזה דאטה אריזה 42+24'!$A:$C,3,0)</f>
        <v>#N/A</v>
      </c>
      <c r="S1648" t="e">
        <f>VLOOKUP(#REF!,'מלאי לא תקין'!A:N,17,0)</f>
        <v>#REF!</v>
      </c>
      <c r="T1648" t="e">
        <f t="shared" si="52"/>
        <v>#REF!</v>
      </c>
      <c r="U1648" t="e">
        <f t="shared" si="53"/>
        <v>#REF!</v>
      </c>
    </row>
    <row r="1649" spans="4:21" x14ac:dyDescent="0.2">
      <c r="D1649" s="4"/>
      <c r="G1649" s="5"/>
      <c r="H1649" s="7"/>
      <c r="I1649" s="4"/>
      <c r="J1649" s="4"/>
      <c r="K1649" s="5"/>
      <c r="Q1649" t="e">
        <f>VLOOKUP(A1649,'גיליון דאטה להכל'!A:E,5,0)</f>
        <v>#N/A</v>
      </c>
      <c r="R1649" t="e">
        <f>VLOOKUP(A1649,'לעדכן בסינתזה דאטה אריזה 42+24'!$A:$C,3,0)</f>
        <v>#N/A</v>
      </c>
      <c r="S1649" t="e">
        <f>VLOOKUP(#REF!,'מלאי לא תקין'!A:N,17,0)</f>
        <v>#REF!</v>
      </c>
      <c r="T1649" t="e">
        <f t="shared" si="52"/>
        <v>#REF!</v>
      </c>
      <c r="U1649" t="e">
        <f t="shared" si="53"/>
        <v>#REF!</v>
      </c>
    </row>
    <row r="1650" spans="4:21" x14ac:dyDescent="0.2">
      <c r="D1650" s="4"/>
      <c r="G1650" s="5"/>
      <c r="H1650" s="5"/>
      <c r="I1650" s="4"/>
      <c r="J1650" s="4"/>
      <c r="K1650" s="5"/>
      <c r="Q1650" t="e">
        <f>VLOOKUP(A1650,'גיליון דאטה להכל'!A:E,5,0)</f>
        <v>#N/A</v>
      </c>
      <c r="R1650" t="e">
        <f>VLOOKUP(A1650,'לעדכן בסינתזה דאטה אריזה 42+24'!$A:$C,3,0)</f>
        <v>#N/A</v>
      </c>
      <c r="S1650" t="e">
        <f>VLOOKUP(#REF!,'מלאי לא תקין'!A:N,17,0)</f>
        <v>#REF!</v>
      </c>
      <c r="T1650" t="e">
        <f t="shared" si="52"/>
        <v>#REF!</v>
      </c>
      <c r="U1650" t="e">
        <f t="shared" si="53"/>
        <v>#REF!</v>
      </c>
    </row>
    <row r="1651" spans="4:21" x14ac:dyDescent="0.2">
      <c r="D1651" s="4"/>
      <c r="G1651" s="5"/>
      <c r="H1651" s="5"/>
      <c r="I1651" s="4"/>
      <c r="J1651" s="4"/>
      <c r="K1651" s="5"/>
      <c r="Q1651" t="e">
        <f>VLOOKUP(A1651,'גיליון דאטה להכל'!A:E,5,0)</f>
        <v>#N/A</v>
      </c>
      <c r="R1651" t="e">
        <f>VLOOKUP(A1651,'לעדכן בסינתזה דאטה אריזה 42+24'!$A:$C,3,0)</f>
        <v>#N/A</v>
      </c>
      <c r="S1651" t="e">
        <f>VLOOKUP(#REF!,'מלאי לא תקין'!A:N,17,0)</f>
        <v>#REF!</v>
      </c>
      <c r="T1651" t="e">
        <f t="shared" si="52"/>
        <v>#REF!</v>
      </c>
      <c r="U1651" t="e">
        <f t="shared" si="53"/>
        <v>#REF!</v>
      </c>
    </row>
    <row r="1652" spans="4:21" x14ac:dyDescent="0.2">
      <c r="D1652" s="4"/>
      <c r="G1652" s="5"/>
      <c r="H1652" s="5"/>
      <c r="I1652" s="4"/>
      <c r="J1652" s="4"/>
      <c r="K1652" s="5"/>
      <c r="Q1652" t="e">
        <f>VLOOKUP(A1652,'גיליון דאטה להכל'!A:E,5,0)</f>
        <v>#N/A</v>
      </c>
      <c r="R1652" t="e">
        <f>VLOOKUP(A1652,'לעדכן בסינתזה דאטה אריזה 42+24'!$A:$C,3,0)</f>
        <v>#N/A</v>
      </c>
      <c r="S1652" t="e">
        <f>VLOOKUP(#REF!,'מלאי לא תקין'!A:N,17,0)</f>
        <v>#REF!</v>
      </c>
      <c r="T1652" t="e">
        <f t="shared" si="52"/>
        <v>#REF!</v>
      </c>
      <c r="U1652" t="e">
        <f t="shared" si="53"/>
        <v>#REF!</v>
      </c>
    </row>
    <row r="1653" spans="4:21" x14ac:dyDescent="0.2">
      <c r="D1653" s="4"/>
      <c r="G1653" s="5"/>
      <c r="H1653" s="5"/>
      <c r="I1653" s="4"/>
      <c r="J1653" s="4"/>
      <c r="K1653" s="5"/>
      <c r="Q1653" t="e">
        <f>VLOOKUP(A1653,'גיליון דאטה להכל'!A:E,5,0)</f>
        <v>#N/A</v>
      </c>
      <c r="R1653" t="e">
        <f>VLOOKUP(A1653,'לעדכן בסינתזה דאטה אריזה 42+24'!$A:$C,3,0)</f>
        <v>#N/A</v>
      </c>
      <c r="S1653" t="e">
        <f>VLOOKUP(#REF!,'מלאי לא תקין'!A:N,17,0)</f>
        <v>#REF!</v>
      </c>
      <c r="T1653" t="e">
        <f t="shared" ref="T1653:T1716" si="54">_xlfn.CONCAT(S1653,Q1653)</f>
        <v>#REF!</v>
      </c>
      <c r="U1653" t="e">
        <f t="shared" ref="U1653:U1721" si="55">_xlfn.CONCAT(S1653,O1653)</f>
        <v>#REF!</v>
      </c>
    </row>
    <row r="1654" spans="4:21" x14ac:dyDescent="0.2">
      <c r="D1654" s="4"/>
      <c r="G1654" s="5"/>
      <c r="H1654" s="7"/>
      <c r="I1654" s="4"/>
      <c r="J1654" s="4"/>
      <c r="K1654" s="5"/>
      <c r="Q1654" t="e">
        <f>VLOOKUP(A1654,'גיליון דאטה להכל'!A:E,5,0)</f>
        <v>#N/A</v>
      </c>
      <c r="R1654" t="e">
        <f>VLOOKUP(A1654,'לעדכן בסינתזה דאטה אריזה 42+24'!$A:$C,3,0)</f>
        <v>#N/A</v>
      </c>
      <c r="S1654" t="e">
        <f>VLOOKUP(#REF!,'מלאי לא תקין'!A:N,17,0)</f>
        <v>#REF!</v>
      </c>
      <c r="T1654" t="e">
        <f t="shared" si="54"/>
        <v>#REF!</v>
      </c>
      <c r="U1654" t="e">
        <f t="shared" si="55"/>
        <v>#REF!</v>
      </c>
    </row>
    <row r="1655" spans="4:21" x14ac:dyDescent="0.2">
      <c r="D1655" s="4"/>
      <c r="G1655" s="5"/>
      <c r="H1655" s="5"/>
      <c r="I1655" s="4"/>
      <c r="J1655" s="4"/>
      <c r="K1655" s="5"/>
      <c r="Q1655" t="e">
        <f>VLOOKUP(A1655,'גיליון דאטה להכל'!A:E,5,0)</f>
        <v>#N/A</v>
      </c>
      <c r="R1655" t="e">
        <f>VLOOKUP(A1655,'לעדכן בסינתזה דאטה אריזה 42+24'!$A:$C,3,0)</f>
        <v>#N/A</v>
      </c>
      <c r="S1655" t="e">
        <f>VLOOKUP(#REF!,'מלאי לא תקין'!A:N,17,0)</f>
        <v>#REF!</v>
      </c>
      <c r="T1655" t="e">
        <f t="shared" si="54"/>
        <v>#REF!</v>
      </c>
      <c r="U1655" t="e">
        <f t="shared" si="55"/>
        <v>#REF!</v>
      </c>
    </row>
    <row r="1656" spans="4:21" x14ac:dyDescent="0.2">
      <c r="D1656" s="4"/>
      <c r="G1656" s="5"/>
      <c r="H1656" s="5"/>
      <c r="I1656" s="4"/>
      <c r="J1656" s="4"/>
      <c r="K1656" s="5"/>
      <c r="Q1656" t="e">
        <f>VLOOKUP(A1656,'גיליון דאטה להכל'!A:E,5,0)</f>
        <v>#N/A</v>
      </c>
      <c r="R1656" t="e">
        <f>VLOOKUP(A1656,'לעדכן בסינתזה דאטה אריזה 42+24'!$A:$C,3,0)</f>
        <v>#N/A</v>
      </c>
      <c r="S1656" t="e">
        <f>VLOOKUP(#REF!,'מלאי לא תקין'!A:N,17,0)</f>
        <v>#REF!</v>
      </c>
      <c r="T1656" t="e">
        <f t="shared" si="54"/>
        <v>#REF!</v>
      </c>
      <c r="U1656" t="e">
        <f t="shared" si="55"/>
        <v>#REF!</v>
      </c>
    </row>
    <row r="1657" spans="4:21" x14ac:dyDescent="0.2">
      <c r="D1657" s="4"/>
      <c r="G1657" s="5"/>
      <c r="H1657" s="5"/>
      <c r="I1657" s="4"/>
      <c r="J1657" s="4"/>
      <c r="K1657" s="5"/>
      <c r="Q1657" t="e">
        <f>VLOOKUP(A1657,'גיליון דאטה להכל'!A:E,5,0)</f>
        <v>#N/A</v>
      </c>
      <c r="R1657" t="e">
        <f>VLOOKUP(A1657,'לעדכן בסינתזה דאטה אריזה 42+24'!$A:$C,3,0)</f>
        <v>#N/A</v>
      </c>
      <c r="S1657" t="e">
        <f>VLOOKUP(#REF!,'מלאי לא תקין'!A:N,17,0)</f>
        <v>#REF!</v>
      </c>
      <c r="T1657" t="e">
        <f t="shared" si="54"/>
        <v>#REF!</v>
      </c>
      <c r="U1657" t="e">
        <f t="shared" si="55"/>
        <v>#REF!</v>
      </c>
    </row>
    <row r="1658" spans="4:21" x14ac:dyDescent="0.2">
      <c r="D1658" s="4"/>
      <c r="G1658" s="5"/>
      <c r="H1658" s="5"/>
      <c r="I1658" s="4"/>
      <c r="J1658" s="4"/>
      <c r="K1658" s="5"/>
      <c r="Q1658" t="e">
        <f>VLOOKUP(A1658,'גיליון דאטה להכל'!A:E,5,0)</f>
        <v>#N/A</v>
      </c>
      <c r="R1658" t="e">
        <f>VLOOKUP(A1658,'לעדכן בסינתזה דאטה אריזה 42+24'!$A:$C,3,0)</f>
        <v>#N/A</v>
      </c>
      <c r="S1658" t="e">
        <f>VLOOKUP(#REF!,'מלאי לא תקין'!A:N,17,0)</f>
        <v>#REF!</v>
      </c>
      <c r="T1658" t="e">
        <f t="shared" si="54"/>
        <v>#REF!</v>
      </c>
      <c r="U1658" t="e">
        <f t="shared" si="55"/>
        <v>#REF!</v>
      </c>
    </row>
    <row r="1659" spans="4:21" x14ac:dyDescent="0.2">
      <c r="D1659" s="4"/>
      <c r="G1659" s="5"/>
      <c r="H1659" s="7"/>
      <c r="I1659" s="4"/>
      <c r="J1659" s="4"/>
      <c r="K1659" s="5"/>
      <c r="Q1659" t="e">
        <f>VLOOKUP(A1659,'גיליון דאטה להכל'!A:E,5,0)</f>
        <v>#N/A</v>
      </c>
      <c r="R1659" t="e">
        <f>VLOOKUP(A1659,'לעדכן בסינתזה דאטה אריזה 42+24'!$A:$C,3,0)</f>
        <v>#N/A</v>
      </c>
      <c r="S1659" t="e">
        <f>VLOOKUP(#REF!,'מלאי לא תקין'!A:N,17,0)</f>
        <v>#REF!</v>
      </c>
      <c r="T1659" t="e">
        <f t="shared" si="54"/>
        <v>#REF!</v>
      </c>
      <c r="U1659" t="e">
        <f t="shared" si="55"/>
        <v>#REF!</v>
      </c>
    </row>
    <row r="1660" spans="4:21" x14ac:dyDescent="0.2">
      <c r="D1660" s="4"/>
      <c r="G1660" s="5"/>
      <c r="H1660" s="5"/>
      <c r="I1660" s="4"/>
      <c r="J1660" s="4"/>
      <c r="K1660" s="5"/>
      <c r="Q1660" t="e">
        <f>VLOOKUP(A1660,'גיליון דאטה להכל'!A:E,5,0)</f>
        <v>#N/A</v>
      </c>
      <c r="R1660" t="e">
        <f>VLOOKUP(A1660,'לעדכן בסינתזה דאטה אריזה 42+24'!$A:$C,3,0)</f>
        <v>#N/A</v>
      </c>
      <c r="S1660" t="e">
        <f>VLOOKUP(#REF!,'מלאי לא תקין'!A:N,17,0)</f>
        <v>#REF!</v>
      </c>
      <c r="T1660" t="e">
        <f t="shared" si="54"/>
        <v>#REF!</v>
      </c>
      <c r="U1660" t="e">
        <f t="shared" si="55"/>
        <v>#REF!</v>
      </c>
    </row>
    <row r="1661" spans="4:21" x14ac:dyDescent="0.2">
      <c r="D1661" s="4"/>
      <c r="G1661" s="5"/>
      <c r="H1661" s="5"/>
      <c r="I1661" s="4"/>
      <c r="J1661" s="4"/>
      <c r="K1661" s="5"/>
      <c r="Q1661" t="e">
        <f>VLOOKUP(A1661,'גיליון דאטה להכל'!A:E,5,0)</f>
        <v>#N/A</v>
      </c>
      <c r="R1661" t="e">
        <f>VLOOKUP(A1661,'לעדכן בסינתזה דאטה אריזה 42+24'!$A:$C,3,0)</f>
        <v>#N/A</v>
      </c>
      <c r="S1661" t="e">
        <f>VLOOKUP(#REF!,'מלאי לא תקין'!A:N,17,0)</f>
        <v>#REF!</v>
      </c>
      <c r="T1661" t="e">
        <f t="shared" si="54"/>
        <v>#REF!</v>
      </c>
      <c r="U1661" t="e">
        <f t="shared" si="55"/>
        <v>#REF!</v>
      </c>
    </row>
    <row r="1662" spans="4:21" x14ac:dyDescent="0.2">
      <c r="D1662" s="4"/>
      <c r="G1662" s="5"/>
      <c r="H1662" s="5"/>
      <c r="I1662" s="4"/>
      <c r="J1662" s="4"/>
      <c r="K1662" s="5"/>
      <c r="Q1662" t="e">
        <f>VLOOKUP(A1662,'גיליון דאטה להכל'!A:E,5,0)</f>
        <v>#N/A</v>
      </c>
      <c r="R1662" t="e">
        <f>VLOOKUP(A1662,'לעדכן בסינתזה דאטה אריזה 42+24'!$A:$C,3,0)</f>
        <v>#N/A</v>
      </c>
      <c r="S1662" t="e">
        <f>VLOOKUP(#REF!,'מלאי לא תקין'!A:N,17,0)</f>
        <v>#REF!</v>
      </c>
      <c r="T1662" t="e">
        <f t="shared" si="54"/>
        <v>#REF!</v>
      </c>
      <c r="U1662" t="e">
        <f t="shared" si="55"/>
        <v>#REF!</v>
      </c>
    </row>
    <row r="1663" spans="4:21" x14ac:dyDescent="0.2">
      <c r="D1663" s="4"/>
      <c r="G1663" s="5"/>
      <c r="H1663" s="5"/>
      <c r="I1663" s="4"/>
      <c r="J1663" s="4"/>
      <c r="K1663" s="5"/>
      <c r="Q1663" t="e">
        <f>VLOOKUP(A1663,'גיליון דאטה להכל'!A:E,5,0)</f>
        <v>#N/A</v>
      </c>
      <c r="R1663" t="e">
        <f>VLOOKUP(A1663,'לעדכן בסינתזה דאטה אריזה 42+24'!$A:$C,3,0)</f>
        <v>#N/A</v>
      </c>
      <c r="S1663" t="e">
        <f>VLOOKUP(#REF!,'מלאי לא תקין'!A:N,17,0)</f>
        <v>#REF!</v>
      </c>
      <c r="T1663" t="e">
        <f t="shared" si="54"/>
        <v>#REF!</v>
      </c>
      <c r="U1663" t="e">
        <f t="shared" si="55"/>
        <v>#REF!</v>
      </c>
    </row>
    <row r="1664" spans="4:21" x14ac:dyDescent="0.2">
      <c r="D1664" s="4"/>
      <c r="G1664" s="5"/>
      <c r="H1664" s="7"/>
      <c r="I1664" s="4"/>
      <c r="J1664" s="4"/>
      <c r="K1664" s="5"/>
      <c r="Q1664" t="e">
        <f>VLOOKUP(A1664,'גיליון דאטה להכל'!A:E,5,0)</f>
        <v>#N/A</v>
      </c>
      <c r="R1664" t="e">
        <f>VLOOKUP(A1664,'לעדכן בסינתזה דאטה אריזה 42+24'!$A:$C,3,0)</f>
        <v>#N/A</v>
      </c>
      <c r="S1664" t="e">
        <f>VLOOKUP(#REF!,'מלאי לא תקין'!A:N,17,0)</f>
        <v>#REF!</v>
      </c>
      <c r="T1664" t="e">
        <f t="shared" si="54"/>
        <v>#REF!</v>
      </c>
      <c r="U1664" t="e">
        <f t="shared" si="55"/>
        <v>#REF!</v>
      </c>
    </row>
    <row r="1665" spans="4:21" x14ac:dyDescent="0.2">
      <c r="D1665" s="4"/>
      <c r="G1665" s="5"/>
      <c r="H1665" s="5"/>
      <c r="I1665" s="4"/>
      <c r="J1665" s="4"/>
      <c r="K1665" s="5"/>
      <c r="Q1665" t="e">
        <f>VLOOKUP(A1665,'גיליון דאטה להכל'!A:E,5,0)</f>
        <v>#N/A</v>
      </c>
      <c r="R1665" t="e">
        <f>VLOOKUP(A1665,'לעדכן בסינתזה דאטה אריזה 42+24'!$A:$C,3,0)</f>
        <v>#N/A</v>
      </c>
      <c r="S1665" t="e">
        <f>VLOOKUP(#REF!,'מלאי לא תקין'!A:N,17,0)</f>
        <v>#REF!</v>
      </c>
      <c r="T1665" t="e">
        <f t="shared" si="54"/>
        <v>#REF!</v>
      </c>
      <c r="U1665" t="e">
        <f t="shared" si="55"/>
        <v>#REF!</v>
      </c>
    </row>
    <row r="1666" spans="4:21" x14ac:dyDescent="0.2">
      <c r="D1666" s="4"/>
      <c r="G1666" s="5"/>
      <c r="H1666" s="5"/>
      <c r="I1666" s="4"/>
      <c r="J1666" s="4"/>
      <c r="K1666" s="5"/>
      <c r="Q1666" t="e">
        <f>VLOOKUP(A1666,'גיליון דאטה להכל'!A:E,5,0)</f>
        <v>#N/A</v>
      </c>
      <c r="R1666" t="e">
        <f>VLOOKUP(A1666,'לעדכן בסינתזה דאטה אריזה 42+24'!$A:$C,3,0)</f>
        <v>#N/A</v>
      </c>
      <c r="S1666" t="e">
        <f>VLOOKUP(#REF!,'מלאי לא תקין'!A:N,17,0)</f>
        <v>#REF!</v>
      </c>
      <c r="T1666" t="e">
        <f t="shared" si="54"/>
        <v>#REF!</v>
      </c>
      <c r="U1666" t="e">
        <f t="shared" si="55"/>
        <v>#REF!</v>
      </c>
    </row>
    <row r="1667" spans="4:21" x14ac:dyDescent="0.2">
      <c r="D1667" s="4"/>
      <c r="G1667" s="5"/>
      <c r="H1667" s="5"/>
      <c r="I1667" s="4"/>
      <c r="J1667" s="4"/>
      <c r="K1667" s="5"/>
      <c r="Q1667" t="e">
        <f>VLOOKUP(A1667,'גיליון דאטה להכל'!A:E,5,0)</f>
        <v>#N/A</v>
      </c>
      <c r="R1667" t="e">
        <f>VLOOKUP(A1667,'לעדכן בסינתזה דאטה אריזה 42+24'!$A:$C,3,0)</f>
        <v>#N/A</v>
      </c>
      <c r="S1667" t="e">
        <f>VLOOKUP(#REF!,'מלאי לא תקין'!A:N,17,0)</f>
        <v>#REF!</v>
      </c>
      <c r="T1667" t="e">
        <f t="shared" si="54"/>
        <v>#REF!</v>
      </c>
      <c r="U1667" t="e">
        <f t="shared" si="55"/>
        <v>#REF!</v>
      </c>
    </row>
    <row r="1668" spans="4:21" x14ac:dyDescent="0.2">
      <c r="D1668" s="4"/>
      <c r="G1668" s="5"/>
      <c r="H1668" s="5"/>
      <c r="I1668" s="4"/>
      <c r="J1668" s="4"/>
      <c r="K1668" s="5"/>
      <c r="Q1668" t="e">
        <f>VLOOKUP(A1668,'גיליון דאטה להכל'!A:E,5,0)</f>
        <v>#N/A</v>
      </c>
      <c r="R1668" t="e">
        <f>VLOOKUP(A1668,'לעדכן בסינתזה דאטה אריזה 42+24'!$A:$C,3,0)</f>
        <v>#N/A</v>
      </c>
      <c r="S1668" t="e">
        <f>VLOOKUP(#REF!,'מלאי לא תקין'!A:N,17,0)</f>
        <v>#REF!</v>
      </c>
      <c r="T1668" t="e">
        <f t="shared" si="54"/>
        <v>#REF!</v>
      </c>
      <c r="U1668" t="e">
        <f t="shared" si="55"/>
        <v>#REF!</v>
      </c>
    </row>
    <row r="1669" spans="4:21" x14ac:dyDescent="0.2">
      <c r="D1669" s="4"/>
      <c r="G1669" s="5"/>
      <c r="H1669" s="7"/>
      <c r="I1669" s="4"/>
      <c r="J1669" s="4"/>
      <c r="K1669" s="5"/>
      <c r="Q1669" t="e">
        <f>VLOOKUP(A1669,'גיליון דאטה להכל'!A:E,5,0)</f>
        <v>#N/A</v>
      </c>
      <c r="R1669" t="e">
        <f>VLOOKUP(A1669,'לעדכן בסינתזה דאטה אריזה 42+24'!$A:$C,3,0)</f>
        <v>#N/A</v>
      </c>
      <c r="S1669" t="e">
        <f>VLOOKUP(#REF!,'מלאי לא תקין'!A:N,17,0)</f>
        <v>#REF!</v>
      </c>
      <c r="T1669" t="e">
        <f t="shared" si="54"/>
        <v>#REF!</v>
      </c>
      <c r="U1669" t="e">
        <f t="shared" si="55"/>
        <v>#REF!</v>
      </c>
    </row>
    <row r="1670" spans="4:21" x14ac:dyDescent="0.2">
      <c r="D1670" s="4"/>
      <c r="G1670" s="5"/>
      <c r="H1670" s="5"/>
      <c r="I1670" s="4"/>
      <c r="J1670" s="4"/>
      <c r="K1670" s="5"/>
      <c r="Q1670" t="e">
        <f>VLOOKUP(A1670,'גיליון דאטה להכל'!A:E,5,0)</f>
        <v>#N/A</v>
      </c>
      <c r="R1670" t="e">
        <f>VLOOKUP(A1670,'לעדכן בסינתזה דאטה אריזה 42+24'!$A:$C,3,0)</f>
        <v>#N/A</v>
      </c>
      <c r="S1670" t="e">
        <f>VLOOKUP(#REF!,'מלאי לא תקין'!A:N,17,0)</f>
        <v>#REF!</v>
      </c>
      <c r="T1670" t="e">
        <f t="shared" si="54"/>
        <v>#REF!</v>
      </c>
      <c r="U1670" t="e">
        <f t="shared" si="55"/>
        <v>#REF!</v>
      </c>
    </row>
    <row r="1671" spans="4:21" x14ac:dyDescent="0.2">
      <c r="D1671" s="4"/>
      <c r="G1671" s="5"/>
      <c r="H1671" s="5"/>
      <c r="I1671" s="4"/>
      <c r="J1671" s="4"/>
      <c r="K1671" s="5"/>
      <c r="Q1671" t="e">
        <f>VLOOKUP(A1671,'גיליון דאטה להכל'!A:E,5,0)</f>
        <v>#N/A</v>
      </c>
      <c r="R1671" t="e">
        <f>VLOOKUP(A1671,'לעדכן בסינתזה דאטה אריזה 42+24'!$A:$C,3,0)</f>
        <v>#N/A</v>
      </c>
      <c r="S1671" t="e">
        <f>VLOOKUP(#REF!,'מלאי לא תקין'!A:N,17,0)</f>
        <v>#REF!</v>
      </c>
      <c r="T1671" t="e">
        <f t="shared" si="54"/>
        <v>#REF!</v>
      </c>
      <c r="U1671" t="e">
        <f t="shared" si="55"/>
        <v>#REF!</v>
      </c>
    </row>
    <row r="1672" spans="4:21" x14ac:dyDescent="0.2">
      <c r="D1672" s="4"/>
      <c r="G1672" s="5"/>
      <c r="H1672" s="5"/>
      <c r="I1672" s="4"/>
      <c r="J1672" s="4"/>
      <c r="K1672" s="5"/>
      <c r="Q1672" t="e">
        <f>VLOOKUP(A1672,'גיליון דאטה להכל'!A:E,5,0)</f>
        <v>#N/A</v>
      </c>
      <c r="R1672" t="e">
        <f>VLOOKUP(A1672,'לעדכן בסינתזה דאטה אריזה 42+24'!$A:$C,3,0)</f>
        <v>#N/A</v>
      </c>
      <c r="S1672" t="e">
        <f>VLOOKUP(#REF!,'מלאי לא תקין'!A:N,17,0)</f>
        <v>#REF!</v>
      </c>
      <c r="T1672" t="e">
        <f t="shared" si="54"/>
        <v>#REF!</v>
      </c>
      <c r="U1672" t="e">
        <f t="shared" si="55"/>
        <v>#REF!</v>
      </c>
    </row>
    <row r="1673" spans="4:21" x14ac:dyDescent="0.2">
      <c r="D1673" s="4"/>
      <c r="G1673" s="5"/>
      <c r="H1673" s="5"/>
      <c r="I1673" s="4"/>
      <c r="J1673" s="4"/>
      <c r="K1673" s="5"/>
      <c r="Q1673" t="e">
        <f>VLOOKUP(A1673,'גיליון דאטה להכל'!A:E,5,0)</f>
        <v>#N/A</v>
      </c>
      <c r="R1673" t="e">
        <f>VLOOKUP(A1673,'לעדכן בסינתזה דאטה אריזה 42+24'!$A:$C,3,0)</f>
        <v>#N/A</v>
      </c>
      <c r="S1673" t="e">
        <f>VLOOKUP(#REF!,'מלאי לא תקין'!A:N,17,0)</f>
        <v>#REF!</v>
      </c>
      <c r="T1673" t="e">
        <f t="shared" si="54"/>
        <v>#REF!</v>
      </c>
      <c r="U1673" t="e">
        <f t="shared" si="55"/>
        <v>#REF!</v>
      </c>
    </row>
    <row r="1674" spans="4:21" x14ac:dyDescent="0.2">
      <c r="D1674" s="4"/>
      <c r="G1674" s="5"/>
      <c r="H1674" s="7"/>
      <c r="I1674" s="4"/>
      <c r="J1674" s="4"/>
      <c r="K1674" s="5"/>
      <c r="Q1674" t="e">
        <f>VLOOKUP(A1674,'גיליון דאטה להכל'!A:E,5,0)</f>
        <v>#N/A</v>
      </c>
      <c r="R1674" t="e">
        <f>VLOOKUP(A1674,'לעדכן בסינתזה דאטה אריזה 42+24'!$A:$C,3,0)</f>
        <v>#N/A</v>
      </c>
      <c r="S1674" t="e">
        <f>VLOOKUP(#REF!,'מלאי לא תקין'!A:N,17,0)</f>
        <v>#REF!</v>
      </c>
      <c r="T1674" t="e">
        <f t="shared" si="54"/>
        <v>#REF!</v>
      </c>
      <c r="U1674" t="e">
        <f t="shared" si="55"/>
        <v>#REF!</v>
      </c>
    </row>
    <row r="1675" spans="4:21" x14ac:dyDescent="0.2">
      <c r="D1675" s="4"/>
      <c r="G1675" s="5"/>
      <c r="H1675" s="5"/>
      <c r="I1675" s="4"/>
      <c r="J1675" s="4"/>
      <c r="K1675" s="5"/>
      <c r="Q1675" t="e">
        <f>VLOOKUP(A1675,'גיליון דאטה להכל'!A:E,5,0)</f>
        <v>#N/A</v>
      </c>
      <c r="R1675" t="e">
        <f>VLOOKUP(A1675,'לעדכן בסינתזה דאטה אריזה 42+24'!$A:$C,3,0)</f>
        <v>#N/A</v>
      </c>
      <c r="S1675" t="e">
        <f>VLOOKUP(#REF!,'מלאי לא תקין'!A:N,17,0)</f>
        <v>#REF!</v>
      </c>
      <c r="T1675" t="e">
        <f t="shared" si="54"/>
        <v>#REF!</v>
      </c>
      <c r="U1675" t="e">
        <f t="shared" si="55"/>
        <v>#REF!</v>
      </c>
    </row>
    <row r="1676" spans="4:21" x14ac:dyDescent="0.2">
      <c r="D1676" s="4"/>
      <c r="G1676" s="5"/>
      <c r="H1676" s="5"/>
      <c r="I1676" s="4"/>
      <c r="J1676" s="4"/>
      <c r="K1676" s="5"/>
      <c r="Q1676" t="e">
        <f>VLOOKUP(A1676,'גיליון דאטה להכל'!A:E,5,0)</f>
        <v>#N/A</v>
      </c>
      <c r="R1676" t="e">
        <f>VLOOKUP(A1676,'לעדכן בסינתזה דאטה אריזה 42+24'!$A:$C,3,0)</f>
        <v>#N/A</v>
      </c>
      <c r="S1676" t="e">
        <f>VLOOKUP(#REF!,'מלאי לא תקין'!A:N,17,0)</f>
        <v>#REF!</v>
      </c>
      <c r="T1676" t="e">
        <f t="shared" si="54"/>
        <v>#REF!</v>
      </c>
      <c r="U1676" t="e">
        <f t="shared" si="55"/>
        <v>#REF!</v>
      </c>
    </row>
    <row r="1677" spans="4:21" x14ac:dyDescent="0.2">
      <c r="D1677" s="4"/>
      <c r="G1677" s="5"/>
      <c r="H1677" s="5"/>
      <c r="I1677" s="4"/>
      <c r="J1677" s="4"/>
      <c r="K1677" s="5"/>
      <c r="Q1677" t="e">
        <f>VLOOKUP(A1677,'גיליון דאטה להכל'!A:E,5,0)</f>
        <v>#N/A</v>
      </c>
      <c r="R1677" t="e">
        <f>VLOOKUP(A1677,'לעדכן בסינתזה דאטה אריזה 42+24'!$A:$C,3,0)</f>
        <v>#N/A</v>
      </c>
      <c r="S1677" t="e">
        <f>VLOOKUP(#REF!,'מלאי לא תקין'!A:N,17,0)</f>
        <v>#REF!</v>
      </c>
      <c r="T1677" t="e">
        <f t="shared" si="54"/>
        <v>#REF!</v>
      </c>
      <c r="U1677" t="e">
        <f t="shared" si="55"/>
        <v>#REF!</v>
      </c>
    </row>
    <row r="1678" spans="4:21" x14ac:dyDescent="0.2">
      <c r="D1678" s="4"/>
      <c r="G1678" s="5"/>
      <c r="H1678" s="5"/>
      <c r="I1678" s="4"/>
      <c r="J1678" s="4"/>
      <c r="K1678" s="5"/>
      <c r="Q1678" t="e">
        <f>VLOOKUP(A1678,'גיליון דאטה להכל'!A:E,5,0)</f>
        <v>#N/A</v>
      </c>
      <c r="R1678" t="e">
        <f>VLOOKUP(A1678,'לעדכן בסינתזה דאטה אריזה 42+24'!$A:$C,3,0)</f>
        <v>#N/A</v>
      </c>
      <c r="S1678" t="e">
        <f>VLOOKUP(#REF!,'מלאי לא תקין'!A:N,17,0)</f>
        <v>#REF!</v>
      </c>
      <c r="T1678" t="e">
        <f t="shared" si="54"/>
        <v>#REF!</v>
      </c>
      <c r="U1678" t="e">
        <f t="shared" si="55"/>
        <v>#REF!</v>
      </c>
    </row>
    <row r="1679" spans="4:21" x14ac:dyDescent="0.2">
      <c r="D1679" s="4"/>
      <c r="G1679" s="5"/>
      <c r="H1679" s="7"/>
      <c r="I1679" s="4"/>
      <c r="J1679" s="4"/>
      <c r="K1679" s="5"/>
      <c r="Q1679" t="e">
        <f>VLOOKUP(A1679,'גיליון דאטה להכל'!A:E,5,0)</f>
        <v>#N/A</v>
      </c>
      <c r="R1679" t="e">
        <f>VLOOKUP(A1679,'לעדכן בסינתזה דאטה אריזה 42+24'!$A:$C,3,0)</f>
        <v>#N/A</v>
      </c>
      <c r="S1679" t="e">
        <f>VLOOKUP(#REF!,'מלאי לא תקין'!A:N,17,0)</f>
        <v>#REF!</v>
      </c>
      <c r="T1679" t="e">
        <f t="shared" si="54"/>
        <v>#REF!</v>
      </c>
      <c r="U1679" t="e">
        <f t="shared" si="55"/>
        <v>#REF!</v>
      </c>
    </row>
    <row r="1680" spans="4:21" x14ac:dyDescent="0.2">
      <c r="D1680" s="4"/>
      <c r="G1680" s="5"/>
      <c r="H1680" s="7"/>
      <c r="I1680" s="4"/>
      <c r="J1680" s="4"/>
      <c r="K1680" s="5"/>
      <c r="Q1680" t="e">
        <f>VLOOKUP(A1680,'גיליון דאטה להכל'!A:E,5,0)</f>
        <v>#N/A</v>
      </c>
      <c r="R1680" t="e">
        <f>VLOOKUP(A1680,'לעדכן בסינתזה דאטה אריזה 42+24'!$A:$C,3,0)</f>
        <v>#N/A</v>
      </c>
      <c r="S1680" t="e">
        <f>VLOOKUP(#REF!,'מלאי לא תקין'!A:N,17,0)</f>
        <v>#REF!</v>
      </c>
      <c r="T1680" t="e">
        <f t="shared" si="54"/>
        <v>#REF!</v>
      </c>
      <c r="U1680" t="e">
        <f t="shared" si="55"/>
        <v>#REF!</v>
      </c>
    </row>
    <row r="1681" spans="4:21" x14ac:dyDescent="0.2">
      <c r="D1681" s="4"/>
      <c r="G1681" s="5"/>
      <c r="H1681" s="5"/>
      <c r="I1681" s="4"/>
      <c r="J1681" s="4"/>
      <c r="K1681" s="5"/>
      <c r="Q1681" t="e">
        <f>VLOOKUP(A1681,'גיליון דאטה להכל'!A:E,5,0)</f>
        <v>#N/A</v>
      </c>
      <c r="R1681" t="e">
        <f>VLOOKUP(A1681,'לעדכן בסינתזה דאטה אריזה 42+24'!$A:$C,3,0)</f>
        <v>#N/A</v>
      </c>
      <c r="S1681" t="e">
        <f>VLOOKUP(#REF!,'מלאי לא תקין'!A:N,17,0)</f>
        <v>#REF!</v>
      </c>
      <c r="T1681" t="e">
        <f t="shared" si="54"/>
        <v>#REF!</v>
      </c>
      <c r="U1681" t="e">
        <f t="shared" si="55"/>
        <v>#REF!</v>
      </c>
    </row>
    <row r="1682" spans="4:21" x14ac:dyDescent="0.2">
      <c r="D1682" s="4"/>
      <c r="G1682" s="5"/>
      <c r="H1682" s="5"/>
      <c r="I1682" s="4"/>
      <c r="J1682" s="4"/>
      <c r="K1682" s="5"/>
      <c r="Q1682" t="e">
        <f>VLOOKUP(A1682,'גיליון דאטה להכל'!A:E,5,0)</f>
        <v>#N/A</v>
      </c>
      <c r="R1682" t="e">
        <f>VLOOKUP(A1682,'לעדכן בסינתזה דאטה אריזה 42+24'!$A:$C,3,0)</f>
        <v>#N/A</v>
      </c>
      <c r="S1682" t="e">
        <f>VLOOKUP(#REF!,'מלאי לא תקין'!A:N,17,0)</f>
        <v>#REF!</v>
      </c>
      <c r="T1682" t="e">
        <f t="shared" si="54"/>
        <v>#REF!</v>
      </c>
      <c r="U1682" t="e">
        <f t="shared" si="55"/>
        <v>#REF!</v>
      </c>
    </row>
    <row r="1683" spans="4:21" x14ac:dyDescent="0.2">
      <c r="D1683" s="4"/>
      <c r="G1683" s="5"/>
      <c r="H1683" s="5"/>
      <c r="I1683" s="4"/>
      <c r="J1683" s="4"/>
      <c r="K1683" s="5"/>
      <c r="Q1683" t="e">
        <f>VLOOKUP(A1683,'גיליון דאטה להכל'!A:E,5,0)</f>
        <v>#N/A</v>
      </c>
      <c r="R1683" t="e">
        <f>VLOOKUP(A1683,'לעדכן בסינתזה דאטה אריזה 42+24'!$A:$C,3,0)</f>
        <v>#N/A</v>
      </c>
      <c r="S1683" t="e">
        <f>VLOOKUP(#REF!,'מלאי לא תקין'!A:N,17,0)</f>
        <v>#REF!</v>
      </c>
      <c r="T1683" t="e">
        <f t="shared" si="54"/>
        <v>#REF!</v>
      </c>
      <c r="U1683" t="e">
        <f t="shared" si="55"/>
        <v>#REF!</v>
      </c>
    </row>
    <row r="1684" spans="4:21" x14ac:dyDescent="0.2">
      <c r="D1684" s="4"/>
      <c r="G1684" s="5"/>
      <c r="H1684" s="7"/>
      <c r="I1684" s="4"/>
      <c r="J1684" s="4"/>
      <c r="K1684" s="5"/>
      <c r="Q1684" t="e">
        <f>VLOOKUP(A1684,'גיליון דאטה להכל'!A:E,5,0)</f>
        <v>#N/A</v>
      </c>
      <c r="R1684" t="e">
        <f>VLOOKUP(A1684,'לעדכן בסינתזה דאטה אריזה 42+24'!$A:$C,3,0)</f>
        <v>#N/A</v>
      </c>
      <c r="S1684" t="e">
        <f>VLOOKUP(#REF!,'מלאי לא תקין'!A:N,17,0)</f>
        <v>#REF!</v>
      </c>
      <c r="T1684" t="e">
        <f t="shared" si="54"/>
        <v>#REF!</v>
      </c>
      <c r="U1684" t="e">
        <f t="shared" si="55"/>
        <v>#REF!</v>
      </c>
    </row>
    <row r="1685" spans="4:21" x14ac:dyDescent="0.2">
      <c r="D1685" s="4"/>
      <c r="G1685" s="5"/>
      <c r="H1685" s="5"/>
      <c r="I1685" s="4"/>
      <c r="J1685" s="4"/>
      <c r="K1685" s="5"/>
      <c r="Q1685" t="e">
        <f>VLOOKUP(A1685,'גיליון דאטה להכל'!A:E,5,0)</f>
        <v>#N/A</v>
      </c>
      <c r="R1685" t="e">
        <f>VLOOKUP(A1685,'לעדכן בסינתזה דאטה אריזה 42+24'!$A:$C,3,0)</f>
        <v>#N/A</v>
      </c>
      <c r="S1685" t="e">
        <f>VLOOKUP(#REF!,'מלאי לא תקין'!A:N,17,0)</f>
        <v>#REF!</v>
      </c>
      <c r="T1685" t="e">
        <f t="shared" si="54"/>
        <v>#REF!</v>
      </c>
      <c r="U1685" t="e">
        <f t="shared" si="55"/>
        <v>#REF!</v>
      </c>
    </row>
    <row r="1686" spans="4:21" x14ac:dyDescent="0.2">
      <c r="D1686" s="4"/>
      <c r="G1686" s="5"/>
      <c r="H1686" s="5"/>
      <c r="I1686" s="4"/>
      <c r="J1686" s="4"/>
      <c r="K1686" s="5"/>
      <c r="Q1686" t="e">
        <f>VLOOKUP(A1686,'גיליון דאטה להכל'!A:E,5,0)</f>
        <v>#N/A</v>
      </c>
      <c r="R1686" t="e">
        <f>VLOOKUP(A1686,'לעדכן בסינתזה דאטה אריזה 42+24'!$A:$C,3,0)</f>
        <v>#N/A</v>
      </c>
      <c r="S1686" t="e">
        <f>VLOOKUP(#REF!,'מלאי לא תקין'!A:N,17,0)</f>
        <v>#REF!</v>
      </c>
      <c r="T1686" t="e">
        <f t="shared" si="54"/>
        <v>#REF!</v>
      </c>
      <c r="U1686" t="e">
        <f t="shared" si="55"/>
        <v>#REF!</v>
      </c>
    </row>
    <row r="1687" spans="4:21" x14ac:dyDescent="0.2">
      <c r="D1687" s="4"/>
      <c r="G1687" s="5"/>
      <c r="H1687" s="5"/>
      <c r="I1687" s="4"/>
      <c r="J1687" s="4"/>
      <c r="K1687" s="5"/>
      <c r="Q1687" t="e">
        <f>VLOOKUP(A1687,'גיליון דאטה להכל'!A:E,5,0)</f>
        <v>#N/A</v>
      </c>
      <c r="R1687" t="e">
        <f>VLOOKUP(A1687,'לעדכן בסינתזה דאטה אריזה 42+24'!$A:$C,3,0)</f>
        <v>#N/A</v>
      </c>
      <c r="S1687" t="e">
        <f>VLOOKUP(#REF!,'מלאי לא תקין'!A:N,17,0)</f>
        <v>#REF!</v>
      </c>
      <c r="T1687" t="e">
        <f t="shared" si="54"/>
        <v>#REF!</v>
      </c>
      <c r="U1687" t="e">
        <f t="shared" si="55"/>
        <v>#REF!</v>
      </c>
    </row>
    <row r="1688" spans="4:21" x14ac:dyDescent="0.2">
      <c r="D1688" s="4"/>
      <c r="G1688" s="5"/>
      <c r="H1688" s="5"/>
      <c r="I1688" s="4"/>
      <c r="J1688" s="4"/>
      <c r="K1688" s="5"/>
      <c r="Q1688" t="e">
        <f>VLOOKUP(A1688,'גיליון דאטה להכל'!A:E,5,0)</f>
        <v>#N/A</v>
      </c>
      <c r="R1688" t="e">
        <f>VLOOKUP(A1688,'לעדכן בסינתזה דאטה אריזה 42+24'!$A:$C,3,0)</f>
        <v>#N/A</v>
      </c>
      <c r="S1688" t="e">
        <f>VLOOKUP(#REF!,'מלאי לא תקין'!A:N,17,0)</f>
        <v>#REF!</v>
      </c>
      <c r="T1688" t="e">
        <f t="shared" si="54"/>
        <v>#REF!</v>
      </c>
      <c r="U1688" t="e">
        <f t="shared" si="55"/>
        <v>#REF!</v>
      </c>
    </row>
    <row r="1689" spans="4:21" x14ac:dyDescent="0.2">
      <c r="D1689" s="4"/>
      <c r="G1689" s="5"/>
      <c r="H1689" s="7"/>
      <c r="I1689" s="4"/>
      <c r="J1689" s="4"/>
      <c r="K1689" s="5"/>
      <c r="Q1689" t="e">
        <f>VLOOKUP(A1689,'גיליון דאטה להכל'!A:E,5,0)</f>
        <v>#N/A</v>
      </c>
      <c r="R1689" t="e">
        <f>VLOOKUP(A1689,'לעדכן בסינתזה דאטה אריזה 42+24'!$A:$C,3,0)</f>
        <v>#N/A</v>
      </c>
      <c r="S1689" t="e">
        <f>VLOOKUP(#REF!,'מלאי לא תקין'!A:N,17,0)</f>
        <v>#REF!</v>
      </c>
      <c r="T1689" t="e">
        <f t="shared" si="54"/>
        <v>#REF!</v>
      </c>
      <c r="U1689" t="e">
        <f t="shared" si="55"/>
        <v>#REF!</v>
      </c>
    </row>
    <row r="1690" spans="4:21" x14ac:dyDescent="0.2">
      <c r="D1690" s="4"/>
      <c r="G1690" s="5"/>
      <c r="H1690" s="5"/>
      <c r="I1690" s="4"/>
      <c r="J1690" s="4"/>
      <c r="K1690" s="5"/>
      <c r="Q1690" t="e">
        <f>VLOOKUP(A1690,'גיליון דאטה להכל'!A:E,5,0)</f>
        <v>#N/A</v>
      </c>
      <c r="R1690" t="e">
        <f>VLOOKUP(A1690,'לעדכן בסינתזה דאטה אריזה 42+24'!$A:$C,3,0)</f>
        <v>#N/A</v>
      </c>
      <c r="S1690" t="e">
        <f>VLOOKUP(#REF!,'מלאי לא תקין'!A:N,17,0)</f>
        <v>#REF!</v>
      </c>
      <c r="T1690" t="e">
        <f t="shared" si="54"/>
        <v>#REF!</v>
      </c>
      <c r="U1690" t="e">
        <f t="shared" si="55"/>
        <v>#REF!</v>
      </c>
    </row>
    <row r="1691" spans="4:21" x14ac:dyDescent="0.2">
      <c r="D1691" s="4"/>
      <c r="G1691" s="5"/>
      <c r="H1691" s="5"/>
      <c r="I1691" s="4"/>
      <c r="J1691" s="4"/>
      <c r="K1691" s="5"/>
      <c r="Q1691" t="e">
        <f>VLOOKUP(A1691,'גיליון דאטה להכל'!A:E,5,0)</f>
        <v>#N/A</v>
      </c>
      <c r="R1691" t="e">
        <f>VLOOKUP(A1691,'לעדכן בסינתזה דאטה אריזה 42+24'!$A:$C,3,0)</f>
        <v>#N/A</v>
      </c>
      <c r="S1691" t="e">
        <f>VLOOKUP(#REF!,'מלאי לא תקין'!A:N,17,0)</f>
        <v>#REF!</v>
      </c>
      <c r="T1691" t="e">
        <f t="shared" si="54"/>
        <v>#REF!</v>
      </c>
      <c r="U1691" t="e">
        <f t="shared" si="55"/>
        <v>#REF!</v>
      </c>
    </row>
    <row r="1692" spans="4:21" x14ac:dyDescent="0.2">
      <c r="D1692" s="4"/>
      <c r="G1692" s="5"/>
      <c r="H1692" s="5"/>
      <c r="I1692" s="4"/>
      <c r="J1692" s="4"/>
      <c r="K1692" s="5"/>
      <c r="Q1692" t="e">
        <f>VLOOKUP(A1692,'גיליון דאטה להכל'!A:E,5,0)</f>
        <v>#N/A</v>
      </c>
      <c r="R1692" t="e">
        <f>VLOOKUP(A1692,'לעדכן בסינתזה דאטה אריזה 42+24'!$A:$C,3,0)</f>
        <v>#N/A</v>
      </c>
      <c r="S1692" t="e">
        <f>VLOOKUP(#REF!,'מלאי לא תקין'!A:N,17,0)</f>
        <v>#REF!</v>
      </c>
      <c r="T1692" t="e">
        <f t="shared" si="54"/>
        <v>#REF!</v>
      </c>
      <c r="U1692" t="e">
        <f t="shared" si="55"/>
        <v>#REF!</v>
      </c>
    </row>
    <row r="1693" spans="4:21" x14ac:dyDescent="0.2">
      <c r="D1693" s="4"/>
      <c r="G1693" s="5"/>
      <c r="H1693" s="5"/>
      <c r="I1693" s="4"/>
      <c r="J1693" s="4"/>
      <c r="K1693" s="5"/>
      <c r="Q1693" t="e">
        <f>VLOOKUP(A1693,'גיליון דאטה להכל'!A:E,5,0)</f>
        <v>#N/A</v>
      </c>
      <c r="R1693" t="e">
        <f>VLOOKUP(A1693,'לעדכן בסינתזה דאטה אריזה 42+24'!$A:$C,3,0)</f>
        <v>#N/A</v>
      </c>
      <c r="S1693" t="e">
        <f>VLOOKUP(#REF!,'מלאי לא תקין'!A:N,17,0)</f>
        <v>#REF!</v>
      </c>
      <c r="T1693" t="e">
        <f t="shared" si="54"/>
        <v>#REF!</v>
      </c>
      <c r="U1693" t="e">
        <f t="shared" si="55"/>
        <v>#REF!</v>
      </c>
    </row>
    <row r="1694" spans="4:21" x14ac:dyDescent="0.2">
      <c r="D1694" s="4"/>
      <c r="G1694" s="5"/>
      <c r="H1694" s="7"/>
      <c r="I1694" s="4"/>
      <c r="J1694" s="4"/>
      <c r="K1694" s="5"/>
      <c r="Q1694" t="e">
        <f>VLOOKUP(A1694,'גיליון דאטה להכל'!A:E,5,0)</f>
        <v>#N/A</v>
      </c>
      <c r="R1694" t="e">
        <f>VLOOKUP(A1694,'לעדכן בסינתזה דאטה אריזה 42+24'!$A:$C,3,0)</f>
        <v>#N/A</v>
      </c>
      <c r="S1694" t="e">
        <f>VLOOKUP(#REF!,'מלאי לא תקין'!A:N,17,0)</f>
        <v>#REF!</v>
      </c>
      <c r="T1694" t="e">
        <f t="shared" si="54"/>
        <v>#REF!</v>
      </c>
      <c r="U1694" t="e">
        <f t="shared" si="55"/>
        <v>#REF!</v>
      </c>
    </row>
    <row r="1695" spans="4:21" x14ac:dyDescent="0.2">
      <c r="D1695" s="4"/>
      <c r="G1695" s="5"/>
      <c r="H1695" s="5"/>
      <c r="I1695" s="4"/>
      <c r="J1695" s="4"/>
      <c r="K1695" s="5"/>
      <c r="Q1695" t="e">
        <f>VLOOKUP(A1695,'גיליון דאטה להכל'!A:E,5,0)</f>
        <v>#N/A</v>
      </c>
      <c r="R1695" t="e">
        <f>VLOOKUP(A1695,'לעדכן בסינתזה דאטה אריזה 42+24'!$A:$C,3,0)</f>
        <v>#N/A</v>
      </c>
      <c r="S1695" t="e">
        <f>VLOOKUP(#REF!,'מלאי לא תקין'!A:N,17,0)</f>
        <v>#REF!</v>
      </c>
      <c r="T1695" t="e">
        <f t="shared" si="54"/>
        <v>#REF!</v>
      </c>
      <c r="U1695" t="e">
        <f t="shared" si="55"/>
        <v>#REF!</v>
      </c>
    </row>
    <row r="1696" spans="4:21" x14ac:dyDescent="0.2">
      <c r="D1696" s="4"/>
      <c r="G1696" s="5"/>
      <c r="H1696" s="5"/>
      <c r="I1696" s="4"/>
      <c r="J1696" s="4"/>
      <c r="K1696" s="5"/>
      <c r="Q1696" t="e">
        <f>VLOOKUP(A1696,'גיליון דאטה להכל'!A:E,5,0)</f>
        <v>#N/A</v>
      </c>
      <c r="R1696" t="e">
        <f>VLOOKUP(A1696,'לעדכן בסינתזה דאטה אריזה 42+24'!$A:$C,3,0)</f>
        <v>#N/A</v>
      </c>
      <c r="S1696" t="e">
        <f>VLOOKUP(#REF!,'מלאי לא תקין'!A:N,17,0)</f>
        <v>#REF!</v>
      </c>
      <c r="T1696" t="e">
        <f t="shared" si="54"/>
        <v>#REF!</v>
      </c>
      <c r="U1696" t="e">
        <f t="shared" si="55"/>
        <v>#REF!</v>
      </c>
    </row>
    <row r="1697" spans="4:21" x14ac:dyDescent="0.2">
      <c r="D1697" s="4"/>
      <c r="G1697" s="5"/>
      <c r="H1697" s="5"/>
      <c r="I1697" s="4"/>
      <c r="J1697" s="4"/>
      <c r="K1697" s="5"/>
      <c r="Q1697" t="e">
        <f>VLOOKUP(A1697,'גיליון דאטה להכל'!A:E,5,0)</f>
        <v>#N/A</v>
      </c>
      <c r="R1697" t="e">
        <f>VLOOKUP(A1697,'לעדכן בסינתזה דאטה אריזה 42+24'!$A:$C,3,0)</f>
        <v>#N/A</v>
      </c>
      <c r="S1697" t="e">
        <f>VLOOKUP(#REF!,'מלאי לא תקין'!A:N,17,0)</f>
        <v>#REF!</v>
      </c>
      <c r="T1697" t="e">
        <f t="shared" si="54"/>
        <v>#REF!</v>
      </c>
      <c r="U1697" t="e">
        <f t="shared" si="55"/>
        <v>#REF!</v>
      </c>
    </row>
    <row r="1698" spans="4:21" x14ac:dyDescent="0.2">
      <c r="D1698" s="4"/>
      <c r="G1698" s="5"/>
      <c r="H1698" s="5"/>
      <c r="I1698" s="4"/>
      <c r="J1698" s="4"/>
      <c r="K1698" s="5"/>
      <c r="Q1698" t="e">
        <f>VLOOKUP(A1698,'גיליון דאטה להכל'!A:E,5,0)</f>
        <v>#N/A</v>
      </c>
      <c r="R1698" t="e">
        <f>VLOOKUP(A1698,'לעדכן בסינתזה דאטה אריזה 42+24'!$A:$C,3,0)</f>
        <v>#N/A</v>
      </c>
      <c r="S1698" t="e">
        <f>VLOOKUP(#REF!,'מלאי לא תקין'!A:N,17,0)</f>
        <v>#REF!</v>
      </c>
      <c r="T1698" t="e">
        <f t="shared" si="54"/>
        <v>#REF!</v>
      </c>
      <c r="U1698" t="e">
        <f t="shared" si="55"/>
        <v>#REF!</v>
      </c>
    </row>
    <row r="1699" spans="4:21" x14ac:dyDescent="0.2">
      <c r="D1699" s="4"/>
      <c r="G1699" s="5"/>
      <c r="H1699" s="7"/>
      <c r="I1699" s="4"/>
      <c r="J1699" s="4"/>
      <c r="K1699" s="5"/>
      <c r="Q1699" t="e">
        <f>VLOOKUP(A1699,'גיליון דאטה להכל'!A:E,5,0)</f>
        <v>#N/A</v>
      </c>
      <c r="R1699" t="e">
        <f>VLOOKUP(A1699,'לעדכן בסינתזה דאטה אריזה 42+24'!$A:$C,3,0)</f>
        <v>#N/A</v>
      </c>
      <c r="S1699" t="e">
        <f>VLOOKUP(#REF!,'מלאי לא תקין'!A:N,17,0)</f>
        <v>#REF!</v>
      </c>
      <c r="T1699" t="e">
        <f t="shared" si="54"/>
        <v>#REF!</v>
      </c>
      <c r="U1699" t="e">
        <f t="shared" si="55"/>
        <v>#REF!</v>
      </c>
    </row>
    <row r="1700" spans="4:21" x14ac:dyDescent="0.2">
      <c r="D1700" s="4"/>
      <c r="G1700" s="5"/>
      <c r="H1700" s="5"/>
      <c r="I1700" s="4"/>
      <c r="J1700" s="4"/>
      <c r="K1700" s="5"/>
      <c r="Q1700" t="e">
        <f>VLOOKUP(A1700,'גיליון דאטה להכל'!A:E,5,0)</f>
        <v>#N/A</v>
      </c>
      <c r="R1700" t="e">
        <f>VLOOKUP(A1700,'לעדכן בסינתזה דאטה אריזה 42+24'!$A:$C,3,0)</f>
        <v>#N/A</v>
      </c>
      <c r="S1700" t="e">
        <f>VLOOKUP(#REF!,'מלאי לא תקין'!A:N,17,0)</f>
        <v>#REF!</v>
      </c>
      <c r="T1700" t="e">
        <f t="shared" si="54"/>
        <v>#REF!</v>
      </c>
      <c r="U1700" t="e">
        <f t="shared" si="55"/>
        <v>#REF!</v>
      </c>
    </row>
    <row r="1701" spans="4:21" x14ac:dyDescent="0.2">
      <c r="D1701" s="4"/>
      <c r="G1701" s="5"/>
      <c r="H1701" s="5"/>
      <c r="I1701" s="4"/>
      <c r="J1701" s="4"/>
      <c r="K1701" s="5"/>
      <c r="Q1701" t="e">
        <f>VLOOKUP(A1701,'גיליון דאטה להכל'!A:E,5,0)</f>
        <v>#N/A</v>
      </c>
      <c r="R1701" t="e">
        <f>VLOOKUP(A1701,'לעדכן בסינתזה דאטה אריזה 42+24'!$A:$C,3,0)</f>
        <v>#N/A</v>
      </c>
      <c r="S1701" t="e">
        <f>VLOOKUP(#REF!,'מלאי לא תקין'!A:N,17,0)</f>
        <v>#REF!</v>
      </c>
      <c r="T1701" t="e">
        <f t="shared" si="54"/>
        <v>#REF!</v>
      </c>
      <c r="U1701" t="e">
        <f t="shared" si="55"/>
        <v>#REF!</v>
      </c>
    </row>
    <row r="1702" spans="4:21" x14ac:dyDescent="0.2">
      <c r="D1702" s="4"/>
      <c r="G1702" s="5"/>
      <c r="H1702" s="5"/>
      <c r="I1702" s="4"/>
      <c r="J1702" s="4"/>
      <c r="K1702" s="5"/>
      <c r="Q1702" t="e">
        <f>VLOOKUP(A1702,'גיליון דאטה להכל'!A:E,5,0)</f>
        <v>#N/A</v>
      </c>
      <c r="R1702" t="e">
        <f>VLOOKUP(A1702,'לעדכן בסינתזה דאטה אריזה 42+24'!$A:$C,3,0)</f>
        <v>#N/A</v>
      </c>
      <c r="S1702" t="e">
        <f>VLOOKUP(#REF!,'מלאי לא תקין'!A:N,17,0)</f>
        <v>#REF!</v>
      </c>
      <c r="T1702" t="e">
        <f t="shared" si="54"/>
        <v>#REF!</v>
      </c>
      <c r="U1702" t="e">
        <f t="shared" si="55"/>
        <v>#REF!</v>
      </c>
    </row>
    <row r="1703" spans="4:21" x14ac:dyDescent="0.2">
      <c r="D1703" s="4"/>
      <c r="G1703" s="5"/>
      <c r="H1703" s="5"/>
      <c r="I1703" s="4"/>
      <c r="J1703" s="4"/>
      <c r="K1703" s="5"/>
      <c r="Q1703" t="e">
        <f>VLOOKUP(A1703,'גיליון דאטה להכל'!A:E,5,0)</f>
        <v>#N/A</v>
      </c>
      <c r="R1703" t="e">
        <f>VLOOKUP(A1703,'לעדכן בסינתזה דאטה אריזה 42+24'!$A:$C,3,0)</f>
        <v>#N/A</v>
      </c>
      <c r="S1703" t="e">
        <f>VLOOKUP(#REF!,'מלאי לא תקין'!A:N,17,0)</f>
        <v>#REF!</v>
      </c>
      <c r="T1703" t="e">
        <f t="shared" si="54"/>
        <v>#REF!</v>
      </c>
      <c r="U1703" t="e">
        <f t="shared" si="55"/>
        <v>#REF!</v>
      </c>
    </row>
    <row r="1704" spans="4:21" x14ac:dyDescent="0.2">
      <c r="D1704" s="4"/>
      <c r="G1704" s="5"/>
      <c r="H1704" s="7"/>
      <c r="I1704" s="4"/>
      <c r="J1704" s="4"/>
      <c r="K1704" s="5"/>
      <c r="Q1704" t="e">
        <f>VLOOKUP(A1704,'גיליון דאטה להכל'!A:E,5,0)</f>
        <v>#N/A</v>
      </c>
      <c r="R1704" t="e">
        <f>VLOOKUP(A1704,'לעדכן בסינתזה דאטה אריזה 42+24'!$A:$C,3,0)</f>
        <v>#N/A</v>
      </c>
      <c r="S1704" t="e">
        <f>VLOOKUP(#REF!,'מלאי לא תקין'!A:N,17,0)</f>
        <v>#REF!</v>
      </c>
      <c r="T1704" t="e">
        <f t="shared" si="54"/>
        <v>#REF!</v>
      </c>
      <c r="U1704" t="e">
        <f t="shared" si="55"/>
        <v>#REF!</v>
      </c>
    </row>
    <row r="1705" spans="4:21" x14ac:dyDescent="0.2">
      <c r="D1705" s="4"/>
      <c r="G1705" s="5"/>
      <c r="H1705" s="5"/>
      <c r="I1705" s="4"/>
      <c r="J1705" s="4"/>
      <c r="K1705" s="5"/>
      <c r="Q1705" t="e">
        <f>VLOOKUP(A1705,'גיליון דאטה להכל'!A:E,5,0)</f>
        <v>#N/A</v>
      </c>
      <c r="R1705" t="e">
        <f>VLOOKUP(A1705,'לעדכן בסינתזה דאטה אריזה 42+24'!$A:$C,3,0)</f>
        <v>#N/A</v>
      </c>
      <c r="S1705" t="e">
        <f>VLOOKUP(#REF!,'מלאי לא תקין'!A:N,17,0)</f>
        <v>#REF!</v>
      </c>
      <c r="T1705" t="e">
        <f t="shared" si="54"/>
        <v>#REF!</v>
      </c>
      <c r="U1705" t="e">
        <f t="shared" si="55"/>
        <v>#REF!</v>
      </c>
    </row>
    <row r="1706" spans="4:21" x14ac:dyDescent="0.2">
      <c r="D1706" s="4"/>
      <c r="G1706" s="5"/>
      <c r="H1706" s="5"/>
      <c r="I1706" s="4"/>
      <c r="J1706" s="4"/>
      <c r="K1706" s="5"/>
      <c r="Q1706" t="e">
        <f>VLOOKUP(A1706,'גיליון דאטה להכל'!A:E,5,0)</f>
        <v>#N/A</v>
      </c>
      <c r="R1706" t="e">
        <f>VLOOKUP(A1706,'לעדכן בסינתזה דאטה אריזה 42+24'!$A:$C,3,0)</f>
        <v>#N/A</v>
      </c>
      <c r="S1706" t="e">
        <f>VLOOKUP(#REF!,'מלאי לא תקין'!A:N,17,0)</f>
        <v>#REF!</v>
      </c>
      <c r="T1706" t="e">
        <f t="shared" si="54"/>
        <v>#REF!</v>
      </c>
      <c r="U1706" t="e">
        <f t="shared" si="55"/>
        <v>#REF!</v>
      </c>
    </row>
    <row r="1707" spans="4:21" x14ac:dyDescent="0.2">
      <c r="D1707" s="4"/>
      <c r="G1707" s="5"/>
      <c r="H1707" s="5"/>
      <c r="I1707" s="4"/>
      <c r="J1707" s="4"/>
      <c r="K1707" s="5"/>
      <c r="Q1707" t="e">
        <f>VLOOKUP(A1707,'גיליון דאטה להכל'!A:E,5,0)</f>
        <v>#N/A</v>
      </c>
      <c r="R1707" t="e">
        <f>VLOOKUP(A1707,'לעדכן בסינתזה דאטה אריזה 42+24'!$A:$C,3,0)</f>
        <v>#N/A</v>
      </c>
      <c r="S1707" t="e">
        <f>VLOOKUP(#REF!,'מלאי לא תקין'!A:N,17,0)</f>
        <v>#REF!</v>
      </c>
      <c r="T1707" t="e">
        <f t="shared" si="54"/>
        <v>#REF!</v>
      </c>
      <c r="U1707" t="e">
        <f t="shared" si="55"/>
        <v>#REF!</v>
      </c>
    </row>
    <row r="1708" spans="4:21" x14ac:dyDescent="0.2">
      <c r="D1708" s="4"/>
      <c r="G1708" s="5"/>
      <c r="H1708" s="5"/>
      <c r="I1708" s="4"/>
      <c r="J1708" s="4"/>
      <c r="K1708" s="5"/>
      <c r="Q1708" t="e">
        <f>VLOOKUP(A1708,'גיליון דאטה להכל'!A:E,5,0)</f>
        <v>#N/A</v>
      </c>
      <c r="R1708" t="e">
        <f>VLOOKUP(A1708,'לעדכן בסינתזה דאטה אריזה 42+24'!$A:$C,3,0)</f>
        <v>#N/A</v>
      </c>
      <c r="S1708" t="e">
        <f>VLOOKUP(#REF!,'מלאי לא תקין'!A:N,17,0)</f>
        <v>#REF!</v>
      </c>
      <c r="T1708" t="e">
        <f t="shared" si="54"/>
        <v>#REF!</v>
      </c>
      <c r="U1708" t="e">
        <f t="shared" si="55"/>
        <v>#REF!</v>
      </c>
    </row>
    <row r="1709" spans="4:21" x14ac:dyDescent="0.2">
      <c r="D1709" s="4"/>
      <c r="G1709" s="5"/>
      <c r="H1709" s="7"/>
      <c r="I1709" s="4"/>
      <c r="J1709" s="4"/>
      <c r="K1709" s="5"/>
      <c r="Q1709" t="e">
        <f>VLOOKUP(A1709,'גיליון דאטה להכל'!A:E,5,0)</f>
        <v>#N/A</v>
      </c>
      <c r="R1709" t="e">
        <f>VLOOKUP(A1709,'לעדכן בסינתזה דאטה אריזה 42+24'!$A:$C,3,0)</f>
        <v>#N/A</v>
      </c>
      <c r="S1709" t="e">
        <f>VLOOKUP(#REF!,'מלאי לא תקין'!A:N,17,0)</f>
        <v>#REF!</v>
      </c>
      <c r="T1709" t="e">
        <f t="shared" si="54"/>
        <v>#REF!</v>
      </c>
      <c r="U1709" t="e">
        <f t="shared" si="55"/>
        <v>#REF!</v>
      </c>
    </row>
    <row r="1710" spans="4:21" x14ac:dyDescent="0.2">
      <c r="D1710" s="4"/>
      <c r="G1710" s="5"/>
      <c r="H1710" s="5"/>
      <c r="I1710" s="4"/>
      <c r="J1710" s="4"/>
      <c r="K1710" s="5"/>
      <c r="Q1710" t="e">
        <f>VLOOKUP(A1710,'גיליון דאטה להכל'!A:E,5,0)</f>
        <v>#N/A</v>
      </c>
      <c r="R1710" t="e">
        <f>VLOOKUP(A1710,'לעדכן בסינתזה דאטה אריזה 42+24'!$A:$C,3,0)</f>
        <v>#N/A</v>
      </c>
      <c r="S1710" t="e">
        <f>VLOOKUP(#REF!,'מלאי לא תקין'!A:N,17,0)</f>
        <v>#REF!</v>
      </c>
      <c r="T1710" t="e">
        <f t="shared" si="54"/>
        <v>#REF!</v>
      </c>
      <c r="U1710" t="e">
        <f t="shared" si="55"/>
        <v>#REF!</v>
      </c>
    </row>
    <row r="1711" spans="4:21" x14ac:dyDescent="0.2">
      <c r="D1711" s="4"/>
      <c r="G1711" s="5"/>
      <c r="H1711" s="5"/>
      <c r="I1711" s="4"/>
      <c r="J1711" s="4"/>
      <c r="K1711" s="5"/>
      <c r="Q1711" t="e">
        <f>VLOOKUP(A1711,'גיליון דאטה להכל'!A:E,5,0)</f>
        <v>#N/A</v>
      </c>
      <c r="R1711" t="e">
        <f>VLOOKUP(A1711,'לעדכן בסינתזה דאטה אריזה 42+24'!$A:$C,3,0)</f>
        <v>#N/A</v>
      </c>
      <c r="S1711" t="e">
        <f>VLOOKUP(#REF!,'מלאי לא תקין'!A:N,17,0)</f>
        <v>#REF!</v>
      </c>
      <c r="T1711" t="e">
        <f t="shared" si="54"/>
        <v>#REF!</v>
      </c>
      <c r="U1711" t="e">
        <f t="shared" si="55"/>
        <v>#REF!</v>
      </c>
    </row>
    <row r="1712" spans="4:21" x14ac:dyDescent="0.2">
      <c r="D1712" s="4"/>
      <c r="G1712" s="5"/>
      <c r="H1712" s="5"/>
      <c r="I1712" s="4"/>
      <c r="J1712" s="4"/>
      <c r="K1712" s="5"/>
      <c r="Q1712" t="e">
        <f>VLOOKUP(A1712,'גיליון דאטה להכל'!A:E,5,0)</f>
        <v>#N/A</v>
      </c>
      <c r="R1712" t="e">
        <f>VLOOKUP(A1712,'לעדכן בסינתזה דאטה אריזה 42+24'!$A:$C,3,0)</f>
        <v>#N/A</v>
      </c>
      <c r="S1712" t="e">
        <f>VLOOKUP(#REF!,'מלאי לא תקין'!A:N,17,0)</f>
        <v>#REF!</v>
      </c>
      <c r="T1712" t="e">
        <f t="shared" si="54"/>
        <v>#REF!</v>
      </c>
      <c r="U1712" t="e">
        <f t="shared" si="55"/>
        <v>#REF!</v>
      </c>
    </row>
    <row r="1713" spans="4:21" x14ac:dyDescent="0.2">
      <c r="D1713" s="4"/>
      <c r="G1713" s="5"/>
      <c r="H1713" s="5"/>
      <c r="I1713" s="4"/>
      <c r="J1713" s="4"/>
      <c r="K1713" s="5"/>
      <c r="Q1713" t="e">
        <f>VLOOKUP(A1713,'גיליון דאטה להכל'!A:E,5,0)</f>
        <v>#N/A</v>
      </c>
      <c r="R1713" t="e">
        <f>VLOOKUP(A1713,'לעדכן בסינתזה דאטה אריזה 42+24'!$A:$C,3,0)</f>
        <v>#N/A</v>
      </c>
      <c r="S1713" t="e">
        <f>VLOOKUP(#REF!,'מלאי לא תקין'!A:N,17,0)</f>
        <v>#REF!</v>
      </c>
      <c r="T1713" t="e">
        <f t="shared" si="54"/>
        <v>#REF!</v>
      </c>
      <c r="U1713" t="e">
        <f t="shared" si="55"/>
        <v>#REF!</v>
      </c>
    </row>
    <row r="1714" spans="4:21" x14ac:dyDescent="0.2">
      <c r="D1714" s="4"/>
      <c r="G1714" s="5"/>
      <c r="H1714" s="7"/>
      <c r="I1714" s="4"/>
      <c r="J1714" s="4"/>
      <c r="K1714" s="5"/>
      <c r="Q1714" t="e">
        <f>VLOOKUP(A1714,'גיליון דאטה להכל'!A:E,5,0)</f>
        <v>#N/A</v>
      </c>
      <c r="R1714" t="e">
        <f>VLOOKUP(A1714,'לעדכן בסינתזה דאטה אריזה 42+24'!$A:$C,3,0)</f>
        <v>#N/A</v>
      </c>
      <c r="S1714" t="e">
        <f>VLOOKUP(#REF!,'מלאי לא תקין'!A:N,17,0)</f>
        <v>#REF!</v>
      </c>
      <c r="T1714" t="e">
        <f t="shared" si="54"/>
        <v>#REF!</v>
      </c>
      <c r="U1714" t="e">
        <f t="shared" si="55"/>
        <v>#REF!</v>
      </c>
    </row>
    <row r="1715" spans="4:21" x14ac:dyDescent="0.2">
      <c r="D1715" s="4"/>
      <c r="G1715" s="5"/>
      <c r="H1715" s="5"/>
      <c r="I1715" s="4"/>
      <c r="J1715" s="4"/>
      <c r="K1715" s="5"/>
      <c r="Q1715" t="e">
        <f>VLOOKUP(A1715,'גיליון דאטה להכל'!A:E,5,0)</f>
        <v>#N/A</v>
      </c>
      <c r="R1715" t="e">
        <f>VLOOKUP(A1715,'לעדכן בסינתזה דאטה אריזה 42+24'!$A:$C,3,0)</f>
        <v>#N/A</v>
      </c>
      <c r="S1715" t="e">
        <f>VLOOKUP(#REF!,'מלאי לא תקין'!A:N,17,0)</f>
        <v>#REF!</v>
      </c>
      <c r="T1715" t="e">
        <f t="shared" si="54"/>
        <v>#REF!</v>
      </c>
      <c r="U1715" t="e">
        <f t="shared" si="55"/>
        <v>#REF!</v>
      </c>
    </row>
    <row r="1716" spans="4:21" x14ac:dyDescent="0.2">
      <c r="D1716" s="4"/>
      <c r="G1716" s="5"/>
      <c r="H1716" s="5"/>
      <c r="I1716" s="4"/>
      <c r="J1716" s="4"/>
      <c r="K1716" s="5"/>
      <c r="Q1716" t="e">
        <f>VLOOKUP(A1716,'גיליון דאטה להכל'!A:E,5,0)</f>
        <v>#N/A</v>
      </c>
      <c r="R1716" t="e">
        <f>VLOOKUP(A1716,'לעדכן בסינתזה דאטה אריזה 42+24'!$A:$C,3,0)</f>
        <v>#N/A</v>
      </c>
      <c r="S1716" t="e">
        <f>VLOOKUP(#REF!,'מלאי לא תקין'!A:N,17,0)</f>
        <v>#REF!</v>
      </c>
      <c r="T1716" t="e">
        <f t="shared" si="54"/>
        <v>#REF!</v>
      </c>
      <c r="U1716" t="e">
        <f t="shared" si="55"/>
        <v>#REF!</v>
      </c>
    </row>
    <row r="1717" spans="4:21" x14ac:dyDescent="0.2">
      <c r="D1717" s="4"/>
      <c r="G1717" s="5"/>
      <c r="H1717" s="5"/>
      <c r="I1717" s="4"/>
      <c r="J1717" s="4"/>
      <c r="K1717" s="5"/>
      <c r="Q1717" t="e">
        <f>VLOOKUP(A1717,'גיליון דאטה להכל'!A:E,5,0)</f>
        <v>#N/A</v>
      </c>
      <c r="R1717" t="e">
        <f>VLOOKUP(A1717,'לעדכן בסינתזה דאטה אריזה 42+24'!$A:$C,3,0)</f>
        <v>#N/A</v>
      </c>
      <c r="S1717" t="e">
        <f>VLOOKUP(#REF!,'מלאי לא תקין'!A:N,17,0)</f>
        <v>#REF!</v>
      </c>
      <c r="T1717" t="e">
        <f t="shared" ref="T1717:T1725" si="56">_xlfn.CONCAT(S1717,Q1717)</f>
        <v>#REF!</v>
      </c>
      <c r="U1717" t="e">
        <f t="shared" si="55"/>
        <v>#REF!</v>
      </c>
    </row>
    <row r="1718" spans="4:21" x14ac:dyDescent="0.2">
      <c r="D1718" s="4"/>
      <c r="G1718" s="5"/>
      <c r="H1718" s="5"/>
      <c r="I1718" s="4"/>
      <c r="J1718" s="4"/>
      <c r="K1718" s="5"/>
      <c r="Q1718" t="e">
        <f>VLOOKUP(A1718,'גיליון דאטה להכל'!A:E,5,0)</f>
        <v>#N/A</v>
      </c>
      <c r="R1718" t="e">
        <f>VLOOKUP(A1718,'לעדכן בסינתזה דאטה אריזה 42+24'!$A:$C,3,0)</f>
        <v>#N/A</v>
      </c>
      <c r="S1718" t="e">
        <f>VLOOKUP(#REF!,'מלאי לא תקין'!A:N,17,0)</f>
        <v>#REF!</v>
      </c>
      <c r="T1718" t="e">
        <f t="shared" si="56"/>
        <v>#REF!</v>
      </c>
      <c r="U1718" t="e">
        <f t="shared" si="55"/>
        <v>#REF!</v>
      </c>
    </row>
    <row r="1719" spans="4:21" x14ac:dyDescent="0.2">
      <c r="D1719" s="4"/>
      <c r="G1719" s="5"/>
      <c r="H1719" s="7"/>
      <c r="I1719" s="4"/>
      <c r="J1719" s="4"/>
      <c r="K1719" s="5"/>
      <c r="Q1719" t="e">
        <f>VLOOKUP(A1719,'גיליון דאטה להכל'!A:E,5,0)</f>
        <v>#N/A</v>
      </c>
      <c r="R1719" t="e">
        <f>VLOOKUP(A1719,'לעדכן בסינתזה דאטה אריזה 42+24'!$A:$C,3,0)</f>
        <v>#N/A</v>
      </c>
      <c r="S1719" t="e">
        <f>VLOOKUP(#REF!,'מלאי לא תקין'!A:N,17,0)</f>
        <v>#REF!</v>
      </c>
      <c r="T1719" t="e">
        <f t="shared" si="56"/>
        <v>#REF!</v>
      </c>
      <c r="U1719" t="e">
        <f t="shared" si="55"/>
        <v>#REF!</v>
      </c>
    </row>
    <row r="1720" spans="4:21" x14ac:dyDescent="0.2">
      <c r="D1720" s="4"/>
      <c r="G1720" s="5"/>
      <c r="H1720" s="5"/>
      <c r="I1720" s="4"/>
      <c r="J1720" s="4"/>
      <c r="K1720" s="5"/>
      <c r="Q1720" t="e">
        <f>VLOOKUP(A1720,'גיליון דאטה להכל'!A:E,5,0)</f>
        <v>#N/A</v>
      </c>
      <c r="R1720" t="e">
        <f>VLOOKUP(A1720,'לעדכן בסינתזה דאטה אריזה 42+24'!$A:$C,3,0)</f>
        <v>#N/A</v>
      </c>
      <c r="S1720" t="e">
        <f>VLOOKUP(#REF!,'מלאי לא תקין'!A:N,17,0)</f>
        <v>#REF!</v>
      </c>
      <c r="T1720" t="e">
        <f t="shared" si="56"/>
        <v>#REF!</v>
      </c>
      <c r="U1720" t="e">
        <f t="shared" si="55"/>
        <v>#REF!</v>
      </c>
    </row>
    <row r="1721" spans="4:21" x14ac:dyDescent="0.2">
      <c r="D1721" s="4"/>
      <c r="G1721" s="5"/>
      <c r="H1721" s="7"/>
      <c r="I1721" s="4"/>
      <c r="J1721" s="4"/>
      <c r="K1721" s="5"/>
      <c r="Q1721" t="e">
        <f>VLOOKUP(A1721,'גיליון דאטה להכל'!A:E,5,0)</f>
        <v>#N/A</v>
      </c>
      <c r="R1721" t="e">
        <f>VLOOKUP(A1721,'לעדכן בסינתזה דאטה אריזה 42+24'!$A:$C,3,0)</f>
        <v>#N/A</v>
      </c>
      <c r="S1721" t="e">
        <f>VLOOKUP(#REF!,'מלאי לא תקין'!A:N,17,0)</f>
        <v>#REF!</v>
      </c>
      <c r="T1721" t="e">
        <f t="shared" si="56"/>
        <v>#REF!</v>
      </c>
      <c r="U1721" t="e">
        <f t="shared" si="55"/>
        <v>#REF!</v>
      </c>
    </row>
    <row r="1722" spans="4:21" x14ac:dyDescent="0.2">
      <c r="D1722" s="4"/>
      <c r="G1722" s="5"/>
      <c r="H1722" s="5"/>
      <c r="I1722" s="4"/>
      <c r="J1722" s="4"/>
      <c r="K1722" s="5"/>
      <c r="Q1722" t="e">
        <f>VLOOKUP(A1722,'גיליון דאטה להכל'!A:E,5,0)</f>
        <v>#N/A</v>
      </c>
      <c r="R1722" t="e">
        <f>VLOOKUP(A1722,'לעדכן בסינתזה דאטה אריזה 42+24'!$A:$C,3,0)</f>
        <v>#N/A</v>
      </c>
      <c r="S1722" t="e">
        <f>VLOOKUP(#REF!,'מלאי לא תקין'!A:N,17,0)</f>
        <v>#REF!</v>
      </c>
      <c r="T1722" t="e">
        <f t="shared" si="56"/>
        <v>#REF!</v>
      </c>
      <c r="U1722" t="e">
        <f>_xlfn.CONCAT(S1722,O1722)</f>
        <v>#REF!</v>
      </c>
    </row>
    <row r="1723" spans="4:21" x14ac:dyDescent="0.2">
      <c r="D1723" s="4"/>
      <c r="G1723" s="5"/>
      <c r="H1723" s="5"/>
      <c r="I1723" s="4"/>
      <c r="J1723" s="4"/>
      <c r="K1723" s="5"/>
      <c r="Q1723" t="e">
        <f>VLOOKUP(A1723,'גיליון דאטה להכל'!A:E,5,0)</f>
        <v>#N/A</v>
      </c>
      <c r="R1723" t="e">
        <f>VLOOKUP(A1723,'לעדכן בסינתזה דאטה אריזה 42+24'!$A:$C,3,0)</f>
        <v>#N/A</v>
      </c>
      <c r="S1723" t="e">
        <f>VLOOKUP(#REF!,'מלאי לא תקין'!A:N,17,0)</f>
        <v>#REF!</v>
      </c>
      <c r="T1723" t="e">
        <f t="shared" si="56"/>
        <v>#REF!</v>
      </c>
      <c r="U1723" t="e">
        <f>_xlfn.CONCAT(S1723,O1723)</f>
        <v>#REF!</v>
      </c>
    </row>
    <row r="1724" spans="4:21" x14ac:dyDescent="0.2">
      <c r="D1724" s="4"/>
      <c r="G1724" s="5"/>
      <c r="H1724" s="7"/>
      <c r="I1724" s="4"/>
      <c r="J1724" s="4"/>
      <c r="K1724" s="5"/>
      <c r="Q1724" t="e">
        <f>VLOOKUP(A1724,'גיליון דאטה להכל'!A:E,5,0)</f>
        <v>#N/A</v>
      </c>
      <c r="R1724" t="e">
        <f>VLOOKUP(A1724,'לעדכן בסינתזה דאטה אריזה 42+24'!$A:$C,3,0)</f>
        <v>#N/A</v>
      </c>
      <c r="S1724" t="e">
        <f>VLOOKUP(#REF!,'מלאי לא תקין'!A:N,17,0)</f>
        <v>#REF!</v>
      </c>
      <c r="T1724" t="e">
        <f t="shared" si="56"/>
        <v>#REF!</v>
      </c>
      <c r="U1724" t="e">
        <f>_xlfn.CONCAT(S1724,O1724)</f>
        <v>#REF!</v>
      </c>
    </row>
    <row r="1725" spans="4:21" x14ac:dyDescent="0.2">
      <c r="D1725" s="4"/>
      <c r="G1725" s="5"/>
      <c r="H1725" s="5"/>
      <c r="I1725" s="4"/>
      <c r="J1725" s="4"/>
      <c r="K1725" s="5"/>
      <c r="Q1725" t="e">
        <f>VLOOKUP(A1725,'גיליון דאטה להכל'!A:E,5,0)</f>
        <v>#N/A</v>
      </c>
      <c r="R1725" t="e">
        <f>VLOOKUP(A1725,'לעדכן בסינתזה דאטה אריזה 42+24'!$A:$C,3,0)</f>
        <v>#N/A</v>
      </c>
      <c r="S1725" t="e">
        <f>VLOOKUP(#REF!,'מלאי לא תקין'!A:N,17,0)</f>
        <v>#REF!</v>
      </c>
      <c r="T1725" t="e">
        <f t="shared" si="56"/>
        <v>#REF!</v>
      </c>
      <c r="U1725" t="e">
        <f>_xlfn.CONCAT(S1725,O1725)</f>
        <v>#REF!</v>
      </c>
    </row>
    <row r="1726" spans="4:21" x14ac:dyDescent="0.2">
      <c r="D1726" s="4"/>
      <c r="G1726" s="5"/>
      <c r="H1726" s="5"/>
      <c r="I1726" s="4"/>
      <c r="J1726" s="4"/>
      <c r="K1726" s="5"/>
      <c r="Q1726" t="e">
        <f>VLOOKUP(A1726,'גיליון דאטה להכל'!A:E,5,0)</f>
        <v>#N/A</v>
      </c>
      <c r="R1726" t="e">
        <f>VLOOKUP(A1726,'לעדכן בסינתזה דאטה אריזה 42+24'!$A:$C,3,0)</f>
        <v>#N/A</v>
      </c>
      <c r="S1726" t="e">
        <f>VLOOKUP(#REF!,'מלאי לא תקין'!A:N,17,0)</f>
        <v>#REF!</v>
      </c>
      <c r="T1726" t="e">
        <f t="shared" ref="T1726:T1789" si="57">_xlfn.CONCAT(S1726,Q1726)</f>
        <v>#REF!</v>
      </c>
      <c r="U1726" t="e">
        <f t="shared" ref="U1726:U1789" si="58">_xlfn.CONCAT(S1726,O1726)</f>
        <v>#REF!</v>
      </c>
    </row>
    <row r="1727" spans="4:21" x14ac:dyDescent="0.2">
      <c r="D1727" s="4"/>
      <c r="G1727" s="5"/>
      <c r="H1727" s="5"/>
      <c r="I1727" s="4"/>
      <c r="J1727" s="4"/>
      <c r="K1727" s="5"/>
      <c r="Q1727" t="e">
        <f>VLOOKUP(A1727,'גיליון דאטה להכל'!A:E,5,0)</f>
        <v>#N/A</v>
      </c>
      <c r="R1727" t="e">
        <f>VLOOKUP(A1727,'לעדכן בסינתזה דאטה אריזה 42+24'!$A:$C,3,0)</f>
        <v>#N/A</v>
      </c>
      <c r="S1727" t="e">
        <f>VLOOKUP(#REF!,'מלאי לא תקין'!A:N,17,0)</f>
        <v>#REF!</v>
      </c>
      <c r="T1727" t="e">
        <f t="shared" si="57"/>
        <v>#REF!</v>
      </c>
      <c r="U1727" t="e">
        <f t="shared" si="58"/>
        <v>#REF!</v>
      </c>
    </row>
    <row r="1728" spans="4:21" x14ac:dyDescent="0.2">
      <c r="D1728" s="4"/>
      <c r="G1728" s="5"/>
      <c r="H1728" s="5"/>
      <c r="I1728" s="4"/>
      <c r="J1728" s="4"/>
      <c r="K1728" s="5"/>
      <c r="Q1728" t="e">
        <f>VLOOKUP(A1728,'גיליון דאטה להכל'!A:E,5,0)</f>
        <v>#N/A</v>
      </c>
      <c r="R1728" t="e">
        <f>VLOOKUP(A1728,'לעדכן בסינתזה דאטה אריזה 42+24'!$A:$C,3,0)</f>
        <v>#N/A</v>
      </c>
      <c r="S1728" t="e">
        <f>VLOOKUP(#REF!,'מלאי לא תקין'!A:N,17,0)</f>
        <v>#REF!</v>
      </c>
      <c r="T1728" t="e">
        <f t="shared" si="57"/>
        <v>#REF!</v>
      </c>
      <c r="U1728" t="e">
        <f t="shared" si="58"/>
        <v>#REF!</v>
      </c>
    </row>
    <row r="1729" spans="4:21" x14ac:dyDescent="0.2">
      <c r="D1729" s="4"/>
      <c r="G1729" s="5"/>
      <c r="H1729" s="7"/>
      <c r="I1729" s="4"/>
      <c r="J1729" s="4"/>
      <c r="K1729" s="5"/>
      <c r="Q1729" t="e">
        <f>VLOOKUP(A1729,'גיליון דאטה להכל'!A:E,5,0)</f>
        <v>#N/A</v>
      </c>
      <c r="R1729" t="e">
        <f>VLOOKUP(A1729,'לעדכן בסינתזה דאטה אריזה 42+24'!$A:$C,3,0)</f>
        <v>#N/A</v>
      </c>
      <c r="S1729" t="e">
        <f>VLOOKUP(#REF!,'מלאי לא תקין'!A:N,17,0)</f>
        <v>#REF!</v>
      </c>
      <c r="T1729" t="e">
        <f t="shared" si="57"/>
        <v>#REF!</v>
      </c>
      <c r="U1729" t="e">
        <f t="shared" si="58"/>
        <v>#REF!</v>
      </c>
    </row>
    <row r="1730" spans="4:21" x14ac:dyDescent="0.2">
      <c r="D1730" s="4"/>
      <c r="G1730" s="5"/>
      <c r="H1730" s="5"/>
      <c r="I1730" s="4"/>
      <c r="J1730" s="4"/>
      <c r="K1730" s="5"/>
      <c r="Q1730" t="e">
        <f>VLOOKUP(A1730,'גיליון דאטה להכל'!A:E,5,0)</f>
        <v>#N/A</v>
      </c>
      <c r="R1730" t="e">
        <f>VLOOKUP(A1730,'לעדכן בסינתזה דאטה אריזה 42+24'!$A:$C,3,0)</f>
        <v>#N/A</v>
      </c>
      <c r="S1730" t="e">
        <f>VLOOKUP(#REF!,'מלאי לא תקין'!A:N,17,0)</f>
        <v>#REF!</v>
      </c>
      <c r="T1730" t="e">
        <f t="shared" si="57"/>
        <v>#REF!</v>
      </c>
      <c r="U1730" t="e">
        <f t="shared" si="58"/>
        <v>#REF!</v>
      </c>
    </row>
    <row r="1731" spans="4:21" x14ac:dyDescent="0.2">
      <c r="D1731" s="4"/>
      <c r="G1731" s="5"/>
      <c r="H1731" s="5"/>
      <c r="I1731" s="4"/>
      <c r="J1731" s="4"/>
      <c r="K1731" s="5"/>
      <c r="Q1731" t="e">
        <f>VLOOKUP(A1731,'גיליון דאטה להכל'!A:E,5,0)</f>
        <v>#N/A</v>
      </c>
      <c r="R1731" t="e">
        <f>VLOOKUP(A1731,'לעדכן בסינתזה דאטה אריזה 42+24'!$A:$C,3,0)</f>
        <v>#N/A</v>
      </c>
      <c r="S1731" t="e">
        <f>VLOOKUP(#REF!,'מלאי לא תקין'!A:N,17,0)</f>
        <v>#REF!</v>
      </c>
      <c r="T1731" t="e">
        <f t="shared" si="57"/>
        <v>#REF!</v>
      </c>
      <c r="U1731" t="e">
        <f t="shared" si="58"/>
        <v>#REF!</v>
      </c>
    </row>
    <row r="1732" spans="4:21" x14ac:dyDescent="0.2">
      <c r="D1732" s="4"/>
      <c r="G1732" s="5"/>
      <c r="H1732" s="5"/>
      <c r="I1732" s="4"/>
      <c r="J1732" s="4"/>
      <c r="K1732" s="5"/>
      <c r="Q1732" t="e">
        <f>VLOOKUP(A1732,'גיליון דאטה להכל'!A:E,5,0)</f>
        <v>#N/A</v>
      </c>
      <c r="R1732" t="e">
        <f>VLOOKUP(A1732,'לעדכן בסינתזה דאטה אריזה 42+24'!$A:$C,3,0)</f>
        <v>#N/A</v>
      </c>
      <c r="S1732" t="e">
        <f>VLOOKUP(#REF!,'מלאי לא תקין'!A:N,17,0)</f>
        <v>#REF!</v>
      </c>
      <c r="T1732" t="e">
        <f t="shared" si="57"/>
        <v>#REF!</v>
      </c>
      <c r="U1732" t="e">
        <f t="shared" si="58"/>
        <v>#REF!</v>
      </c>
    </row>
    <row r="1733" spans="4:21" x14ac:dyDescent="0.2">
      <c r="D1733" s="4"/>
      <c r="G1733" s="5"/>
      <c r="H1733" s="5"/>
      <c r="I1733" s="4"/>
      <c r="J1733" s="4"/>
      <c r="K1733" s="5"/>
      <c r="Q1733" t="e">
        <f>VLOOKUP(A1733,'גיליון דאטה להכל'!A:E,5,0)</f>
        <v>#N/A</v>
      </c>
      <c r="R1733" t="e">
        <f>VLOOKUP(A1733,'לעדכן בסינתזה דאטה אריזה 42+24'!$A:$C,3,0)</f>
        <v>#N/A</v>
      </c>
      <c r="S1733" t="e">
        <f>VLOOKUP(#REF!,'מלאי לא תקין'!A:N,17,0)</f>
        <v>#REF!</v>
      </c>
      <c r="T1733" t="e">
        <f t="shared" si="57"/>
        <v>#REF!</v>
      </c>
      <c r="U1733" t="e">
        <f t="shared" si="58"/>
        <v>#REF!</v>
      </c>
    </row>
    <row r="1734" spans="4:21" x14ac:dyDescent="0.2">
      <c r="D1734" s="4"/>
      <c r="G1734" s="5"/>
      <c r="H1734" s="7"/>
      <c r="I1734" s="4"/>
      <c r="J1734" s="4"/>
      <c r="K1734" s="5"/>
      <c r="Q1734" t="e">
        <f>VLOOKUP(A1734,'גיליון דאטה להכל'!A:E,5,0)</f>
        <v>#N/A</v>
      </c>
      <c r="R1734" t="e">
        <f>VLOOKUP(A1734,'לעדכן בסינתזה דאטה אריזה 42+24'!$A:$C,3,0)</f>
        <v>#N/A</v>
      </c>
      <c r="S1734" t="e">
        <f>VLOOKUP(#REF!,'מלאי לא תקין'!A:N,17,0)</f>
        <v>#REF!</v>
      </c>
      <c r="T1734" t="e">
        <f t="shared" si="57"/>
        <v>#REF!</v>
      </c>
      <c r="U1734" t="e">
        <f t="shared" si="58"/>
        <v>#REF!</v>
      </c>
    </row>
    <row r="1735" spans="4:21" x14ac:dyDescent="0.2">
      <c r="D1735" s="4"/>
      <c r="G1735" s="5"/>
      <c r="H1735" s="5"/>
      <c r="I1735" s="4"/>
      <c r="J1735" s="4"/>
      <c r="K1735" s="5"/>
      <c r="Q1735" t="e">
        <f>VLOOKUP(A1735,'גיליון דאטה להכל'!A:E,5,0)</f>
        <v>#N/A</v>
      </c>
      <c r="R1735" t="e">
        <f>VLOOKUP(A1735,'לעדכן בסינתזה דאטה אריזה 42+24'!$A:$C,3,0)</f>
        <v>#N/A</v>
      </c>
      <c r="S1735" t="e">
        <f>VLOOKUP(#REF!,'מלאי לא תקין'!A:N,17,0)</f>
        <v>#REF!</v>
      </c>
      <c r="T1735" t="e">
        <f t="shared" si="57"/>
        <v>#REF!</v>
      </c>
      <c r="U1735" t="e">
        <f t="shared" si="58"/>
        <v>#REF!</v>
      </c>
    </row>
    <row r="1736" spans="4:21" x14ac:dyDescent="0.2">
      <c r="D1736" s="4"/>
      <c r="G1736" s="5"/>
      <c r="H1736" s="5"/>
      <c r="I1736" s="4"/>
      <c r="J1736" s="4"/>
      <c r="K1736" s="5"/>
      <c r="Q1736" t="e">
        <f>VLOOKUP(A1736,'גיליון דאטה להכל'!A:E,5,0)</f>
        <v>#N/A</v>
      </c>
      <c r="R1736" t="e">
        <f>VLOOKUP(A1736,'לעדכן בסינתזה דאטה אריזה 42+24'!$A:$C,3,0)</f>
        <v>#N/A</v>
      </c>
      <c r="S1736" t="e">
        <f>VLOOKUP(#REF!,'מלאי לא תקין'!A:N,17,0)</f>
        <v>#REF!</v>
      </c>
      <c r="T1736" t="e">
        <f t="shared" si="57"/>
        <v>#REF!</v>
      </c>
      <c r="U1736" t="e">
        <f t="shared" si="58"/>
        <v>#REF!</v>
      </c>
    </row>
    <row r="1737" spans="4:21" x14ac:dyDescent="0.2">
      <c r="D1737" s="4"/>
      <c r="G1737" s="5"/>
      <c r="H1737" s="5"/>
      <c r="I1737" s="4"/>
      <c r="J1737" s="4"/>
      <c r="K1737" s="5"/>
      <c r="Q1737" t="e">
        <f>VLOOKUP(A1737,'גיליון דאטה להכל'!A:E,5,0)</f>
        <v>#N/A</v>
      </c>
      <c r="R1737" t="e">
        <f>VLOOKUP(A1737,'לעדכן בסינתזה דאטה אריזה 42+24'!$A:$C,3,0)</f>
        <v>#N/A</v>
      </c>
      <c r="S1737" t="e">
        <f>VLOOKUP(#REF!,'מלאי לא תקין'!A:N,17,0)</f>
        <v>#REF!</v>
      </c>
      <c r="T1737" t="e">
        <f t="shared" si="57"/>
        <v>#REF!</v>
      </c>
      <c r="U1737" t="e">
        <f t="shared" si="58"/>
        <v>#REF!</v>
      </c>
    </row>
    <row r="1738" spans="4:21" x14ac:dyDescent="0.2">
      <c r="D1738" s="4"/>
      <c r="G1738" s="5"/>
      <c r="H1738" s="5"/>
      <c r="I1738" s="4"/>
      <c r="J1738" s="4"/>
      <c r="K1738" s="5"/>
      <c r="Q1738" t="e">
        <f>VLOOKUP(A1738,'גיליון דאטה להכל'!A:E,5,0)</f>
        <v>#N/A</v>
      </c>
      <c r="R1738" t="e">
        <f>VLOOKUP(A1738,'לעדכן בסינתזה דאטה אריזה 42+24'!$A:$C,3,0)</f>
        <v>#N/A</v>
      </c>
      <c r="S1738" t="e">
        <f>VLOOKUP(#REF!,'מלאי לא תקין'!A:N,17,0)</f>
        <v>#REF!</v>
      </c>
      <c r="T1738" t="e">
        <f t="shared" si="57"/>
        <v>#REF!</v>
      </c>
      <c r="U1738" t="e">
        <f t="shared" si="58"/>
        <v>#REF!</v>
      </c>
    </row>
    <row r="1739" spans="4:21" x14ac:dyDescent="0.2">
      <c r="D1739" s="4"/>
      <c r="G1739" s="5"/>
      <c r="H1739" s="7"/>
      <c r="I1739" s="4"/>
      <c r="J1739" s="4"/>
      <c r="K1739" s="5"/>
      <c r="Q1739" t="e">
        <f>VLOOKUP(A1739,'גיליון דאטה להכל'!A:E,5,0)</f>
        <v>#N/A</v>
      </c>
      <c r="R1739" t="e">
        <f>VLOOKUP(A1739,'לעדכן בסינתזה דאטה אריזה 42+24'!$A:$C,3,0)</f>
        <v>#N/A</v>
      </c>
      <c r="S1739" t="e">
        <f>VLOOKUP(#REF!,'מלאי לא תקין'!A:N,17,0)</f>
        <v>#REF!</v>
      </c>
      <c r="T1739" t="e">
        <f t="shared" si="57"/>
        <v>#REF!</v>
      </c>
      <c r="U1739" t="e">
        <f t="shared" si="58"/>
        <v>#REF!</v>
      </c>
    </row>
    <row r="1740" spans="4:21" x14ac:dyDescent="0.2">
      <c r="D1740" s="4"/>
      <c r="G1740" s="5"/>
      <c r="H1740" s="5"/>
      <c r="I1740" s="4"/>
      <c r="J1740" s="4"/>
      <c r="K1740" s="5"/>
      <c r="Q1740" t="e">
        <f>VLOOKUP(A1740,'גיליון דאטה להכל'!A:E,5,0)</f>
        <v>#N/A</v>
      </c>
      <c r="R1740" t="e">
        <f>VLOOKUP(A1740,'לעדכן בסינתזה דאטה אריזה 42+24'!$A:$C,3,0)</f>
        <v>#N/A</v>
      </c>
      <c r="S1740" t="e">
        <f>VLOOKUP(#REF!,'מלאי לא תקין'!A:N,17,0)</f>
        <v>#REF!</v>
      </c>
      <c r="T1740" t="e">
        <f t="shared" si="57"/>
        <v>#REF!</v>
      </c>
      <c r="U1740" t="e">
        <f t="shared" si="58"/>
        <v>#REF!</v>
      </c>
    </row>
    <row r="1741" spans="4:21" x14ac:dyDescent="0.2">
      <c r="D1741" s="4"/>
      <c r="G1741" s="5"/>
      <c r="H1741" s="5"/>
      <c r="I1741" s="4"/>
      <c r="J1741" s="4"/>
      <c r="K1741" s="5"/>
      <c r="Q1741" t="e">
        <f>VLOOKUP(A1741,'גיליון דאטה להכל'!A:E,5,0)</f>
        <v>#N/A</v>
      </c>
      <c r="R1741" t="e">
        <f>VLOOKUP(A1741,'לעדכן בסינתזה דאטה אריזה 42+24'!$A:$C,3,0)</f>
        <v>#N/A</v>
      </c>
      <c r="S1741" t="e">
        <f>VLOOKUP(#REF!,'מלאי לא תקין'!A:N,17,0)</f>
        <v>#REF!</v>
      </c>
      <c r="T1741" t="e">
        <f t="shared" si="57"/>
        <v>#REF!</v>
      </c>
      <c r="U1741" t="e">
        <f t="shared" si="58"/>
        <v>#REF!</v>
      </c>
    </row>
    <row r="1742" spans="4:21" x14ac:dyDescent="0.2">
      <c r="D1742" s="4"/>
      <c r="G1742" s="5"/>
      <c r="H1742" s="5"/>
      <c r="I1742" s="4"/>
      <c r="J1742" s="4"/>
      <c r="K1742" s="5"/>
      <c r="Q1742" t="e">
        <f>VLOOKUP(A1742,'גיליון דאטה להכל'!A:E,5,0)</f>
        <v>#N/A</v>
      </c>
      <c r="R1742" t="e">
        <f>VLOOKUP(A1742,'לעדכן בסינתזה דאטה אריזה 42+24'!$A:$C,3,0)</f>
        <v>#N/A</v>
      </c>
      <c r="S1742" t="e">
        <f>VLOOKUP(#REF!,'מלאי לא תקין'!A:N,17,0)</f>
        <v>#REF!</v>
      </c>
      <c r="T1742" t="e">
        <f t="shared" si="57"/>
        <v>#REF!</v>
      </c>
      <c r="U1742" t="e">
        <f t="shared" si="58"/>
        <v>#REF!</v>
      </c>
    </row>
    <row r="1743" spans="4:21" x14ac:dyDescent="0.2">
      <c r="D1743" s="4"/>
      <c r="G1743" s="5"/>
      <c r="H1743" s="5"/>
      <c r="I1743" s="4"/>
      <c r="J1743" s="4"/>
      <c r="K1743" s="5"/>
      <c r="Q1743" t="e">
        <f>VLOOKUP(A1743,'גיליון דאטה להכל'!A:E,5,0)</f>
        <v>#N/A</v>
      </c>
      <c r="R1743" t="e">
        <f>VLOOKUP(A1743,'לעדכן בסינתזה דאטה אריזה 42+24'!$A:$C,3,0)</f>
        <v>#N/A</v>
      </c>
      <c r="S1743" t="e">
        <f>VLOOKUP(#REF!,'מלאי לא תקין'!A:N,17,0)</f>
        <v>#REF!</v>
      </c>
      <c r="T1743" t="e">
        <f t="shared" si="57"/>
        <v>#REF!</v>
      </c>
      <c r="U1743" t="e">
        <f t="shared" si="58"/>
        <v>#REF!</v>
      </c>
    </row>
    <row r="1744" spans="4:21" x14ac:dyDescent="0.2">
      <c r="D1744" s="4"/>
      <c r="G1744" s="5"/>
      <c r="H1744" s="7"/>
      <c r="I1744" s="4"/>
      <c r="J1744" s="4"/>
      <c r="K1744" s="5"/>
      <c r="Q1744" t="e">
        <f>VLOOKUP(A1744,'גיליון דאטה להכל'!A:E,5,0)</f>
        <v>#N/A</v>
      </c>
      <c r="R1744" t="e">
        <f>VLOOKUP(A1744,'לעדכן בסינתזה דאטה אריזה 42+24'!$A:$C,3,0)</f>
        <v>#N/A</v>
      </c>
      <c r="S1744" t="e">
        <f>VLOOKUP(#REF!,'מלאי לא תקין'!A:N,17,0)</f>
        <v>#REF!</v>
      </c>
      <c r="T1744" t="e">
        <f t="shared" si="57"/>
        <v>#REF!</v>
      </c>
      <c r="U1744" t="e">
        <f t="shared" si="58"/>
        <v>#REF!</v>
      </c>
    </row>
    <row r="1745" spans="4:21" x14ac:dyDescent="0.2">
      <c r="D1745" s="4"/>
      <c r="G1745" s="5"/>
      <c r="H1745" s="5"/>
      <c r="I1745" s="4"/>
      <c r="J1745" s="4"/>
      <c r="K1745" s="5"/>
      <c r="Q1745" t="e">
        <f>VLOOKUP(A1745,'גיליון דאטה להכל'!A:E,5,0)</f>
        <v>#N/A</v>
      </c>
      <c r="R1745" t="e">
        <f>VLOOKUP(A1745,'לעדכן בסינתזה דאטה אריזה 42+24'!$A:$C,3,0)</f>
        <v>#N/A</v>
      </c>
      <c r="S1745" t="e">
        <f>VLOOKUP(#REF!,'מלאי לא תקין'!A:N,17,0)</f>
        <v>#REF!</v>
      </c>
      <c r="T1745" t="e">
        <f t="shared" si="57"/>
        <v>#REF!</v>
      </c>
      <c r="U1745" t="e">
        <f t="shared" si="58"/>
        <v>#REF!</v>
      </c>
    </row>
    <row r="1746" spans="4:21" x14ac:dyDescent="0.2">
      <c r="D1746" s="4"/>
      <c r="G1746" s="5"/>
      <c r="H1746" s="5"/>
      <c r="I1746" s="4"/>
      <c r="J1746" s="4"/>
      <c r="K1746" s="5"/>
      <c r="Q1746" t="e">
        <f>VLOOKUP(A1746,'גיליון דאטה להכל'!A:E,5,0)</f>
        <v>#N/A</v>
      </c>
      <c r="R1746" t="e">
        <f>VLOOKUP(A1746,'לעדכן בסינתזה דאטה אריזה 42+24'!$A:$C,3,0)</f>
        <v>#N/A</v>
      </c>
      <c r="S1746" t="e">
        <f>VLOOKUP(#REF!,'מלאי לא תקין'!A:N,17,0)</f>
        <v>#REF!</v>
      </c>
      <c r="T1746" t="e">
        <f t="shared" si="57"/>
        <v>#REF!</v>
      </c>
      <c r="U1746" t="e">
        <f t="shared" si="58"/>
        <v>#REF!</v>
      </c>
    </row>
    <row r="1747" spans="4:21" x14ac:dyDescent="0.2">
      <c r="D1747" s="4"/>
      <c r="G1747" s="5"/>
      <c r="H1747" s="5"/>
      <c r="I1747" s="4"/>
      <c r="J1747" s="4"/>
      <c r="K1747" s="5"/>
      <c r="Q1747" t="e">
        <f>VLOOKUP(A1747,'גיליון דאטה להכל'!A:E,5,0)</f>
        <v>#N/A</v>
      </c>
      <c r="R1747" t="e">
        <f>VLOOKUP(A1747,'לעדכן בסינתזה דאטה אריזה 42+24'!$A:$C,3,0)</f>
        <v>#N/A</v>
      </c>
      <c r="S1747" t="e">
        <f>VLOOKUP(#REF!,'מלאי לא תקין'!A:N,17,0)</f>
        <v>#REF!</v>
      </c>
      <c r="T1747" t="e">
        <f t="shared" si="57"/>
        <v>#REF!</v>
      </c>
      <c r="U1747" t="e">
        <f t="shared" si="58"/>
        <v>#REF!</v>
      </c>
    </row>
    <row r="1748" spans="4:21" x14ac:dyDescent="0.2">
      <c r="D1748" s="4"/>
      <c r="G1748" s="5"/>
      <c r="H1748" s="5"/>
      <c r="I1748" s="4"/>
      <c r="J1748" s="4"/>
      <c r="K1748" s="5"/>
      <c r="Q1748" t="e">
        <f>VLOOKUP(A1748,'גיליון דאטה להכל'!A:E,5,0)</f>
        <v>#N/A</v>
      </c>
      <c r="R1748" t="e">
        <f>VLOOKUP(A1748,'לעדכן בסינתזה דאטה אריזה 42+24'!$A:$C,3,0)</f>
        <v>#N/A</v>
      </c>
      <c r="S1748" t="e">
        <f>VLOOKUP(#REF!,'מלאי לא תקין'!A:N,17,0)</f>
        <v>#REF!</v>
      </c>
      <c r="T1748" t="e">
        <f t="shared" si="57"/>
        <v>#REF!</v>
      </c>
      <c r="U1748" t="e">
        <f t="shared" si="58"/>
        <v>#REF!</v>
      </c>
    </row>
    <row r="1749" spans="4:21" x14ac:dyDescent="0.2">
      <c r="D1749" s="4"/>
      <c r="G1749" s="5"/>
      <c r="H1749" s="7"/>
      <c r="I1749" s="4"/>
      <c r="J1749" s="4"/>
      <c r="K1749" s="5"/>
      <c r="Q1749" t="e">
        <f>VLOOKUP(A1749,'גיליון דאטה להכל'!A:E,5,0)</f>
        <v>#N/A</v>
      </c>
      <c r="R1749" t="e">
        <f>VLOOKUP(A1749,'לעדכן בסינתזה דאטה אריזה 42+24'!$A:$C,3,0)</f>
        <v>#N/A</v>
      </c>
      <c r="S1749" t="e">
        <f>VLOOKUP(#REF!,'מלאי לא תקין'!A:N,17,0)</f>
        <v>#REF!</v>
      </c>
      <c r="T1749" t="e">
        <f t="shared" si="57"/>
        <v>#REF!</v>
      </c>
      <c r="U1749" t="e">
        <f t="shared" si="58"/>
        <v>#REF!</v>
      </c>
    </row>
    <row r="1750" spans="4:21" x14ac:dyDescent="0.2">
      <c r="D1750" s="4"/>
      <c r="G1750" s="5"/>
      <c r="H1750" s="5"/>
      <c r="I1750" s="4"/>
      <c r="J1750" s="4"/>
      <c r="K1750" s="5"/>
      <c r="Q1750" t="e">
        <f>VLOOKUP(A1750,'גיליון דאטה להכל'!A:E,5,0)</f>
        <v>#N/A</v>
      </c>
      <c r="R1750" t="e">
        <f>VLOOKUP(A1750,'לעדכן בסינתזה דאטה אריזה 42+24'!$A:$C,3,0)</f>
        <v>#N/A</v>
      </c>
      <c r="S1750" t="e">
        <f>VLOOKUP(#REF!,'מלאי לא תקין'!A:N,17,0)</f>
        <v>#REF!</v>
      </c>
      <c r="T1750" t="e">
        <f t="shared" si="57"/>
        <v>#REF!</v>
      </c>
      <c r="U1750" t="e">
        <f t="shared" si="58"/>
        <v>#REF!</v>
      </c>
    </row>
    <row r="1751" spans="4:21" x14ac:dyDescent="0.2">
      <c r="D1751" s="4"/>
      <c r="G1751" s="5"/>
      <c r="H1751" s="5"/>
      <c r="I1751" s="4"/>
      <c r="J1751" s="4"/>
      <c r="K1751" s="5"/>
      <c r="Q1751" t="e">
        <f>VLOOKUP(A1751,'גיליון דאטה להכל'!A:E,5,0)</f>
        <v>#N/A</v>
      </c>
      <c r="R1751" t="e">
        <f>VLOOKUP(A1751,'לעדכן בסינתזה דאטה אריזה 42+24'!$A:$C,3,0)</f>
        <v>#N/A</v>
      </c>
      <c r="S1751" t="e">
        <f>VLOOKUP(#REF!,'מלאי לא תקין'!A:N,17,0)</f>
        <v>#REF!</v>
      </c>
      <c r="T1751" t="e">
        <f t="shared" si="57"/>
        <v>#REF!</v>
      </c>
      <c r="U1751" t="e">
        <f t="shared" si="58"/>
        <v>#REF!</v>
      </c>
    </row>
    <row r="1752" spans="4:21" x14ac:dyDescent="0.2">
      <c r="D1752" s="4"/>
      <c r="G1752" s="5"/>
      <c r="H1752" s="5"/>
      <c r="I1752" s="4"/>
      <c r="J1752" s="4"/>
      <c r="K1752" s="5"/>
      <c r="Q1752" t="e">
        <f>VLOOKUP(A1752,'גיליון דאטה להכל'!A:E,5,0)</f>
        <v>#N/A</v>
      </c>
      <c r="R1752" t="e">
        <f>VLOOKUP(A1752,'לעדכן בסינתזה דאטה אריזה 42+24'!$A:$C,3,0)</f>
        <v>#N/A</v>
      </c>
      <c r="S1752" t="e">
        <f>VLOOKUP(#REF!,'מלאי לא תקין'!A:N,17,0)</f>
        <v>#REF!</v>
      </c>
      <c r="T1752" t="e">
        <f t="shared" si="57"/>
        <v>#REF!</v>
      </c>
      <c r="U1752" t="e">
        <f t="shared" si="58"/>
        <v>#REF!</v>
      </c>
    </row>
    <row r="1753" spans="4:21" x14ac:dyDescent="0.2">
      <c r="D1753" s="4"/>
      <c r="G1753" s="5"/>
      <c r="H1753" s="5"/>
      <c r="I1753" s="4"/>
      <c r="J1753" s="4"/>
      <c r="K1753" s="5"/>
      <c r="Q1753" t="e">
        <f>VLOOKUP(A1753,'גיליון דאטה להכל'!A:E,5,0)</f>
        <v>#N/A</v>
      </c>
      <c r="R1753" t="e">
        <f>VLOOKUP(A1753,'לעדכן בסינתזה דאטה אריזה 42+24'!$A:$C,3,0)</f>
        <v>#N/A</v>
      </c>
      <c r="S1753" t="e">
        <f>VLOOKUP(#REF!,'מלאי לא תקין'!A:N,17,0)</f>
        <v>#REF!</v>
      </c>
      <c r="T1753" t="e">
        <f t="shared" si="57"/>
        <v>#REF!</v>
      </c>
      <c r="U1753" t="e">
        <f t="shared" si="58"/>
        <v>#REF!</v>
      </c>
    </row>
    <row r="1754" spans="4:21" x14ac:dyDescent="0.2">
      <c r="D1754" s="4"/>
      <c r="G1754" s="5"/>
      <c r="H1754" s="7"/>
      <c r="I1754" s="4"/>
      <c r="J1754" s="4"/>
      <c r="K1754" s="5"/>
      <c r="Q1754" t="e">
        <f>VLOOKUP(A1754,'גיליון דאטה להכל'!A:E,5,0)</f>
        <v>#N/A</v>
      </c>
      <c r="R1754" t="e">
        <f>VLOOKUP(A1754,'לעדכן בסינתזה דאטה אריזה 42+24'!$A:$C,3,0)</f>
        <v>#N/A</v>
      </c>
      <c r="S1754" t="e">
        <f>VLOOKUP(#REF!,'מלאי לא תקין'!A:N,17,0)</f>
        <v>#REF!</v>
      </c>
      <c r="T1754" t="e">
        <f t="shared" si="57"/>
        <v>#REF!</v>
      </c>
      <c r="U1754" t="e">
        <f t="shared" si="58"/>
        <v>#REF!</v>
      </c>
    </row>
    <row r="1755" spans="4:21" x14ac:dyDescent="0.2">
      <c r="D1755" s="4"/>
      <c r="G1755" s="5"/>
      <c r="H1755" s="5"/>
      <c r="I1755" s="4"/>
      <c r="J1755" s="4"/>
      <c r="K1755" s="5"/>
      <c r="Q1755" t="e">
        <f>VLOOKUP(A1755,'גיליון דאטה להכל'!A:E,5,0)</f>
        <v>#N/A</v>
      </c>
      <c r="R1755" t="e">
        <f>VLOOKUP(A1755,'לעדכן בסינתזה דאטה אריזה 42+24'!$A:$C,3,0)</f>
        <v>#N/A</v>
      </c>
      <c r="S1755" t="e">
        <f>VLOOKUP(#REF!,'מלאי לא תקין'!A:N,17,0)</f>
        <v>#REF!</v>
      </c>
      <c r="T1755" t="e">
        <f t="shared" si="57"/>
        <v>#REF!</v>
      </c>
      <c r="U1755" t="e">
        <f t="shared" si="58"/>
        <v>#REF!</v>
      </c>
    </row>
    <row r="1756" spans="4:21" x14ac:dyDescent="0.2">
      <c r="D1756" s="4"/>
      <c r="G1756" s="5"/>
      <c r="H1756" s="5"/>
      <c r="I1756" s="4"/>
      <c r="J1756" s="4"/>
      <c r="K1756" s="5"/>
      <c r="Q1756" t="e">
        <f>VLOOKUP(A1756,'גיליון דאטה להכל'!A:E,5,0)</f>
        <v>#N/A</v>
      </c>
      <c r="R1756" t="e">
        <f>VLOOKUP(A1756,'לעדכן בסינתזה דאטה אריזה 42+24'!$A:$C,3,0)</f>
        <v>#N/A</v>
      </c>
      <c r="S1756" t="e">
        <f>VLOOKUP(#REF!,'מלאי לא תקין'!A:N,17,0)</f>
        <v>#REF!</v>
      </c>
      <c r="T1756" t="e">
        <f t="shared" si="57"/>
        <v>#REF!</v>
      </c>
      <c r="U1756" t="e">
        <f t="shared" si="58"/>
        <v>#REF!</v>
      </c>
    </row>
    <row r="1757" spans="4:21" x14ac:dyDescent="0.2">
      <c r="D1757" s="4"/>
      <c r="G1757" s="5"/>
      <c r="H1757" s="5"/>
      <c r="I1757" s="4"/>
      <c r="J1757" s="4"/>
      <c r="K1757" s="5"/>
      <c r="Q1757" t="e">
        <f>VLOOKUP(A1757,'גיליון דאטה להכל'!A:E,5,0)</f>
        <v>#N/A</v>
      </c>
      <c r="R1757" t="e">
        <f>VLOOKUP(A1757,'לעדכן בסינתזה דאטה אריזה 42+24'!$A:$C,3,0)</f>
        <v>#N/A</v>
      </c>
      <c r="S1757" t="e">
        <f>VLOOKUP(#REF!,'מלאי לא תקין'!A:N,17,0)</f>
        <v>#REF!</v>
      </c>
      <c r="T1757" t="e">
        <f t="shared" si="57"/>
        <v>#REF!</v>
      </c>
      <c r="U1757" t="e">
        <f t="shared" si="58"/>
        <v>#REF!</v>
      </c>
    </row>
    <row r="1758" spans="4:21" x14ac:dyDescent="0.2">
      <c r="D1758" s="4"/>
      <c r="G1758" s="5"/>
      <c r="H1758" s="5"/>
      <c r="I1758" s="4"/>
      <c r="J1758" s="4"/>
      <c r="K1758" s="5"/>
      <c r="Q1758" t="e">
        <f>VLOOKUP(A1758,'גיליון דאטה להכל'!A:E,5,0)</f>
        <v>#N/A</v>
      </c>
      <c r="R1758" t="e">
        <f>VLOOKUP(A1758,'לעדכן בסינתזה דאטה אריזה 42+24'!$A:$C,3,0)</f>
        <v>#N/A</v>
      </c>
      <c r="S1758" t="e">
        <f>VLOOKUP(#REF!,'מלאי לא תקין'!A:N,17,0)</f>
        <v>#REF!</v>
      </c>
      <c r="T1758" t="e">
        <f t="shared" si="57"/>
        <v>#REF!</v>
      </c>
      <c r="U1758" t="e">
        <f t="shared" si="58"/>
        <v>#REF!</v>
      </c>
    </row>
    <row r="1759" spans="4:21" x14ac:dyDescent="0.2">
      <c r="D1759" s="4"/>
      <c r="G1759" s="5"/>
      <c r="H1759" s="5"/>
      <c r="I1759" s="4"/>
      <c r="J1759" s="4"/>
      <c r="K1759" s="5"/>
      <c r="Q1759" t="e">
        <f>VLOOKUP(A1759,'גיליון דאטה להכל'!A:E,5,0)</f>
        <v>#N/A</v>
      </c>
      <c r="R1759" t="e">
        <f>VLOOKUP(A1759,'לעדכן בסינתזה דאטה אריזה 42+24'!$A:$C,3,0)</f>
        <v>#N/A</v>
      </c>
      <c r="S1759" t="e">
        <f>VLOOKUP(#REF!,'מלאי לא תקין'!A:N,17,0)</f>
        <v>#REF!</v>
      </c>
      <c r="T1759" t="e">
        <f t="shared" si="57"/>
        <v>#REF!</v>
      </c>
      <c r="U1759" t="e">
        <f t="shared" si="58"/>
        <v>#REF!</v>
      </c>
    </row>
    <row r="1760" spans="4:21" x14ac:dyDescent="0.2">
      <c r="D1760" s="4"/>
      <c r="G1760" s="5"/>
      <c r="H1760" s="5"/>
      <c r="I1760" s="4"/>
      <c r="J1760" s="4"/>
      <c r="K1760" s="5"/>
      <c r="Q1760" t="e">
        <f>VLOOKUP(A1760,'גיליון דאטה להכל'!A:E,5,0)</f>
        <v>#N/A</v>
      </c>
      <c r="R1760" t="e">
        <f>VLOOKUP(A1760,'לעדכן בסינתזה דאטה אריזה 42+24'!$A:$C,3,0)</f>
        <v>#N/A</v>
      </c>
      <c r="S1760" t="e">
        <f>VLOOKUP(#REF!,'מלאי לא תקין'!A:N,17,0)</f>
        <v>#REF!</v>
      </c>
      <c r="T1760" t="e">
        <f t="shared" si="57"/>
        <v>#REF!</v>
      </c>
      <c r="U1760" t="e">
        <f t="shared" si="58"/>
        <v>#REF!</v>
      </c>
    </row>
    <row r="1761" spans="4:21" x14ac:dyDescent="0.2">
      <c r="D1761" s="4"/>
      <c r="G1761" s="5"/>
      <c r="H1761" s="5"/>
      <c r="I1761" s="4"/>
      <c r="J1761" s="4"/>
      <c r="K1761" s="5"/>
      <c r="Q1761" t="e">
        <f>VLOOKUP(A1761,'גיליון דאטה להכל'!A:E,5,0)</f>
        <v>#N/A</v>
      </c>
      <c r="R1761" t="e">
        <f>VLOOKUP(A1761,'לעדכן בסינתזה דאטה אריזה 42+24'!$A:$C,3,0)</f>
        <v>#N/A</v>
      </c>
      <c r="S1761" t="e">
        <f>VLOOKUP(#REF!,'מלאי לא תקין'!A:N,17,0)</f>
        <v>#REF!</v>
      </c>
      <c r="T1761" t="e">
        <f t="shared" si="57"/>
        <v>#REF!</v>
      </c>
      <c r="U1761" t="e">
        <f t="shared" si="58"/>
        <v>#REF!</v>
      </c>
    </row>
    <row r="1762" spans="4:21" x14ac:dyDescent="0.2">
      <c r="D1762" s="4"/>
      <c r="G1762" s="5"/>
      <c r="H1762" s="5"/>
      <c r="I1762" s="4"/>
      <c r="J1762" s="4"/>
      <c r="K1762" s="5"/>
      <c r="Q1762" t="e">
        <f>VLOOKUP(A1762,'גיליון דאטה להכל'!A:E,5,0)</f>
        <v>#N/A</v>
      </c>
      <c r="R1762" t="e">
        <f>VLOOKUP(A1762,'לעדכן בסינתזה דאטה אריזה 42+24'!$A:$C,3,0)</f>
        <v>#N/A</v>
      </c>
      <c r="S1762" t="e">
        <f>VLOOKUP(#REF!,'מלאי לא תקין'!A:N,17,0)</f>
        <v>#REF!</v>
      </c>
      <c r="T1762" t="e">
        <f t="shared" si="57"/>
        <v>#REF!</v>
      </c>
      <c r="U1762" t="e">
        <f t="shared" si="58"/>
        <v>#REF!</v>
      </c>
    </row>
    <row r="1763" spans="4:21" x14ac:dyDescent="0.2">
      <c r="D1763" s="4"/>
      <c r="G1763" s="5"/>
      <c r="H1763" s="5"/>
      <c r="I1763" s="4"/>
      <c r="J1763" s="4"/>
      <c r="K1763" s="5"/>
      <c r="Q1763" t="e">
        <f>VLOOKUP(A1763,'גיליון דאטה להכל'!A:E,5,0)</f>
        <v>#N/A</v>
      </c>
      <c r="R1763" t="e">
        <f>VLOOKUP(A1763,'לעדכן בסינתזה דאטה אריזה 42+24'!$A:$C,3,0)</f>
        <v>#N/A</v>
      </c>
      <c r="S1763" t="e">
        <f>VLOOKUP(#REF!,'מלאי לא תקין'!A:N,17,0)</f>
        <v>#REF!</v>
      </c>
      <c r="T1763" t="e">
        <f t="shared" si="57"/>
        <v>#REF!</v>
      </c>
      <c r="U1763" t="e">
        <f t="shared" si="58"/>
        <v>#REF!</v>
      </c>
    </row>
    <row r="1764" spans="4:21" x14ac:dyDescent="0.2">
      <c r="D1764" s="4"/>
      <c r="G1764" s="5"/>
      <c r="H1764" s="7"/>
      <c r="I1764" s="4"/>
      <c r="J1764" s="4"/>
      <c r="K1764" s="5"/>
      <c r="Q1764" t="e">
        <f>VLOOKUP(A1764,'גיליון דאטה להכל'!A:E,5,0)</f>
        <v>#N/A</v>
      </c>
      <c r="R1764" t="e">
        <f>VLOOKUP(A1764,'לעדכן בסינתזה דאטה אריזה 42+24'!$A:$C,3,0)</f>
        <v>#N/A</v>
      </c>
      <c r="S1764" t="e">
        <f>VLOOKUP(#REF!,'מלאי לא תקין'!A:N,17,0)</f>
        <v>#REF!</v>
      </c>
      <c r="T1764" t="e">
        <f t="shared" si="57"/>
        <v>#REF!</v>
      </c>
      <c r="U1764" t="e">
        <f t="shared" si="58"/>
        <v>#REF!</v>
      </c>
    </row>
    <row r="1765" spans="4:21" x14ac:dyDescent="0.2">
      <c r="D1765" s="4"/>
      <c r="G1765" s="5"/>
      <c r="H1765" s="5"/>
      <c r="I1765" s="4"/>
      <c r="J1765" s="4"/>
      <c r="K1765" s="5"/>
      <c r="Q1765" t="e">
        <f>VLOOKUP(A1765,'גיליון דאטה להכל'!A:E,5,0)</f>
        <v>#N/A</v>
      </c>
      <c r="R1765" t="e">
        <f>VLOOKUP(A1765,'לעדכן בסינתזה דאטה אריזה 42+24'!$A:$C,3,0)</f>
        <v>#N/A</v>
      </c>
      <c r="S1765" t="e">
        <f>VLOOKUP(#REF!,'מלאי לא תקין'!A:N,17,0)</f>
        <v>#REF!</v>
      </c>
      <c r="T1765" t="e">
        <f t="shared" si="57"/>
        <v>#REF!</v>
      </c>
      <c r="U1765" t="e">
        <f t="shared" si="58"/>
        <v>#REF!</v>
      </c>
    </row>
    <row r="1766" spans="4:21" x14ac:dyDescent="0.2">
      <c r="D1766" s="4"/>
      <c r="G1766" s="5"/>
      <c r="H1766" s="5"/>
      <c r="I1766" s="4"/>
      <c r="J1766" s="4"/>
      <c r="K1766" s="5"/>
      <c r="Q1766" t="e">
        <f>VLOOKUP(A1766,'גיליון דאטה להכל'!A:E,5,0)</f>
        <v>#N/A</v>
      </c>
      <c r="R1766" t="e">
        <f>VLOOKUP(A1766,'לעדכן בסינתזה דאטה אריזה 42+24'!$A:$C,3,0)</f>
        <v>#N/A</v>
      </c>
      <c r="S1766" t="e">
        <f>VLOOKUP(#REF!,'מלאי לא תקין'!A:N,17,0)</f>
        <v>#REF!</v>
      </c>
      <c r="T1766" t="e">
        <f t="shared" si="57"/>
        <v>#REF!</v>
      </c>
      <c r="U1766" t="e">
        <f t="shared" si="58"/>
        <v>#REF!</v>
      </c>
    </row>
    <row r="1767" spans="4:21" x14ac:dyDescent="0.2">
      <c r="D1767" s="4"/>
      <c r="G1767" s="5"/>
      <c r="H1767" s="5"/>
      <c r="I1767" s="4"/>
      <c r="J1767" s="4"/>
      <c r="K1767" s="5"/>
      <c r="Q1767" t="e">
        <f>VLOOKUP(A1767,'גיליון דאטה להכל'!A:E,5,0)</f>
        <v>#N/A</v>
      </c>
      <c r="R1767" t="e">
        <f>VLOOKUP(A1767,'לעדכן בסינתזה דאטה אריזה 42+24'!$A:$C,3,0)</f>
        <v>#N/A</v>
      </c>
      <c r="S1767" t="e">
        <f>VLOOKUP(#REF!,'מלאי לא תקין'!A:N,17,0)</f>
        <v>#REF!</v>
      </c>
      <c r="T1767" t="e">
        <f t="shared" si="57"/>
        <v>#REF!</v>
      </c>
      <c r="U1767" t="e">
        <f t="shared" si="58"/>
        <v>#REF!</v>
      </c>
    </row>
    <row r="1768" spans="4:21" x14ac:dyDescent="0.2">
      <c r="D1768" s="4"/>
      <c r="G1768" s="5"/>
      <c r="H1768" s="5"/>
      <c r="I1768" s="4"/>
      <c r="J1768" s="4"/>
      <c r="K1768" s="5"/>
      <c r="Q1768" t="e">
        <f>VLOOKUP(A1768,'גיליון דאטה להכל'!A:E,5,0)</f>
        <v>#N/A</v>
      </c>
      <c r="R1768" t="e">
        <f>VLOOKUP(A1768,'לעדכן בסינתזה דאטה אריזה 42+24'!$A:$C,3,0)</f>
        <v>#N/A</v>
      </c>
      <c r="S1768" t="e">
        <f>VLOOKUP(#REF!,'מלאי לא תקין'!A:N,17,0)</f>
        <v>#REF!</v>
      </c>
      <c r="T1768" t="e">
        <f t="shared" si="57"/>
        <v>#REF!</v>
      </c>
      <c r="U1768" t="e">
        <f t="shared" si="58"/>
        <v>#REF!</v>
      </c>
    </row>
    <row r="1769" spans="4:21" x14ac:dyDescent="0.2">
      <c r="D1769" s="4"/>
      <c r="G1769" s="5"/>
      <c r="H1769" s="7"/>
      <c r="I1769" s="4"/>
      <c r="J1769" s="4"/>
      <c r="K1769" s="5"/>
      <c r="Q1769" t="e">
        <f>VLOOKUP(A1769,'גיליון דאטה להכל'!A:E,5,0)</f>
        <v>#N/A</v>
      </c>
      <c r="R1769" t="e">
        <f>VLOOKUP(A1769,'לעדכן בסינתזה דאטה אריזה 42+24'!$A:$C,3,0)</f>
        <v>#N/A</v>
      </c>
      <c r="S1769" t="e">
        <f>VLOOKUP(#REF!,'מלאי לא תקין'!A:N,17,0)</f>
        <v>#REF!</v>
      </c>
      <c r="T1769" t="e">
        <f t="shared" si="57"/>
        <v>#REF!</v>
      </c>
      <c r="U1769" t="e">
        <f t="shared" si="58"/>
        <v>#REF!</v>
      </c>
    </row>
    <row r="1770" spans="4:21" x14ac:dyDescent="0.2">
      <c r="D1770" s="4"/>
      <c r="G1770" s="5"/>
      <c r="H1770" s="5"/>
      <c r="I1770" s="4"/>
      <c r="J1770" s="4"/>
      <c r="K1770" s="5"/>
      <c r="Q1770" t="e">
        <f>VLOOKUP(A1770,'גיליון דאטה להכל'!A:E,5,0)</f>
        <v>#N/A</v>
      </c>
      <c r="R1770" t="e">
        <f>VLOOKUP(A1770,'לעדכן בסינתזה דאטה אריזה 42+24'!$A:$C,3,0)</f>
        <v>#N/A</v>
      </c>
      <c r="S1770" t="e">
        <f>VLOOKUP(#REF!,'מלאי לא תקין'!A:N,17,0)</f>
        <v>#REF!</v>
      </c>
      <c r="T1770" t="e">
        <f t="shared" si="57"/>
        <v>#REF!</v>
      </c>
      <c r="U1770" t="e">
        <f t="shared" si="58"/>
        <v>#REF!</v>
      </c>
    </row>
    <row r="1771" spans="4:21" x14ac:dyDescent="0.2">
      <c r="D1771" s="4"/>
      <c r="G1771" s="5"/>
      <c r="H1771" s="5"/>
      <c r="I1771" s="4"/>
      <c r="J1771" s="4"/>
      <c r="K1771" s="5"/>
      <c r="Q1771" t="e">
        <f>VLOOKUP(A1771,'גיליון דאטה להכל'!A:E,5,0)</f>
        <v>#N/A</v>
      </c>
      <c r="R1771" t="e">
        <f>VLOOKUP(A1771,'לעדכן בסינתזה דאטה אריזה 42+24'!$A:$C,3,0)</f>
        <v>#N/A</v>
      </c>
      <c r="S1771" t="e">
        <f>VLOOKUP(#REF!,'מלאי לא תקין'!A:N,17,0)</f>
        <v>#REF!</v>
      </c>
      <c r="T1771" t="e">
        <f t="shared" si="57"/>
        <v>#REF!</v>
      </c>
      <c r="U1771" t="e">
        <f t="shared" si="58"/>
        <v>#REF!</v>
      </c>
    </row>
    <row r="1772" spans="4:21" x14ac:dyDescent="0.2">
      <c r="D1772" s="4"/>
      <c r="G1772" s="5"/>
      <c r="H1772" s="5"/>
      <c r="I1772" s="4"/>
      <c r="J1772" s="4"/>
      <c r="K1772" s="5"/>
      <c r="Q1772" t="e">
        <f>VLOOKUP(A1772,'גיליון דאטה להכל'!A:E,5,0)</f>
        <v>#N/A</v>
      </c>
      <c r="R1772" t="e">
        <f>VLOOKUP(A1772,'לעדכן בסינתזה דאטה אריזה 42+24'!$A:$C,3,0)</f>
        <v>#N/A</v>
      </c>
      <c r="S1772" t="e">
        <f>VLOOKUP(#REF!,'מלאי לא תקין'!A:N,17,0)</f>
        <v>#REF!</v>
      </c>
      <c r="T1772" t="e">
        <f t="shared" si="57"/>
        <v>#REF!</v>
      </c>
      <c r="U1772" t="e">
        <f t="shared" si="58"/>
        <v>#REF!</v>
      </c>
    </row>
    <row r="1773" spans="4:21" x14ac:dyDescent="0.2">
      <c r="D1773" s="4"/>
      <c r="G1773" s="5"/>
      <c r="H1773" s="7"/>
      <c r="I1773" s="4"/>
      <c r="J1773" s="4"/>
      <c r="K1773" s="5"/>
      <c r="Q1773" t="e">
        <f>VLOOKUP(A1773,'גיליון דאטה להכל'!A:E,5,0)</f>
        <v>#N/A</v>
      </c>
      <c r="R1773" t="e">
        <f>VLOOKUP(A1773,'לעדכן בסינתזה דאטה אריזה 42+24'!$A:$C,3,0)</f>
        <v>#N/A</v>
      </c>
      <c r="S1773" t="e">
        <f>VLOOKUP(#REF!,'מלאי לא תקין'!A:N,17,0)</f>
        <v>#REF!</v>
      </c>
      <c r="T1773" t="e">
        <f t="shared" si="57"/>
        <v>#REF!</v>
      </c>
      <c r="U1773" t="e">
        <f t="shared" si="58"/>
        <v>#REF!</v>
      </c>
    </row>
    <row r="1774" spans="4:21" x14ac:dyDescent="0.2">
      <c r="D1774" s="4"/>
      <c r="G1774" s="5"/>
      <c r="H1774" s="5"/>
      <c r="I1774" s="4"/>
      <c r="J1774" s="4"/>
      <c r="K1774" s="5"/>
      <c r="Q1774" t="e">
        <f>VLOOKUP(A1774,'גיליון דאטה להכל'!A:E,5,0)</f>
        <v>#N/A</v>
      </c>
      <c r="R1774" t="e">
        <f>VLOOKUP(A1774,'לעדכן בסינתזה דאטה אריזה 42+24'!$A:$C,3,0)</f>
        <v>#N/A</v>
      </c>
      <c r="S1774" t="e">
        <f>VLOOKUP(#REF!,'מלאי לא תקין'!A:N,17,0)</f>
        <v>#REF!</v>
      </c>
      <c r="T1774" t="e">
        <f t="shared" si="57"/>
        <v>#REF!</v>
      </c>
      <c r="U1774" t="e">
        <f t="shared" si="58"/>
        <v>#REF!</v>
      </c>
    </row>
    <row r="1775" spans="4:21" x14ac:dyDescent="0.2">
      <c r="D1775" s="4"/>
      <c r="G1775" s="5"/>
      <c r="H1775" s="5"/>
      <c r="I1775" s="4"/>
      <c r="J1775" s="4"/>
      <c r="K1775" s="5"/>
      <c r="Q1775" t="e">
        <f>VLOOKUP(A1775,'גיליון דאטה להכל'!A:E,5,0)</f>
        <v>#N/A</v>
      </c>
      <c r="R1775" t="e">
        <f>VLOOKUP(A1775,'לעדכן בסינתזה דאטה אריזה 42+24'!$A:$C,3,0)</f>
        <v>#N/A</v>
      </c>
      <c r="S1775" t="e">
        <f>VLOOKUP(#REF!,'מלאי לא תקין'!A:N,17,0)</f>
        <v>#REF!</v>
      </c>
      <c r="T1775" t="e">
        <f t="shared" si="57"/>
        <v>#REF!</v>
      </c>
      <c r="U1775" t="e">
        <f t="shared" si="58"/>
        <v>#REF!</v>
      </c>
    </row>
    <row r="1776" spans="4:21" x14ac:dyDescent="0.2">
      <c r="D1776" s="4"/>
      <c r="G1776" s="5"/>
      <c r="H1776" s="5"/>
      <c r="I1776" s="4"/>
      <c r="J1776" s="4"/>
      <c r="K1776" s="5"/>
      <c r="Q1776" t="e">
        <f>VLOOKUP(A1776,'גיליון דאטה להכל'!A:E,5,0)</f>
        <v>#N/A</v>
      </c>
      <c r="R1776" t="e">
        <f>VLOOKUP(A1776,'לעדכן בסינתזה דאטה אריזה 42+24'!$A:$C,3,0)</f>
        <v>#N/A</v>
      </c>
      <c r="S1776" t="e">
        <f>VLOOKUP(#REF!,'מלאי לא תקין'!A:N,17,0)</f>
        <v>#REF!</v>
      </c>
      <c r="T1776" t="e">
        <f t="shared" si="57"/>
        <v>#REF!</v>
      </c>
      <c r="U1776" t="e">
        <f t="shared" si="58"/>
        <v>#REF!</v>
      </c>
    </row>
    <row r="1777" spans="4:21" x14ac:dyDescent="0.2">
      <c r="D1777" s="4"/>
      <c r="G1777" s="5"/>
      <c r="H1777" s="5"/>
      <c r="I1777" s="4"/>
      <c r="J1777" s="4"/>
      <c r="K1777" s="5"/>
      <c r="Q1777" t="e">
        <f>VLOOKUP(A1777,'גיליון דאטה להכל'!A:E,5,0)</f>
        <v>#N/A</v>
      </c>
      <c r="R1777" t="e">
        <f>VLOOKUP(A1777,'לעדכן בסינתזה דאטה אריזה 42+24'!$A:$C,3,0)</f>
        <v>#N/A</v>
      </c>
      <c r="S1777" t="e">
        <f>VLOOKUP(#REF!,'מלאי לא תקין'!A:N,17,0)</f>
        <v>#REF!</v>
      </c>
      <c r="T1777" t="e">
        <f t="shared" si="57"/>
        <v>#REF!</v>
      </c>
      <c r="U1777" t="e">
        <f t="shared" si="58"/>
        <v>#REF!</v>
      </c>
    </row>
    <row r="1778" spans="4:21" x14ac:dyDescent="0.2">
      <c r="D1778" s="4"/>
      <c r="G1778" s="5"/>
      <c r="H1778" s="7"/>
      <c r="I1778" s="4"/>
      <c r="J1778" s="4"/>
      <c r="K1778" s="5"/>
      <c r="Q1778" t="e">
        <f>VLOOKUP(A1778,'גיליון דאטה להכל'!A:E,5,0)</f>
        <v>#N/A</v>
      </c>
      <c r="R1778" t="e">
        <f>VLOOKUP(A1778,'לעדכן בסינתזה דאטה אריזה 42+24'!$A:$C,3,0)</f>
        <v>#N/A</v>
      </c>
      <c r="S1778" t="e">
        <f>VLOOKUP(#REF!,'מלאי לא תקין'!A:N,17,0)</f>
        <v>#REF!</v>
      </c>
      <c r="T1778" t="e">
        <f t="shared" si="57"/>
        <v>#REF!</v>
      </c>
      <c r="U1778" t="e">
        <f t="shared" si="58"/>
        <v>#REF!</v>
      </c>
    </row>
    <row r="1779" spans="4:21" x14ac:dyDescent="0.2">
      <c r="D1779" s="4"/>
      <c r="G1779" s="5"/>
      <c r="H1779" s="5"/>
      <c r="I1779" s="4"/>
      <c r="J1779" s="4"/>
      <c r="K1779" s="5"/>
      <c r="Q1779" t="e">
        <f>VLOOKUP(A1779,'גיליון דאטה להכל'!A:E,5,0)</f>
        <v>#N/A</v>
      </c>
      <c r="R1779" t="e">
        <f>VLOOKUP(A1779,'לעדכן בסינתזה דאטה אריזה 42+24'!$A:$C,3,0)</f>
        <v>#N/A</v>
      </c>
      <c r="S1779" t="e">
        <f>VLOOKUP(#REF!,'מלאי לא תקין'!A:N,17,0)</f>
        <v>#REF!</v>
      </c>
      <c r="T1779" t="e">
        <f t="shared" si="57"/>
        <v>#REF!</v>
      </c>
      <c r="U1779" t="e">
        <f t="shared" si="58"/>
        <v>#REF!</v>
      </c>
    </row>
    <row r="1780" spans="4:21" x14ac:dyDescent="0.2">
      <c r="D1780" s="4"/>
      <c r="G1780" s="5"/>
      <c r="H1780" s="5"/>
      <c r="I1780" s="4"/>
      <c r="J1780" s="4"/>
      <c r="K1780" s="5"/>
      <c r="Q1780" t="e">
        <f>VLOOKUP(A1780,'גיליון דאטה להכל'!A:E,5,0)</f>
        <v>#N/A</v>
      </c>
      <c r="R1780" t="e">
        <f>VLOOKUP(A1780,'לעדכן בסינתזה דאטה אריזה 42+24'!$A:$C,3,0)</f>
        <v>#N/A</v>
      </c>
      <c r="S1780" t="e">
        <f>VLOOKUP(#REF!,'מלאי לא תקין'!A:N,17,0)</f>
        <v>#REF!</v>
      </c>
      <c r="T1780" t="e">
        <f t="shared" si="57"/>
        <v>#REF!</v>
      </c>
      <c r="U1780" t="e">
        <f t="shared" si="58"/>
        <v>#REF!</v>
      </c>
    </row>
    <row r="1781" spans="4:21" x14ac:dyDescent="0.2">
      <c r="D1781" s="4"/>
      <c r="G1781" s="5"/>
      <c r="H1781" s="5"/>
      <c r="I1781" s="4"/>
      <c r="J1781" s="4"/>
      <c r="K1781" s="5"/>
      <c r="Q1781" t="e">
        <f>VLOOKUP(A1781,'גיליון דאטה להכל'!A:E,5,0)</f>
        <v>#N/A</v>
      </c>
      <c r="R1781" t="e">
        <f>VLOOKUP(A1781,'לעדכן בסינתזה דאטה אריזה 42+24'!$A:$C,3,0)</f>
        <v>#N/A</v>
      </c>
      <c r="S1781" t="e">
        <f>VLOOKUP(#REF!,'מלאי לא תקין'!A:N,17,0)</f>
        <v>#REF!</v>
      </c>
      <c r="T1781" t="e">
        <f t="shared" si="57"/>
        <v>#REF!</v>
      </c>
      <c r="U1781" t="e">
        <f t="shared" si="58"/>
        <v>#REF!</v>
      </c>
    </row>
    <row r="1782" spans="4:21" x14ac:dyDescent="0.2">
      <c r="D1782" s="4"/>
      <c r="G1782" s="5"/>
      <c r="H1782" s="5"/>
      <c r="I1782" s="4"/>
      <c r="J1782" s="4"/>
      <c r="K1782" s="5"/>
      <c r="Q1782" t="e">
        <f>VLOOKUP(A1782,'גיליון דאטה להכל'!A:E,5,0)</f>
        <v>#N/A</v>
      </c>
      <c r="R1782" t="e">
        <f>VLOOKUP(A1782,'לעדכן בסינתזה דאטה אריזה 42+24'!$A:$C,3,0)</f>
        <v>#N/A</v>
      </c>
      <c r="S1782" t="e">
        <f>VLOOKUP(#REF!,'מלאי לא תקין'!A:N,17,0)</f>
        <v>#REF!</v>
      </c>
      <c r="T1782" t="e">
        <f t="shared" si="57"/>
        <v>#REF!</v>
      </c>
      <c r="U1782" t="e">
        <f t="shared" si="58"/>
        <v>#REF!</v>
      </c>
    </row>
    <row r="1783" spans="4:21" x14ac:dyDescent="0.2">
      <c r="D1783" s="4"/>
      <c r="G1783" s="5"/>
      <c r="H1783" s="7"/>
      <c r="I1783" s="4"/>
      <c r="J1783" s="4"/>
      <c r="K1783" s="5"/>
      <c r="Q1783" t="e">
        <f>VLOOKUP(A1783,'גיליון דאטה להכל'!A:E,5,0)</f>
        <v>#N/A</v>
      </c>
      <c r="R1783" t="e">
        <f>VLOOKUP(A1783,'לעדכן בסינתזה דאטה אריזה 42+24'!$A:$C,3,0)</f>
        <v>#N/A</v>
      </c>
      <c r="S1783" t="e">
        <f>VLOOKUP(#REF!,'מלאי לא תקין'!A:N,17,0)</f>
        <v>#REF!</v>
      </c>
      <c r="T1783" t="e">
        <f t="shared" si="57"/>
        <v>#REF!</v>
      </c>
      <c r="U1783" t="e">
        <f t="shared" si="58"/>
        <v>#REF!</v>
      </c>
    </row>
    <row r="1784" spans="4:21" x14ac:dyDescent="0.2">
      <c r="D1784" s="4"/>
      <c r="G1784" s="5"/>
      <c r="H1784" s="5"/>
      <c r="I1784" s="4"/>
      <c r="J1784" s="4"/>
      <c r="K1784" s="5"/>
      <c r="Q1784" t="e">
        <f>VLOOKUP(A1784,'גיליון דאטה להכל'!A:E,5,0)</f>
        <v>#N/A</v>
      </c>
      <c r="R1784" t="e">
        <f>VLOOKUP(A1784,'לעדכן בסינתזה דאטה אריזה 42+24'!$A:$C,3,0)</f>
        <v>#N/A</v>
      </c>
      <c r="S1784" t="e">
        <f>VLOOKUP(#REF!,'מלאי לא תקין'!A:N,17,0)</f>
        <v>#REF!</v>
      </c>
      <c r="T1784" t="e">
        <f t="shared" si="57"/>
        <v>#REF!</v>
      </c>
      <c r="U1784" t="e">
        <f t="shared" si="58"/>
        <v>#REF!</v>
      </c>
    </row>
    <row r="1785" spans="4:21" x14ac:dyDescent="0.2">
      <c r="D1785" s="4"/>
      <c r="G1785" s="5"/>
      <c r="H1785" s="5"/>
      <c r="I1785" s="4"/>
      <c r="J1785" s="4"/>
      <c r="K1785" s="5"/>
      <c r="Q1785" t="e">
        <f>VLOOKUP(A1785,'גיליון דאטה להכל'!A:E,5,0)</f>
        <v>#N/A</v>
      </c>
      <c r="R1785" t="e">
        <f>VLOOKUP(A1785,'לעדכן בסינתזה דאטה אריזה 42+24'!$A:$C,3,0)</f>
        <v>#N/A</v>
      </c>
      <c r="S1785" t="e">
        <f>VLOOKUP(#REF!,'מלאי לא תקין'!A:N,17,0)</f>
        <v>#REF!</v>
      </c>
      <c r="T1785" t="e">
        <f t="shared" si="57"/>
        <v>#REF!</v>
      </c>
      <c r="U1785" t="e">
        <f t="shared" si="58"/>
        <v>#REF!</v>
      </c>
    </row>
    <row r="1786" spans="4:21" x14ac:dyDescent="0.2">
      <c r="D1786" s="4"/>
      <c r="G1786" s="5"/>
      <c r="H1786" s="5"/>
      <c r="I1786" s="4"/>
      <c r="J1786" s="4"/>
      <c r="K1786" s="5"/>
      <c r="Q1786" t="e">
        <f>VLOOKUP(A1786,'גיליון דאטה להכל'!A:E,5,0)</f>
        <v>#N/A</v>
      </c>
      <c r="R1786" t="e">
        <f>VLOOKUP(A1786,'לעדכן בסינתזה דאטה אריזה 42+24'!$A:$C,3,0)</f>
        <v>#N/A</v>
      </c>
      <c r="S1786" t="e">
        <f>VLOOKUP(#REF!,'מלאי לא תקין'!A:N,17,0)</f>
        <v>#REF!</v>
      </c>
      <c r="T1786" t="e">
        <f t="shared" si="57"/>
        <v>#REF!</v>
      </c>
      <c r="U1786" t="e">
        <f t="shared" si="58"/>
        <v>#REF!</v>
      </c>
    </row>
    <row r="1787" spans="4:21" x14ac:dyDescent="0.2">
      <c r="D1787" s="4"/>
      <c r="G1787" s="5"/>
      <c r="H1787" s="5"/>
      <c r="I1787" s="4"/>
      <c r="J1787" s="4"/>
      <c r="K1787" s="5"/>
      <c r="Q1787" t="e">
        <f>VLOOKUP(A1787,'גיליון דאטה להכל'!A:E,5,0)</f>
        <v>#N/A</v>
      </c>
      <c r="R1787" t="e">
        <f>VLOOKUP(A1787,'לעדכן בסינתזה דאטה אריזה 42+24'!$A:$C,3,0)</f>
        <v>#N/A</v>
      </c>
      <c r="S1787" t="e">
        <f>VLOOKUP(#REF!,'מלאי לא תקין'!A:N,17,0)</f>
        <v>#REF!</v>
      </c>
      <c r="T1787" t="e">
        <f t="shared" si="57"/>
        <v>#REF!</v>
      </c>
      <c r="U1787" t="e">
        <f t="shared" si="58"/>
        <v>#REF!</v>
      </c>
    </row>
    <row r="1788" spans="4:21" x14ac:dyDescent="0.2">
      <c r="D1788" s="4"/>
      <c r="G1788" s="5"/>
      <c r="H1788" s="7"/>
      <c r="I1788" s="4"/>
      <c r="J1788" s="4"/>
      <c r="K1788" s="5"/>
      <c r="Q1788" t="e">
        <f>VLOOKUP(A1788,'גיליון דאטה להכל'!A:E,5,0)</f>
        <v>#N/A</v>
      </c>
      <c r="R1788" t="e">
        <f>VLOOKUP(A1788,'לעדכן בסינתזה דאטה אריזה 42+24'!$A:$C,3,0)</f>
        <v>#N/A</v>
      </c>
      <c r="S1788" t="e">
        <f>VLOOKUP(#REF!,'מלאי לא תקין'!A:N,17,0)</f>
        <v>#REF!</v>
      </c>
      <c r="T1788" t="e">
        <f t="shared" si="57"/>
        <v>#REF!</v>
      </c>
      <c r="U1788" t="e">
        <f t="shared" si="58"/>
        <v>#REF!</v>
      </c>
    </row>
    <row r="1789" spans="4:21" x14ac:dyDescent="0.2">
      <c r="D1789" s="4"/>
      <c r="G1789" s="5"/>
      <c r="H1789" s="5"/>
      <c r="I1789" s="4"/>
      <c r="J1789" s="4"/>
      <c r="K1789" s="5"/>
      <c r="Q1789" t="e">
        <f>VLOOKUP(A1789,'גיליון דאטה להכל'!A:E,5,0)</f>
        <v>#N/A</v>
      </c>
      <c r="R1789" t="e">
        <f>VLOOKUP(A1789,'לעדכן בסינתזה דאטה אריזה 42+24'!$A:$C,3,0)</f>
        <v>#N/A</v>
      </c>
      <c r="S1789" t="e">
        <f>VLOOKUP(#REF!,'מלאי לא תקין'!A:N,17,0)</f>
        <v>#REF!</v>
      </c>
      <c r="T1789" t="e">
        <f t="shared" si="57"/>
        <v>#REF!</v>
      </c>
      <c r="U1789" t="e">
        <f t="shared" si="58"/>
        <v>#REF!</v>
      </c>
    </row>
    <row r="1790" spans="4:21" x14ac:dyDescent="0.2">
      <c r="D1790" s="4"/>
      <c r="G1790" s="5"/>
      <c r="H1790" s="5"/>
      <c r="I1790" s="4"/>
      <c r="J1790" s="4"/>
      <c r="K1790" s="5"/>
      <c r="Q1790" t="e">
        <f>VLOOKUP(A1790,'גיליון דאטה להכל'!A:E,5,0)</f>
        <v>#N/A</v>
      </c>
      <c r="R1790" t="e">
        <f>VLOOKUP(A1790,'לעדכן בסינתזה דאטה אריזה 42+24'!$A:$C,3,0)</f>
        <v>#N/A</v>
      </c>
      <c r="S1790" t="e">
        <f>VLOOKUP(#REF!,'מלאי לא תקין'!A:N,17,0)</f>
        <v>#REF!</v>
      </c>
      <c r="T1790" t="e">
        <f t="shared" ref="T1790:T1853" si="59">_xlfn.CONCAT(S1790,Q1790)</f>
        <v>#REF!</v>
      </c>
      <c r="U1790" t="e">
        <f t="shared" ref="U1790:U1853" si="60">_xlfn.CONCAT(S1790,O1790)</f>
        <v>#REF!</v>
      </c>
    </row>
    <row r="1791" spans="4:21" x14ac:dyDescent="0.2">
      <c r="D1791" s="4"/>
      <c r="G1791" s="5"/>
      <c r="H1791" s="7"/>
      <c r="I1791" s="4"/>
      <c r="J1791" s="4"/>
      <c r="K1791" s="5"/>
      <c r="Q1791" t="e">
        <f>VLOOKUP(A1791,'גיליון דאטה להכל'!A:E,5,0)</f>
        <v>#N/A</v>
      </c>
      <c r="R1791" t="e">
        <f>VLOOKUP(A1791,'לעדכן בסינתזה דאטה אריזה 42+24'!$A:$C,3,0)</f>
        <v>#N/A</v>
      </c>
      <c r="S1791" t="e">
        <f>VLOOKUP(#REF!,'מלאי לא תקין'!A:N,17,0)</f>
        <v>#REF!</v>
      </c>
      <c r="T1791" t="e">
        <f t="shared" si="59"/>
        <v>#REF!</v>
      </c>
      <c r="U1791" t="e">
        <f t="shared" si="60"/>
        <v>#REF!</v>
      </c>
    </row>
    <row r="1792" spans="4:21" x14ac:dyDescent="0.2">
      <c r="D1792" s="4"/>
      <c r="G1792" s="5"/>
      <c r="H1792" s="5"/>
      <c r="I1792" s="4"/>
      <c r="J1792" s="4"/>
      <c r="K1792" s="5"/>
      <c r="Q1792" t="e">
        <f>VLOOKUP(A1792,'גיליון דאטה להכל'!A:E,5,0)</f>
        <v>#N/A</v>
      </c>
      <c r="R1792" t="e">
        <f>VLOOKUP(A1792,'לעדכן בסינתזה דאטה אריזה 42+24'!$A:$C,3,0)</f>
        <v>#N/A</v>
      </c>
      <c r="S1792" t="e">
        <f>VLOOKUP(#REF!,'מלאי לא תקין'!A:N,17,0)</f>
        <v>#REF!</v>
      </c>
      <c r="T1792" t="e">
        <f t="shared" si="59"/>
        <v>#REF!</v>
      </c>
      <c r="U1792" t="e">
        <f t="shared" si="60"/>
        <v>#REF!</v>
      </c>
    </row>
    <row r="1793" spans="4:21" x14ac:dyDescent="0.2">
      <c r="D1793" s="4"/>
      <c r="G1793" s="5"/>
      <c r="H1793" s="5"/>
      <c r="I1793" s="4"/>
      <c r="J1793" s="4"/>
      <c r="K1793" s="5"/>
      <c r="Q1793" t="e">
        <f>VLOOKUP(A1793,'גיליון דאטה להכל'!A:E,5,0)</f>
        <v>#N/A</v>
      </c>
      <c r="R1793" t="e">
        <f>VLOOKUP(A1793,'לעדכן בסינתזה דאטה אריזה 42+24'!$A:$C,3,0)</f>
        <v>#N/A</v>
      </c>
      <c r="S1793" t="e">
        <f>VLOOKUP(#REF!,'מלאי לא תקין'!A:N,17,0)</f>
        <v>#REF!</v>
      </c>
      <c r="T1793" t="e">
        <f t="shared" si="59"/>
        <v>#REF!</v>
      </c>
      <c r="U1793" t="e">
        <f t="shared" si="60"/>
        <v>#REF!</v>
      </c>
    </row>
    <row r="1794" spans="4:21" x14ac:dyDescent="0.2">
      <c r="D1794" s="4"/>
      <c r="G1794" s="5"/>
      <c r="H1794" s="5"/>
      <c r="I1794" s="4"/>
      <c r="J1794" s="4"/>
      <c r="K1794" s="5"/>
      <c r="Q1794" t="e">
        <f>VLOOKUP(A1794,'גיליון דאטה להכל'!A:E,5,0)</f>
        <v>#N/A</v>
      </c>
      <c r="R1794" t="e">
        <f>VLOOKUP(A1794,'לעדכן בסינתזה דאטה אריזה 42+24'!$A:$C,3,0)</f>
        <v>#N/A</v>
      </c>
      <c r="S1794" t="e">
        <f>VLOOKUP(#REF!,'מלאי לא תקין'!A:N,17,0)</f>
        <v>#REF!</v>
      </c>
      <c r="T1794" t="e">
        <f t="shared" si="59"/>
        <v>#REF!</v>
      </c>
      <c r="U1794" t="e">
        <f t="shared" si="60"/>
        <v>#REF!</v>
      </c>
    </row>
    <row r="1795" spans="4:21" x14ac:dyDescent="0.2">
      <c r="D1795" s="4"/>
      <c r="G1795" s="5"/>
      <c r="H1795" s="5"/>
      <c r="I1795" s="4"/>
      <c r="J1795" s="4"/>
      <c r="K1795" s="5"/>
      <c r="Q1795" t="e">
        <f>VLOOKUP(A1795,'גיליון דאטה להכל'!A:E,5,0)</f>
        <v>#N/A</v>
      </c>
      <c r="R1795" t="e">
        <f>VLOOKUP(A1795,'לעדכן בסינתזה דאטה אריזה 42+24'!$A:$C,3,0)</f>
        <v>#N/A</v>
      </c>
      <c r="S1795" t="e">
        <f>VLOOKUP(#REF!,'מלאי לא תקין'!A:N,17,0)</f>
        <v>#REF!</v>
      </c>
      <c r="T1795" t="e">
        <f t="shared" si="59"/>
        <v>#REF!</v>
      </c>
      <c r="U1795" t="e">
        <f t="shared" si="60"/>
        <v>#REF!</v>
      </c>
    </row>
    <row r="1796" spans="4:21" x14ac:dyDescent="0.2">
      <c r="D1796" s="4"/>
      <c r="G1796" s="5"/>
      <c r="H1796" s="7"/>
      <c r="I1796" s="4"/>
      <c r="J1796" s="4"/>
      <c r="K1796" s="5"/>
      <c r="Q1796" t="e">
        <f>VLOOKUP(A1796,'גיליון דאטה להכל'!A:E,5,0)</f>
        <v>#N/A</v>
      </c>
      <c r="R1796" t="e">
        <f>VLOOKUP(A1796,'לעדכן בסינתזה דאטה אריזה 42+24'!$A:$C,3,0)</f>
        <v>#N/A</v>
      </c>
      <c r="S1796" t="e">
        <f>VLOOKUP(#REF!,'מלאי לא תקין'!A:N,17,0)</f>
        <v>#REF!</v>
      </c>
      <c r="T1796" t="e">
        <f t="shared" si="59"/>
        <v>#REF!</v>
      </c>
      <c r="U1796" t="e">
        <f t="shared" si="60"/>
        <v>#REF!</v>
      </c>
    </row>
    <row r="1797" spans="4:21" x14ac:dyDescent="0.2">
      <c r="D1797" s="4"/>
      <c r="G1797" s="5"/>
      <c r="H1797" s="5"/>
      <c r="I1797" s="4"/>
      <c r="J1797" s="4"/>
      <c r="K1797" s="5"/>
      <c r="Q1797" t="e">
        <f>VLOOKUP(A1797,'גיליון דאטה להכל'!A:E,5,0)</f>
        <v>#N/A</v>
      </c>
      <c r="R1797" t="e">
        <f>VLOOKUP(A1797,'לעדכן בסינתזה דאטה אריזה 42+24'!$A:$C,3,0)</f>
        <v>#N/A</v>
      </c>
      <c r="S1797" t="e">
        <f>VLOOKUP(#REF!,'מלאי לא תקין'!A:N,17,0)</f>
        <v>#REF!</v>
      </c>
      <c r="T1797" t="e">
        <f t="shared" si="59"/>
        <v>#REF!</v>
      </c>
      <c r="U1797" t="e">
        <f t="shared" si="60"/>
        <v>#REF!</v>
      </c>
    </row>
    <row r="1798" spans="4:21" x14ac:dyDescent="0.2">
      <c r="D1798" s="4"/>
      <c r="G1798" s="5"/>
      <c r="H1798" s="5"/>
      <c r="I1798" s="4"/>
      <c r="J1798" s="4"/>
      <c r="K1798" s="5"/>
      <c r="Q1798" t="e">
        <f>VLOOKUP(A1798,'גיליון דאטה להכל'!A:E,5,0)</f>
        <v>#N/A</v>
      </c>
      <c r="R1798" t="e">
        <f>VLOOKUP(A1798,'לעדכן בסינתזה דאטה אריזה 42+24'!$A:$C,3,0)</f>
        <v>#N/A</v>
      </c>
      <c r="S1798" t="e">
        <f>VLOOKUP(#REF!,'מלאי לא תקין'!A:N,17,0)</f>
        <v>#REF!</v>
      </c>
      <c r="T1798" t="e">
        <f t="shared" si="59"/>
        <v>#REF!</v>
      </c>
      <c r="U1798" t="e">
        <f t="shared" si="60"/>
        <v>#REF!</v>
      </c>
    </row>
    <row r="1799" spans="4:21" x14ac:dyDescent="0.2">
      <c r="D1799" s="4"/>
      <c r="G1799" s="5"/>
      <c r="H1799" s="5"/>
      <c r="I1799" s="4"/>
      <c r="J1799" s="4"/>
      <c r="K1799" s="5"/>
      <c r="Q1799" t="e">
        <f>VLOOKUP(A1799,'גיליון דאטה להכל'!A:E,5,0)</f>
        <v>#N/A</v>
      </c>
      <c r="R1799" t="e">
        <f>VLOOKUP(A1799,'לעדכן בסינתזה דאטה אריזה 42+24'!$A:$C,3,0)</f>
        <v>#N/A</v>
      </c>
      <c r="S1799" t="e">
        <f>VLOOKUP(#REF!,'מלאי לא תקין'!A:N,17,0)</f>
        <v>#REF!</v>
      </c>
      <c r="T1799" t="e">
        <f t="shared" si="59"/>
        <v>#REF!</v>
      </c>
      <c r="U1799" t="e">
        <f t="shared" si="60"/>
        <v>#REF!</v>
      </c>
    </row>
    <row r="1800" spans="4:21" x14ac:dyDescent="0.2">
      <c r="D1800" s="4"/>
      <c r="G1800" s="5"/>
      <c r="H1800" s="5"/>
      <c r="I1800" s="4"/>
      <c r="J1800" s="4"/>
      <c r="K1800" s="5"/>
      <c r="Q1800" t="e">
        <f>VLOOKUP(A1800,'גיליון דאטה להכל'!A:E,5,0)</f>
        <v>#N/A</v>
      </c>
      <c r="R1800" t="e">
        <f>VLOOKUP(A1800,'לעדכן בסינתזה דאטה אריזה 42+24'!$A:$C,3,0)</f>
        <v>#N/A</v>
      </c>
      <c r="S1800" t="e">
        <f>VLOOKUP(#REF!,'מלאי לא תקין'!A:N,17,0)</f>
        <v>#REF!</v>
      </c>
      <c r="T1800" t="e">
        <f t="shared" si="59"/>
        <v>#REF!</v>
      </c>
      <c r="U1800" t="e">
        <f t="shared" si="60"/>
        <v>#REF!</v>
      </c>
    </row>
    <row r="1801" spans="4:21" x14ac:dyDescent="0.2">
      <c r="D1801" s="4"/>
      <c r="G1801" s="5"/>
      <c r="H1801" s="7"/>
      <c r="I1801" s="4"/>
      <c r="J1801" s="4"/>
      <c r="K1801" s="5"/>
      <c r="Q1801" t="e">
        <f>VLOOKUP(A1801,'גיליון דאטה להכל'!A:E,5,0)</f>
        <v>#N/A</v>
      </c>
      <c r="R1801" t="e">
        <f>VLOOKUP(A1801,'לעדכן בסינתזה דאטה אריזה 42+24'!$A:$C,3,0)</f>
        <v>#N/A</v>
      </c>
      <c r="S1801" t="e">
        <f>VLOOKUP(#REF!,'מלאי לא תקין'!A:N,17,0)</f>
        <v>#REF!</v>
      </c>
      <c r="T1801" t="e">
        <f t="shared" si="59"/>
        <v>#REF!</v>
      </c>
      <c r="U1801" t="e">
        <f t="shared" si="60"/>
        <v>#REF!</v>
      </c>
    </row>
    <row r="1802" spans="4:21" x14ac:dyDescent="0.2">
      <c r="D1802" s="4"/>
      <c r="G1802" s="5"/>
      <c r="H1802" s="5"/>
      <c r="I1802" s="4"/>
      <c r="J1802" s="4"/>
      <c r="K1802" s="5"/>
      <c r="Q1802" t="e">
        <f>VLOOKUP(A1802,'גיליון דאטה להכל'!A:E,5,0)</f>
        <v>#N/A</v>
      </c>
      <c r="R1802" t="e">
        <f>VLOOKUP(A1802,'לעדכן בסינתזה דאטה אריזה 42+24'!$A:$C,3,0)</f>
        <v>#N/A</v>
      </c>
      <c r="S1802" t="e">
        <f>VLOOKUP(#REF!,'מלאי לא תקין'!A:N,17,0)</f>
        <v>#REF!</v>
      </c>
      <c r="T1802" t="e">
        <f t="shared" si="59"/>
        <v>#REF!</v>
      </c>
      <c r="U1802" t="e">
        <f t="shared" si="60"/>
        <v>#REF!</v>
      </c>
    </row>
    <row r="1803" spans="4:21" x14ac:dyDescent="0.2">
      <c r="D1803" s="4"/>
      <c r="G1803" s="5"/>
      <c r="H1803" s="5"/>
      <c r="I1803" s="4"/>
      <c r="J1803" s="4"/>
      <c r="K1803" s="5"/>
      <c r="Q1803" t="e">
        <f>VLOOKUP(A1803,'גיליון דאטה להכל'!A:E,5,0)</f>
        <v>#N/A</v>
      </c>
      <c r="R1803" t="e">
        <f>VLOOKUP(A1803,'לעדכן בסינתזה דאטה אריזה 42+24'!$A:$C,3,0)</f>
        <v>#N/A</v>
      </c>
      <c r="S1803" t="e">
        <f>VLOOKUP(#REF!,'מלאי לא תקין'!A:N,17,0)</f>
        <v>#REF!</v>
      </c>
      <c r="T1803" t="e">
        <f t="shared" si="59"/>
        <v>#REF!</v>
      </c>
      <c r="U1803" t="e">
        <f t="shared" si="60"/>
        <v>#REF!</v>
      </c>
    </row>
    <row r="1804" spans="4:21" x14ac:dyDescent="0.2">
      <c r="D1804" s="4"/>
      <c r="G1804" s="5"/>
      <c r="H1804" s="5"/>
      <c r="I1804" s="4"/>
      <c r="J1804" s="4"/>
      <c r="K1804" s="5"/>
      <c r="Q1804" t="e">
        <f>VLOOKUP(A1804,'גיליון דאטה להכל'!A:E,5,0)</f>
        <v>#N/A</v>
      </c>
      <c r="R1804" t="e">
        <f>VLOOKUP(A1804,'לעדכן בסינתזה דאטה אריזה 42+24'!$A:$C,3,0)</f>
        <v>#N/A</v>
      </c>
      <c r="S1804" t="e">
        <f>VLOOKUP(#REF!,'מלאי לא תקין'!A:N,17,0)</f>
        <v>#REF!</v>
      </c>
      <c r="T1804" t="e">
        <f t="shared" si="59"/>
        <v>#REF!</v>
      </c>
      <c r="U1804" t="e">
        <f t="shared" si="60"/>
        <v>#REF!</v>
      </c>
    </row>
    <row r="1805" spans="4:21" x14ac:dyDescent="0.2">
      <c r="D1805" s="4"/>
      <c r="G1805" s="5"/>
      <c r="H1805" s="5"/>
      <c r="I1805" s="4"/>
      <c r="J1805" s="4"/>
      <c r="K1805" s="5"/>
      <c r="Q1805" t="e">
        <f>VLOOKUP(A1805,'גיליון דאטה להכל'!A:E,5,0)</f>
        <v>#N/A</v>
      </c>
      <c r="R1805" t="e">
        <f>VLOOKUP(A1805,'לעדכן בסינתזה דאטה אריזה 42+24'!$A:$C,3,0)</f>
        <v>#N/A</v>
      </c>
      <c r="S1805" t="e">
        <f>VLOOKUP(#REF!,'מלאי לא תקין'!A:N,17,0)</f>
        <v>#REF!</v>
      </c>
      <c r="T1805" t="e">
        <f t="shared" si="59"/>
        <v>#REF!</v>
      </c>
      <c r="U1805" t="e">
        <f t="shared" si="60"/>
        <v>#REF!</v>
      </c>
    </row>
    <row r="1806" spans="4:21" x14ac:dyDescent="0.2">
      <c r="D1806" s="4"/>
      <c r="G1806" s="5"/>
      <c r="H1806" s="7"/>
      <c r="I1806" s="4"/>
      <c r="J1806" s="4"/>
      <c r="K1806" s="5"/>
      <c r="Q1806" t="e">
        <f>VLOOKUP(A1806,'גיליון דאטה להכל'!A:E,5,0)</f>
        <v>#N/A</v>
      </c>
      <c r="R1806" t="e">
        <f>VLOOKUP(A1806,'לעדכן בסינתזה דאטה אריזה 42+24'!$A:$C,3,0)</f>
        <v>#N/A</v>
      </c>
      <c r="S1806" t="e">
        <f>VLOOKUP(#REF!,'מלאי לא תקין'!A:N,17,0)</f>
        <v>#REF!</v>
      </c>
      <c r="T1806" t="e">
        <f t="shared" si="59"/>
        <v>#REF!</v>
      </c>
      <c r="U1806" t="e">
        <f t="shared" si="60"/>
        <v>#REF!</v>
      </c>
    </row>
    <row r="1807" spans="4:21" x14ac:dyDescent="0.2">
      <c r="D1807" s="4"/>
      <c r="G1807" s="5"/>
      <c r="H1807" s="5"/>
      <c r="I1807" s="4"/>
      <c r="J1807" s="4"/>
      <c r="K1807" s="5"/>
      <c r="Q1807" t="e">
        <f>VLOOKUP(A1807,'גיליון דאטה להכל'!A:E,5,0)</f>
        <v>#N/A</v>
      </c>
      <c r="R1807" t="e">
        <f>VLOOKUP(A1807,'לעדכן בסינתזה דאטה אריזה 42+24'!$A:$C,3,0)</f>
        <v>#N/A</v>
      </c>
      <c r="S1807" t="e">
        <f>VLOOKUP(#REF!,'מלאי לא תקין'!A:N,17,0)</f>
        <v>#REF!</v>
      </c>
      <c r="T1807" t="e">
        <f t="shared" si="59"/>
        <v>#REF!</v>
      </c>
      <c r="U1807" t="e">
        <f t="shared" si="60"/>
        <v>#REF!</v>
      </c>
    </row>
    <row r="1808" spans="4:21" x14ac:dyDescent="0.2">
      <c r="D1808" s="4"/>
      <c r="G1808" s="5"/>
      <c r="H1808" s="5"/>
      <c r="I1808" s="4"/>
      <c r="J1808" s="4"/>
      <c r="K1808" s="5"/>
      <c r="Q1808" t="e">
        <f>VLOOKUP(A1808,'גיליון דאטה להכל'!A:E,5,0)</f>
        <v>#N/A</v>
      </c>
      <c r="R1808" t="e">
        <f>VLOOKUP(A1808,'לעדכן בסינתזה דאטה אריזה 42+24'!$A:$C,3,0)</f>
        <v>#N/A</v>
      </c>
      <c r="S1808" t="e">
        <f>VLOOKUP(#REF!,'מלאי לא תקין'!A:N,17,0)</f>
        <v>#REF!</v>
      </c>
      <c r="T1808" t="e">
        <f t="shared" si="59"/>
        <v>#REF!</v>
      </c>
      <c r="U1808" t="e">
        <f t="shared" si="60"/>
        <v>#REF!</v>
      </c>
    </row>
    <row r="1809" spans="4:21" x14ac:dyDescent="0.2">
      <c r="D1809" s="4"/>
      <c r="G1809" s="5"/>
      <c r="H1809" s="5"/>
      <c r="I1809" s="4"/>
      <c r="J1809" s="4"/>
      <c r="K1809" s="5"/>
      <c r="Q1809" t="e">
        <f>VLOOKUP(A1809,'גיליון דאטה להכל'!A:E,5,0)</f>
        <v>#N/A</v>
      </c>
      <c r="R1809" t="e">
        <f>VLOOKUP(A1809,'לעדכן בסינתזה דאטה אריזה 42+24'!$A:$C,3,0)</f>
        <v>#N/A</v>
      </c>
      <c r="S1809" t="e">
        <f>VLOOKUP(#REF!,'מלאי לא תקין'!A:N,17,0)</f>
        <v>#REF!</v>
      </c>
      <c r="T1809" t="e">
        <f t="shared" si="59"/>
        <v>#REF!</v>
      </c>
      <c r="U1809" t="e">
        <f t="shared" si="60"/>
        <v>#REF!</v>
      </c>
    </row>
    <row r="1810" spans="4:21" x14ac:dyDescent="0.2">
      <c r="D1810" s="4"/>
      <c r="G1810" s="5"/>
      <c r="H1810" s="5"/>
      <c r="I1810" s="4"/>
      <c r="J1810" s="4"/>
      <c r="K1810" s="5"/>
      <c r="Q1810" t="e">
        <f>VLOOKUP(A1810,'גיליון דאטה להכל'!A:E,5,0)</f>
        <v>#N/A</v>
      </c>
      <c r="R1810" t="e">
        <f>VLOOKUP(A1810,'לעדכן בסינתזה דאטה אריזה 42+24'!$A:$C,3,0)</f>
        <v>#N/A</v>
      </c>
      <c r="S1810" t="e">
        <f>VLOOKUP(#REF!,'מלאי לא תקין'!A:N,17,0)</f>
        <v>#REF!</v>
      </c>
      <c r="T1810" t="e">
        <f t="shared" si="59"/>
        <v>#REF!</v>
      </c>
      <c r="U1810" t="e">
        <f t="shared" si="60"/>
        <v>#REF!</v>
      </c>
    </row>
    <row r="1811" spans="4:21" x14ac:dyDescent="0.2">
      <c r="D1811" s="4"/>
      <c r="G1811" s="5"/>
      <c r="H1811" s="7"/>
      <c r="I1811" s="4"/>
      <c r="J1811" s="4"/>
      <c r="K1811" s="5"/>
      <c r="Q1811" t="e">
        <f>VLOOKUP(A1811,'גיליון דאטה להכל'!A:E,5,0)</f>
        <v>#N/A</v>
      </c>
      <c r="R1811" t="e">
        <f>VLOOKUP(A1811,'לעדכן בסינתזה דאטה אריזה 42+24'!$A:$C,3,0)</f>
        <v>#N/A</v>
      </c>
      <c r="S1811" t="e">
        <f>VLOOKUP(#REF!,'מלאי לא תקין'!A:N,17,0)</f>
        <v>#REF!</v>
      </c>
      <c r="T1811" t="e">
        <f t="shared" si="59"/>
        <v>#REF!</v>
      </c>
      <c r="U1811" t="e">
        <f t="shared" si="60"/>
        <v>#REF!</v>
      </c>
    </row>
    <row r="1812" spans="4:21" x14ac:dyDescent="0.2">
      <c r="D1812" s="4"/>
      <c r="G1812" s="5"/>
      <c r="H1812" s="5"/>
      <c r="I1812" s="4"/>
      <c r="J1812" s="4"/>
      <c r="K1812" s="5"/>
      <c r="Q1812" t="e">
        <f>VLOOKUP(A1812,'גיליון דאטה להכל'!A:E,5,0)</f>
        <v>#N/A</v>
      </c>
      <c r="R1812" t="e">
        <f>VLOOKUP(A1812,'לעדכן בסינתזה דאטה אריזה 42+24'!$A:$C,3,0)</f>
        <v>#N/A</v>
      </c>
      <c r="S1812" t="e">
        <f>VLOOKUP(#REF!,'מלאי לא תקין'!A:N,17,0)</f>
        <v>#REF!</v>
      </c>
      <c r="T1812" t="e">
        <f t="shared" si="59"/>
        <v>#REF!</v>
      </c>
      <c r="U1812" t="e">
        <f t="shared" si="60"/>
        <v>#REF!</v>
      </c>
    </row>
    <row r="1813" spans="4:21" x14ac:dyDescent="0.2">
      <c r="D1813" s="4"/>
      <c r="G1813" s="5"/>
      <c r="H1813" s="5"/>
      <c r="I1813" s="4"/>
      <c r="J1813" s="4"/>
      <c r="K1813" s="5"/>
      <c r="Q1813" t="e">
        <f>VLOOKUP(A1813,'גיליון דאטה להכל'!A:E,5,0)</f>
        <v>#N/A</v>
      </c>
      <c r="R1813" t="e">
        <f>VLOOKUP(A1813,'לעדכן בסינתזה דאטה אריזה 42+24'!$A:$C,3,0)</f>
        <v>#N/A</v>
      </c>
      <c r="S1813" t="e">
        <f>VLOOKUP(#REF!,'מלאי לא תקין'!A:N,17,0)</f>
        <v>#REF!</v>
      </c>
      <c r="T1813" t="e">
        <f t="shared" si="59"/>
        <v>#REF!</v>
      </c>
      <c r="U1813" t="e">
        <f t="shared" si="60"/>
        <v>#REF!</v>
      </c>
    </row>
    <row r="1814" spans="4:21" x14ac:dyDescent="0.2">
      <c r="D1814" s="4"/>
      <c r="G1814" s="5"/>
      <c r="H1814" s="5"/>
      <c r="I1814" s="4"/>
      <c r="J1814" s="4"/>
      <c r="K1814" s="5"/>
      <c r="Q1814" t="e">
        <f>VLOOKUP(A1814,'גיליון דאטה להכל'!A:E,5,0)</f>
        <v>#N/A</v>
      </c>
      <c r="R1814" t="e">
        <f>VLOOKUP(A1814,'לעדכן בסינתזה דאטה אריזה 42+24'!$A:$C,3,0)</f>
        <v>#N/A</v>
      </c>
      <c r="S1814" t="e">
        <f>VLOOKUP(#REF!,'מלאי לא תקין'!A:N,17,0)</f>
        <v>#REF!</v>
      </c>
      <c r="T1814" t="e">
        <f t="shared" si="59"/>
        <v>#REF!</v>
      </c>
      <c r="U1814" t="e">
        <f t="shared" si="60"/>
        <v>#REF!</v>
      </c>
    </row>
    <row r="1815" spans="4:21" x14ac:dyDescent="0.2">
      <c r="D1815" s="4"/>
      <c r="G1815" s="5"/>
      <c r="H1815" s="5"/>
      <c r="I1815" s="4"/>
      <c r="J1815" s="4"/>
      <c r="K1815" s="5"/>
      <c r="Q1815" t="e">
        <f>VLOOKUP(A1815,'גיליון דאטה להכל'!A:E,5,0)</f>
        <v>#N/A</v>
      </c>
      <c r="R1815" t="e">
        <f>VLOOKUP(A1815,'לעדכן בסינתזה דאטה אריזה 42+24'!$A:$C,3,0)</f>
        <v>#N/A</v>
      </c>
      <c r="S1815" t="e">
        <f>VLOOKUP(#REF!,'מלאי לא תקין'!A:N,17,0)</f>
        <v>#REF!</v>
      </c>
      <c r="T1815" t="e">
        <f t="shared" si="59"/>
        <v>#REF!</v>
      </c>
      <c r="U1815" t="e">
        <f t="shared" si="60"/>
        <v>#REF!</v>
      </c>
    </row>
    <row r="1816" spans="4:21" x14ac:dyDescent="0.2">
      <c r="D1816" s="4"/>
      <c r="G1816" s="5"/>
      <c r="H1816" s="5"/>
      <c r="I1816" s="4"/>
      <c r="J1816" s="4"/>
      <c r="K1816" s="5"/>
      <c r="Q1816" t="e">
        <f>VLOOKUP(A1816,'גיליון דאטה להכל'!A:E,5,0)</f>
        <v>#N/A</v>
      </c>
      <c r="R1816" t="e">
        <f>VLOOKUP(A1816,'לעדכן בסינתזה דאטה אריזה 42+24'!$A:$C,3,0)</f>
        <v>#N/A</v>
      </c>
      <c r="S1816" t="e">
        <f>VLOOKUP(#REF!,'מלאי לא תקין'!A:N,17,0)</f>
        <v>#REF!</v>
      </c>
      <c r="T1816" t="e">
        <f t="shared" si="59"/>
        <v>#REF!</v>
      </c>
      <c r="U1816" t="e">
        <f t="shared" si="60"/>
        <v>#REF!</v>
      </c>
    </row>
    <row r="1817" spans="4:21" x14ac:dyDescent="0.2">
      <c r="D1817" s="4"/>
      <c r="G1817" s="5"/>
      <c r="H1817" s="7"/>
      <c r="I1817" s="4"/>
      <c r="J1817" s="4"/>
      <c r="K1817" s="5"/>
      <c r="Q1817" t="e">
        <f>VLOOKUP(A1817,'גיליון דאטה להכל'!A:E,5,0)</f>
        <v>#N/A</v>
      </c>
      <c r="R1817" t="e">
        <f>VLOOKUP(A1817,'לעדכן בסינתזה דאטה אריזה 42+24'!$A:$C,3,0)</f>
        <v>#N/A</v>
      </c>
      <c r="S1817" t="e">
        <f>VLOOKUP(#REF!,'מלאי לא תקין'!A:N,17,0)</f>
        <v>#REF!</v>
      </c>
      <c r="T1817" t="e">
        <f t="shared" si="59"/>
        <v>#REF!</v>
      </c>
      <c r="U1817" t="e">
        <f t="shared" si="60"/>
        <v>#REF!</v>
      </c>
    </row>
    <row r="1818" spans="4:21" x14ac:dyDescent="0.2">
      <c r="D1818" s="4"/>
      <c r="G1818" s="5"/>
      <c r="H1818" s="5"/>
      <c r="I1818" s="4"/>
      <c r="J1818" s="4"/>
      <c r="K1818" s="5"/>
      <c r="Q1818" t="e">
        <f>VLOOKUP(A1818,'גיליון דאטה להכל'!A:E,5,0)</f>
        <v>#N/A</v>
      </c>
      <c r="R1818" t="e">
        <f>VLOOKUP(A1818,'לעדכן בסינתזה דאטה אריזה 42+24'!$A:$C,3,0)</f>
        <v>#N/A</v>
      </c>
      <c r="S1818" t="e">
        <f>VLOOKUP(#REF!,'מלאי לא תקין'!A:N,17,0)</f>
        <v>#REF!</v>
      </c>
      <c r="T1818" t="e">
        <f t="shared" si="59"/>
        <v>#REF!</v>
      </c>
      <c r="U1818" t="e">
        <f t="shared" si="60"/>
        <v>#REF!</v>
      </c>
    </row>
    <row r="1819" spans="4:21" x14ac:dyDescent="0.2">
      <c r="D1819" s="4"/>
      <c r="G1819" s="5"/>
      <c r="H1819" s="5"/>
      <c r="I1819" s="4"/>
      <c r="J1819" s="4"/>
      <c r="K1819" s="5"/>
      <c r="Q1819" t="e">
        <f>VLOOKUP(A1819,'גיליון דאטה להכל'!A:E,5,0)</f>
        <v>#N/A</v>
      </c>
      <c r="R1819" t="e">
        <f>VLOOKUP(A1819,'לעדכן בסינתזה דאטה אריזה 42+24'!$A:$C,3,0)</f>
        <v>#N/A</v>
      </c>
      <c r="S1819" t="e">
        <f>VLOOKUP(#REF!,'מלאי לא תקין'!A:N,17,0)</f>
        <v>#REF!</v>
      </c>
      <c r="T1819" t="e">
        <f t="shared" si="59"/>
        <v>#REF!</v>
      </c>
      <c r="U1819" t="e">
        <f t="shared" si="60"/>
        <v>#REF!</v>
      </c>
    </row>
    <row r="1820" spans="4:21" x14ac:dyDescent="0.2">
      <c r="D1820" s="4"/>
      <c r="G1820" s="5"/>
      <c r="H1820" s="5"/>
      <c r="I1820" s="4"/>
      <c r="J1820" s="4"/>
      <c r="K1820" s="5"/>
      <c r="Q1820" t="e">
        <f>VLOOKUP(A1820,'גיליון דאטה להכל'!A:E,5,0)</f>
        <v>#N/A</v>
      </c>
      <c r="R1820" t="e">
        <f>VLOOKUP(A1820,'לעדכן בסינתזה דאטה אריזה 42+24'!$A:$C,3,0)</f>
        <v>#N/A</v>
      </c>
      <c r="S1820" t="e">
        <f>VLOOKUP(#REF!,'מלאי לא תקין'!A:N,17,0)</f>
        <v>#REF!</v>
      </c>
      <c r="T1820" t="e">
        <f t="shared" si="59"/>
        <v>#REF!</v>
      </c>
      <c r="U1820" t="e">
        <f t="shared" si="60"/>
        <v>#REF!</v>
      </c>
    </row>
    <row r="1821" spans="4:21" x14ac:dyDescent="0.2">
      <c r="D1821" s="4"/>
      <c r="G1821" s="5"/>
      <c r="H1821" s="5"/>
      <c r="I1821" s="4"/>
      <c r="J1821" s="4"/>
      <c r="K1821" s="5"/>
      <c r="Q1821" t="e">
        <f>VLOOKUP(A1821,'גיליון דאטה להכל'!A:E,5,0)</f>
        <v>#N/A</v>
      </c>
      <c r="R1821" t="e">
        <f>VLOOKUP(A1821,'לעדכן בסינתזה דאטה אריזה 42+24'!$A:$C,3,0)</f>
        <v>#N/A</v>
      </c>
      <c r="S1821" t="e">
        <f>VLOOKUP(#REF!,'מלאי לא תקין'!A:N,17,0)</f>
        <v>#REF!</v>
      </c>
      <c r="T1821" t="e">
        <f t="shared" si="59"/>
        <v>#REF!</v>
      </c>
      <c r="U1821" t="e">
        <f t="shared" si="60"/>
        <v>#REF!</v>
      </c>
    </row>
    <row r="1822" spans="4:21" x14ac:dyDescent="0.2">
      <c r="D1822" s="4"/>
      <c r="G1822" s="5"/>
      <c r="H1822" s="5"/>
      <c r="I1822" s="4"/>
      <c r="J1822" s="4"/>
      <c r="K1822" s="5"/>
      <c r="Q1822" t="e">
        <f>VLOOKUP(A1822,'גיליון דאטה להכל'!A:E,5,0)</f>
        <v>#N/A</v>
      </c>
      <c r="R1822" t="e">
        <f>VLOOKUP(A1822,'לעדכן בסינתזה דאטה אריזה 42+24'!$A:$C,3,0)</f>
        <v>#N/A</v>
      </c>
      <c r="S1822" t="e">
        <f>VLOOKUP(#REF!,'מלאי לא תקין'!A:N,17,0)</f>
        <v>#REF!</v>
      </c>
      <c r="T1822" t="e">
        <f t="shared" si="59"/>
        <v>#REF!</v>
      </c>
      <c r="U1822" t="e">
        <f t="shared" si="60"/>
        <v>#REF!</v>
      </c>
    </row>
    <row r="1823" spans="4:21" x14ac:dyDescent="0.2">
      <c r="D1823" s="4"/>
      <c r="G1823" s="5"/>
      <c r="H1823" s="5"/>
      <c r="I1823" s="4"/>
      <c r="J1823" s="4"/>
      <c r="K1823" s="5"/>
      <c r="Q1823" t="e">
        <f>VLOOKUP(A1823,'גיליון דאטה להכל'!A:E,5,0)</f>
        <v>#N/A</v>
      </c>
      <c r="R1823" t="e">
        <f>VLOOKUP(A1823,'לעדכן בסינתזה דאטה אריזה 42+24'!$A:$C,3,0)</f>
        <v>#N/A</v>
      </c>
      <c r="S1823" t="e">
        <f>VLOOKUP(#REF!,'מלאי לא תקין'!A:N,17,0)</f>
        <v>#REF!</v>
      </c>
      <c r="T1823" t="e">
        <f t="shared" si="59"/>
        <v>#REF!</v>
      </c>
      <c r="U1823" t="e">
        <f t="shared" si="60"/>
        <v>#REF!</v>
      </c>
    </row>
    <row r="1824" spans="4:21" x14ac:dyDescent="0.2">
      <c r="D1824" s="4"/>
      <c r="G1824" s="5"/>
      <c r="H1824" s="7"/>
      <c r="I1824" s="4"/>
      <c r="J1824" s="4"/>
      <c r="K1824" s="5"/>
      <c r="Q1824" t="e">
        <f>VLOOKUP(A1824,'גיליון דאטה להכל'!A:E,5,0)</f>
        <v>#N/A</v>
      </c>
      <c r="R1824" t="e">
        <f>VLOOKUP(A1824,'לעדכן בסינתזה דאטה אריזה 42+24'!$A:$C,3,0)</f>
        <v>#N/A</v>
      </c>
      <c r="S1824" t="e">
        <f>VLOOKUP(#REF!,'מלאי לא תקין'!A:N,17,0)</f>
        <v>#REF!</v>
      </c>
      <c r="T1824" t="e">
        <f t="shared" si="59"/>
        <v>#REF!</v>
      </c>
      <c r="U1824" t="e">
        <f t="shared" si="60"/>
        <v>#REF!</v>
      </c>
    </row>
    <row r="1825" spans="4:21" x14ac:dyDescent="0.2">
      <c r="D1825" s="4"/>
      <c r="G1825" s="5"/>
      <c r="H1825" s="5"/>
      <c r="I1825" s="4"/>
      <c r="J1825" s="4"/>
      <c r="K1825" s="5"/>
      <c r="Q1825" t="e">
        <f>VLOOKUP(A1825,'גיליון דאטה להכל'!A:E,5,0)</f>
        <v>#N/A</v>
      </c>
      <c r="R1825" t="e">
        <f>VLOOKUP(A1825,'לעדכן בסינתזה דאטה אריזה 42+24'!$A:$C,3,0)</f>
        <v>#N/A</v>
      </c>
      <c r="S1825" t="e">
        <f>VLOOKUP(#REF!,'מלאי לא תקין'!A:N,17,0)</f>
        <v>#REF!</v>
      </c>
      <c r="T1825" t="e">
        <f t="shared" si="59"/>
        <v>#REF!</v>
      </c>
      <c r="U1825" t="e">
        <f t="shared" si="60"/>
        <v>#REF!</v>
      </c>
    </row>
    <row r="1826" spans="4:21" x14ac:dyDescent="0.2">
      <c r="D1826" s="4"/>
      <c r="G1826" s="5"/>
      <c r="H1826" s="5"/>
      <c r="I1826" s="4"/>
      <c r="J1826" s="4"/>
      <c r="K1826" s="5"/>
      <c r="Q1826" t="e">
        <f>VLOOKUP(A1826,'גיליון דאטה להכל'!A:E,5,0)</f>
        <v>#N/A</v>
      </c>
      <c r="R1826" t="e">
        <f>VLOOKUP(A1826,'לעדכן בסינתזה דאטה אריזה 42+24'!$A:$C,3,0)</f>
        <v>#N/A</v>
      </c>
      <c r="S1826" t="e">
        <f>VLOOKUP(#REF!,'מלאי לא תקין'!A:N,17,0)</f>
        <v>#REF!</v>
      </c>
      <c r="T1826" t="e">
        <f t="shared" si="59"/>
        <v>#REF!</v>
      </c>
      <c r="U1826" t="e">
        <f t="shared" si="60"/>
        <v>#REF!</v>
      </c>
    </row>
    <row r="1827" spans="4:21" x14ac:dyDescent="0.2">
      <c r="D1827" s="4"/>
      <c r="G1827" s="5"/>
      <c r="H1827" s="5"/>
      <c r="I1827" s="4"/>
      <c r="J1827" s="4"/>
      <c r="K1827" s="5"/>
      <c r="Q1827" t="e">
        <f>VLOOKUP(A1827,'גיליון דאטה להכל'!A:E,5,0)</f>
        <v>#N/A</v>
      </c>
      <c r="R1827" t="e">
        <f>VLOOKUP(A1827,'לעדכן בסינתזה דאטה אריזה 42+24'!$A:$C,3,0)</f>
        <v>#N/A</v>
      </c>
      <c r="S1827" t="e">
        <f>VLOOKUP(#REF!,'מלאי לא תקין'!A:N,17,0)</f>
        <v>#REF!</v>
      </c>
      <c r="T1827" t="e">
        <f t="shared" si="59"/>
        <v>#REF!</v>
      </c>
      <c r="U1827" t="e">
        <f t="shared" si="60"/>
        <v>#REF!</v>
      </c>
    </row>
    <row r="1828" spans="4:21" x14ac:dyDescent="0.2">
      <c r="D1828" s="4"/>
      <c r="G1828" s="5"/>
      <c r="H1828" s="5"/>
      <c r="I1828" s="4"/>
      <c r="J1828" s="4"/>
      <c r="K1828" s="5"/>
      <c r="Q1828" t="e">
        <f>VLOOKUP(A1828,'גיליון דאטה להכל'!A:E,5,0)</f>
        <v>#N/A</v>
      </c>
      <c r="R1828" t="e">
        <f>VLOOKUP(A1828,'לעדכן בסינתזה דאטה אריזה 42+24'!$A:$C,3,0)</f>
        <v>#N/A</v>
      </c>
      <c r="S1828" t="e">
        <f>VLOOKUP(#REF!,'מלאי לא תקין'!A:N,17,0)</f>
        <v>#REF!</v>
      </c>
      <c r="T1828" t="e">
        <f t="shared" si="59"/>
        <v>#REF!</v>
      </c>
      <c r="U1828" t="e">
        <f t="shared" si="60"/>
        <v>#REF!</v>
      </c>
    </row>
    <row r="1829" spans="4:21" x14ac:dyDescent="0.2">
      <c r="D1829" s="4"/>
      <c r="G1829" s="5"/>
      <c r="H1829" s="7"/>
      <c r="I1829" s="4"/>
      <c r="J1829" s="4"/>
      <c r="K1829" s="5"/>
      <c r="Q1829" t="e">
        <f>VLOOKUP(A1829,'גיליון דאטה להכל'!A:E,5,0)</f>
        <v>#N/A</v>
      </c>
      <c r="R1829" t="e">
        <f>VLOOKUP(A1829,'לעדכן בסינתזה דאטה אריזה 42+24'!$A:$C,3,0)</f>
        <v>#N/A</v>
      </c>
      <c r="S1829" t="e">
        <f>VLOOKUP(#REF!,'מלאי לא תקין'!A:N,17,0)</f>
        <v>#REF!</v>
      </c>
      <c r="T1829" t="e">
        <f t="shared" si="59"/>
        <v>#REF!</v>
      </c>
      <c r="U1829" t="e">
        <f t="shared" si="60"/>
        <v>#REF!</v>
      </c>
    </row>
    <row r="1830" spans="4:21" x14ac:dyDescent="0.2">
      <c r="D1830" s="4"/>
      <c r="G1830" s="5"/>
      <c r="H1830" s="5"/>
      <c r="I1830" s="4"/>
      <c r="J1830" s="4"/>
      <c r="K1830" s="5"/>
      <c r="Q1830" t="e">
        <f>VLOOKUP(A1830,'גיליון דאטה להכל'!A:E,5,0)</f>
        <v>#N/A</v>
      </c>
      <c r="R1830" t="e">
        <f>VLOOKUP(A1830,'לעדכן בסינתזה דאטה אריזה 42+24'!$A:$C,3,0)</f>
        <v>#N/A</v>
      </c>
      <c r="S1830" t="e">
        <f>VLOOKUP(#REF!,'מלאי לא תקין'!A:N,17,0)</f>
        <v>#REF!</v>
      </c>
      <c r="T1830" t="e">
        <f t="shared" si="59"/>
        <v>#REF!</v>
      </c>
      <c r="U1830" t="e">
        <f t="shared" si="60"/>
        <v>#REF!</v>
      </c>
    </row>
    <row r="1831" spans="4:21" x14ac:dyDescent="0.2">
      <c r="D1831" s="4"/>
      <c r="G1831" s="5"/>
      <c r="H1831" s="5"/>
      <c r="I1831" s="4"/>
      <c r="J1831" s="4"/>
      <c r="K1831" s="5"/>
      <c r="Q1831" t="e">
        <f>VLOOKUP(A1831,'גיליון דאטה להכל'!A:E,5,0)</f>
        <v>#N/A</v>
      </c>
      <c r="R1831" t="e">
        <f>VLOOKUP(A1831,'לעדכן בסינתזה דאטה אריזה 42+24'!$A:$C,3,0)</f>
        <v>#N/A</v>
      </c>
      <c r="S1831" t="e">
        <f>VLOOKUP(#REF!,'מלאי לא תקין'!A:N,17,0)</f>
        <v>#REF!</v>
      </c>
      <c r="T1831" t="e">
        <f t="shared" si="59"/>
        <v>#REF!</v>
      </c>
      <c r="U1831" t="e">
        <f t="shared" si="60"/>
        <v>#REF!</v>
      </c>
    </row>
    <row r="1832" spans="4:21" x14ac:dyDescent="0.2">
      <c r="D1832" s="4"/>
      <c r="G1832" s="5"/>
      <c r="H1832" s="5"/>
      <c r="I1832" s="4"/>
      <c r="J1832" s="4"/>
      <c r="K1832" s="5"/>
      <c r="Q1832" t="e">
        <f>VLOOKUP(A1832,'גיליון דאטה להכל'!A:E,5,0)</f>
        <v>#N/A</v>
      </c>
      <c r="R1832" t="e">
        <f>VLOOKUP(A1832,'לעדכן בסינתזה דאטה אריזה 42+24'!$A:$C,3,0)</f>
        <v>#N/A</v>
      </c>
      <c r="S1832" t="e">
        <f>VLOOKUP(#REF!,'מלאי לא תקין'!A:N,17,0)</f>
        <v>#REF!</v>
      </c>
      <c r="T1832" t="e">
        <f t="shared" si="59"/>
        <v>#REF!</v>
      </c>
      <c r="U1832" t="e">
        <f t="shared" si="60"/>
        <v>#REF!</v>
      </c>
    </row>
    <row r="1833" spans="4:21" x14ac:dyDescent="0.2">
      <c r="D1833" s="4"/>
      <c r="G1833" s="5"/>
      <c r="H1833" s="7"/>
      <c r="I1833" s="4"/>
      <c r="J1833" s="4"/>
      <c r="K1833" s="5"/>
      <c r="Q1833" t="e">
        <f>VLOOKUP(A1833,'גיליון דאטה להכל'!A:E,5,0)</f>
        <v>#N/A</v>
      </c>
      <c r="R1833" t="e">
        <f>VLOOKUP(A1833,'לעדכן בסינתזה דאטה אריזה 42+24'!$A:$C,3,0)</f>
        <v>#N/A</v>
      </c>
      <c r="S1833" t="e">
        <f>VLOOKUP(#REF!,'מלאי לא תקין'!A:N,17,0)</f>
        <v>#REF!</v>
      </c>
      <c r="T1833" t="e">
        <f t="shared" si="59"/>
        <v>#REF!</v>
      </c>
      <c r="U1833" t="e">
        <f t="shared" si="60"/>
        <v>#REF!</v>
      </c>
    </row>
    <row r="1834" spans="4:21" x14ac:dyDescent="0.2">
      <c r="D1834" s="4"/>
      <c r="G1834" s="5"/>
      <c r="H1834" s="7"/>
      <c r="I1834" s="4"/>
      <c r="J1834" s="4"/>
      <c r="K1834" s="5"/>
      <c r="Q1834" t="e">
        <f>VLOOKUP(A1834,'גיליון דאטה להכל'!A:E,5,0)</f>
        <v>#N/A</v>
      </c>
      <c r="R1834" t="e">
        <f>VLOOKUP(A1834,'לעדכן בסינתזה דאטה אריזה 42+24'!$A:$C,3,0)</f>
        <v>#N/A</v>
      </c>
      <c r="S1834" t="e">
        <f>VLOOKUP(#REF!,'מלאי לא תקין'!A:N,17,0)</f>
        <v>#REF!</v>
      </c>
      <c r="T1834" t="e">
        <f t="shared" si="59"/>
        <v>#REF!</v>
      </c>
      <c r="U1834" t="e">
        <f t="shared" si="60"/>
        <v>#REF!</v>
      </c>
    </row>
    <row r="1835" spans="4:21" x14ac:dyDescent="0.2">
      <c r="D1835" s="4"/>
      <c r="G1835" s="5"/>
      <c r="H1835" s="5"/>
      <c r="I1835" s="4"/>
      <c r="J1835" s="4"/>
      <c r="K1835" s="5"/>
      <c r="Q1835" t="e">
        <f>VLOOKUP(A1835,'גיליון דאטה להכל'!A:E,5,0)</f>
        <v>#N/A</v>
      </c>
      <c r="R1835" t="e">
        <f>VLOOKUP(A1835,'לעדכן בסינתזה דאטה אריזה 42+24'!$A:$C,3,0)</f>
        <v>#N/A</v>
      </c>
      <c r="S1835" t="e">
        <f>VLOOKUP(#REF!,'מלאי לא תקין'!A:N,17,0)</f>
        <v>#REF!</v>
      </c>
      <c r="T1835" t="e">
        <f t="shared" si="59"/>
        <v>#REF!</v>
      </c>
      <c r="U1835" t="e">
        <f t="shared" si="60"/>
        <v>#REF!</v>
      </c>
    </row>
    <row r="1836" spans="4:21" x14ac:dyDescent="0.2">
      <c r="D1836" s="4"/>
      <c r="G1836" s="5"/>
      <c r="H1836" s="5"/>
      <c r="I1836" s="4"/>
      <c r="J1836" s="4"/>
      <c r="K1836" s="5"/>
      <c r="Q1836" t="e">
        <f>VLOOKUP(A1836,'גיליון דאטה להכל'!A:E,5,0)</f>
        <v>#N/A</v>
      </c>
      <c r="R1836" t="e">
        <f>VLOOKUP(A1836,'לעדכן בסינתזה דאטה אריזה 42+24'!$A:$C,3,0)</f>
        <v>#N/A</v>
      </c>
      <c r="S1836" t="e">
        <f>VLOOKUP(#REF!,'מלאי לא תקין'!A:N,17,0)</f>
        <v>#REF!</v>
      </c>
      <c r="T1836" t="e">
        <f t="shared" si="59"/>
        <v>#REF!</v>
      </c>
      <c r="U1836" t="e">
        <f t="shared" si="60"/>
        <v>#REF!</v>
      </c>
    </row>
    <row r="1837" spans="4:21" x14ac:dyDescent="0.2">
      <c r="D1837" s="4"/>
      <c r="G1837" s="5"/>
      <c r="H1837" s="5"/>
      <c r="I1837" s="4"/>
      <c r="J1837" s="4"/>
      <c r="K1837" s="5"/>
      <c r="Q1837" t="e">
        <f>VLOOKUP(A1837,'גיליון דאטה להכל'!A:E,5,0)</f>
        <v>#N/A</v>
      </c>
      <c r="R1837" t="e">
        <f>VLOOKUP(A1837,'לעדכן בסינתזה דאטה אריזה 42+24'!$A:$C,3,0)</f>
        <v>#N/A</v>
      </c>
      <c r="S1837" t="e">
        <f>VLOOKUP(#REF!,'מלאי לא תקין'!A:N,17,0)</f>
        <v>#REF!</v>
      </c>
      <c r="T1837" t="e">
        <f t="shared" si="59"/>
        <v>#REF!</v>
      </c>
      <c r="U1837" t="e">
        <f t="shared" si="60"/>
        <v>#REF!</v>
      </c>
    </row>
    <row r="1838" spans="4:21" x14ac:dyDescent="0.2">
      <c r="D1838" s="4"/>
      <c r="G1838" s="5"/>
      <c r="H1838" s="5"/>
      <c r="I1838" s="4"/>
      <c r="J1838" s="4"/>
      <c r="K1838" s="5"/>
      <c r="Q1838" t="e">
        <f>VLOOKUP(A1838,'גיליון דאטה להכל'!A:E,5,0)</f>
        <v>#N/A</v>
      </c>
      <c r="R1838" t="e">
        <f>VLOOKUP(A1838,'לעדכן בסינתזה דאטה אריזה 42+24'!$A:$C,3,0)</f>
        <v>#N/A</v>
      </c>
      <c r="S1838" t="e">
        <f>VLOOKUP(#REF!,'מלאי לא תקין'!A:N,17,0)</f>
        <v>#REF!</v>
      </c>
      <c r="T1838" t="e">
        <f t="shared" si="59"/>
        <v>#REF!</v>
      </c>
      <c r="U1838" t="e">
        <f t="shared" si="60"/>
        <v>#REF!</v>
      </c>
    </row>
    <row r="1839" spans="4:21" x14ac:dyDescent="0.2">
      <c r="D1839" s="4"/>
      <c r="G1839" s="5"/>
      <c r="H1839" s="7"/>
      <c r="I1839" s="4"/>
      <c r="J1839" s="4"/>
      <c r="K1839" s="5"/>
      <c r="Q1839" t="e">
        <f>VLOOKUP(A1839,'גיליון דאטה להכל'!A:E,5,0)</f>
        <v>#N/A</v>
      </c>
      <c r="R1839" t="e">
        <f>VLOOKUP(A1839,'לעדכן בסינתזה דאטה אריזה 42+24'!$A:$C,3,0)</f>
        <v>#N/A</v>
      </c>
      <c r="S1839" t="e">
        <f>VLOOKUP(#REF!,'מלאי לא תקין'!A:N,17,0)</f>
        <v>#REF!</v>
      </c>
      <c r="T1839" t="e">
        <f t="shared" si="59"/>
        <v>#REF!</v>
      </c>
      <c r="U1839" t="e">
        <f t="shared" si="60"/>
        <v>#REF!</v>
      </c>
    </row>
    <row r="1840" spans="4:21" x14ac:dyDescent="0.2">
      <c r="D1840" s="4"/>
      <c r="G1840" s="5"/>
      <c r="H1840" s="5"/>
      <c r="I1840" s="4"/>
      <c r="J1840" s="4"/>
      <c r="K1840" s="5"/>
      <c r="Q1840" t="e">
        <f>VLOOKUP(A1840,'גיליון דאטה להכל'!A:E,5,0)</f>
        <v>#N/A</v>
      </c>
      <c r="R1840" t="e">
        <f>VLOOKUP(A1840,'לעדכן בסינתזה דאטה אריזה 42+24'!$A:$C,3,0)</f>
        <v>#N/A</v>
      </c>
      <c r="S1840" t="e">
        <f>VLOOKUP(#REF!,'מלאי לא תקין'!A:N,17,0)</f>
        <v>#REF!</v>
      </c>
      <c r="T1840" t="e">
        <f t="shared" si="59"/>
        <v>#REF!</v>
      </c>
      <c r="U1840" t="e">
        <f t="shared" si="60"/>
        <v>#REF!</v>
      </c>
    </row>
    <row r="1841" spans="4:21" x14ac:dyDescent="0.2">
      <c r="D1841" s="4"/>
      <c r="G1841" s="5"/>
      <c r="H1841" s="5"/>
      <c r="I1841" s="4"/>
      <c r="J1841" s="4"/>
      <c r="K1841" s="5"/>
      <c r="Q1841" t="e">
        <f>VLOOKUP(A1841,'גיליון דאטה להכל'!A:E,5,0)</f>
        <v>#N/A</v>
      </c>
      <c r="R1841" t="e">
        <f>VLOOKUP(A1841,'לעדכן בסינתזה דאטה אריזה 42+24'!$A:$C,3,0)</f>
        <v>#N/A</v>
      </c>
      <c r="S1841" t="e">
        <f>VLOOKUP(#REF!,'מלאי לא תקין'!A:N,17,0)</f>
        <v>#REF!</v>
      </c>
      <c r="T1841" t="e">
        <f t="shared" si="59"/>
        <v>#REF!</v>
      </c>
      <c r="U1841" t="e">
        <f t="shared" si="60"/>
        <v>#REF!</v>
      </c>
    </row>
    <row r="1842" spans="4:21" x14ac:dyDescent="0.2">
      <c r="D1842" s="4"/>
      <c r="G1842" s="5"/>
      <c r="H1842" s="5"/>
      <c r="I1842" s="4"/>
      <c r="J1842" s="4"/>
      <c r="K1842" s="5"/>
      <c r="Q1842" t="e">
        <f>VLOOKUP(A1842,'גיליון דאטה להכל'!A:E,5,0)</f>
        <v>#N/A</v>
      </c>
      <c r="R1842" t="e">
        <f>VLOOKUP(A1842,'לעדכן בסינתזה דאטה אריזה 42+24'!$A:$C,3,0)</f>
        <v>#N/A</v>
      </c>
      <c r="S1842" t="e">
        <f>VLOOKUP(#REF!,'מלאי לא תקין'!A:N,17,0)</f>
        <v>#REF!</v>
      </c>
      <c r="T1842" t="e">
        <f t="shared" si="59"/>
        <v>#REF!</v>
      </c>
      <c r="U1842" t="e">
        <f t="shared" si="60"/>
        <v>#REF!</v>
      </c>
    </row>
    <row r="1843" spans="4:21" x14ac:dyDescent="0.2">
      <c r="D1843" s="4"/>
      <c r="G1843" s="5"/>
      <c r="H1843" s="5"/>
      <c r="I1843" s="4"/>
      <c r="J1843" s="4"/>
      <c r="K1843" s="5"/>
      <c r="Q1843" t="e">
        <f>VLOOKUP(A1843,'גיליון דאטה להכל'!A:E,5,0)</f>
        <v>#N/A</v>
      </c>
      <c r="R1843" t="e">
        <f>VLOOKUP(A1843,'לעדכן בסינתזה דאטה אריזה 42+24'!$A:$C,3,0)</f>
        <v>#N/A</v>
      </c>
      <c r="S1843" t="e">
        <f>VLOOKUP(#REF!,'מלאי לא תקין'!A:N,17,0)</f>
        <v>#REF!</v>
      </c>
      <c r="T1843" t="e">
        <f t="shared" si="59"/>
        <v>#REF!</v>
      </c>
      <c r="U1843" t="e">
        <f t="shared" si="60"/>
        <v>#REF!</v>
      </c>
    </row>
    <row r="1844" spans="4:21" x14ac:dyDescent="0.2">
      <c r="D1844" s="4"/>
      <c r="G1844" s="5"/>
      <c r="H1844" s="5"/>
      <c r="I1844" s="4"/>
      <c r="J1844" s="4"/>
      <c r="K1844" s="5"/>
      <c r="Q1844" t="e">
        <f>VLOOKUP(A1844,'גיליון דאטה להכל'!A:E,5,0)</f>
        <v>#N/A</v>
      </c>
      <c r="R1844" t="e">
        <f>VLOOKUP(A1844,'לעדכן בסינתזה דאטה אריזה 42+24'!$A:$C,3,0)</f>
        <v>#N/A</v>
      </c>
      <c r="S1844" t="e">
        <f>VLOOKUP(#REF!,'מלאי לא תקין'!A:N,17,0)</f>
        <v>#REF!</v>
      </c>
      <c r="T1844" t="e">
        <f t="shared" si="59"/>
        <v>#REF!</v>
      </c>
      <c r="U1844" t="e">
        <f t="shared" si="60"/>
        <v>#REF!</v>
      </c>
    </row>
    <row r="1845" spans="4:21" x14ac:dyDescent="0.2">
      <c r="D1845" s="4"/>
      <c r="G1845" s="5"/>
      <c r="H1845" s="7"/>
      <c r="I1845" s="4"/>
      <c r="J1845" s="4"/>
      <c r="K1845" s="5"/>
      <c r="Q1845" t="e">
        <f>VLOOKUP(A1845,'גיליון דאטה להכל'!A:E,5,0)</f>
        <v>#N/A</v>
      </c>
      <c r="R1845" t="e">
        <f>VLOOKUP(A1845,'לעדכן בסינתזה דאטה אריזה 42+24'!$A:$C,3,0)</f>
        <v>#N/A</v>
      </c>
      <c r="S1845" t="e">
        <f>VLOOKUP(#REF!,'מלאי לא תקין'!A:N,17,0)</f>
        <v>#REF!</v>
      </c>
      <c r="T1845" t="e">
        <f t="shared" si="59"/>
        <v>#REF!</v>
      </c>
      <c r="U1845" t="e">
        <f t="shared" si="60"/>
        <v>#REF!</v>
      </c>
    </row>
    <row r="1846" spans="4:21" x14ac:dyDescent="0.2">
      <c r="D1846" s="4"/>
      <c r="G1846" s="5"/>
      <c r="H1846" s="5"/>
      <c r="I1846" s="4"/>
      <c r="J1846" s="4"/>
      <c r="K1846" s="5"/>
      <c r="Q1846" t="e">
        <f>VLOOKUP(A1846,'גיליון דאטה להכל'!A:E,5,0)</f>
        <v>#N/A</v>
      </c>
      <c r="R1846" t="e">
        <f>VLOOKUP(A1846,'לעדכן בסינתזה דאטה אריזה 42+24'!$A:$C,3,0)</f>
        <v>#N/A</v>
      </c>
      <c r="S1846" t="e">
        <f>VLOOKUP(#REF!,'מלאי לא תקין'!A:N,17,0)</f>
        <v>#REF!</v>
      </c>
      <c r="T1846" t="e">
        <f t="shared" si="59"/>
        <v>#REF!</v>
      </c>
      <c r="U1846" t="e">
        <f t="shared" si="60"/>
        <v>#REF!</v>
      </c>
    </row>
    <row r="1847" spans="4:21" x14ac:dyDescent="0.2">
      <c r="D1847" s="4"/>
      <c r="G1847" s="5"/>
      <c r="H1847" s="5"/>
      <c r="I1847" s="4"/>
      <c r="J1847" s="4"/>
      <c r="K1847" s="5"/>
      <c r="Q1847" t="e">
        <f>VLOOKUP(A1847,'גיליון דאטה להכל'!A:E,5,0)</f>
        <v>#N/A</v>
      </c>
      <c r="R1847" t="e">
        <f>VLOOKUP(A1847,'לעדכן בסינתזה דאטה אריזה 42+24'!$A:$C,3,0)</f>
        <v>#N/A</v>
      </c>
      <c r="S1847" t="e">
        <f>VLOOKUP(#REF!,'מלאי לא תקין'!A:N,17,0)</f>
        <v>#REF!</v>
      </c>
      <c r="T1847" t="e">
        <f t="shared" si="59"/>
        <v>#REF!</v>
      </c>
      <c r="U1847" t="e">
        <f t="shared" si="60"/>
        <v>#REF!</v>
      </c>
    </row>
    <row r="1848" spans="4:21" x14ac:dyDescent="0.2">
      <c r="D1848" s="4"/>
      <c r="G1848" s="5"/>
      <c r="H1848" s="5"/>
      <c r="I1848" s="4"/>
      <c r="J1848" s="4"/>
      <c r="K1848" s="5"/>
      <c r="Q1848" t="e">
        <f>VLOOKUP(A1848,'גיליון דאטה להכל'!A:E,5,0)</f>
        <v>#N/A</v>
      </c>
      <c r="R1848" t="e">
        <f>VLOOKUP(A1848,'לעדכן בסינתזה דאטה אריזה 42+24'!$A:$C,3,0)</f>
        <v>#N/A</v>
      </c>
      <c r="S1848" t="e">
        <f>VLOOKUP(#REF!,'מלאי לא תקין'!A:N,17,0)</f>
        <v>#REF!</v>
      </c>
      <c r="T1848" t="e">
        <f t="shared" si="59"/>
        <v>#REF!</v>
      </c>
      <c r="U1848" t="e">
        <f t="shared" si="60"/>
        <v>#REF!</v>
      </c>
    </row>
    <row r="1849" spans="4:21" x14ac:dyDescent="0.2">
      <c r="D1849" s="4"/>
      <c r="G1849" s="5"/>
      <c r="H1849" s="5"/>
      <c r="I1849" s="4"/>
      <c r="J1849" s="4"/>
      <c r="K1849" s="5"/>
      <c r="Q1849" t="e">
        <f>VLOOKUP(A1849,'גיליון דאטה להכל'!A:E,5,0)</f>
        <v>#N/A</v>
      </c>
      <c r="R1849" t="e">
        <f>VLOOKUP(A1849,'לעדכן בסינתזה דאטה אריזה 42+24'!$A:$C,3,0)</f>
        <v>#N/A</v>
      </c>
      <c r="S1849" t="e">
        <f>VLOOKUP(#REF!,'מלאי לא תקין'!A:N,17,0)</f>
        <v>#REF!</v>
      </c>
      <c r="T1849" t="e">
        <f t="shared" si="59"/>
        <v>#REF!</v>
      </c>
      <c r="U1849" t="e">
        <f t="shared" si="60"/>
        <v>#REF!</v>
      </c>
    </row>
    <row r="1850" spans="4:21" x14ac:dyDescent="0.2">
      <c r="D1850" s="4"/>
      <c r="G1850" s="5"/>
      <c r="H1850" s="5"/>
      <c r="I1850" s="4"/>
      <c r="J1850" s="4"/>
      <c r="K1850" s="5"/>
      <c r="Q1850" t="e">
        <f>VLOOKUP(A1850,'גיליון דאטה להכל'!A:E,5,0)</f>
        <v>#N/A</v>
      </c>
      <c r="R1850" t="e">
        <f>VLOOKUP(A1850,'לעדכן בסינתזה דאטה אריזה 42+24'!$A:$C,3,0)</f>
        <v>#N/A</v>
      </c>
      <c r="S1850" t="e">
        <f>VLOOKUP(#REF!,'מלאי לא תקין'!A:N,17,0)</f>
        <v>#REF!</v>
      </c>
      <c r="T1850" t="e">
        <f t="shared" si="59"/>
        <v>#REF!</v>
      </c>
      <c r="U1850" t="e">
        <f t="shared" si="60"/>
        <v>#REF!</v>
      </c>
    </row>
    <row r="1851" spans="4:21" x14ac:dyDescent="0.2">
      <c r="D1851" s="4"/>
      <c r="G1851" s="5"/>
      <c r="H1851" s="5"/>
      <c r="I1851" s="4"/>
      <c r="J1851" s="4"/>
      <c r="K1851" s="5"/>
      <c r="Q1851" t="e">
        <f>VLOOKUP(A1851,'גיליון דאטה להכל'!A:E,5,0)</f>
        <v>#N/A</v>
      </c>
      <c r="R1851" t="e">
        <f>VLOOKUP(A1851,'לעדכן בסינתזה דאטה אריזה 42+24'!$A:$C,3,0)</f>
        <v>#N/A</v>
      </c>
      <c r="S1851" t="e">
        <f>VLOOKUP(#REF!,'מלאי לא תקין'!A:N,17,0)</f>
        <v>#REF!</v>
      </c>
      <c r="T1851" t="e">
        <f t="shared" si="59"/>
        <v>#REF!</v>
      </c>
      <c r="U1851" t="e">
        <f t="shared" si="60"/>
        <v>#REF!</v>
      </c>
    </row>
    <row r="1852" spans="4:21" x14ac:dyDescent="0.2">
      <c r="D1852" s="4"/>
      <c r="G1852" s="5"/>
      <c r="H1852" s="7"/>
      <c r="I1852" s="4"/>
      <c r="J1852" s="4"/>
      <c r="K1852" s="5"/>
      <c r="Q1852" t="e">
        <f>VLOOKUP(A1852,'גיליון דאטה להכל'!A:E,5,0)</f>
        <v>#N/A</v>
      </c>
      <c r="R1852" t="e">
        <f>VLOOKUP(A1852,'לעדכן בסינתזה דאטה אריזה 42+24'!$A:$C,3,0)</f>
        <v>#N/A</v>
      </c>
      <c r="S1852" t="e">
        <f>VLOOKUP(#REF!,'מלאי לא תקין'!A:N,17,0)</f>
        <v>#REF!</v>
      </c>
      <c r="T1852" t="e">
        <f t="shared" si="59"/>
        <v>#REF!</v>
      </c>
      <c r="U1852" t="e">
        <f t="shared" si="60"/>
        <v>#REF!</v>
      </c>
    </row>
    <row r="1853" spans="4:21" x14ac:dyDescent="0.2">
      <c r="D1853" s="4"/>
      <c r="G1853" s="5"/>
      <c r="H1853" s="5"/>
      <c r="I1853" s="4"/>
      <c r="J1853" s="4"/>
      <c r="K1853" s="5"/>
      <c r="Q1853" t="e">
        <f>VLOOKUP(A1853,'גיליון דאטה להכל'!A:E,5,0)</f>
        <v>#N/A</v>
      </c>
      <c r="R1853" t="e">
        <f>VLOOKUP(A1853,'לעדכן בסינתזה דאטה אריזה 42+24'!$A:$C,3,0)</f>
        <v>#N/A</v>
      </c>
      <c r="S1853" t="e">
        <f>VLOOKUP(#REF!,'מלאי לא תקין'!A:N,17,0)</f>
        <v>#REF!</v>
      </c>
      <c r="T1853" t="e">
        <f t="shared" si="59"/>
        <v>#REF!</v>
      </c>
      <c r="U1853" t="e">
        <f t="shared" si="60"/>
        <v>#REF!</v>
      </c>
    </row>
    <row r="1854" spans="4:21" x14ac:dyDescent="0.2">
      <c r="D1854" s="4"/>
      <c r="G1854" s="5"/>
      <c r="H1854" s="5"/>
      <c r="I1854" s="4"/>
      <c r="J1854" s="4"/>
      <c r="K1854" s="5"/>
      <c r="Q1854" t="e">
        <f>VLOOKUP(A1854,'גיליון דאטה להכל'!A:E,5,0)</f>
        <v>#N/A</v>
      </c>
      <c r="R1854" t="e">
        <f>VLOOKUP(A1854,'לעדכן בסינתזה דאטה אריזה 42+24'!$A:$C,3,0)</f>
        <v>#N/A</v>
      </c>
      <c r="S1854" t="e">
        <f>VLOOKUP(#REF!,'מלאי לא תקין'!A:N,17,0)</f>
        <v>#REF!</v>
      </c>
      <c r="T1854" t="e">
        <f t="shared" ref="T1854:T1886" si="61">_xlfn.CONCAT(S1854,Q1854)</f>
        <v>#REF!</v>
      </c>
      <c r="U1854" t="e">
        <f t="shared" ref="U1854:U1886" si="62">_xlfn.CONCAT(S1854,O1854)</f>
        <v>#REF!</v>
      </c>
    </row>
    <row r="1855" spans="4:21" x14ac:dyDescent="0.2">
      <c r="D1855" s="4"/>
      <c r="G1855" s="5"/>
      <c r="H1855" s="5"/>
      <c r="I1855" s="4"/>
      <c r="J1855" s="4"/>
      <c r="K1855" s="5"/>
      <c r="Q1855" t="e">
        <f>VLOOKUP(A1855,'גיליון דאטה להכל'!A:E,5,0)</f>
        <v>#N/A</v>
      </c>
      <c r="R1855" t="e">
        <f>VLOOKUP(A1855,'לעדכן בסינתזה דאטה אריזה 42+24'!$A:$C,3,0)</f>
        <v>#N/A</v>
      </c>
      <c r="S1855" t="e">
        <f>VLOOKUP(#REF!,'מלאי לא תקין'!A:N,17,0)</f>
        <v>#REF!</v>
      </c>
      <c r="T1855" t="e">
        <f t="shared" si="61"/>
        <v>#REF!</v>
      </c>
      <c r="U1855" t="e">
        <f t="shared" si="62"/>
        <v>#REF!</v>
      </c>
    </row>
    <row r="1856" spans="4:21" x14ac:dyDescent="0.2">
      <c r="D1856" s="4"/>
      <c r="G1856" s="5"/>
      <c r="H1856" s="5"/>
      <c r="I1856" s="4"/>
      <c r="J1856" s="4"/>
      <c r="K1856" s="5"/>
      <c r="Q1856" t="e">
        <f>VLOOKUP(A1856,'גיליון דאטה להכל'!A:E,5,0)</f>
        <v>#N/A</v>
      </c>
      <c r="R1856" t="e">
        <f>VLOOKUP(A1856,'לעדכן בסינתזה דאטה אריזה 42+24'!$A:$C,3,0)</f>
        <v>#N/A</v>
      </c>
      <c r="S1856" t="e">
        <f>VLOOKUP(#REF!,'מלאי לא תקין'!A:N,17,0)</f>
        <v>#REF!</v>
      </c>
      <c r="T1856" t="e">
        <f t="shared" si="61"/>
        <v>#REF!</v>
      </c>
      <c r="U1856" t="e">
        <f t="shared" si="62"/>
        <v>#REF!</v>
      </c>
    </row>
    <row r="1857" spans="4:21" x14ac:dyDescent="0.2">
      <c r="D1857" s="4"/>
      <c r="G1857" s="5"/>
      <c r="H1857" s="7"/>
      <c r="I1857" s="4"/>
      <c r="J1857" s="4"/>
      <c r="K1857" s="5"/>
      <c r="Q1857" t="e">
        <f>VLOOKUP(A1857,'גיליון דאטה להכל'!A:E,5,0)</f>
        <v>#N/A</v>
      </c>
      <c r="R1857" t="e">
        <f>VLOOKUP(A1857,'לעדכן בסינתזה דאטה אריזה 42+24'!$A:$C,3,0)</f>
        <v>#N/A</v>
      </c>
      <c r="S1857" t="e">
        <f>VLOOKUP(#REF!,'מלאי לא תקין'!A:N,17,0)</f>
        <v>#REF!</v>
      </c>
      <c r="T1857" t="e">
        <f t="shared" si="61"/>
        <v>#REF!</v>
      </c>
      <c r="U1857" t="e">
        <f t="shared" si="62"/>
        <v>#REF!</v>
      </c>
    </row>
    <row r="1858" spans="4:21" x14ac:dyDescent="0.2">
      <c r="D1858" s="4"/>
      <c r="G1858" s="5"/>
      <c r="H1858" s="5"/>
      <c r="I1858" s="4"/>
      <c r="J1858" s="4"/>
      <c r="K1858" s="5"/>
      <c r="Q1858" t="e">
        <f>VLOOKUP(A1858,'גיליון דאטה להכל'!A:E,5,0)</f>
        <v>#N/A</v>
      </c>
      <c r="R1858" t="e">
        <f>VLOOKUP(A1858,'לעדכן בסינתזה דאטה אריזה 42+24'!$A:$C,3,0)</f>
        <v>#N/A</v>
      </c>
      <c r="S1858" t="e">
        <f>VLOOKUP(#REF!,'מלאי לא תקין'!A:N,17,0)</f>
        <v>#REF!</v>
      </c>
      <c r="T1858" t="e">
        <f t="shared" si="61"/>
        <v>#REF!</v>
      </c>
      <c r="U1858" t="e">
        <f t="shared" si="62"/>
        <v>#REF!</v>
      </c>
    </row>
    <row r="1859" spans="4:21" x14ac:dyDescent="0.2">
      <c r="D1859" s="4"/>
      <c r="G1859" s="5"/>
      <c r="H1859" s="5"/>
      <c r="I1859" s="4"/>
      <c r="J1859" s="4"/>
      <c r="K1859" s="5"/>
      <c r="Q1859" t="e">
        <f>VLOOKUP(A1859,'גיליון דאטה להכל'!A:E,5,0)</f>
        <v>#N/A</v>
      </c>
      <c r="R1859" t="e">
        <f>VLOOKUP(A1859,'לעדכן בסינתזה דאטה אריזה 42+24'!$A:$C,3,0)</f>
        <v>#N/A</v>
      </c>
      <c r="S1859" t="e">
        <f>VLOOKUP(#REF!,'מלאי לא תקין'!A:N,17,0)</f>
        <v>#REF!</v>
      </c>
      <c r="T1859" t="e">
        <f t="shared" si="61"/>
        <v>#REF!</v>
      </c>
      <c r="U1859" t="e">
        <f t="shared" si="62"/>
        <v>#REF!</v>
      </c>
    </row>
    <row r="1860" spans="4:21" x14ac:dyDescent="0.2">
      <c r="D1860" s="4"/>
      <c r="G1860" s="5"/>
      <c r="H1860" s="5"/>
      <c r="I1860" s="4"/>
      <c r="J1860" s="4"/>
      <c r="K1860" s="5"/>
      <c r="Q1860" t="e">
        <f>VLOOKUP(A1860,'גיליון דאטה להכל'!A:E,5,0)</f>
        <v>#N/A</v>
      </c>
      <c r="R1860" t="e">
        <f>VLOOKUP(A1860,'לעדכן בסינתזה דאטה אריזה 42+24'!$A:$C,3,0)</f>
        <v>#N/A</v>
      </c>
      <c r="S1860" t="e">
        <f>VLOOKUP(#REF!,'מלאי לא תקין'!A:N,17,0)</f>
        <v>#REF!</v>
      </c>
      <c r="T1860" t="e">
        <f t="shared" si="61"/>
        <v>#REF!</v>
      </c>
      <c r="U1860" t="e">
        <f t="shared" si="62"/>
        <v>#REF!</v>
      </c>
    </row>
    <row r="1861" spans="4:21" x14ac:dyDescent="0.2">
      <c r="D1861" s="4"/>
      <c r="G1861" s="5"/>
      <c r="H1861" s="5"/>
      <c r="I1861" s="4"/>
      <c r="J1861" s="4"/>
      <c r="K1861" s="5"/>
      <c r="Q1861" t="e">
        <f>VLOOKUP(A1861,'גיליון דאטה להכל'!A:E,5,0)</f>
        <v>#N/A</v>
      </c>
      <c r="R1861" t="e">
        <f>VLOOKUP(A1861,'לעדכן בסינתזה דאטה אריזה 42+24'!$A:$C,3,0)</f>
        <v>#N/A</v>
      </c>
      <c r="S1861" t="e">
        <f>VLOOKUP(#REF!,'מלאי לא תקין'!A:N,17,0)</f>
        <v>#REF!</v>
      </c>
      <c r="T1861" t="e">
        <f t="shared" si="61"/>
        <v>#REF!</v>
      </c>
      <c r="U1861" t="e">
        <f t="shared" si="62"/>
        <v>#REF!</v>
      </c>
    </row>
    <row r="1862" spans="4:21" x14ac:dyDescent="0.2">
      <c r="D1862" s="4"/>
      <c r="G1862" s="5"/>
      <c r="H1862" s="7"/>
      <c r="I1862" s="4"/>
      <c r="J1862" s="4"/>
      <c r="K1862" s="5"/>
      <c r="Q1862" t="e">
        <f>VLOOKUP(A1862,'גיליון דאטה להכל'!A:E,5,0)</f>
        <v>#N/A</v>
      </c>
      <c r="R1862" t="e">
        <f>VLOOKUP(A1862,'לעדכן בסינתזה דאטה אריזה 42+24'!$A:$C,3,0)</f>
        <v>#N/A</v>
      </c>
      <c r="S1862" t="e">
        <f>VLOOKUP(#REF!,'מלאי לא תקין'!A:N,17,0)</f>
        <v>#REF!</v>
      </c>
      <c r="T1862" t="e">
        <f t="shared" si="61"/>
        <v>#REF!</v>
      </c>
      <c r="U1862" t="e">
        <f t="shared" si="62"/>
        <v>#REF!</v>
      </c>
    </row>
    <row r="1863" spans="4:21" x14ac:dyDescent="0.2">
      <c r="D1863" s="4"/>
      <c r="G1863" s="5"/>
      <c r="H1863" s="5"/>
      <c r="I1863" s="4"/>
      <c r="J1863" s="4"/>
      <c r="K1863" s="5"/>
      <c r="Q1863" t="e">
        <f>VLOOKUP(A1863,'גיליון דאטה להכל'!A:E,5,0)</f>
        <v>#N/A</v>
      </c>
      <c r="R1863" t="e">
        <f>VLOOKUP(A1863,'לעדכן בסינתזה דאטה אריזה 42+24'!$A:$C,3,0)</f>
        <v>#N/A</v>
      </c>
      <c r="S1863" t="e">
        <f>VLOOKUP(#REF!,'מלאי לא תקין'!A:N,17,0)</f>
        <v>#REF!</v>
      </c>
      <c r="T1863" t="e">
        <f t="shared" si="61"/>
        <v>#REF!</v>
      </c>
      <c r="U1863" t="e">
        <f t="shared" si="62"/>
        <v>#REF!</v>
      </c>
    </row>
    <row r="1864" spans="4:21" x14ac:dyDescent="0.2">
      <c r="D1864" s="4"/>
      <c r="G1864" s="5"/>
      <c r="H1864" s="5"/>
      <c r="I1864" s="4"/>
      <c r="J1864" s="4"/>
      <c r="K1864" s="5"/>
      <c r="Q1864" t="e">
        <f>VLOOKUP(A1864,'גיליון דאטה להכל'!A:E,5,0)</f>
        <v>#N/A</v>
      </c>
      <c r="R1864" t="e">
        <f>VLOOKUP(A1864,'לעדכן בסינתזה דאטה אריזה 42+24'!$A:$C,3,0)</f>
        <v>#N/A</v>
      </c>
      <c r="S1864" t="e">
        <f>VLOOKUP(#REF!,'מלאי לא תקין'!A:N,17,0)</f>
        <v>#REF!</v>
      </c>
      <c r="T1864" t="e">
        <f t="shared" si="61"/>
        <v>#REF!</v>
      </c>
      <c r="U1864" t="e">
        <f t="shared" si="62"/>
        <v>#REF!</v>
      </c>
    </row>
    <row r="1865" spans="4:21" x14ac:dyDescent="0.2">
      <c r="D1865" s="4"/>
      <c r="G1865" s="5"/>
      <c r="H1865" s="5"/>
      <c r="I1865" s="4"/>
      <c r="J1865" s="4"/>
      <c r="K1865" s="5"/>
      <c r="Q1865" t="e">
        <f>VLOOKUP(A1865,'גיליון דאטה להכל'!A:E,5,0)</f>
        <v>#N/A</v>
      </c>
      <c r="R1865" t="e">
        <f>VLOOKUP(A1865,'לעדכן בסינתזה דאטה אריזה 42+24'!$A:$C,3,0)</f>
        <v>#N/A</v>
      </c>
      <c r="S1865" t="e">
        <f>VLOOKUP(#REF!,'מלאי לא תקין'!A:N,17,0)</f>
        <v>#REF!</v>
      </c>
      <c r="T1865" t="e">
        <f t="shared" si="61"/>
        <v>#REF!</v>
      </c>
      <c r="U1865" t="e">
        <f t="shared" si="62"/>
        <v>#REF!</v>
      </c>
    </row>
    <row r="1866" spans="4:21" x14ac:dyDescent="0.2">
      <c r="D1866" s="4"/>
      <c r="G1866" s="5"/>
      <c r="H1866" s="5"/>
      <c r="I1866" s="4"/>
      <c r="J1866" s="4"/>
      <c r="K1866" s="5"/>
      <c r="Q1866" t="e">
        <f>VLOOKUP(A1866,'גיליון דאטה להכל'!A:E,5,0)</f>
        <v>#N/A</v>
      </c>
      <c r="R1866" t="e">
        <f>VLOOKUP(A1866,'לעדכן בסינתזה דאטה אריזה 42+24'!$A:$C,3,0)</f>
        <v>#N/A</v>
      </c>
      <c r="S1866" t="e">
        <f>VLOOKUP(#REF!,'מלאי לא תקין'!A:N,17,0)</f>
        <v>#REF!</v>
      </c>
      <c r="T1866" t="e">
        <f t="shared" si="61"/>
        <v>#REF!</v>
      </c>
      <c r="U1866" t="e">
        <f t="shared" si="62"/>
        <v>#REF!</v>
      </c>
    </row>
    <row r="1867" spans="4:21" x14ac:dyDescent="0.2">
      <c r="D1867" s="4"/>
      <c r="G1867" s="5"/>
      <c r="H1867" s="7"/>
      <c r="I1867" s="4"/>
      <c r="J1867" s="4"/>
      <c r="K1867" s="5"/>
      <c r="Q1867" t="e">
        <f>VLOOKUP(A1867,'גיליון דאטה להכל'!A:E,5,0)</f>
        <v>#N/A</v>
      </c>
      <c r="R1867" t="e">
        <f>VLOOKUP(A1867,'לעדכן בסינתזה דאטה אריזה 42+24'!$A:$C,3,0)</f>
        <v>#N/A</v>
      </c>
      <c r="S1867" t="e">
        <f>VLOOKUP(#REF!,'מלאי לא תקין'!A:N,17,0)</f>
        <v>#REF!</v>
      </c>
      <c r="T1867" t="e">
        <f t="shared" si="61"/>
        <v>#REF!</v>
      </c>
      <c r="U1867" t="e">
        <f t="shared" si="62"/>
        <v>#REF!</v>
      </c>
    </row>
    <row r="1868" spans="4:21" x14ac:dyDescent="0.2">
      <c r="D1868" s="4"/>
      <c r="G1868" s="5"/>
      <c r="H1868" s="5"/>
      <c r="I1868" s="4"/>
      <c r="J1868" s="4"/>
      <c r="K1868" s="5"/>
      <c r="Q1868" t="e">
        <f>VLOOKUP(A1868,'גיליון דאטה להכל'!A:E,5,0)</f>
        <v>#N/A</v>
      </c>
      <c r="R1868" t="e">
        <f>VLOOKUP(A1868,'לעדכן בסינתזה דאטה אריזה 42+24'!$A:$C,3,0)</f>
        <v>#N/A</v>
      </c>
      <c r="S1868" t="e">
        <f>VLOOKUP(#REF!,'מלאי לא תקין'!A:N,17,0)</f>
        <v>#REF!</v>
      </c>
      <c r="T1868" t="e">
        <f t="shared" si="61"/>
        <v>#REF!</v>
      </c>
      <c r="U1868" t="e">
        <f t="shared" si="62"/>
        <v>#REF!</v>
      </c>
    </row>
    <row r="1869" spans="4:21" x14ac:dyDescent="0.2">
      <c r="D1869" s="4"/>
      <c r="G1869" s="5"/>
      <c r="H1869" s="5"/>
      <c r="I1869" s="4"/>
      <c r="J1869" s="4"/>
      <c r="K1869" s="5"/>
      <c r="Q1869" t="e">
        <f>VLOOKUP(A1869,'גיליון דאטה להכל'!A:E,5,0)</f>
        <v>#N/A</v>
      </c>
      <c r="R1869" t="e">
        <f>VLOOKUP(A1869,'לעדכן בסינתזה דאטה אריזה 42+24'!$A:$C,3,0)</f>
        <v>#N/A</v>
      </c>
      <c r="S1869" t="e">
        <f>VLOOKUP(#REF!,'מלאי לא תקין'!A:N,17,0)</f>
        <v>#REF!</v>
      </c>
      <c r="T1869" t="e">
        <f t="shared" si="61"/>
        <v>#REF!</v>
      </c>
      <c r="U1869" t="e">
        <f t="shared" si="62"/>
        <v>#REF!</v>
      </c>
    </row>
    <row r="1870" spans="4:21" x14ac:dyDescent="0.2">
      <c r="D1870" s="4"/>
      <c r="G1870" s="5"/>
      <c r="H1870" s="5"/>
      <c r="I1870" s="4"/>
      <c r="J1870" s="4"/>
      <c r="K1870" s="5"/>
      <c r="Q1870" t="e">
        <f>VLOOKUP(A1870,'גיליון דאטה להכל'!A:E,5,0)</f>
        <v>#N/A</v>
      </c>
      <c r="R1870" t="e">
        <f>VLOOKUP(A1870,'לעדכן בסינתזה דאטה אריזה 42+24'!$A:$C,3,0)</f>
        <v>#N/A</v>
      </c>
      <c r="S1870" t="e">
        <f>VLOOKUP(#REF!,'מלאי לא תקין'!A:N,17,0)</f>
        <v>#REF!</v>
      </c>
      <c r="T1870" t="e">
        <f t="shared" si="61"/>
        <v>#REF!</v>
      </c>
      <c r="U1870" t="e">
        <f t="shared" si="62"/>
        <v>#REF!</v>
      </c>
    </row>
    <row r="1871" spans="4:21" x14ac:dyDescent="0.2">
      <c r="D1871" s="4"/>
      <c r="G1871" s="5"/>
      <c r="H1871" s="7"/>
      <c r="I1871" s="4"/>
      <c r="J1871" s="4"/>
      <c r="K1871" s="5"/>
      <c r="Q1871" t="e">
        <f>VLOOKUP(A1871,'גיליון דאטה להכל'!A:E,5,0)</f>
        <v>#N/A</v>
      </c>
      <c r="R1871" t="e">
        <f>VLOOKUP(A1871,'לעדכן בסינתזה דאטה אריזה 42+24'!$A:$C,3,0)</f>
        <v>#N/A</v>
      </c>
      <c r="S1871" t="e">
        <f>VLOOKUP(#REF!,'מלאי לא תקין'!A:N,17,0)</f>
        <v>#REF!</v>
      </c>
      <c r="T1871" t="e">
        <f t="shared" si="61"/>
        <v>#REF!</v>
      </c>
      <c r="U1871" t="e">
        <f t="shared" si="62"/>
        <v>#REF!</v>
      </c>
    </row>
    <row r="1872" spans="4:21" x14ac:dyDescent="0.2">
      <c r="D1872" s="4"/>
      <c r="G1872" s="5"/>
      <c r="H1872" s="5"/>
      <c r="I1872" s="4"/>
      <c r="J1872" s="4"/>
      <c r="K1872" s="5"/>
      <c r="Q1872" t="e">
        <f>VLOOKUP(A1872,'גיליון דאטה להכל'!A:E,5,0)</f>
        <v>#N/A</v>
      </c>
      <c r="R1872" t="e">
        <f>VLOOKUP(A1872,'לעדכן בסינתזה דאטה אריזה 42+24'!$A:$C,3,0)</f>
        <v>#N/A</v>
      </c>
      <c r="S1872" t="e">
        <f>VLOOKUP(#REF!,'מלאי לא תקין'!A:N,17,0)</f>
        <v>#REF!</v>
      </c>
      <c r="T1872" t="e">
        <f t="shared" si="61"/>
        <v>#REF!</v>
      </c>
      <c r="U1872" t="e">
        <f t="shared" si="62"/>
        <v>#REF!</v>
      </c>
    </row>
    <row r="1873" spans="4:21" x14ac:dyDescent="0.2">
      <c r="D1873" s="4"/>
      <c r="G1873" s="5"/>
      <c r="H1873" s="5"/>
      <c r="I1873" s="4"/>
      <c r="J1873" s="4"/>
      <c r="K1873" s="5"/>
      <c r="Q1873" t="e">
        <f>VLOOKUP(A1873,'גיליון דאטה להכל'!A:E,5,0)</f>
        <v>#N/A</v>
      </c>
      <c r="R1873" t="e">
        <f>VLOOKUP(A1873,'לעדכן בסינתזה דאטה אריזה 42+24'!$A:$C,3,0)</f>
        <v>#N/A</v>
      </c>
      <c r="S1873" t="e">
        <f>VLOOKUP(#REF!,'מלאי לא תקין'!A:N,17,0)</f>
        <v>#REF!</v>
      </c>
      <c r="T1873" t="e">
        <f t="shared" si="61"/>
        <v>#REF!</v>
      </c>
      <c r="U1873" t="e">
        <f t="shared" si="62"/>
        <v>#REF!</v>
      </c>
    </row>
    <row r="1874" spans="4:21" x14ac:dyDescent="0.2">
      <c r="D1874" s="4"/>
      <c r="G1874" s="5"/>
      <c r="H1874" s="5"/>
      <c r="I1874" s="4"/>
      <c r="J1874" s="4"/>
      <c r="K1874" s="5"/>
      <c r="Q1874" t="e">
        <f>VLOOKUP(A1874,'גיליון דאטה להכל'!A:E,5,0)</f>
        <v>#N/A</v>
      </c>
      <c r="R1874" t="e">
        <f>VLOOKUP(A1874,'לעדכן בסינתזה דאטה אריזה 42+24'!$A:$C,3,0)</f>
        <v>#N/A</v>
      </c>
      <c r="S1874" t="e">
        <f>VLOOKUP(#REF!,'מלאי לא תקין'!A:N,17,0)</f>
        <v>#REF!</v>
      </c>
      <c r="T1874" t="e">
        <f t="shared" si="61"/>
        <v>#REF!</v>
      </c>
      <c r="U1874" t="e">
        <f t="shared" si="62"/>
        <v>#REF!</v>
      </c>
    </row>
    <row r="1875" spans="4:21" x14ac:dyDescent="0.2">
      <c r="D1875" s="4"/>
      <c r="G1875" s="5"/>
      <c r="H1875" s="5"/>
      <c r="I1875" s="4"/>
      <c r="J1875" s="4"/>
      <c r="K1875" s="5"/>
      <c r="Q1875" t="e">
        <f>VLOOKUP(A1875,'גיליון דאטה להכל'!A:E,5,0)</f>
        <v>#N/A</v>
      </c>
      <c r="R1875" t="e">
        <f>VLOOKUP(A1875,'לעדכן בסינתזה דאטה אריזה 42+24'!$A:$C,3,0)</f>
        <v>#N/A</v>
      </c>
      <c r="S1875" t="e">
        <f>VLOOKUP(#REF!,'מלאי לא תקין'!A:N,17,0)</f>
        <v>#REF!</v>
      </c>
      <c r="T1875" t="e">
        <f t="shared" si="61"/>
        <v>#REF!</v>
      </c>
      <c r="U1875" t="e">
        <f t="shared" si="62"/>
        <v>#REF!</v>
      </c>
    </row>
    <row r="1876" spans="4:21" x14ac:dyDescent="0.2">
      <c r="D1876" s="4"/>
      <c r="G1876" s="5"/>
      <c r="H1876" s="7"/>
      <c r="I1876" s="4"/>
      <c r="J1876" s="4"/>
      <c r="K1876" s="5"/>
      <c r="Q1876" t="e">
        <f>VLOOKUP(A1876,'גיליון דאטה להכל'!A:E,5,0)</f>
        <v>#N/A</v>
      </c>
      <c r="R1876" t="e">
        <f>VLOOKUP(A1876,'לעדכן בסינתזה דאטה אריזה 42+24'!$A:$C,3,0)</f>
        <v>#N/A</v>
      </c>
      <c r="S1876" t="e">
        <f>VLOOKUP(#REF!,'מלאי לא תקין'!A:N,17,0)</f>
        <v>#REF!</v>
      </c>
      <c r="T1876" t="e">
        <f t="shared" si="61"/>
        <v>#REF!</v>
      </c>
      <c r="U1876" t="e">
        <f t="shared" si="62"/>
        <v>#REF!</v>
      </c>
    </row>
    <row r="1877" spans="4:21" x14ac:dyDescent="0.2">
      <c r="D1877" s="4"/>
      <c r="G1877" s="5"/>
      <c r="H1877" s="5"/>
      <c r="I1877" s="4"/>
      <c r="J1877" s="4"/>
      <c r="K1877" s="5"/>
      <c r="Q1877" t="e">
        <f>VLOOKUP(A1877,'גיליון דאטה להכל'!A:E,5,0)</f>
        <v>#N/A</v>
      </c>
      <c r="R1877" t="e">
        <f>VLOOKUP(A1877,'לעדכן בסינתזה דאטה אריזה 42+24'!$A:$C,3,0)</f>
        <v>#N/A</v>
      </c>
      <c r="S1877" t="e">
        <f>VLOOKUP(#REF!,'מלאי לא תקין'!A:N,17,0)</f>
        <v>#REF!</v>
      </c>
      <c r="T1877" t="e">
        <f t="shared" si="61"/>
        <v>#REF!</v>
      </c>
      <c r="U1877" t="e">
        <f t="shared" si="62"/>
        <v>#REF!</v>
      </c>
    </row>
    <row r="1878" spans="4:21" x14ac:dyDescent="0.2">
      <c r="D1878" s="4"/>
      <c r="G1878" s="5"/>
      <c r="H1878" s="5"/>
      <c r="I1878" s="4"/>
      <c r="J1878" s="4"/>
      <c r="K1878" s="5"/>
      <c r="Q1878" t="e">
        <f>VLOOKUP(A1878,'גיליון דאטה להכל'!A:E,5,0)</f>
        <v>#N/A</v>
      </c>
      <c r="R1878" t="e">
        <f>VLOOKUP(A1878,'לעדכן בסינתזה דאטה אריזה 42+24'!$A:$C,3,0)</f>
        <v>#N/A</v>
      </c>
      <c r="S1878" t="e">
        <f>VLOOKUP(#REF!,'מלאי לא תקין'!A:N,17,0)</f>
        <v>#REF!</v>
      </c>
      <c r="T1878" t="e">
        <f t="shared" si="61"/>
        <v>#REF!</v>
      </c>
      <c r="U1878" t="e">
        <f t="shared" si="62"/>
        <v>#REF!</v>
      </c>
    </row>
    <row r="1879" spans="4:21" x14ac:dyDescent="0.2">
      <c r="D1879" s="4"/>
      <c r="G1879" s="5"/>
      <c r="H1879" s="5"/>
      <c r="I1879" s="4"/>
      <c r="J1879" s="4"/>
      <c r="K1879" s="5"/>
      <c r="Q1879" t="e">
        <f>VLOOKUP(A1879,'גיליון דאטה להכל'!A:E,5,0)</f>
        <v>#N/A</v>
      </c>
      <c r="R1879" t="e">
        <f>VLOOKUP(A1879,'לעדכן בסינתזה דאטה אריזה 42+24'!$A:$C,3,0)</f>
        <v>#N/A</v>
      </c>
      <c r="S1879" t="e">
        <f>VLOOKUP(#REF!,'מלאי לא תקין'!A:N,17,0)</f>
        <v>#REF!</v>
      </c>
      <c r="T1879" t="e">
        <f t="shared" si="61"/>
        <v>#REF!</v>
      </c>
      <c r="U1879" t="e">
        <f t="shared" si="62"/>
        <v>#REF!</v>
      </c>
    </row>
    <row r="1880" spans="4:21" x14ac:dyDescent="0.2">
      <c r="D1880" s="4"/>
      <c r="G1880" s="5"/>
      <c r="H1880" s="5"/>
      <c r="I1880" s="4"/>
      <c r="J1880" s="4"/>
      <c r="K1880" s="5"/>
      <c r="Q1880" t="e">
        <f>VLOOKUP(A1880,'גיליון דאטה להכל'!A:E,5,0)</f>
        <v>#N/A</v>
      </c>
      <c r="R1880" t="e">
        <f>VLOOKUP(A1880,'לעדכן בסינתזה דאטה אריזה 42+24'!$A:$C,3,0)</f>
        <v>#N/A</v>
      </c>
      <c r="S1880" t="e">
        <f>VLOOKUP(#REF!,'מלאי לא תקין'!A:N,17,0)</f>
        <v>#REF!</v>
      </c>
      <c r="T1880" t="e">
        <f t="shared" si="61"/>
        <v>#REF!</v>
      </c>
      <c r="U1880" t="e">
        <f t="shared" si="62"/>
        <v>#REF!</v>
      </c>
    </row>
    <row r="1881" spans="4:21" x14ac:dyDescent="0.2">
      <c r="D1881" s="4"/>
      <c r="G1881" s="5"/>
      <c r="H1881" s="7"/>
      <c r="I1881" s="4"/>
      <c r="J1881" s="4"/>
      <c r="K1881" s="5"/>
      <c r="Q1881" t="e">
        <f>VLOOKUP(A1881,'גיליון דאטה להכל'!A:E,5,0)</f>
        <v>#N/A</v>
      </c>
      <c r="R1881" t="e">
        <f>VLOOKUP(A1881,'לעדכן בסינתזה דאטה אריזה 42+24'!$A:$C,3,0)</f>
        <v>#N/A</v>
      </c>
      <c r="S1881" t="e">
        <f>VLOOKUP(#REF!,'מלאי לא תקין'!A:N,17,0)</f>
        <v>#REF!</v>
      </c>
      <c r="T1881" t="e">
        <f t="shared" si="61"/>
        <v>#REF!</v>
      </c>
      <c r="U1881" t="e">
        <f t="shared" si="62"/>
        <v>#REF!</v>
      </c>
    </row>
    <row r="1882" spans="4:21" x14ac:dyDescent="0.2">
      <c r="D1882" s="4"/>
      <c r="G1882" s="5"/>
      <c r="H1882" s="5"/>
      <c r="I1882" s="4"/>
      <c r="J1882" s="4"/>
      <c r="K1882" s="5"/>
      <c r="Q1882" t="e">
        <f>VLOOKUP(A1882,'גיליון דאטה להכל'!A:E,5,0)</f>
        <v>#N/A</v>
      </c>
      <c r="R1882" t="e">
        <f>VLOOKUP(A1882,'לעדכן בסינתזה דאטה אריזה 42+24'!$A:$C,3,0)</f>
        <v>#N/A</v>
      </c>
      <c r="S1882" t="e">
        <f>VLOOKUP(#REF!,'מלאי לא תקין'!A:N,17,0)</f>
        <v>#REF!</v>
      </c>
      <c r="T1882" t="e">
        <f t="shared" si="61"/>
        <v>#REF!</v>
      </c>
      <c r="U1882" t="e">
        <f t="shared" si="62"/>
        <v>#REF!</v>
      </c>
    </row>
    <row r="1883" spans="4:21" x14ac:dyDescent="0.2">
      <c r="D1883" s="4"/>
      <c r="G1883" s="5"/>
      <c r="H1883" s="5"/>
      <c r="I1883" s="4"/>
      <c r="J1883" s="4"/>
      <c r="K1883" s="5"/>
      <c r="Q1883" t="e">
        <f>VLOOKUP(A1883,'גיליון דאטה להכל'!A:E,5,0)</f>
        <v>#N/A</v>
      </c>
      <c r="R1883" t="e">
        <f>VLOOKUP(A1883,'לעדכן בסינתזה דאטה אריזה 42+24'!$A:$C,3,0)</f>
        <v>#N/A</v>
      </c>
      <c r="S1883" t="e">
        <f>VLOOKUP(#REF!,'מלאי לא תקין'!A:N,17,0)</f>
        <v>#REF!</v>
      </c>
      <c r="T1883" t="e">
        <f t="shared" si="61"/>
        <v>#REF!</v>
      </c>
      <c r="U1883" t="e">
        <f t="shared" si="62"/>
        <v>#REF!</v>
      </c>
    </row>
    <row r="1884" spans="4:21" x14ac:dyDescent="0.2">
      <c r="D1884" s="4"/>
      <c r="G1884" s="5"/>
      <c r="H1884" s="5"/>
      <c r="I1884" s="4"/>
      <c r="J1884" s="4"/>
      <c r="K1884" s="5"/>
      <c r="Q1884" t="e">
        <f>VLOOKUP(A1884,'גיליון דאטה להכל'!A:E,5,0)</f>
        <v>#N/A</v>
      </c>
      <c r="R1884" t="e">
        <f>VLOOKUP(A1884,'לעדכן בסינתזה דאטה אריזה 42+24'!$A:$C,3,0)</f>
        <v>#N/A</v>
      </c>
      <c r="S1884" t="e">
        <f>VLOOKUP(#REF!,'מלאי לא תקין'!A:N,17,0)</f>
        <v>#REF!</v>
      </c>
      <c r="T1884" t="e">
        <f t="shared" si="61"/>
        <v>#REF!</v>
      </c>
      <c r="U1884" t="e">
        <f t="shared" si="62"/>
        <v>#REF!</v>
      </c>
    </row>
    <row r="1885" spans="4:21" x14ac:dyDescent="0.2">
      <c r="D1885" s="4"/>
      <c r="G1885" s="5"/>
      <c r="H1885" s="5"/>
      <c r="I1885" s="4"/>
      <c r="J1885" s="4"/>
      <c r="K1885" s="5"/>
      <c r="Q1885" t="e">
        <f>VLOOKUP(A1885,'גיליון דאטה להכל'!A:E,5,0)</f>
        <v>#N/A</v>
      </c>
      <c r="R1885" t="e">
        <f>VLOOKUP(A1885,'לעדכן בסינתזה דאטה אריזה 42+24'!$A:$C,3,0)</f>
        <v>#N/A</v>
      </c>
      <c r="S1885" t="e">
        <f>VLOOKUP(#REF!,'מלאי לא תקין'!A:N,17,0)</f>
        <v>#REF!</v>
      </c>
      <c r="T1885" t="e">
        <f t="shared" si="61"/>
        <v>#REF!</v>
      </c>
      <c r="U1885" t="e">
        <f t="shared" si="62"/>
        <v>#REF!</v>
      </c>
    </row>
    <row r="1886" spans="4:21" x14ac:dyDescent="0.2">
      <c r="D1886" s="4"/>
      <c r="G1886" s="5"/>
      <c r="H1886" s="7"/>
      <c r="I1886" s="4"/>
      <c r="J1886" s="4"/>
      <c r="K1886" s="5"/>
      <c r="Q1886" t="e">
        <f>VLOOKUP(A1886,'גיליון דאטה להכל'!A:E,5,0)</f>
        <v>#N/A</v>
      </c>
      <c r="R1886" t="e">
        <f>VLOOKUP(A1886,'לעדכן בסינתזה דאטה אריזה 42+24'!$A:$C,3,0)</f>
        <v>#N/A</v>
      </c>
      <c r="S1886" t="e">
        <f>VLOOKUP(#REF!,'מלאי לא תקין'!A:N,17,0)</f>
        <v>#REF!</v>
      </c>
      <c r="T1886" t="e">
        <f t="shared" si="61"/>
        <v>#REF!</v>
      </c>
      <c r="U1886" t="e">
        <f t="shared" si="62"/>
        <v>#REF!</v>
      </c>
    </row>
    <row r="1887" spans="4:21" x14ac:dyDescent="0.2">
      <c r="D1887" s="4"/>
      <c r="G1887" s="5"/>
      <c r="H1887" s="5"/>
      <c r="I1887" s="4"/>
      <c r="J1887" s="4"/>
      <c r="K1887" s="5"/>
      <c r="Q1887" t="e">
        <f>VLOOKUP(A1887,'גיליון דאטה להכל'!A:E,5,0)</f>
        <v>#N/A</v>
      </c>
      <c r="R1887" t="e">
        <f>VLOOKUP(A1887,'לעדכן בסינתזה דאטה אריזה 42+24'!$A:$C,3,0)</f>
        <v>#N/A</v>
      </c>
      <c r="S1887" t="e">
        <f>VLOOKUP(#REF!,'מלאי לא תקין'!A:N,17,0)</f>
        <v>#REF!</v>
      </c>
      <c r="T1887" t="e">
        <f t="shared" ref="T1887:T1917" si="63">_xlfn.CONCAT(S1887,Q1887)</f>
        <v>#REF!</v>
      </c>
      <c r="U1887" t="e">
        <f t="shared" ref="U1887:U1917" si="64">_xlfn.CONCAT(S1887,O1887)</f>
        <v>#REF!</v>
      </c>
    </row>
    <row r="1888" spans="4:21" x14ac:dyDescent="0.2">
      <c r="D1888" s="4"/>
      <c r="G1888" s="5"/>
      <c r="H1888" s="5"/>
      <c r="I1888" s="4"/>
      <c r="J1888" s="4"/>
      <c r="K1888" s="5"/>
      <c r="Q1888" t="e">
        <f>VLOOKUP(A1888,'גיליון דאטה להכל'!A:E,5,0)</f>
        <v>#N/A</v>
      </c>
      <c r="R1888" t="e">
        <f>VLOOKUP(A1888,'לעדכן בסינתזה דאטה אריזה 42+24'!$A:$C,3,0)</f>
        <v>#N/A</v>
      </c>
      <c r="S1888" t="e">
        <f>VLOOKUP(#REF!,'מלאי לא תקין'!A:N,17,0)</f>
        <v>#REF!</v>
      </c>
      <c r="T1888" t="e">
        <f t="shared" si="63"/>
        <v>#REF!</v>
      </c>
      <c r="U1888" t="e">
        <f t="shared" si="64"/>
        <v>#REF!</v>
      </c>
    </row>
    <row r="1889" spans="4:21" x14ac:dyDescent="0.2">
      <c r="D1889" s="4"/>
      <c r="G1889" s="5"/>
      <c r="H1889" s="5"/>
      <c r="I1889" s="4"/>
      <c r="J1889" s="4"/>
      <c r="K1889" s="5"/>
      <c r="Q1889" t="e">
        <f>VLOOKUP(A1889,'גיליון דאטה להכל'!A:E,5,0)</f>
        <v>#N/A</v>
      </c>
      <c r="R1889" t="e">
        <f>VLOOKUP(A1889,'לעדכן בסינתזה דאטה אריזה 42+24'!$A:$C,3,0)</f>
        <v>#N/A</v>
      </c>
      <c r="S1889" t="e">
        <f>VLOOKUP(#REF!,'מלאי לא תקין'!A:N,17,0)</f>
        <v>#REF!</v>
      </c>
      <c r="T1889" t="e">
        <f t="shared" si="63"/>
        <v>#REF!</v>
      </c>
      <c r="U1889" t="e">
        <f t="shared" si="64"/>
        <v>#REF!</v>
      </c>
    </row>
    <row r="1890" spans="4:21" x14ac:dyDescent="0.2">
      <c r="D1890" s="4"/>
      <c r="G1890" s="5"/>
      <c r="H1890" s="7"/>
      <c r="I1890" s="4"/>
      <c r="J1890" s="4"/>
      <c r="K1890" s="5"/>
      <c r="Q1890" t="e">
        <f>VLOOKUP(A1890,'גיליון דאטה להכל'!A:E,5,0)</f>
        <v>#N/A</v>
      </c>
      <c r="R1890" t="e">
        <f>VLOOKUP(A1890,'לעדכן בסינתזה דאטה אריזה 42+24'!$A:$C,3,0)</f>
        <v>#N/A</v>
      </c>
      <c r="S1890" t="e">
        <f>VLOOKUP(#REF!,'מלאי לא תקין'!A:N,17,0)</f>
        <v>#REF!</v>
      </c>
      <c r="T1890" t="e">
        <f t="shared" si="63"/>
        <v>#REF!</v>
      </c>
      <c r="U1890" t="e">
        <f t="shared" si="64"/>
        <v>#REF!</v>
      </c>
    </row>
    <row r="1891" spans="4:21" x14ac:dyDescent="0.2">
      <c r="D1891" s="4"/>
      <c r="G1891" s="5"/>
      <c r="H1891" s="5"/>
      <c r="I1891" s="4"/>
      <c r="J1891" s="4"/>
      <c r="K1891" s="5"/>
      <c r="Q1891" t="e">
        <f>VLOOKUP(A1891,'גיליון דאטה להכל'!A:E,5,0)</f>
        <v>#N/A</v>
      </c>
      <c r="R1891" t="e">
        <f>VLOOKUP(A1891,'לעדכן בסינתזה דאטה אריזה 42+24'!$A:$C,3,0)</f>
        <v>#N/A</v>
      </c>
      <c r="S1891" t="e">
        <f>VLOOKUP(#REF!,'מלאי לא תקין'!A:N,17,0)</f>
        <v>#REF!</v>
      </c>
      <c r="T1891" t="e">
        <f t="shared" si="63"/>
        <v>#REF!</v>
      </c>
      <c r="U1891" t="e">
        <f t="shared" si="64"/>
        <v>#REF!</v>
      </c>
    </row>
    <row r="1892" spans="4:21" x14ac:dyDescent="0.2">
      <c r="D1892" s="4"/>
      <c r="G1892" s="5"/>
      <c r="H1892" s="5"/>
      <c r="I1892" s="4"/>
      <c r="J1892" s="4"/>
      <c r="K1892" s="5"/>
      <c r="Q1892" t="e">
        <f>VLOOKUP(A1892,'גיליון דאטה להכל'!A:E,5,0)</f>
        <v>#N/A</v>
      </c>
      <c r="R1892" t="e">
        <f>VLOOKUP(A1892,'לעדכן בסינתזה דאטה אריזה 42+24'!$A:$C,3,0)</f>
        <v>#N/A</v>
      </c>
      <c r="S1892" t="e">
        <f>VLOOKUP(#REF!,'מלאי לא תקין'!A:N,17,0)</f>
        <v>#REF!</v>
      </c>
      <c r="T1892" t="e">
        <f t="shared" si="63"/>
        <v>#REF!</v>
      </c>
      <c r="U1892" t="e">
        <f t="shared" si="64"/>
        <v>#REF!</v>
      </c>
    </row>
    <row r="1893" spans="4:21" x14ac:dyDescent="0.2">
      <c r="D1893" s="4"/>
      <c r="G1893" s="5"/>
      <c r="H1893" s="5"/>
      <c r="I1893" s="4"/>
      <c r="J1893" s="4"/>
      <c r="K1893" s="5"/>
      <c r="Q1893" t="e">
        <f>VLOOKUP(A1893,'גיליון דאטה להכל'!A:E,5,0)</f>
        <v>#N/A</v>
      </c>
      <c r="R1893" t="e">
        <f>VLOOKUP(A1893,'לעדכן בסינתזה דאטה אריזה 42+24'!$A:$C,3,0)</f>
        <v>#N/A</v>
      </c>
      <c r="S1893" t="e">
        <f>VLOOKUP(#REF!,'מלאי לא תקין'!A:N,17,0)</f>
        <v>#REF!</v>
      </c>
      <c r="T1893" t="e">
        <f t="shared" si="63"/>
        <v>#REF!</v>
      </c>
      <c r="U1893" t="e">
        <f t="shared" si="64"/>
        <v>#REF!</v>
      </c>
    </row>
    <row r="1894" spans="4:21" x14ac:dyDescent="0.2">
      <c r="D1894" s="4"/>
      <c r="G1894" s="5"/>
      <c r="H1894" s="5"/>
      <c r="I1894" s="4"/>
      <c r="J1894" s="4"/>
      <c r="K1894" s="5"/>
      <c r="Q1894" t="e">
        <f>VLOOKUP(A1894,'גיליון דאטה להכל'!A:E,5,0)</f>
        <v>#N/A</v>
      </c>
      <c r="R1894" t="e">
        <f>VLOOKUP(A1894,'לעדכן בסינתזה דאטה אריזה 42+24'!$A:$C,3,0)</f>
        <v>#N/A</v>
      </c>
      <c r="S1894" t="e">
        <f>VLOOKUP(#REF!,'מלאי לא תקין'!A:N,17,0)</f>
        <v>#REF!</v>
      </c>
      <c r="T1894" t="e">
        <f t="shared" si="63"/>
        <v>#REF!</v>
      </c>
      <c r="U1894" t="e">
        <f t="shared" si="64"/>
        <v>#REF!</v>
      </c>
    </row>
    <row r="1895" spans="4:21" x14ac:dyDescent="0.2">
      <c r="D1895" s="4"/>
      <c r="G1895" s="5"/>
      <c r="H1895" s="7"/>
      <c r="I1895" s="4"/>
      <c r="J1895" s="4"/>
      <c r="K1895" s="5"/>
      <c r="Q1895" t="e">
        <f>VLOOKUP(A1895,'גיליון דאטה להכל'!A:E,5,0)</f>
        <v>#N/A</v>
      </c>
      <c r="R1895" t="e">
        <f>VLOOKUP(A1895,'לעדכן בסינתזה דאטה אריזה 42+24'!$A:$C,3,0)</f>
        <v>#N/A</v>
      </c>
      <c r="S1895" t="e">
        <f>VLOOKUP(#REF!,'מלאי לא תקין'!A:N,17,0)</f>
        <v>#REF!</v>
      </c>
      <c r="T1895" t="e">
        <f t="shared" si="63"/>
        <v>#REF!</v>
      </c>
      <c r="U1895" t="e">
        <f t="shared" si="64"/>
        <v>#REF!</v>
      </c>
    </row>
    <row r="1896" spans="4:21" x14ac:dyDescent="0.2">
      <c r="D1896" s="4"/>
      <c r="G1896" s="5"/>
      <c r="H1896" s="5"/>
      <c r="I1896" s="4"/>
      <c r="J1896" s="4"/>
      <c r="K1896" s="5"/>
      <c r="Q1896" t="e">
        <f>VLOOKUP(A1896,'גיליון דאטה להכל'!A:E,5,0)</f>
        <v>#N/A</v>
      </c>
      <c r="R1896" t="e">
        <f>VLOOKUP(A1896,'לעדכן בסינתזה דאטה אריזה 42+24'!$A:$C,3,0)</f>
        <v>#N/A</v>
      </c>
      <c r="S1896" t="e">
        <f>VLOOKUP(#REF!,'מלאי לא תקין'!A:N,17,0)</f>
        <v>#REF!</v>
      </c>
      <c r="T1896" t="e">
        <f t="shared" si="63"/>
        <v>#REF!</v>
      </c>
      <c r="U1896" t="e">
        <f t="shared" si="64"/>
        <v>#REF!</v>
      </c>
    </row>
    <row r="1897" spans="4:21" x14ac:dyDescent="0.2">
      <c r="D1897" s="4"/>
      <c r="G1897" s="5"/>
      <c r="H1897" s="5"/>
      <c r="I1897" s="4"/>
      <c r="J1897" s="4"/>
      <c r="K1897" s="5"/>
      <c r="Q1897" t="e">
        <f>VLOOKUP(A1897,'גיליון דאטה להכל'!A:E,5,0)</f>
        <v>#N/A</v>
      </c>
      <c r="R1897" t="e">
        <f>VLOOKUP(A1897,'לעדכן בסינתזה דאטה אריזה 42+24'!$A:$C,3,0)</f>
        <v>#N/A</v>
      </c>
      <c r="S1897" t="e">
        <f>VLOOKUP(#REF!,'מלאי לא תקין'!A:N,17,0)</f>
        <v>#REF!</v>
      </c>
      <c r="T1897" t="e">
        <f t="shared" si="63"/>
        <v>#REF!</v>
      </c>
      <c r="U1897" t="e">
        <f t="shared" si="64"/>
        <v>#REF!</v>
      </c>
    </row>
    <row r="1898" spans="4:21" x14ac:dyDescent="0.2">
      <c r="D1898" s="4"/>
      <c r="G1898" s="5"/>
      <c r="H1898" s="5"/>
      <c r="I1898" s="4"/>
      <c r="J1898" s="4"/>
      <c r="K1898" s="5"/>
      <c r="Q1898" t="e">
        <f>VLOOKUP(A1898,'גיליון דאטה להכל'!A:E,5,0)</f>
        <v>#N/A</v>
      </c>
      <c r="R1898" t="e">
        <f>VLOOKUP(A1898,'לעדכן בסינתזה דאטה אריזה 42+24'!$A:$C,3,0)</f>
        <v>#N/A</v>
      </c>
      <c r="S1898" t="e">
        <f>VLOOKUP(#REF!,'מלאי לא תקין'!A:N,17,0)</f>
        <v>#REF!</v>
      </c>
      <c r="T1898" t="e">
        <f t="shared" si="63"/>
        <v>#REF!</v>
      </c>
      <c r="U1898" t="e">
        <f t="shared" si="64"/>
        <v>#REF!</v>
      </c>
    </row>
    <row r="1899" spans="4:21" x14ac:dyDescent="0.2">
      <c r="D1899" s="4"/>
      <c r="G1899" s="5"/>
      <c r="H1899" s="5"/>
      <c r="I1899" s="4"/>
      <c r="J1899" s="4"/>
      <c r="K1899" s="5"/>
      <c r="Q1899" t="e">
        <f>VLOOKUP(A1899,'גיליון דאטה להכל'!A:E,5,0)</f>
        <v>#N/A</v>
      </c>
      <c r="R1899" t="e">
        <f>VLOOKUP(A1899,'לעדכן בסינתזה דאטה אריזה 42+24'!$A:$C,3,0)</f>
        <v>#N/A</v>
      </c>
      <c r="S1899" t="e">
        <f>VLOOKUP(#REF!,'מלאי לא תקין'!A:N,17,0)</f>
        <v>#REF!</v>
      </c>
      <c r="T1899" t="e">
        <f t="shared" si="63"/>
        <v>#REF!</v>
      </c>
      <c r="U1899" t="e">
        <f t="shared" si="64"/>
        <v>#REF!</v>
      </c>
    </row>
    <row r="1900" spans="4:21" x14ac:dyDescent="0.2">
      <c r="D1900" s="4"/>
      <c r="G1900" s="5"/>
      <c r="H1900" s="7"/>
      <c r="I1900" s="4"/>
      <c r="J1900" s="4"/>
      <c r="K1900" s="5"/>
      <c r="Q1900" t="e">
        <f>VLOOKUP(A1900,'גיליון דאטה להכל'!A:E,5,0)</f>
        <v>#N/A</v>
      </c>
      <c r="R1900" t="e">
        <f>VLOOKUP(A1900,'לעדכן בסינתזה דאטה אריזה 42+24'!$A:$C,3,0)</f>
        <v>#N/A</v>
      </c>
      <c r="S1900" t="e">
        <f>VLOOKUP(#REF!,'מלאי לא תקין'!A:N,17,0)</f>
        <v>#REF!</v>
      </c>
      <c r="T1900" t="e">
        <f t="shared" si="63"/>
        <v>#REF!</v>
      </c>
      <c r="U1900" t="e">
        <f t="shared" si="64"/>
        <v>#REF!</v>
      </c>
    </row>
    <row r="1901" spans="4:21" x14ac:dyDescent="0.2">
      <c r="D1901" s="4"/>
      <c r="G1901" s="5"/>
      <c r="H1901" s="5"/>
      <c r="I1901" s="4"/>
      <c r="J1901" s="4"/>
      <c r="K1901" s="5"/>
      <c r="Q1901" t="e">
        <f>VLOOKUP(A1901,'גיליון דאטה להכל'!A:E,5,0)</f>
        <v>#N/A</v>
      </c>
      <c r="R1901" t="e">
        <f>VLOOKUP(A1901,'לעדכן בסינתזה דאטה אריזה 42+24'!$A:$C,3,0)</f>
        <v>#N/A</v>
      </c>
      <c r="S1901" t="e">
        <f>VLOOKUP(#REF!,'מלאי לא תקין'!A:N,17,0)</f>
        <v>#REF!</v>
      </c>
      <c r="T1901" t="e">
        <f t="shared" si="63"/>
        <v>#REF!</v>
      </c>
      <c r="U1901" t="e">
        <f t="shared" si="64"/>
        <v>#REF!</v>
      </c>
    </row>
    <row r="1902" spans="4:21" x14ac:dyDescent="0.2">
      <c r="D1902" s="4"/>
      <c r="G1902" s="5"/>
      <c r="H1902" s="5"/>
      <c r="I1902" s="4"/>
      <c r="J1902" s="4"/>
      <c r="K1902" s="5"/>
      <c r="Q1902" t="e">
        <f>VLOOKUP(A1902,'גיליון דאטה להכל'!A:E,5,0)</f>
        <v>#N/A</v>
      </c>
      <c r="R1902" t="e">
        <f>VLOOKUP(A1902,'לעדכן בסינתזה דאטה אריזה 42+24'!$A:$C,3,0)</f>
        <v>#N/A</v>
      </c>
      <c r="S1902" t="e">
        <f>VLOOKUP(#REF!,'מלאי לא תקין'!A:N,17,0)</f>
        <v>#REF!</v>
      </c>
      <c r="T1902" t="e">
        <f t="shared" si="63"/>
        <v>#REF!</v>
      </c>
      <c r="U1902" t="e">
        <f t="shared" si="64"/>
        <v>#REF!</v>
      </c>
    </row>
    <row r="1903" spans="4:21" x14ac:dyDescent="0.2">
      <c r="D1903" s="4"/>
      <c r="G1903" s="5"/>
      <c r="H1903" s="5"/>
      <c r="I1903" s="4"/>
      <c r="J1903" s="4"/>
      <c r="K1903" s="5"/>
      <c r="Q1903" t="e">
        <f>VLOOKUP(A1903,'גיליון דאטה להכל'!A:E,5,0)</f>
        <v>#N/A</v>
      </c>
      <c r="R1903" t="e">
        <f>VLOOKUP(A1903,'לעדכן בסינתזה דאטה אריזה 42+24'!$A:$C,3,0)</f>
        <v>#N/A</v>
      </c>
      <c r="S1903" t="e">
        <f>VLOOKUP(#REF!,'מלאי לא תקין'!A:N,17,0)</f>
        <v>#REF!</v>
      </c>
      <c r="T1903" t="e">
        <f t="shared" si="63"/>
        <v>#REF!</v>
      </c>
      <c r="U1903" t="e">
        <f t="shared" si="64"/>
        <v>#REF!</v>
      </c>
    </row>
    <row r="1904" spans="4:21" x14ac:dyDescent="0.2">
      <c r="D1904" s="4"/>
      <c r="G1904" s="5"/>
      <c r="H1904" s="5"/>
      <c r="I1904" s="4"/>
      <c r="J1904" s="4"/>
      <c r="K1904" s="5"/>
      <c r="Q1904" t="e">
        <f>VLOOKUP(A1904,'גיליון דאטה להכל'!A:E,5,0)</f>
        <v>#N/A</v>
      </c>
      <c r="R1904" t="e">
        <f>VLOOKUP(A1904,'לעדכן בסינתזה דאטה אריזה 42+24'!$A:$C,3,0)</f>
        <v>#N/A</v>
      </c>
      <c r="S1904" t="e">
        <f>VLOOKUP(#REF!,'מלאי לא תקין'!A:N,17,0)</f>
        <v>#REF!</v>
      </c>
      <c r="T1904" t="e">
        <f t="shared" si="63"/>
        <v>#REF!</v>
      </c>
      <c r="U1904" t="e">
        <f t="shared" si="64"/>
        <v>#REF!</v>
      </c>
    </row>
    <row r="1905" spans="4:21" x14ac:dyDescent="0.2">
      <c r="D1905" s="4"/>
      <c r="G1905" s="5"/>
      <c r="H1905" s="7"/>
      <c r="I1905" s="4"/>
      <c r="J1905" s="4"/>
      <c r="K1905" s="5"/>
      <c r="Q1905" t="e">
        <f>VLOOKUP(A1905,'גיליון דאטה להכל'!A:E,5,0)</f>
        <v>#N/A</v>
      </c>
      <c r="R1905" t="e">
        <f>VLOOKUP(A1905,'לעדכן בסינתזה דאטה אריזה 42+24'!$A:$C,3,0)</f>
        <v>#N/A</v>
      </c>
      <c r="S1905" t="e">
        <f>VLOOKUP(#REF!,'מלאי לא תקין'!A:N,17,0)</f>
        <v>#REF!</v>
      </c>
      <c r="T1905" t="e">
        <f t="shared" si="63"/>
        <v>#REF!</v>
      </c>
      <c r="U1905" t="e">
        <f t="shared" si="64"/>
        <v>#REF!</v>
      </c>
    </row>
    <row r="1906" spans="4:21" x14ac:dyDescent="0.2">
      <c r="D1906" s="4"/>
      <c r="G1906" s="5"/>
      <c r="H1906" s="5"/>
      <c r="I1906" s="4"/>
      <c r="J1906" s="4"/>
      <c r="K1906" s="5"/>
      <c r="Q1906" t="e">
        <f>VLOOKUP(A1906,'גיליון דאטה להכל'!A:E,5,0)</f>
        <v>#N/A</v>
      </c>
      <c r="R1906" t="e">
        <f>VLOOKUP(A1906,'לעדכן בסינתזה דאטה אריזה 42+24'!$A:$C,3,0)</f>
        <v>#N/A</v>
      </c>
      <c r="S1906" t="e">
        <f>VLOOKUP(#REF!,'מלאי לא תקין'!A:N,17,0)</f>
        <v>#REF!</v>
      </c>
      <c r="T1906" t="e">
        <f t="shared" si="63"/>
        <v>#REF!</v>
      </c>
      <c r="U1906" t="e">
        <f t="shared" si="64"/>
        <v>#REF!</v>
      </c>
    </row>
    <row r="1907" spans="4:21" x14ac:dyDescent="0.2">
      <c r="D1907" s="4"/>
      <c r="G1907" s="5"/>
      <c r="H1907" s="5"/>
      <c r="I1907" s="4"/>
      <c r="J1907" s="4"/>
      <c r="K1907" s="5"/>
      <c r="Q1907" t="e">
        <f>VLOOKUP(A1907,'גיליון דאטה להכל'!A:E,5,0)</f>
        <v>#N/A</v>
      </c>
      <c r="R1907" t="e">
        <f>VLOOKUP(A1907,'לעדכן בסינתזה דאטה אריזה 42+24'!$A:$C,3,0)</f>
        <v>#N/A</v>
      </c>
      <c r="S1907" t="e">
        <f>VLOOKUP(#REF!,'מלאי לא תקין'!A:N,17,0)</f>
        <v>#REF!</v>
      </c>
      <c r="T1907" t="e">
        <f t="shared" si="63"/>
        <v>#REF!</v>
      </c>
      <c r="U1907" t="e">
        <f t="shared" si="64"/>
        <v>#REF!</v>
      </c>
    </row>
    <row r="1908" spans="4:21" x14ac:dyDescent="0.2">
      <c r="D1908" s="4"/>
      <c r="G1908" s="5"/>
      <c r="H1908" s="5"/>
      <c r="I1908" s="4"/>
      <c r="J1908" s="4"/>
      <c r="K1908" s="5"/>
      <c r="Q1908" t="e">
        <f>VLOOKUP(A1908,'גיליון דאטה להכל'!A:E,5,0)</f>
        <v>#N/A</v>
      </c>
      <c r="R1908" t="e">
        <f>VLOOKUP(A1908,'לעדכן בסינתזה דאטה אריזה 42+24'!$A:$C,3,0)</f>
        <v>#N/A</v>
      </c>
      <c r="S1908" t="e">
        <f>VLOOKUP(#REF!,'מלאי לא תקין'!A:N,17,0)</f>
        <v>#REF!</v>
      </c>
      <c r="T1908" t="e">
        <f t="shared" si="63"/>
        <v>#REF!</v>
      </c>
      <c r="U1908" t="e">
        <f t="shared" si="64"/>
        <v>#REF!</v>
      </c>
    </row>
    <row r="1909" spans="4:21" x14ac:dyDescent="0.2">
      <c r="D1909" s="4"/>
      <c r="G1909" s="5"/>
      <c r="H1909" s="5"/>
      <c r="I1909" s="4"/>
      <c r="J1909" s="4"/>
      <c r="K1909" s="5"/>
      <c r="Q1909" t="e">
        <f>VLOOKUP(A1909,'גיליון דאטה להכל'!A:E,5,0)</f>
        <v>#N/A</v>
      </c>
      <c r="R1909" t="e">
        <f>VLOOKUP(A1909,'לעדכן בסינתזה דאטה אריזה 42+24'!$A:$C,3,0)</f>
        <v>#N/A</v>
      </c>
      <c r="S1909" t="e">
        <f>VLOOKUP(#REF!,'מלאי לא תקין'!A:N,17,0)</f>
        <v>#REF!</v>
      </c>
      <c r="T1909" t="e">
        <f t="shared" si="63"/>
        <v>#REF!</v>
      </c>
      <c r="U1909" t="e">
        <f t="shared" si="64"/>
        <v>#REF!</v>
      </c>
    </row>
    <row r="1910" spans="4:21" x14ac:dyDescent="0.2">
      <c r="D1910" s="4"/>
      <c r="G1910" s="5"/>
      <c r="H1910" s="7"/>
      <c r="I1910" s="4"/>
      <c r="J1910" s="4"/>
      <c r="K1910" s="5"/>
      <c r="Q1910" t="e">
        <f>VLOOKUP(A1910,'גיליון דאטה להכל'!A:E,5,0)</f>
        <v>#N/A</v>
      </c>
      <c r="R1910" t="e">
        <f>VLOOKUP(A1910,'לעדכן בסינתזה דאטה אריזה 42+24'!$A:$C,3,0)</f>
        <v>#N/A</v>
      </c>
      <c r="S1910" t="e">
        <f>VLOOKUP(#REF!,'מלאי לא תקין'!A:N,17,0)</f>
        <v>#REF!</v>
      </c>
      <c r="T1910" t="e">
        <f t="shared" si="63"/>
        <v>#REF!</v>
      </c>
      <c r="U1910" t="e">
        <f t="shared" si="64"/>
        <v>#REF!</v>
      </c>
    </row>
    <row r="1911" spans="4:21" x14ac:dyDescent="0.2">
      <c r="D1911" s="4"/>
      <c r="G1911" s="5"/>
      <c r="H1911" s="5"/>
      <c r="I1911" s="4"/>
      <c r="J1911" s="4"/>
      <c r="K1911" s="5"/>
      <c r="Q1911" t="e">
        <f>VLOOKUP(A1911,'גיליון דאטה להכל'!A:E,5,0)</f>
        <v>#N/A</v>
      </c>
      <c r="R1911" t="e">
        <f>VLOOKUP(A1911,'לעדכן בסינתזה דאטה אריזה 42+24'!$A:$C,3,0)</f>
        <v>#N/A</v>
      </c>
      <c r="S1911" t="e">
        <f>VLOOKUP(#REF!,'מלאי לא תקין'!A:N,17,0)</f>
        <v>#REF!</v>
      </c>
      <c r="T1911" t="e">
        <f t="shared" si="63"/>
        <v>#REF!</v>
      </c>
      <c r="U1911" t="e">
        <f t="shared" si="64"/>
        <v>#REF!</v>
      </c>
    </row>
    <row r="1912" spans="4:21" x14ac:dyDescent="0.2">
      <c r="D1912" s="4"/>
      <c r="G1912" s="5"/>
      <c r="H1912" s="5"/>
      <c r="I1912" s="4"/>
      <c r="J1912" s="4"/>
      <c r="K1912" s="5"/>
      <c r="Q1912" t="e">
        <f>VLOOKUP(A1912,'גיליון דאטה להכל'!A:E,5,0)</f>
        <v>#N/A</v>
      </c>
      <c r="R1912" t="e">
        <f>VLOOKUP(A1912,'לעדכן בסינתזה דאטה אריזה 42+24'!$A:$C,3,0)</f>
        <v>#N/A</v>
      </c>
      <c r="S1912" t="e">
        <f>VLOOKUP(#REF!,'מלאי לא תקין'!A:N,17,0)</f>
        <v>#REF!</v>
      </c>
      <c r="T1912" t="e">
        <f t="shared" si="63"/>
        <v>#REF!</v>
      </c>
      <c r="U1912" t="e">
        <f t="shared" si="64"/>
        <v>#REF!</v>
      </c>
    </row>
    <row r="1913" spans="4:21" x14ac:dyDescent="0.2">
      <c r="D1913" s="4"/>
      <c r="G1913" s="5"/>
      <c r="H1913" s="5"/>
      <c r="I1913" s="4"/>
      <c r="J1913" s="4"/>
      <c r="K1913" s="5"/>
      <c r="Q1913" t="e">
        <f>VLOOKUP(A1913,'גיליון דאטה להכל'!A:E,5,0)</f>
        <v>#N/A</v>
      </c>
      <c r="R1913" t="e">
        <f>VLOOKUP(A1913,'לעדכן בסינתזה דאטה אריזה 42+24'!$A:$C,3,0)</f>
        <v>#N/A</v>
      </c>
      <c r="S1913" t="e">
        <f>VLOOKUP(#REF!,'מלאי לא תקין'!A:N,17,0)</f>
        <v>#REF!</v>
      </c>
      <c r="T1913" t="e">
        <f t="shared" si="63"/>
        <v>#REF!</v>
      </c>
      <c r="U1913" t="e">
        <f t="shared" si="64"/>
        <v>#REF!</v>
      </c>
    </row>
    <row r="1914" spans="4:21" x14ac:dyDescent="0.2">
      <c r="D1914" s="4"/>
      <c r="G1914" s="5"/>
      <c r="H1914" s="5"/>
      <c r="I1914" s="4"/>
      <c r="J1914" s="4"/>
      <c r="K1914" s="5"/>
      <c r="Q1914" t="e">
        <f>VLOOKUP(A1914,'גיליון דאטה להכל'!A:E,5,0)</f>
        <v>#N/A</v>
      </c>
      <c r="R1914" t="e">
        <f>VLOOKUP(A1914,'לעדכן בסינתזה דאטה אריזה 42+24'!$A:$C,3,0)</f>
        <v>#N/A</v>
      </c>
      <c r="S1914" t="e">
        <f>VLOOKUP(#REF!,'מלאי לא תקין'!A:N,17,0)</f>
        <v>#REF!</v>
      </c>
      <c r="T1914" t="e">
        <f t="shared" si="63"/>
        <v>#REF!</v>
      </c>
      <c r="U1914" t="e">
        <f t="shared" si="64"/>
        <v>#REF!</v>
      </c>
    </row>
    <row r="1915" spans="4:21" x14ac:dyDescent="0.2">
      <c r="D1915" s="4"/>
      <c r="G1915" s="5"/>
      <c r="H1915" s="7"/>
      <c r="I1915" s="4"/>
      <c r="J1915" s="4"/>
      <c r="K1915" s="5"/>
      <c r="Q1915" t="e">
        <f>VLOOKUP(A1915,'גיליון דאטה להכל'!A:E,5,0)</f>
        <v>#N/A</v>
      </c>
      <c r="R1915" t="e">
        <f>VLOOKUP(A1915,'לעדכן בסינתזה דאטה אריזה 42+24'!$A:$C,3,0)</f>
        <v>#N/A</v>
      </c>
      <c r="S1915" t="e">
        <f>VLOOKUP(#REF!,'מלאי לא תקין'!A:N,17,0)</f>
        <v>#REF!</v>
      </c>
      <c r="T1915" t="e">
        <f t="shared" si="63"/>
        <v>#REF!</v>
      </c>
      <c r="U1915" t="e">
        <f t="shared" si="64"/>
        <v>#REF!</v>
      </c>
    </row>
    <row r="1916" spans="4:21" x14ac:dyDescent="0.2">
      <c r="D1916" s="4"/>
      <c r="G1916" s="5"/>
      <c r="H1916" s="5"/>
      <c r="I1916" s="4"/>
      <c r="J1916" s="4"/>
      <c r="K1916" s="5"/>
      <c r="Q1916" t="e">
        <f>VLOOKUP(A1916,'גיליון דאטה להכל'!A:E,5,0)</f>
        <v>#N/A</v>
      </c>
      <c r="R1916" t="e">
        <f>VLOOKUP(A1916,'לעדכן בסינתזה דאטה אריזה 42+24'!$A:$C,3,0)</f>
        <v>#N/A</v>
      </c>
      <c r="S1916" t="e">
        <f>VLOOKUP(#REF!,'מלאי לא תקין'!A:N,17,0)</f>
        <v>#REF!</v>
      </c>
      <c r="T1916" t="e">
        <f t="shared" si="63"/>
        <v>#REF!</v>
      </c>
      <c r="U1916" t="e">
        <f t="shared" si="64"/>
        <v>#REF!</v>
      </c>
    </row>
    <row r="1917" spans="4:21" x14ac:dyDescent="0.2">
      <c r="D1917" s="4"/>
      <c r="G1917" s="5"/>
      <c r="H1917" s="5"/>
      <c r="I1917" s="4"/>
      <c r="J1917" s="4"/>
      <c r="K1917" s="5"/>
      <c r="Q1917" t="e">
        <f>VLOOKUP(A1917,'גיליון דאטה להכל'!A:E,5,0)</f>
        <v>#N/A</v>
      </c>
      <c r="R1917" t="e">
        <f>VLOOKUP(A1917,'לעדכן בסינתזה דאטה אריזה 42+24'!$A:$C,3,0)</f>
        <v>#N/A</v>
      </c>
      <c r="S1917" t="e">
        <f>VLOOKUP(#REF!,'מלאי לא תקין'!A:N,17,0)</f>
        <v>#REF!</v>
      </c>
      <c r="T1917" t="e">
        <f t="shared" si="63"/>
        <v>#REF!</v>
      </c>
      <c r="U1917" t="e">
        <f t="shared" si="64"/>
        <v>#REF!</v>
      </c>
    </row>
    <row r="1918" spans="4:21" x14ac:dyDescent="0.2">
      <c r="D1918" s="4"/>
      <c r="G1918" s="5"/>
      <c r="H1918" s="5"/>
      <c r="I1918" s="4"/>
      <c r="J1918" s="4"/>
      <c r="K1918" s="5"/>
      <c r="Q1918" t="e">
        <f>VLOOKUP(A1918,'גיליון דאטה להכל'!A:E,5,0)</f>
        <v>#N/A</v>
      </c>
      <c r="R1918" t="e">
        <f>VLOOKUP(A1918,'לעדכן בסינתזה דאטה אריזה 42+24'!$A:$C,3,0)</f>
        <v>#N/A</v>
      </c>
      <c r="S1918" t="e">
        <f>VLOOKUP(#REF!,'מלאי לא תקין'!A:N,17,0)</f>
        <v>#REF!</v>
      </c>
      <c r="T1918" t="e">
        <f t="shared" ref="T1918:T1981" si="65">_xlfn.CONCAT(S1918,Q1918)</f>
        <v>#REF!</v>
      </c>
      <c r="U1918" t="e">
        <f t="shared" ref="U1918:U1981" si="66">_xlfn.CONCAT(S1918,O1918)</f>
        <v>#REF!</v>
      </c>
    </row>
    <row r="1919" spans="4:21" x14ac:dyDescent="0.2">
      <c r="D1919" s="4"/>
      <c r="G1919" s="5"/>
      <c r="H1919" s="5"/>
      <c r="I1919" s="4"/>
      <c r="J1919" s="4"/>
      <c r="K1919" s="5"/>
      <c r="Q1919" t="e">
        <f>VLOOKUP(A1919,'גיליון דאטה להכל'!A:E,5,0)</f>
        <v>#N/A</v>
      </c>
      <c r="R1919" t="e">
        <f>VLOOKUP(A1919,'לעדכן בסינתזה דאטה אריזה 42+24'!$A:$C,3,0)</f>
        <v>#N/A</v>
      </c>
      <c r="S1919" t="e">
        <f>VLOOKUP(#REF!,'מלאי לא תקין'!A:N,17,0)</f>
        <v>#REF!</v>
      </c>
      <c r="T1919" t="e">
        <f t="shared" si="65"/>
        <v>#REF!</v>
      </c>
      <c r="U1919" t="e">
        <f t="shared" si="66"/>
        <v>#REF!</v>
      </c>
    </row>
    <row r="1920" spans="4:21" x14ac:dyDescent="0.2">
      <c r="D1920" s="4"/>
      <c r="G1920" s="5"/>
      <c r="H1920" s="7"/>
      <c r="I1920" s="4"/>
      <c r="J1920" s="4"/>
      <c r="K1920" s="5"/>
      <c r="Q1920" t="e">
        <f>VLOOKUP(A1920,'גיליון דאטה להכל'!A:E,5,0)</f>
        <v>#N/A</v>
      </c>
      <c r="R1920" t="e">
        <f>VLOOKUP(A1920,'לעדכן בסינתזה דאטה אריזה 42+24'!$A:$C,3,0)</f>
        <v>#N/A</v>
      </c>
      <c r="S1920" t="e">
        <f>VLOOKUP(#REF!,'מלאי לא תקין'!A:N,17,0)</f>
        <v>#REF!</v>
      </c>
      <c r="T1920" t="e">
        <f t="shared" si="65"/>
        <v>#REF!</v>
      </c>
      <c r="U1920" t="e">
        <f t="shared" si="66"/>
        <v>#REF!</v>
      </c>
    </row>
    <row r="1921" spans="4:21" x14ac:dyDescent="0.2">
      <c r="D1921" s="4"/>
      <c r="G1921" s="5"/>
      <c r="H1921" s="5"/>
      <c r="I1921" s="4"/>
      <c r="J1921" s="4"/>
      <c r="K1921" s="5"/>
      <c r="Q1921" t="e">
        <f>VLOOKUP(A1921,'גיליון דאטה להכל'!A:E,5,0)</f>
        <v>#N/A</v>
      </c>
      <c r="R1921" t="e">
        <f>VLOOKUP(A1921,'לעדכן בסינתזה דאטה אריזה 42+24'!$A:$C,3,0)</f>
        <v>#N/A</v>
      </c>
      <c r="S1921" t="e">
        <f>VLOOKUP(#REF!,'מלאי לא תקין'!A:N,17,0)</f>
        <v>#REF!</v>
      </c>
      <c r="T1921" t="e">
        <f t="shared" si="65"/>
        <v>#REF!</v>
      </c>
      <c r="U1921" t="e">
        <f t="shared" si="66"/>
        <v>#REF!</v>
      </c>
    </row>
    <row r="1922" spans="4:21" x14ac:dyDescent="0.2">
      <c r="D1922" s="4"/>
      <c r="G1922" s="5"/>
      <c r="H1922" s="5"/>
      <c r="I1922" s="4"/>
      <c r="J1922" s="4"/>
      <c r="K1922" s="5"/>
      <c r="Q1922" t="e">
        <f>VLOOKUP(A1922,'גיליון דאטה להכל'!A:E,5,0)</f>
        <v>#N/A</v>
      </c>
      <c r="R1922" t="e">
        <f>VLOOKUP(A1922,'לעדכן בסינתזה דאטה אריזה 42+24'!$A:$C,3,0)</f>
        <v>#N/A</v>
      </c>
      <c r="S1922" t="e">
        <f>VLOOKUP(#REF!,'מלאי לא תקין'!A:N,17,0)</f>
        <v>#REF!</v>
      </c>
      <c r="T1922" t="e">
        <f t="shared" si="65"/>
        <v>#REF!</v>
      </c>
      <c r="U1922" t="e">
        <f t="shared" si="66"/>
        <v>#REF!</v>
      </c>
    </row>
    <row r="1923" spans="4:21" x14ac:dyDescent="0.2">
      <c r="D1923" s="4"/>
      <c r="G1923" s="5"/>
      <c r="H1923" s="5"/>
      <c r="I1923" s="4"/>
      <c r="J1923" s="4"/>
      <c r="K1923" s="5"/>
      <c r="Q1923" t="e">
        <f>VLOOKUP(A1923,'גיליון דאטה להכל'!A:E,5,0)</f>
        <v>#N/A</v>
      </c>
      <c r="R1923" t="e">
        <f>VLOOKUP(A1923,'לעדכן בסינתזה דאטה אריזה 42+24'!$A:$C,3,0)</f>
        <v>#N/A</v>
      </c>
      <c r="S1923" t="e">
        <f>VLOOKUP(#REF!,'מלאי לא תקין'!A:N,17,0)</f>
        <v>#REF!</v>
      </c>
      <c r="T1923" t="e">
        <f t="shared" si="65"/>
        <v>#REF!</v>
      </c>
      <c r="U1923" t="e">
        <f t="shared" si="66"/>
        <v>#REF!</v>
      </c>
    </row>
    <row r="1924" spans="4:21" x14ac:dyDescent="0.2">
      <c r="D1924" s="4"/>
      <c r="G1924" s="5"/>
      <c r="H1924" s="5"/>
      <c r="I1924" s="4"/>
      <c r="J1924" s="4"/>
      <c r="K1924" s="5"/>
      <c r="Q1924" t="e">
        <f>VLOOKUP(A1924,'גיליון דאטה להכל'!A:E,5,0)</f>
        <v>#N/A</v>
      </c>
      <c r="R1924" t="e">
        <f>VLOOKUP(A1924,'לעדכן בסינתזה דאטה אריזה 42+24'!$A:$C,3,0)</f>
        <v>#N/A</v>
      </c>
      <c r="S1924" t="e">
        <f>VLOOKUP(#REF!,'מלאי לא תקין'!A:N,17,0)</f>
        <v>#REF!</v>
      </c>
      <c r="T1924" t="e">
        <f t="shared" si="65"/>
        <v>#REF!</v>
      </c>
      <c r="U1924" t="e">
        <f t="shared" si="66"/>
        <v>#REF!</v>
      </c>
    </row>
    <row r="1925" spans="4:21" x14ac:dyDescent="0.2">
      <c r="D1925" s="4"/>
      <c r="G1925" s="5"/>
      <c r="H1925" s="7"/>
      <c r="I1925" s="4"/>
      <c r="J1925" s="4"/>
      <c r="K1925" s="5"/>
      <c r="Q1925" t="e">
        <f>VLOOKUP(A1925,'גיליון דאטה להכל'!A:E,5,0)</f>
        <v>#N/A</v>
      </c>
      <c r="R1925" t="e">
        <f>VLOOKUP(A1925,'לעדכן בסינתזה דאטה אריזה 42+24'!$A:$C,3,0)</f>
        <v>#N/A</v>
      </c>
      <c r="S1925" t="e">
        <f>VLOOKUP(#REF!,'מלאי לא תקין'!A:N,17,0)</f>
        <v>#REF!</v>
      </c>
      <c r="T1925" t="e">
        <f t="shared" si="65"/>
        <v>#REF!</v>
      </c>
      <c r="U1925" t="e">
        <f t="shared" si="66"/>
        <v>#REF!</v>
      </c>
    </row>
    <row r="1926" spans="4:21" x14ac:dyDescent="0.2">
      <c r="D1926" s="4"/>
      <c r="G1926" s="5"/>
      <c r="H1926" s="5"/>
      <c r="I1926" s="4"/>
      <c r="J1926" s="4"/>
      <c r="K1926" s="5"/>
      <c r="Q1926" t="e">
        <f>VLOOKUP(A1926,'גיליון דאטה להכל'!A:E,5,0)</f>
        <v>#N/A</v>
      </c>
      <c r="R1926" t="e">
        <f>VLOOKUP(A1926,'לעדכן בסינתזה דאטה אריזה 42+24'!$A:$C,3,0)</f>
        <v>#N/A</v>
      </c>
      <c r="S1926" t="e">
        <f>VLOOKUP(#REF!,'מלאי לא תקין'!A:N,17,0)</f>
        <v>#REF!</v>
      </c>
      <c r="T1926" t="e">
        <f t="shared" si="65"/>
        <v>#REF!</v>
      </c>
      <c r="U1926" t="e">
        <f t="shared" si="66"/>
        <v>#REF!</v>
      </c>
    </row>
    <row r="1927" spans="4:21" x14ac:dyDescent="0.2">
      <c r="D1927" s="4"/>
      <c r="G1927" s="5"/>
      <c r="H1927" s="5"/>
      <c r="I1927" s="4"/>
      <c r="J1927" s="4"/>
      <c r="K1927" s="5"/>
      <c r="Q1927" t="e">
        <f>VLOOKUP(A1927,'גיליון דאטה להכל'!A:E,5,0)</f>
        <v>#N/A</v>
      </c>
      <c r="R1927" t="e">
        <f>VLOOKUP(A1927,'לעדכן בסינתזה דאטה אריזה 42+24'!$A:$C,3,0)</f>
        <v>#N/A</v>
      </c>
      <c r="S1927" t="e">
        <f>VLOOKUP(#REF!,'מלאי לא תקין'!A:N,17,0)</f>
        <v>#REF!</v>
      </c>
      <c r="T1927" t="e">
        <f t="shared" si="65"/>
        <v>#REF!</v>
      </c>
      <c r="U1927" t="e">
        <f t="shared" si="66"/>
        <v>#REF!</v>
      </c>
    </row>
    <row r="1928" spans="4:21" x14ac:dyDescent="0.2">
      <c r="D1928" s="4"/>
      <c r="G1928" s="5"/>
      <c r="H1928" s="5"/>
      <c r="I1928" s="4"/>
      <c r="J1928" s="4"/>
      <c r="K1928" s="5"/>
      <c r="Q1928" t="e">
        <f>VLOOKUP(A1928,'גיליון דאטה להכל'!A:E,5,0)</f>
        <v>#N/A</v>
      </c>
      <c r="R1928" t="e">
        <f>VLOOKUP(A1928,'לעדכן בסינתזה דאטה אריזה 42+24'!$A:$C,3,0)</f>
        <v>#N/A</v>
      </c>
      <c r="S1928" t="e">
        <f>VLOOKUP(#REF!,'מלאי לא תקין'!A:N,17,0)</f>
        <v>#REF!</v>
      </c>
      <c r="T1928" t="e">
        <f t="shared" si="65"/>
        <v>#REF!</v>
      </c>
      <c r="U1928" t="e">
        <f t="shared" si="66"/>
        <v>#REF!</v>
      </c>
    </row>
    <row r="1929" spans="4:21" x14ac:dyDescent="0.2">
      <c r="D1929" s="4"/>
      <c r="G1929" s="5"/>
      <c r="H1929" s="5"/>
      <c r="I1929" s="4"/>
      <c r="J1929" s="4"/>
      <c r="K1929" s="5"/>
      <c r="Q1929" t="e">
        <f>VLOOKUP(A1929,'גיליון דאטה להכל'!A:E,5,0)</f>
        <v>#N/A</v>
      </c>
      <c r="R1929" t="e">
        <f>VLOOKUP(A1929,'לעדכן בסינתזה דאטה אריזה 42+24'!$A:$C,3,0)</f>
        <v>#N/A</v>
      </c>
      <c r="S1929" t="e">
        <f>VLOOKUP(#REF!,'מלאי לא תקין'!A:N,17,0)</f>
        <v>#REF!</v>
      </c>
      <c r="T1929" t="e">
        <f t="shared" si="65"/>
        <v>#REF!</v>
      </c>
      <c r="U1929" t="e">
        <f t="shared" si="66"/>
        <v>#REF!</v>
      </c>
    </row>
    <row r="1930" spans="4:21" x14ac:dyDescent="0.2">
      <c r="D1930" s="4"/>
      <c r="G1930" s="5"/>
      <c r="H1930" s="7"/>
      <c r="I1930" s="4"/>
      <c r="J1930" s="4"/>
      <c r="K1930" s="5"/>
      <c r="Q1930" t="e">
        <f>VLOOKUP(A1930,'גיליון דאטה להכל'!A:E,5,0)</f>
        <v>#N/A</v>
      </c>
      <c r="R1930" t="e">
        <f>VLOOKUP(A1930,'לעדכן בסינתזה דאטה אריזה 42+24'!$A:$C,3,0)</f>
        <v>#N/A</v>
      </c>
      <c r="S1930" t="e">
        <f>VLOOKUP(#REF!,'מלאי לא תקין'!A:N,17,0)</f>
        <v>#REF!</v>
      </c>
      <c r="T1930" t="e">
        <f t="shared" si="65"/>
        <v>#REF!</v>
      </c>
      <c r="U1930" t="e">
        <f t="shared" si="66"/>
        <v>#REF!</v>
      </c>
    </row>
    <row r="1931" spans="4:21" x14ac:dyDescent="0.2">
      <c r="D1931" s="4"/>
      <c r="G1931" s="5"/>
      <c r="H1931" s="5"/>
      <c r="I1931" s="4"/>
      <c r="J1931" s="4"/>
      <c r="K1931" s="5"/>
      <c r="Q1931" t="e">
        <f>VLOOKUP(A1931,'גיליון דאטה להכל'!A:E,5,0)</f>
        <v>#N/A</v>
      </c>
      <c r="R1931" t="e">
        <f>VLOOKUP(A1931,'לעדכן בסינתזה דאטה אריזה 42+24'!$A:$C,3,0)</f>
        <v>#N/A</v>
      </c>
      <c r="S1931" t="e">
        <f>VLOOKUP(#REF!,'מלאי לא תקין'!A:N,17,0)</f>
        <v>#REF!</v>
      </c>
      <c r="T1931" t="e">
        <f t="shared" si="65"/>
        <v>#REF!</v>
      </c>
      <c r="U1931" t="e">
        <f t="shared" si="66"/>
        <v>#REF!</v>
      </c>
    </row>
    <row r="1932" spans="4:21" x14ac:dyDescent="0.2">
      <c r="D1932" s="4"/>
      <c r="G1932" s="5"/>
      <c r="H1932" s="5"/>
      <c r="I1932" s="4"/>
      <c r="J1932" s="4"/>
      <c r="K1932" s="5"/>
      <c r="Q1932" t="e">
        <f>VLOOKUP(A1932,'גיליון דאטה להכל'!A:E,5,0)</f>
        <v>#N/A</v>
      </c>
      <c r="R1932" t="e">
        <f>VLOOKUP(A1932,'לעדכן בסינתזה דאטה אריזה 42+24'!$A:$C,3,0)</f>
        <v>#N/A</v>
      </c>
      <c r="S1932" t="e">
        <f>VLOOKUP(#REF!,'מלאי לא תקין'!A:N,17,0)</f>
        <v>#REF!</v>
      </c>
      <c r="T1932" t="e">
        <f t="shared" si="65"/>
        <v>#REF!</v>
      </c>
      <c r="U1932" t="e">
        <f t="shared" si="66"/>
        <v>#REF!</v>
      </c>
    </row>
    <row r="1933" spans="4:21" x14ac:dyDescent="0.2">
      <c r="D1933" s="4"/>
      <c r="G1933" s="5"/>
      <c r="H1933" s="5"/>
      <c r="I1933" s="4"/>
      <c r="J1933" s="4"/>
      <c r="K1933" s="5"/>
      <c r="Q1933" t="e">
        <f>VLOOKUP(A1933,'גיליון דאטה להכל'!A:E,5,0)</f>
        <v>#N/A</v>
      </c>
      <c r="R1933" t="e">
        <f>VLOOKUP(A1933,'לעדכן בסינתזה דאטה אריזה 42+24'!$A:$C,3,0)</f>
        <v>#N/A</v>
      </c>
      <c r="S1933" t="e">
        <f>VLOOKUP(#REF!,'מלאי לא תקין'!A:N,17,0)</f>
        <v>#REF!</v>
      </c>
      <c r="T1933" t="e">
        <f t="shared" si="65"/>
        <v>#REF!</v>
      </c>
      <c r="U1933" t="e">
        <f t="shared" si="66"/>
        <v>#REF!</v>
      </c>
    </row>
    <row r="1934" spans="4:21" x14ac:dyDescent="0.2">
      <c r="D1934" s="4"/>
      <c r="G1934" s="5"/>
      <c r="H1934" s="5"/>
      <c r="I1934" s="4"/>
      <c r="J1934" s="4"/>
      <c r="K1934" s="5"/>
      <c r="Q1934" t="e">
        <f>VLOOKUP(A1934,'גיליון דאטה להכל'!A:E,5,0)</f>
        <v>#N/A</v>
      </c>
      <c r="R1934" t="e">
        <f>VLOOKUP(A1934,'לעדכן בסינתזה דאטה אריזה 42+24'!$A:$C,3,0)</f>
        <v>#N/A</v>
      </c>
      <c r="S1934" t="e">
        <f>VLOOKUP(#REF!,'מלאי לא תקין'!A:N,17,0)</f>
        <v>#REF!</v>
      </c>
      <c r="T1934" t="e">
        <f t="shared" si="65"/>
        <v>#REF!</v>
      </c>
      <c r="U1934" t="e">
        <f t="shared" si="66"/>
        <v>#REF!</v>
      </c>
    </row>
    <row r="1935" spans="4:21" x14ac:dyDescent="0.2">
      <c r="D1935" s="4"/>
      <c r="G1935" s="5"/>
      <c r="H1935" s="7"/>
      <c r="I1935" s="4"/>
      <c r="J1935" s="4"/>
      <c r="K1935" s="5"/>
      <c r="Q1935" t="e">
        <f>VLOOKUP(A1935,'גיליון דאטה להכל'!A:E,5,0)</f>
        <v>#N/A</v>
      </c>
      <c r="R1935" t="e">
        <f>VLOOKUP(A1935,'לעדכן בסינתזה דאטה אריזה 42+24'!$A:$C,3,0)</f>
        <v>#N/A</v>
      </c>
      <c r="S1935" t="e">
        <f>VLOOKUP(#REF!,'מלאי לא תקין'!A:N,17,0)</f>
        <v>#REF!</v>
      </c>
      <c r="T1935" t="e">
        <f t="shared" si="65"/>
        <v>#REF!</v>
      </c>
      <c r="U1935" t="e">
        <f t="shared" si="66"/>
        <v>#REF!</v>
      </c>
    </row>
    <row r="1936" spans="4:21" x14ac:dyDescent="0.2">
      <c r="D1936" s="4"/>
      <c r="G1936" s="5"/>
      <c r="H1936" s="5"/>
      <c r="I1936" s="4"/>
      <c r="J1936" s="4"/>
      <c r="K1936" s="5"/>
      <c r="Q1936" t="e">
        <f>VLOOKUP(A1936,'גיליון דאטה להכל'!A:E,5,0)</f>
        <v>#N/A</v>
      </c>
      <c r="R1936" t="e">
        <f>VLOOKUP(A1936,'לעדכן בסינתזה דאטה אריזה 42+24'!$A:$C,3,0)</f>
        <v>#N/A</v>
      </c>
      <c r="S1936" t="e">
        <f>VLOOKUP(#REF!,'מלאי לא תקין'!A:N,17,0)</f>
        <v>#REF!</v>
      </c>
      <c r="T1936" t="e">
        <f t="shared" si="65"/>
        <v>#REF!</v>
      </c>
      <c r="U1936" t="e">
        <f t="shared" si="66"/>
        <v>#REF!</v>
      </c>
    </row>
    <row r="1937" spans="4:21" x14ac:dyDescent="0.2">
      <c r="D1937" s="4"/>
      <c r="G1937" s="5"/>
      <c r="H1937" s="5"/>
      <c r="I1937" s="4"/>
      <c r="J1937" s="4"/>
      <c r="K1937" s="5"/>
      <c r="Q1937" t="e">
        <f>VLOOKUP(A1937,'גיליון דאטה להכל'!A:E,5,0)</f>
        <v>#N/A</v>
      </c>
      <c r="R1937" t="e">
        <f>VLOOKUP(A1937,'לעדכן בסינתזה דאטה אריזה 42+24'!$A:$C,3,0)</f>
        <v>#N/A</v>
      </c>
      <c r="S1937" t="e">
        <f>VLOOKUP(#REF!,'מלאי לא תקין'!A:N,17,0)</f>
        <v>#REF!</v>
      </c>
      <c r="T1937" t="e">
        <f t="shared" si="65"/>
        <v>#REF!</v>
      </c>
      <c r="U1937" t="e">
        <f t="shared" si="66"/>
        <v>#REF!</v>
      </c>
    </row>
    <row r="1938" spans="4:21" x14ac:dyDescent="0.2">
      <c r="D1938" s="4"/>
      <c r="G1938" s="5"/>
      <c r="H1938" s="5"/>
      <c r="I1938" s="4"/>
      <c r="J1938" s="4"/>
      <c r="K1938" s="5"/>
      <c r="Q1938" t="e">
        <f>VLOOKUP(A1938,'גיליון דאטה להכל'!A:E,5,0)</f>
        <v>#N/A</v>
      </c>
      <c r="R1938" t="e">
        <f>VLOOKUP(A1938,'לעדכן בסינתזה דאטה אריזה 42+24'!$A:$C,3,0)</f>
        <v>#N/A</v>
      </c>
      <c r="S1938" t="e">
        <f>VLOOKUP(#REF!,'מלאי לא תקין'!A:N,17,0)</f>
        <v>#REF!</v>
      </c>
      <c r="T1938" t="e">
        <f t="shared" si="65"/>
        <v>#REF!</v>
      </c>
      <c r="U1938" t="e">
        <f t="shared" si="66"/>
        <v>#REF!</v>
      </c>
    </row>
    <row r="1939" spans="4:21" x14ac:dyDescent="0.2">
      <c r="D1939" s="4"/>
      <c r="G1939" s="5"/>
      <c r="H1939" s="5"/>
      <c r="I1939" s="4"/>
      <c r="J1939" s="4"/>
      <c r="K1939" s="5"/>
      <c r="Q1939" t="e">
        <f>VLOOKUP(A1939,'גיליון דאטה להכל'!A:E,5,0)</f>
        <v>#N/A</v>
      </c>
      <c r="R1939" t="e">
        <f>VLOOKUP(A1939,'לעדכן בסינתזה דאטה אריזה 42+24'!$A:$C,3,0)</f>
        <v>#N/A</v>
      </c>
      <c r="S1939" t="e">
        <f>VLOOKUP(#REF!,'מלאי לא תקין'!A:N,17,0)</f>
        <v>#REF!</v>
      </c>
      <c r="T1939" t="e">
        <f t="shared" si="65"/>
        <v>#REF!</v>
      </c>
      <c r="U1939" t="e">
        <f t="shared" si="66"/>
        <v>#REF!</v>
      </c>
    </row>
    <row r="1940" spans="4:21" x14ac:dyDescent="0.2">
      <c r="D1940" s="4"/>
      <c r="G1940" s="5"/>
      <c r="H1940" s="7"/>
      <c r="I1940" s="4"/>
      <c r="J1940" s="4"/>
      <c r="K1940" s="5"/>
      <c r="Q1940" t="e">
        <f>VLOOKUP(A1940,'גיליון דאטה להכל'!A:E,5,0)</f>
        <v>#N/A</v>
      </c>
      <c r="R1940" t="e">
        <f>VLOOKUP(A1940,'לעדכן בסינתזה דאטה אריזה 42+24'!$A:$C,3,0)</f>
        <v>#N/A</v>
      </c>
      <c r="S1940" t="e">
        <f>VLOOKUP(#REF!,'מלאי לא תקין'!A:N,17,0)</f>
        <v>#REF!</v>
      </c>
      <c r="T1940" t="e">
        <f t="shared" si="65"/>
        <v>#REF!</v>
      </c>
      <c r="U1940" t="e">
        <f t="shared" si="66"/>
        <v>#REF!</v>
      </c>
    </row>
    <row r="1941" spans="4:21" x14ac:dyDescent="0.2">
      <c r="D1941" s="4"/>
      <c r="G1941" s="5"/>
      <c r="H1941" s="5"/>
      <c r="I1941" s="4"/>
      <c r="J1941" s="4"/>
      <c r="K1941" s="5"/>
      <c r="Q1941" t="e">
        <f>VLOOKUP(A1941,'גיליון דאטה להכל'!A:E,5,0)</f>
        <v>#N/A</v>
      </c>
      <c r="R1941" t="e">
        <f>VLOOKUP(A1941,'לעדכן בסינתזה דאטה אריזה 42+24'!$A:$C,3,0)</f>
        <v>#N/A</v>
      </c>
      <c r="S1941" t="e">
        <f>VLOOKUP(#REF!,'מלאי לא תקין'!A:N,17,0)</f>
        <v>#REF!</v>
      </c>
      <c r="T1941" t="e">
        <f t="shared" si="65"/>
        <v>#REF!</v>
      </c>
      <c r="U1941" t="e">
        <f t="shared" si="66"/>
        <v>#REF!</v>
      </c>
    </row>
    <row r="1942" spans="4:21" x14ac:dyDescent="0.2">
      <c r="D1942" s="4"/>
      <c r="G1942" s="5"/>
      <c r="H1942" s="5"/>
      <c r="I1942" s="4"/>
      <c r="J1942" s="4"/>
      <c r="K1942" s="5"/>
      <c r="Q1942" t="e">
        <f>VLOOKUP(A1942,'גיליון דאטה להכל'!A:E,5,0)</f>
        <v>#N/A</v>
      </c>
      <c r="R1942" t="e">
        <f>VLOOKUP(A1942,'לעדכן בסינתזה דאטה אריזה 42+24'!$A:$C,3,0)</f>
        <v>#N/A</v>
      </c>
      <c r="S1942" t="e">
        <f>VLOOKUP(#REF!,'מלאי לא תקין'!A:N,17,0)</f>
        <v>#REF!</v>
      </c>
      <c r="T1942" t="e">
        <f t="shared" si="65"/>
        <v>#REF!</v>
      </c>
      <c r="U1942" t="e">
        <f t="shared" si="66"/>
        <v>#REF!</v>
      </c>
    </row>
    <row r="1943" spans="4:21" x14ac:dyDescent="0.2">
      <c r="D1943" s="4"/>
      <c r="G1943" s="5"/>
      <c r="H1943" s="5"/>
      <c r="I1943" s="4"/>
      <c r="J1943" s="4"/>
      <c r="K1943" s="5"/>
      <c r="Q1943" t="e">
        <f>VLOOKUP(A1943,'גיליון דאטה להכל'!A:E,5,0)</f>
        <v>#N/A</v>
      </c>
      <c r="R1943" t="e">
        <f>VLOOKUP(A1943,'לעדכן בסינתזה דאטה אריזה 42+24'!$A:$C,3,0)</f>
        <v>#N/A</v>
      </c>
      <c r="S1943" t="e">
        <f>VLOOKUP(#REF!,'מלאי לא תקין'!A:N,17,0)</f>
        <v>#REF!</v>
      </c>
      <c r="T1943" t="e">
        <f t="shared" si="65"/>
        <v>#REF!</v>
      </c>
      <c r="U1943" t="e">
        <f t="shared" si="66"/>
        <v>#REF!</v>
      </c>
    </row>
    <row r="1944" spans="4:21" x14ac:dyDescent="0.2">
      <c r="D1944" s="4"/>
      <c r="G1944" s="5"/>
      <c r="H1944" s="5"/>
      <c r="I1944" s="4"/>
      <c r="J1944" s="4"/>
      <c r="K1944" s="5"/>
      <c r="Q1944" t="e">
        <f>VLOOKUP(A1944,'גיליון דאטה להכל'!A:E,5,0)</f>
        <v>#N/A</v>
      </c>
      <c r="R1944" t="e">
        <f>VLOOKUP(A1944,'לעדכן בסינתזה דאטה אריזה 42+24'!$A:$C,3,0)</f>
        <v>#N/A</v>
      </c>
      <c r="S1944" t="e">
        <f>VLOOKUP(#REF!,'מלאי לא תקין'!A:N,17,0)</f>
        <v>#REF!</v>
      </c>
      <c r="T1944" t="e">
        <f t="shared" si="65"/>
        <v>#REF!</v>
      </c>
      <c r="U1944" t="e">
        <f t="shared" si="66"/>
        <v>#REF!</v>
      </c>
    </row>
    <row r="1945" spans="4:21" x14ac:dyDescent="0.2">
      <c r="D1945" s="4"/>
      <c r="G1945" s="5"/>
      <c r="H1945" s="7"/>
      <c r="I1945" s="4"/>
      <c r="J1945" s="4"/>
      <c r="K1945" s="5"/>
      <c r="Q1945" t="e">
        <f>VLOOKUP(A1945,'גיליון דאטה להכל'!A:E,5,0)</f>
        <v>#N/A</v>
      </c>
      <c r="R1945" t="e">
        <f>VLOOKUP(A1945,'לעדכן בסינתזה דאטה אריזה 42+24'!$A:$C,3,0)</f>
        <v>#N/A</v>
      </c>
      <c r="S1945" t="e">
        <f>VLOOKUP(#REF!,'מלאי לא תקין'!A:N,17,0)</f>
        <v>#REF!</v>
      </c>
      <c r="T1945" t="e">
        <f t="shared" si="65"/>
        <v>#REF!</v>
      </c>
      <c r="U1945" t="e">
        <f t="shared" si="66"/>
        <v>#REF!</v>
      </c>
    </row>
    <row r="1946" spans="4:21" x14ac:dyDescent="0.2">
      <c r="D1946" s="4"/>
      <c r="G1946" s="5"/>
      <c r="H1946" s="5"/>
      <c r="I1946" s="4"/>
      <c r="J1946" s="4"/>
      <c r="K1946" s="5"/>
      <c r="Q1946" t="e">
        <f>VLOOKUP(A1946,'גיליון דאטה להכל'!A:E,5,0)</f>
        <v>#N/A</v>
      </c>
      <c r="R1946" t="e">
        <f>VLOOKUP(A1946,'לעדכן בסינתזה דאטה אריזה 42+24'!$A:$C,3,0)</f>
        <v>#N/A</v>
      </c>
      <c r="S1946" t="e">
        <f>VLOOKUP(#REF!,'מלאי לא תקין'!A:N,17,0)</f>
        <v>#REF!</v>
      </c>
      <c r="T1946" t="e">
        <f t="shared" si="65"/>
        <v>#REF!</v>
      </c>
      <c r="U1946" t="e">
        <f t="shared" si="66"/>
        <v>#REF!</v>
      </c>
    </row>
    <row r="1947" spans="4:21" x14ac:dyDescent="0.2">
      <c r="D1947" s="4"/>
      <c r="G1947" s="5"/>
      <c r="H1947" s="5"/>
      <c r="I1947" s="4"/>
      <c r="J1947" s="4"/>
      <c r="K1947" s="5"/>
      <c r="Q1947" t="e">
        <f>VLOOKUP(A1947,'גיליון דאטה להכל'!A:E,5,0)</f>
        <v>#N/A</v>
      </c>
      <c r="R1947" t="e">
        <f>VLOOKUP(A1947,'לעדכן בסינתזה דאטה אריזה 42+24'!$A:$C,3,0)</f>
        <v>#N/A</v>
      </c>
      <c r="S1947" t="e">
        <f>VLOOKUP(#REF!,'מלאי לא תקין'!A:N,17,0)</f>
        <v>#REF!</v>
      </c>
      <c r="T1947" t="e">
        <f t="shared" si="65"/>
        <v>#REF!</v>
      </c>
      <c r="U1947" t="e">
        <f t="shared" si="66"/>
        <v>#REF!</v>
      </c>
    </row>
    <row r="1948" spans="4:21" x14ac:dyDescent="0.2">
      <c r="D1948" s="4"/>
      <c r="G1948" s="5"/>
      <c r="H1948" s="5"/>
      <c r="I1948" s="4"/>
      <c r="J1948" s="4"/>
      <c r="K1948" s="5"/>
      <c r="Q1948" t="e">
        <f>VLOOKUP(A1948,'גיליון דאטה להכל'!A:E,5,0)</f>
        <v>#N/A</v>
      </c>
      <c r="R1948" t="e">
        <f>VLOOKUP(A1948,'לעדכן בסינתזה דאטה אריזה 42+24'!$A:$C,3,0)</f>
        <v>#N/A</v>
      </c>
      <c r="S1948" t="e">
        <f>VLOOKUP(#REF!,'מלאי לא תקין'!A:N,17,0)</f>
        <v>#REF!</v>
      </c>
      <c r="T1948" t="e">
        <f t="shared" si="65"/>
        <v>#REF!</v>
      </c>
      <c r="U1948" t="e">
        <f t="shared" si="66"/>
        <v>#REF!</v>
      </c>
    </row>
    <row r="1949" spans="4:21" x14ac:dyDescent="0.2">
      <c r="D1949" s="4"/>
      <c r="G1949" s="5"/>
      <c r="H1949" s="5"/>
      <c r="I1949" s="4"/>
      <c r="J1949" s="4"/>
      <c r="K1949" s="5"/>
      <c r="Q1949" t="e">
        <f>VLOOKUP(A1949,'גיליון דאטה להכל'!A:E,5,0)</f>
        <v>#N/A</v>
      </c>
      <c r="R1949" t="e">
        <f>VLOOKUP(A1949,'לעדכן בסינתזה דאטה אריזה 42+24'!$A:$C,3,0)</f>
        <v>#N/A</v>
      </c>
      <c r="S1949" t="e">
        <f>VLOOKUP(#REF!,'מלאי לא תקין'!A:N,17,0)</f>
        <v>#REF!</v>
      </c>
      <c r="T1949" t="e">
        <f t="shared" si="65"/>
        <v>#REF!</v>
      </c>
      <c r="U1949" t="e">
        <f t="shared" si="66"/>
        <v>#REF!</v>
      </c>
    </row>
    <row r="1950" spans="4:21" x14ac:dyDescent="0.2">
      <c r="D1950" s="4"/>
      <c r="G1950" s="5"/>
      <c r="H1950" s="7"/>
      <c r="I1950" s="4"/>
      <c r="J1950" s="4"/>
      <c r="K1950" s="5"/>
      <c r="Q1950" t="e">
        <f>VLOOKUP(A1950,'גיליון דאטה להכל'!A:E,5,0)</f>
        <v>#N/A</v>
      </c>
      <c r="R1950" t="e">
        <f>VLOOKUP(A1950,'לעדכן בסינתזה דאטה אריזה 42+24'!$A:$C,3,0)</f>
        <v>#N/A</v>
      </c>
      <c r="S1950" t="e">
        <f>VLOOKUP(#REF!,'מלאי לא תקין'!A:N,17,0)</f>
        <v>#REF!</v>
      </c>
      <c r="T1950" t="e">
        <f t="shared" si="65"/>
        <v>#REF!</v>
      </c>
      <c r="U1950" t="e">
        <f t="shared" si="66"/>
        <v>#REF!</v>
      </c>
    </row>
    <row r="1951" spans="4:21" x14ac:dyDescent="0.2">
      <c r="D1951" s="4"/>
      <c r="G1951" s="5"/>
      <c r="H1951" s="5"/>
      <c r="I1951" s="4"/>
      <c r="J1951" s="4"/>
      <c r="K1951" s="5"/>
      <c r="Q1951" t="e">
        <f>VLOOKUP(A1951,'גיליון דאטה להכל'!A:E,5,0)</f>
        <v>#N/A</v>
      </c>
      <c r="R1951" t="e">
        <f>VLOOKUP(A1951,'לעדכן בסינתזה דאטה אריזה 42+24'!$A:$C,3,0)</f>
        <v>#N/A</v>
      </c>
      <c r="S1951" t="e">
        <f>VLOOKUP(#REF!,'מלאי לא תקין'!A:N,17,0)</f>
        <v>#REF!</v>
      </c>
      <c r="T1951" t="e">
        <f t="shared" si="65"/>
        <v>#REF!</v>
      </c>
      <c r="U1951" t="e">
        <f t="shared" si="66"/>
        <v>#REF!</v>
      </c>
    </row>
    <row r="1952" spans="4:21" x14ac:dyDescent="0.2">
      <c r="D1952" s="4"/>
      <c r="G1952" s="5"/>
      <c r="H1952" s="5"/>
      <c r="I1952" s="4"/>
      <c r="J1952" s="4"/>
      <c r="K1952" s="5"/>
      <c r="Q1952" t="e">
        <f>VLOOKUP(A1952,'גיליון דאטה להכל'!A:E,5,0)</f>
        <v>#N/A</v>
      </c>
      <c r="R1952" t="e">
        <f>VLOOKUP(A1952,'לעדכן בסינתזה דאטה אריזה 42+24'!$A:$C,3,0)</f>
        <v>#N/A</v>
      </c>
      <c r="S1952" t="e">
        <f>VLOOKUP(#REF!,'מלאי לא תקין'!A:N,17,0)</f>
        <v>#REF!</v>
      </c>
      <c r="T1952" t="e">
        <f t="shared" si="65"/>
        <v>#REF!</v>
      </c>
      <c r="U1952" t="e">
        <f t="shared" si="66"/>
        <v>#REF!</v>
      </c>
    </row>
    <row r="1953" spans="4:21" x14ac:dyDescent="0.2">
      <c r="D1953" s="4"/>
      <c r="G1953" s="5"/>
      <c r="H1953" s="5"/>
      <c r="I1953" s="4"/>
      <c r="J1953" s="4"/>
      <c r="K1953" s="5"/>
      <c r="Q1953" t="e">
        <f>VLOOKUP(A1953,'גיליון דאטה להכל'!A:E,5,0)</f>
        <v>#N/A</v>
      </c>
      <c r="R1953" t="e">
        <f>VLOOKUP(A1953,'לעדכן בסינתזה דאטה אריזה 42+24'!$A:$C,3,0)</f>
        <v>#N/A</v>
      </c>
      <c r="S1953" t="e">
        <f>VLOOKUP(#REF!,'מלאי לא תקין'!A:N,17,0)</f>
        <v>#REF!</v>
      </c>
      <c r="T1953" t="e">
        <f t="shared" si="65"/>
        <v>#REF!</v>
      </c>
      <c r="U1953" t="e">
        <f t="shared" si="66"/>
        <v>#REF!</v>
      </c>
    </row>
    <row r="1954" spans="4:21" x14ac:dyDescent="0.2">
      <c r="D1954" s="4"/>
      <c r="G1954" s="5"/>
      <c r="H1954" s="5"/>
      <c r="I1954" s="4"/>
      <c r="J1954" s="4"/>
      <c r="K1954" s="5"/>
      <c r="Q1954" t="e">
        <f>VLOOKUP(A1954,'גיליון דאטה להכל'!A:E,5,0)</f>
        <v>#N/A</v>
      </c>
      <c r="R1954" t="e">
        <f>VLOOKUP(A1954,'לעדכן בסינתזה דאטה אריזה 42+24'!$A:$C,3,0)</f>
        <v>#N/A</v>
      </c>
      <c r="S1954" t="e">
        <f>VLOOKUP(#REF!,'מלאי לא תקין'!A:N,17,0)</f>
        <v>#REF!</v>
      </c>
      <c r="T1954" t="e">
        <f t="shared" si="65"/>
        <v>#REF!</v>
      </c>
      <c r="U1954" t="e">
        <f t="shared" si="66"/>
        <v>#REF!</v>
      </c>
    </row>
    <row r="1955" spans="4:21" x14ac:dyDescent="0.2">
      <c r="D1955" s="4"/>
      <c r="G1955" s="5"/>
      <c r="H1955" s="7"/>
      <c r="I1955" s="4"/>
      <c r="J1955" s="4"/>
      <c r="K1955" s="5"/>
      <c r="Q1955" t="e">
        <f>VLOOKUP(A1955,'גיליון דאטה להכל'!A:E,5,0)</f>
        <v>#N/A</v>
      </c>
      <c r="R1955" t="e">
        <f>VLOOKUP(A1955,'לעדכן בסינתזה דאטה אריזה 42+24'!$A:$C,3,0)</f>
        <v>#N/A</v>
      </c>
      <c r="S1955" t="e">
        <f>VLOOKUP(#REF!,'מלאי לא תקין'!A:N,17,0)</f>
        <v>#REF!</v>
      </c>
      <c r="T1955" t="e">
        <f t="shared" si="65"/>
        <v>#REF!</v>
      </c>
      <c r="U1955" t="e">
        <f t="shared" si="66"/>
        <v>#REF!</v>
      </c>
    </row>
    <row r="1956" spans="4:21" x14ac:dyDescent="0.2">
      <c r="D1956" s="4"/>
      <c r="G1956" s="5"/>
      <c r="H1956" s="5"/>
      <c r="I1956" s="4"/>
      <c r="J1956" s="4"/>
      <c r="K1956" s="5"/>
      <c r="Q1956" t="e">
        <f>VLOOKUP(A1956,'גיליון דאטה להכל'!A:E,5,0)</f>
        <v>#N/A</v>
      </c>
      <c r="R1956" t="e">
        <f>VLOOKUP(A1956,'לעדכן בסינתזה דאטה אריזה 42+24'!$A:$C,3,0)</f>
        <v>#N/A</v>
      </c>
      <c r="S1956" t="e">
        <f>VLOOKUP(#REF!,'מלאי לא תקין'!A:N,17,0)</f>
        <v>#REF!</v>
      </c>
      <c r="T1956" t="e">
        <f t="shared" si="65"/>
        <v>#REF!</v>
      </c>
      <c r="U1956" t="e">
        <f t="shared" si="66"/>
        <v>#REF!</v>
      </c>
    </row>
    <row r="1957" spans="4:21" x14ac:dyDescent="0.2">
      <c r="D1957" s="4"/>
      <c r="G1957" s="5"/>
      <c r="H1957" s="5"/>
      <c r="I1957" s="4"/>
      <c r="J1957" s="4"/>
      <c r="K1957" s="5"/>
      <c r="Q1957" t="e">
        <f>VLOOKUP(A1957,'גיליון דאטה להכל'!A:E,5,0)</f>
        <v>#N/A</v>
      </c>
      <c r="R1957" t="e">
        <f>VLOOKUP(A1957,'לעדכן בסינתזה דאטה אריזה 42+24'!$A:$C,3,0)</f>
        <v>#N/A</v>
      </c>
      <c r="S1957" t="e">
        <f>VLOOKUP(#REF!,'מלאי לא תקין'!A:N,17,0)</f>
        <v>#REF!</v>
      </c>
      <c r="T1957" t="e">
        <f t="shared" si="65"/>
        <v>#REF!</v>
      </c>
      <c r="U1957" t="e">
        <f t="shared" si="66"/>
        <v>#REF!</v>
      </c>
    </row>
    <row r="1958" spans="4:21" x14ac:dyDescent="0.2">
      <c r="D1958" s="4"/>
      <c r="G1958" s="5"/>
      <c r="H1958" s="5"/>
      <c r="I1958" s="4"/>
      <c r="J1958" s="4"/>
      <c r="K1958" s="5"/>
      <c r="Q1958" t="e">
        <f>VLOOKUP(A1958,'גיליון דאטה להכל'!A:E,5,0)</f>
        <v>#N/A</v>
      </c>
      <c r="R1958" t="e">
        <f>VLOOKUP(A1958,'לעדכן בסינתזה דאטה אריזה 42+24'!$A:$C,3,0)</f>
        <v>#N/A</v>
      </c>
      <c r="S1958" t="e">
        <f>VLOOKUP(#REF!,'מלאי לא תקין'!A:N,17,0)</f>
        <v>#REF!</v>
      </c>
      <c r="T1958" t="e">
        <f t="shared" si="65"/>
        <v>#REF!</v>
      </c>
      <c r="U1958" t="e">
        <f t="shared" si="66"/>
        <v>#REF!</v>
      </c>
    </row>
    <row r="1959" spans="4:21" x14ac:dyDescent="0.2">
      <c r="D1959" s="4"/>
      <c r="G1959" s="5"/>
      <c r="H1959" s="5"/>
      <c r="I1959" s="4"/>
      <c r="J1959" s="4"/>
      <c r="K1959" s="5"/>
      <c r="Q1959" t="e">
        <f>VLOOKUP(A1959,'גיליון דאטה להכל'!A:E,5,0)</f>
        <v>#N/A</v>
      </c>
      <c r="R1959" t="e">
        <f>VLOOKUP(A1959,'לעדכן בסינתזה דאטה אריזה 42+24'!$A:$C,3,0)</f>
        <v>#N/A</v>
      </c>
      <c r="S1959" t="e">
        <f>VLOOKUP(#REF!,'מלאי לא תקין'!A:N,17,0)</f>
        <v>#REF!</v>
      </c>
      <c r="T1959" t="e">
        <f t="shared" si="65"/>
        <v>#REF!</v>
      </c>
      <c r="U1959" t="e">
        <f t="shared" si="66"/>
        <v>#REF!</v>
      </c>
    </row>
    <row r="1960" spans="4:21" x14ac:dyDescent="0.2">
      <c r="D1960" s="4"/>
      <c r="G1960" s="5"/>
      <c r="H1960" s="7"/>
      <c r="I1960" s="4"/>
      <c r="J1960" s="4"/>
      <c r="K1960" s="5"/>
      <c r="Q1960" t="e">
        <f>VLOOKUP(A1960,'גיליון דאטה להכל'!A:E,5,0)</f>
        <v>#N/A</v>
      </c>
      <c r="R1960" t="e">
        <f>VLOOKUP(A1960,'לעדכן בסינתזה דאטה אריזה 42+24'!$A:$C,3,0)</f>
        <v>#N/A</v>
      </c>
      <c r="S1960" t="e">
        <f>VLOOKUP(#REF!,'מלאי לא תקין'!A:N,17,0)</f>
        <v>#REF!</v>
      </c>
      <c r="T1960" t="e">
        <f t="shared" si="65"/>
        <v>#REF!</v>
      </c>
      <c r="U1960" t="e">
        <f t="shared" si="66"/>
        <v>#REF!</v>
      </c>
    </row>
    <row r="1961" spans="4:21" x14ac:dyDescent="0.2">
      <c r="D1961" s="4"/>
      <c r="G1961" s="5"/>
      <c r="H1961" s="5"/>
      <c r="I1961" s="4"/>
      <c r="J1961" s="4"/>
      <c r="K1961" s="5"/>
      <c r="Q1961" t="e">
        <f>VLOOKUP(A1961,'גיליון דאטה להכל'!A:E,5,0)</f>
        <v>#N/A</v>
      </c>
      <c r="R1961" t="e">
        <f>VLOOKUP(A1961,'לעדכן בסינתזה דאטה אריזה 42+24'!$A:$C,3,0)</f>
        <v>#N/A</v>
      </c>
      <c r="S1961" t="e">
        <f>VLOOKUP(#REF!,'מלאי לא תקין'!A:N,17,0)</f>
        <v>#REF!</v>
      </c>
      <c r="T1961" t="e">
        <f t="shared" si="65"/>
        <v>#REF!</v>
      </c>
      <c r="U1961" t="e">
        <f t="shared" si="66"/>
        <v>#REF!</v>
      </c>
    </row>
    <row r="1962" spans="4:21" x14ac:dyDescent="0.2">
      <c r="D1962" s="4"/>
      <c r="G1962" s="5"/>
      <c r="H1962" s="5"/>
      <c r="I1962" s="4"/>
      <c r="J1962" s="4"/>
      <c r="K1962" s="5"/>
      <c r="Q1962" t="e">
        <f>VLOOKUP(A1962,'גיליון דאטה להכל'!A:E,5,0)</f>
        <v>#N/A</v>
      </c>
      <c r="R1962" t="e">
        <f>VLOOKUP(A1962,'לעדכן בסינתזה דאטה אריזה 42+24'!$A:$C,3,0)</f>
        <v>#N/A</v>
      </c>
      <c r="S1962" t="e">
        <f>VLOOKUP(#REF!,'מלאי לא תקין'!A:N,17,0)</f>
        <v>#REF!</v>
      </c>
      <c r="T1962" t="e">
        <f t="shared" si="65"/>
        <v>#REF!</v>
      </c>
      <c r="U1962" t="e">
        <f t="shared" si="66"/>
        <v>#REF!</v>
      </c>
    </row>
    <row r="1963" spans="4:21" x14ac:dyDescent="0.2">
      <c r="D1963" s="4"/>
      <c r="G1963" s="5"/>
      <c r="H1963" s="5"/>
      <c r="I1963" s="4"/>
      <c r="J1963" s="4"/>
      <c r="K1963" s="5"/>
      <c r="Q1963" t="e">
        <f>VLOOKUP(A1963,'גיליון דאטה להכל'!A:E,5,0)</f>
        <v>#N/A</v>
      </c>
      <c r="R1963" t="e">
        <f>VLOOKUP(A1963,'לעדכן בסינתזה דאטה אריזה 42+24'!$A:$C,3,0)</f>
        <v>#N/A</v>
      </c>
      <c r="S1963" t="e">
        <f>VLOOKUP(#REF!,'מלאי לא תקין'!A:N,17,0)</f>
        <v>#REF!</v>
      </c>
      <c r="T1963" t="e">
        <f t="shared" si="65"/>
        <v>#REF!</v>
      </c>
      <c r="U1963" t="e">
        <f t="shared" si="66"/>
        <v>#REF!</v>
      </c>
    </row>
    <row r="1964" spans="4:21" x14ac:dyDescent="0.2">
      <c r="D1964" s="4"/>
      <c r="G1964" s="5"/>
      <c r="H1964" s="5"/>
      <c r="I1964" s="4"/>
      <c r="J1964" s="4"/>
      <c r="K1964" s="5"/>
      <c r="Q1964" t="e">
        <f>VLOOKUP(A1964,'גיליון דאטה להכל'!A:E,5,0)</f>
        <v>#N/A</v>
      </c>
      <c r="R1964" t="e">
        <f>VLOOKUP(A1964,'לעדכן בסינתזה דאטה אריזה 42+24'!$A:$C,3,0)</f>
        <v>#N/A</v>
      </c>
      <c r="S1964" t="e">
        <f>VLOOKUP(#REF!,'מלאי לא תקין'!A:N,17,0)</f>
        <v>#REF!</v>
      </c>
      <c r="T1964" t="e">
        <f t="shared" si="65"/>
        <v>#REF!</v>
      </c>
      <c r="U1964" t="e">
        <f t="shared" si="66"/>
        <v>#REF!</v>
      </c>
    </row>
    <row r="1965" spans="4:21" x14ac:dyDescent="0.2">
      <c r="D1965" s="4"/>
      <c r="G1965" s="5"/>
      <c r="H1965" s="7"/>
      <c r="I1965" s="4"/>
      <c r="J1965" s="4"/>
      <c r="K1965" s="5"/>
      <c r="Q1965" t="e">
        <f>VLOOKUP(A1965,'גיליון דאטה להכל'!A:E,5,0)</f>
        <v>#N/A</v>
      </c>
      <c r="R1965" t="e">
        <f>VLOOKUP(A1965,'לעדכן בסינתזה דאטה אריזה 42+24'!$A:$C,3,0)</f>
        <v>#N/A</v>
      </c>
      <c r="S1965" t="e">
        <f>VLOOKUP(#REF!,'מלאי לא תקין'!A:N,17,0)</f>
        <v>#REF!</v>
      </c>
      <c r="T1965" t="e">
        <f t="shared" si="65"/>
        <v>#REF!</v>
      </c>
      <c r="U1965" t="e">
        <f t="shared" si="66"/>
        <v>#REF!</v>
      </c>
    </row>
    <row r="1966" spans="4:21" x14ac:dyDescent="0.2">
      <c r="D1966" s="4"/>
      <c r="G1966" s="5"/>
      <c r="H1966" s="5"/>
      <c r="I1966" s="4"/>
      <c r="J1966" s="4"/>
      <c r="K1966" s="5"/>
      <c r="Q1966" t="e">
        <f>VLOOKUP(A1966,'גיליון דאטה להכל'!A:E,5,0)</f>
        <v>#N/A</v>
      </c>
      <c r="R1966" t="e">
        <f>VLOOKUP(A1966,'לעדכן בסינתזה דאטה אריזה 42+24'!$A:$C,3,0)</f>
        <v>#N/A</v>
      </c>
      <c r="S1966" t="e">
        <f>VLOOKUP(#REF!,'מלאי לא תקין'!A:N,17,0)</f>
        <v>#REF!</v>
      </c>
      <c r="T1966" t="e">
        <f t="shared" si="65"/>
        <v>#REF!</v>
      </c>
      <c r="U1966" t="e">
        <f t="shared" si="66"/>
        <v>#REF!</v>
      </c>
    </row>
    <row r="1967" spans="4:21" x14ac:dyDescent="0.2">
      <c r="D1967" s="4"/>
      <c r="G1967" s="5"/>
      <c r="H1967" s="5"/>
      <c r="I1967" s="4"/>
      <c r="J1967" s="4"/>
      <c r="K1967" s="5"/>
      <c r="Q1967" t="e">
        <f>VLOOKUP(A1967,'גיליון דאטה להכל'!A:E,5,0)</f>
        <v>#N/A</v>
      </c>
      <c r="R1967" t="e">
        <f>VLOOKUP(A1967,'לעדכן בסינתזה דאטה אריזה 42+24'!$A:$C,3,0)</f>
        <v>#N/A</v>
      </c>
      <c r="S1967" t="e">
        <f>VLOOKUP(#REF!,'מלאי לא תקין'!A:N,17,0)</f>
        <v>#REF!</v>
      </c>
      <c r="T1967" t="e">
        <f t="shared" si="65"/>
        <v>#REF!</v>
      </c>
      <c r="U1967" t="e">
        <f t="shared" si="66"/>
        <v>#REF!</v>
      </c>
    </row>
    <row r="1968" spans="4:21" x14ac:dyDescent="0.2">
      <c r="D1968" s="4"/>
      <c r="G1968" s="5"/>
      <c r="H1968" s="5"/>
      <c r="I1968" s="4"/>
      <c r="J1968" s="4"/>
      <c r="K1968" s="5"/>
      <c r="Q1968" t="e">
        <f>VLOOKUP(A1968,'גיליון דאטה להכל'!A:E,5,0)</f>
        <v>#N/A</v>
      </c>
      <c r="R1968" t="e">
        <f>VLOOKUP(A1968,'לעדכן בסינתזה דאטה אריזה 42+24'!$A:$C,3,0)</f>
        <v>#N/A</v>
      </c>
      <c r="S1968" t="e">
        <f>VLOOKUP(#REF!,'מלאי לא תקין'!A:N,17,0)</f>
        <v>#REF!</v>
      </c>
      <c r="T1968" t="e">
        <f t="shared" si="65"/>
        <v>#REF!</v>
      </c>
      <c r="U1968" t="e">
        <f t="shared" si="66"/>
        <v>#REF!</v>
      </c>
    </row>
    <row r="1969" spans="4:21" x14ac:dyDescent="0.2">
      <c r="D1969" s="4"/>
      <c r="G1969" s="5"/>
      <c r="H1969" s="5"/>
      <c r="I1969" s="4"/>
      <c r="J1969" s="4"/>
      <c r="K1969" s="5"/>
      <c r="Q1969" t="e">
        <f>VLOOKUP(A1969,'גיליון דאטה להכל'!A:E,5,0)</f>
        <v>#N/A</v>
      </c>
      <c r="R1969" t="e">
        <f>VLOOKUP(A1969,'לעדכן בסינתזה דאטה אריזה 42+24'!$A:$C,3,0)</f>
        <v>#N/A</v>
      </c>
      <c r="S1969" t="e">
        <f>VLOOKUP(#REF!,'מלאי לא תקין'!A:N,17,0)</f>
        <v>#REF!</v>
      </c>
      <c r="T1969" t="e">
        <f t="shared" si="65"/>
        <v>#REF!</v>
      </c>
      <c r="U1969" t="e">
        <f t="shared" si="66"/>
        <v>#REF!</v>
      </c>
    </row>
    <row r="1970" spans="4:21" x14ac:dyDescent="0.2">
      <c r="D1970" s="4"/>
      <c r="G1970" s="5"/>
      <c r="H1970" s="7"/>
      <c r="I1970" s="4"/>
      <c r="J1970" s="4"/>
      <c r="K1970" s="5"/>
      <c r="Q1970" t="e">
        <f>VLOOKUP(A1970,'גיליון דאטה להכל'!A:E,5,0)</f>
        <v>#N/A</v>
      </c>
      <c r="R1970" t="e">
        <f>VLOOKUP(A1970,'לעדכן בסינתזה דאטה אריזה 42+24'!$A:$C,3,0)</f>
        <v>#N/A</v>
      </c>
      <c r="S1970" t="e">
        <f>VLOOKUP(#REF!,'מלאי לא תקין'!A:N,17,0)</f>
        <v>#REF!</v>
      </c>
      <c r="T1970" t="e">
        <f t="shared" si="65"/>
        <v>#REF!</v>
      </c>
      <c r="U1970" t="e">
        <f t="shared" si="66"/>
        <v>#REF!</v>
      </c>
    </row>
    <row r="1971" spans="4:21" x14ac:dyDescent="0.2">
      <c r="D1971" s="4"/>
      <c r="G1971" s="5"/>
      <c r="H1971" s="5"/>
      <c r="I1971" s="4"/>
      <c r="J1971" s="4"/>
      <c r="K1971" s="5"/>
      <c r="Q1971" t="e">
        <f>VLOOKUP(A1971,'גיליון דאטה להכל'!A:E,5,0)</f>
        <v>#N/A</v>
      </c>
      <c r="R1971" t="e">
        <f>VLOOKUP(A1971,'לעדכן בסינתזה דאטה אריזה 42+24'!$A:$C,3,0)</f>
        <v>#N/A</v>
      </c>
      <c r="S1971" t="e">
        <f>VLOOKUP(#REF!,'מלאי לא תקין'!A:N,17,0)</f>
        <v>#REF!</v>
      </c>
      <c r="T1971" t="e">
        <f t="shared" si="65"/>
        <v>#REF!</v>
      </c>
      <c r="U1971" t="e">
        <f t="shared" si="66"/>
        <v>#REF!</v>
      </c>
    </row>
    <row r="1972" spans="4:21" x14ac:dyDescent="0.2">
      <c r="D1972" s="4"/>
      <c r="G1972" s="5"/>
      <c r="H1972" s="5"/>
      <c r="I1972" s="4"/>
      <c r="J1972" s="4"/>
      <c r="K1972" s="5"/>
      <c r="Q1972" t="e">
        <f>VLOOKUP(A1972,'גיליון דאטה להכל'!A:E,5,0)</f>
        <v>#N/A</v>
      </c>
      <c r="R1972" t="e">
        <f>VLOOKUP(A1972,'לעדכן בסינתזה דאטה אריזה 42+24'!$A:$C,3,0)</f>
        <v>#N/A</v>
      </c>
      <c r="S1972" t="e">
        <f>VLOOKUP(#REF!,'מלאי לא תקין'!A:N,17,0)</f>
        <v>#REF!</v>
      </c>
      <c r="T1972" t="e">
        <f t="shared" si="65"/>
        <v>#REF!</v>
      </c>
      <c r="U1972" t="e">
        <f t="shared" si="66"/>
        <v>#REF!</v>
      </c>
    </row>
    <row r="1973" spans="4:21" x14ac:dyDescent="0.2">
      <c r="D1973" s="4"/>
      <c r="G1973" s="5"/>
      <c r="H1973" s="5"/>
      <c r="I1973" s="4"/>
      <c r="J1973" s="4"/>
      <c r="K1973" s="5"/>
      <c r="Q1973" t="e">
        <f>VLOOKUP(A1973,'גיליון דאטה להכל'!A:E,5,0)</f>
        <v>#N/A</v>
      </c>
      <c r="R1973" t="e">
        <f>VLOOKUP(A1973,'לעדכן בסינתזה דאטה אריזה 42+24'!$A:$C,3,0)</f>
        <v>#N/A</v>
      </c>
      <c r="S1973" t="e">
        <f>VLOOKUP(#REF!,'מלאי לא תקין'!A:N,17,0)</f>
        <v>#REF!</v>
      </c>
      <c r="T1973" t="e">
        <f t="shared" si="65"/>
        <v>#REF!</v>
      </c>
      <c r="U1973" t="e">
        <f t="shared" si="66"/>
        <v>#REF!</v>
      </c>
    </row>
    <row r="1974" spans="4:21" x14ac:dyDescent="0.2">
      <c r="D1974" s="4"/>
      <c r="G1974" s="5"/>
      <c r="H1974" s="5"/>
      <c r="I1974" s="4"/>
      <c r="J1974" s="4"/>
      <c r="K1974" s="5"/>
      <c r="Q1974" t="e">
        <f>VLOOKUP(A1974,'גיליון דאטה להכל'!A:E,5,0)</f>
        <v>#N/A</v>
      </c>
      <c r="R1974" t="e">
        <f>VLOOKUP(A1974,'לעדכן בסינתזה דאטה אריזה 42+24'!$A:$C,3,0)</f>
        <v>#N/A</v>
      </c>
      <c r="S1974" t="e">
        <f>VLOOKUP(#REF!,'מלאי לא תקין'!A:N,17,0)</f>
        <v>#REF!</v>
      </c>
      <c r="T1974" t="e">
        <f t="shared" si="65"/>
        <v>#REF!</v>
      </c>
      <c r="U1974" t="e">
        <f t="shared" si="66"/>
        <v>#REF!</v>
      </c>
    </row>
    <row r="1975" spans="4:21" x14ac:dyDescent="0.2">
      <c r="D1975" s="4"/>
      <c r="G1975" s="5"/>
      <c r="H1975" s="7"/>
      <c r="I1975" s="4"/>
      <c r="J1975" s="4"/>
      <c r="K1975" s="5"/>
      <c r="Q1975" t="e">
        <f>VLOOKUP(A1975,'גיליון דאטה להכל'!A:E,5,0)</f>
        <v>#N/A</v>
      </c>
      <c r="R1975" t="e">
        <f>VLOOKUP(A1975,'לעדכן בסינתזה דאטה אריזה 42+24'!$A:$C,3,0)</f>
        <v>#N/A</v>
      </c>
      <c r="S1975" t="e">
        <f>VLOOKUP(#REF!,'מלאי לא תקין'!A:N,17,0)</f>
        <v>#REF!</v>
      </c>
      <c r="T1975" t="e">
        <f t="shared" si="65"/>
        <v>#REF!</v>
      </c>
      <c r="U1975" t="e">
        <f t="shared" si="66"/>
        <v>#REF!</v>
      </c>
    </row>
    <row r="1976" spans="4:21" x14ac:dyDescent="0.2">
      <c r="D1976" s="4"/>
      <c r="G1976" s="5"/>
      <c r="H1976" s="5"/>
      <c r="I1976" s="4"/>
      <c r="J1976" s="4"/>
      <c r="K1976" s="5"/>
      <c r="Q1976" t="e">
        <f>VLOOKUP(A1976,'גיליון דאטה להכל'!A:E,5,0)</f>
        <v>#N/A</v>
      </c>
      <c r="R1976" t="e">
        <f>VLOOKUP(A1976,'לעדכן בסינתזה דאטה אריזה 42+24'!$A:$C,3,0)</f>
        <v>#N/A</v>
      </c>
      <c r="S1976" t="e">
        <f>VLOOKUP(#REF!,'מלאי לא תקין'!A:N,17,0)</f>
        <v>#REF!</v>
      </c>
      <c r="T1976" t="e">
        <f t="shared" si="65"/>
        <v>#REF!</v>
      </c>
      <c r="U1976" t="e">
        <f t="shared" si="66"/>
        <v>#REF!</v>
      </c>
    </row>
    <row r="1977" spans="4:21" x14ac:dyDescent="0.2">
      <c r="D1977" s="4"/>
      <c r="G1977" s="5"/>
      <c r="H1977" s="5"/>
      <c r="I1977" s="4"/>
      <c r="J1977" s="4"/>
      <c r="K1977" s="5"/>
      <c r="Q1977" t="e">
        <f>VLOOKUP(A1977,'גיליון דאטה להכל'!A:E,5,0)</f>
        <v>#N/A</v>
      </c>
      <c r="R1977" t="e">
        <f>VLOOKUP(A1977,'לעדכן בסינתזה דאטה אריזה 42+24'!$A:$C,3,0)</f>
        <v>#N/A</v>
      </c>
      <c r="S1977" t="e">
        <f>VLOOKUP(#REF!,'מלאי לא תקין'!A:N,17,0)</f>
        <v>#REF!</v>
      </c>
      <c r="T1977" t="e">
        <f t="shared" si="65"/>
        <v>#REF!</v>
      </c>
      <c r="U1977" t="e">
        <f t="shared" si="66"/>
        <v>#REF!</v>
      </c>
    </row>
    <row r="1978" spans="4:21" x14ac:dyDescent="0.2">
      <c r="D1978" s="4"/>
      <c r="G1978" s="5"/>
      <c r="H1978" s="5"/>
      <c r="I1978" s="4"/>
      <c r="J1978" s="4"/>
      <c r="K1978" s="5"/>
      <c r="Q1978" t="e">
        <f>VLOOKUP(A1978,'גיליון דאטה להכל'!A:E,5,0)</f>
        <v>#N/A</v>
      </c>
      <c r="R1978" t="e">
        <f>VLOOKUP(A1978,'לעדכן בסינתזה דאטה אריזה 42+24'!$A:$C,3,0)</f>
        <v>#N/A</v>
      </c>
      <c r="S1978" t="e">
        <f>VLOOKUP(#REF!,'מלאי לא תקין'!A:N,17,0)</f>
        <v>#REF!</v>
      </c>
      <c r="T1978" t="e">
        <f t="shared" si="65"/>
        <v>#REF!</v>
      </c>
      <c r="U1978" t="e">
        <f t="shared" si="66"/>
        <v>#REF!</v>
      </c>
    </row>
    <row r="1979" spans="4:21" x14ac:dyDescent="0.2">
      <c r="D1979" s="4"/>
      <c r="G1979" s="5"/>
      <c r="H1979" s="5"/>
      <c r="I1979" s="4"/>
      <c r="J1979" s="4"/>
      <c r="K1979" s="5"/>
      <c r="Q1979" t="e">
        <f>VLOOKUP(A1979,'גיליון דאטה להכל'!A:E,5,0)</f>
        <v>#N/A</v>
      </c>
      <c r="R1979" t="e">
        <f>VLOOKUP(A1979,'לעדכן בסינתזה דאטה אריזה 42+24'!$A:$C,3,0)</f>
        <v>#N/A</v>
      </c>
      <c r="S1979" t="e">
        <f>VLOOKUP(#REF!,'מלאי לא תקין'!A:N,17,0)</f>
        <v>#REF!</v>
      </c>
      <c r="T1979" t="e">
        <f t="shared" si="65"/>
        <v>#REF!</v>
      </c>
      <c r="U1979" t="e">
        <f t="shared" si="66"/>
        <v>#REF!</v>
      </c>
    </row>
    <row r="1980" spans="4:21" x14ac:dyDescent="0.2">
      <c r="D1980" s="4"/>
      <c r="G1980" s="5"/>
      <c r="H1980" s="7"/>
      <c r="I1980" s="4"/>
      <c r="J1980" s="4"/>
      <c r="K1980" s="5"/>
      <c r="Q1980" t="e">
        <f>VLOOKUP(A1980,'גיליון דאטה להכל'!A:E,5,0)</f>
        <v>#N/A</v>
      </c>
      <c r="R1980" t="e">
        <f>VLOOKUP(A1980,'לעדכן בסינתזה דאטה אריזה 42+24'!$A:$C,3,0)</f>
        <v>#N/A</v>
      </c>
      <c r="S1980" t="e">
        <f>VLOOKUP(#REF!,'מלאי לא תקין'!A:N,17,0)</f>
        <v>#REF!</v>
      </c>
      <c r="T1980" t="e">
        <f t="shared" si="65"/>
        <v>#REF!</v>
      </c>
      <c r="U1980" t="e">
        <f t="shared" si="66"/>
        <v>#REF!</v>
      </c>
    </row>
    <row r="1981" spans="4:21" x14ac:dyDescent="0.2">
      <c r="D1981" s="4"/>
      <c r="G1981" s="5"/>
      <c r="H1981" s="5"/>
      <c r="I1981" s="4"/>
      <c r="J1981" s="4"/>
      <c r="K1981" s="5"/>
      <c r="Q1981" t="e">
        <f>VLOOKUP(A1981,'גיליון דאטה להכל'!A:E,5,0)</f>
        <v>#N/A</v>
      </c>
      <c r="R1981" t="e">
        <f>VLOOKUP(A1981,'לעדכן בסינתזה דאטה אריזה 42+24'!$A:$C,3,0)</f>
        <v>#N/A</v>
      </c>
      <c r="S1981" t="e">
        <f>VLOOKUP(#REF!,'מלאי לא תקין'!A:N,17,0)</f>
        <v>#REF!</v>
      </c>
      <c r="T1981" t="e">
        <f t="shared" si="65"/>
        <v>#REF!</v>
      </c>
      <c r="U1981" t="e">
        <f t="shared" si="66"/>
        <v>#REF!</v>
      </c>
    </row>
    <row r="1982" spans="4:21" x14ac:dyDescent="0.2">
      <c r="D1982" s="4"/>
      <c r="G1982" s="5"/>
      <c r="H1982" s="5"/>
      <c r="I1982" s="4"/>
      <c r="J1982" s="4"/>
      <c r="K1982" s="5"/>
      <c r="Q1982" t="e">
        <f>VLOOKUP(A1982,'גיליון דאטה להכל'!A:E,5,0)</f>
        <v>#N/A</v>
      </c>
      <c r="R1982" t="e">
        <f>VLOOKUP(A1982,'לעדכן בסינתזה דאטה אריזה 42+24'!$A:$C,3,0)</f>
        <v>#N/A</v>
      </c>
      <c r="S1982" t="e">
        <f>VLOOKUP(#REF!,'מלאי לא תקין'!A:N,17,0)</f>
        <v>#REF!</v>
      </c>
      <c r="T1982" t="e">
        <f t="shared" ref="T1982:T2045" si="67">_xlfn.CONCAT(S1982,Q1982)</f>
        <v>#REF!</v>
      </c>
      <c r="U1982" t="e">
        <f t="shared" ref="U1982:U2045" si="68">_xlfn.CONCAT(S1982,O1982)</f>
        <v>#REF!</v>
      </c>
    </row>
    <row r="1983" spans="4:21" x14ac:dyDescent="0.2">
      <c r="D1983" s="4"/>
      <c r="G1983" s="5"/>
      <c r="H1983" s="5"/>
      <c r="I1983" s="4"/>
      <c r="J1983" s="4"/>
      <c r="K1983" s="5"/>
      <c r="Q1983" t="e">
        <f>VLOOKUP(A1983,'גיליון דאטה להכל'!A:E,5,0)</f>
        <v>#N/A</v>
      </c>
      <c r="R1983" t="e">
        <f>VLOOKUP(A1983,'לעדכן בסינתזה דאטה אריזה 42+24'!$A:$C,3,0)</f>
        <v>#N/A</v>
      </c>
      <c r="S1983" t="e">
        <f>VLOOKUP(#REF!,'מלאי לא תקין'!A:N,17,0)</f>
        <v>#REF!</v>
      </c>
      <c r="T1983" t="e">
        <f t="shared" si="67"/>
        <v>#REF!</v>
      </c>
      <c r="U1983" t="e">
        <f t="shared" si="68"/>
        <v>#REF!</v>
      </c>
    </row>
    <row r="1984" spans="4:21" x14ac:dyDescent="0.2">
      <c r="D1984" s="4"/>
      <c r="G1984" s="5"/>
      <c r="H1984" s="5"/>
      <c r="I1984" s="4"/>
      <c r="J1984" s="4"/>
      <c r="K1984" s="5"/>
      <c r="Q1984" t="e">
        <f>VLOOKUP(A1984,'גיליון דאטה להכל'!A:E,5,0)</f>
        <v>#N/A</v>
      </c>
      <c r="R1984" t="e">
        <f>VLOOKUP(A1984,'לעדכן בסינתזה דאטה אריזה 42+24'!$A:$C,3,0)</f>
        <v>#N/A</v>
      </c>
      <c r="S1984" t="e">
        <f>VLOOKUP(#REF!,'מלאי לא תקין'!A:N,17,0)</f>
        <v>#REF!</v>
      </c>
      <c r="T1984" t="e">
        <f t="shared" si="67"/>
        <v>#REF!</v>
      </c>
      <c r="U1984" t="e">
        <f t="shared" si="68"/>
        <v>#REF!</v>
      </c>
    </row>
    <row r="1985" spans="4:21" x14ac:dyDescent="0.2">
      <c r="D1985" s="4"/>
      <c r="G1985" s="5"/>
      <c r="H1985" s="7"/>
      <c r="I1985" s="4"/>
      <c r="J1985" s="4"/>
      <c r="K1985" s="5"/>
      <c r="Q1985" t="e">
        <f>VLOOKUP(A1985,'גיליון דאטה להכל'!A:E,5,0)</f>
        <v>#N/A</v>
      </c>
      <c r="R1985" t="e">
        <f>VLOOKUP(A1985,'לעדכן בסינתזה דאטה אריזה 42+24'!$A:$C,3,0)</f>
        <v>#N/A</v>
      </c>
      <c r="S1985" t="e">
        <f>VLOOKUP(#REF!,'מלאי לא תקין'!A:N,17,0)</f>
        <v>#REF!</v>
      </c>
      <c r="T1985" t="e">
        <f t="shared" si="67"/>
        <v>#REF!</v>
      </c>
      <c r="U1985" t="e">
        <f t="shared" si="68"/>
        <v>#REF!</v>
      </c>
    </row>
    <row r="1986" spans="4:21" x14ac:dyDescent="0.2">
      <c r="D1986" s="4"/>
      <c r="G1986" s="5"/>
      <c r="H1986" s="5"/>
      <c r="I1986" s="4"/>
      <c r="J1986" s="4"/>
      <c r="K1986" s="5"/>
      <c r="Q1986" t="e">
        <f>VLOOKUP(A1986,'גיליון דאטה להכל'!A:E,5,0)</f>
        <v>#N/A</v>
      </c>
      <c r="R1986" t="e">
        <f>VLOOKUP(A1986,'לעדכן בסינתזה דאטה אריזה 42+24'!$A:$C,3,0)</f>
        <v>#N/A</v>
      </c>
      <c r="S1986" t="e">
        <f>VLOOKUP(#REF!,'מלאי לא תקין'!A:N,17,0)</f>
        <v>#REF!</v>
      </c>
      <c r="T1986" t="e">
        <f t="shared" si="67"/>
        <v>#REF!</v>
      </c>
      <c r="U1986" t="e">
        <f t="shared" si="68"/>
        <v>#REF!</v>
      </c>
    </row>
    <row r="1987" spans="4:21" x14ac:dyDescent="0.2">
      <c r="D1987" s="4"/>
      <c r="G1987" s="5"/>
      <c r="H1987" s="5"/>
      <c r="I1987" s="4"/>
      <c r="J1987" s="4"/>
      <c r="K1987" s="5"/>
      <c r="Q1987" t="e">
        <f>VLOOKUP(A1987,'גיליון דאטה להכל'!A:E,5,0)</f>
        <v>#N/A</v>
      </c>
      <c r="R1987" t="e">
        <f>VLOOKUP(A1987,'לעדכן בסינתזה דאטה אריזה 42+24'!$A:$C,3,0)</f>
        <v>#N/A</v>
      </c>
      <c r="S1987" t="e">
        <f>VLOOKUP(#REF!,'מלאי לא תקין'!A:N,17,0)</f>
        <v>#REF!</v>
      </c>
      <c r="T1987" t="e">
        <f t="shared" si="67"/>
        <v>#REF!</v>
      </c>
      <c r="U1987" t="e">
        <f t="shared" si="68"/>
        <v>#REF!</v>
      </c>
    </row>
    <row r="1988" spans="4:21" x14ac:dyDescent="0.2">
      <c r="D1988" s="4"/>
      <c r="G1988" s="5"/>
      <c r="H1988" s="5"/>
      <c r="I1988" s="4"/>
      <c r="J1988" s="4"/>
      <c r="K1988" s="5"/>
      <c r="Q1988" t="e">
        <f>VLOOKUP(A1988,'גיליון דאטה להכל'!A:E,5,0)</f>
        <v>#N/A</v>
      </c>
      <c r="R1988" t="e">
        <f>VLOOKUP(A1988,'לעדכן בסינתזה דאטה אריזה 42+24'!$A:$C,3,0)</f>
        <v>#N/A</v>
      </c>
      <c r="S1988" t="e">
        <f>VLOOKUP(#REF!,'מלאי לא תקין'!A:N,17,0)</f>
        <v>#REF!</v>
      </c>
      <c r="T1988" t="e">
        <f t="shared" si="67"/>
        <v>#REF!</v>
      </c>
      <c r="U1988" t="e">
        <f t="shared" si="68"/>
        <v>#REF!</v>
      </c>
    </row>
    <row r="1989" spans="4:21" x14ac:dyDescent="0.2">
      <c r="D1989" s="4"/>
      <c r="G1989" s="5"/>
      <c r="H1989" s="5"/>
      <c r="I1989" s="4"/>
      <c r="J1989" s="4"/>
      <c r="K1989" s="5"/>
      <c r="Q1989" t="e">
        <f>VLOOKUP(A1989,'גיליון דאטה להכל'!A:E,5,0)</f>
        <v>#N/A</v>
      </c>
      <c r="R1989" t="e">
        <f>VLOOKUP(A1989,'לעדכן בסינתזה דאטה אריזה 42+24'!$A:$C,3,0)</f>
        <v>#N/A</v>
      </c>
      <c r="S1989" t="e">
        <f>VLOOKUP(#REF!,'מלאי לא תקין'!A:N,17,0)</f>
        <v>#REF!</v>
      </c>
      <c r="T1989" t="e">
        <f t="shared" si="67"/>
        <v>#REF!</v>
      </c>
      <c r="U1989" t="e">
        <f t="shared" si="68"/>
        <v>#REF!</v>
      </c>
    </row>
    <row r="1990" spans="4:21" x14ac:dyDescent="0.2">
      <c r="D1990" s="4"/>
      <c r="G1990" s="5"/>
      <c r="H1990" s="7"/>
      <c r="I1990" s="4"/>
      <c r="J1990" s="4"/>
      <c r="K1990" s="5"/>
      <c r="Q1990" t="e">
        <f>VLOOKUP(A1990,'גיליון דאטה להכל'!A:E,5,0)</f>
        <v>#N/A</v>
      </c>
      <c r="R1990" t="e">
        <f>VLOOKUP(A1990,'לעדכן בסינתזה דאטה אריזה 42+24'!$A:$C,3,0)</f>
        <v>#N/A</v>
      </c>
      <c r="S1990" t="e">
        <f>VLOOKUP(#REF!,'מלאי לא תקין'!A:N,17,0)</f>
        <v>#REF!</v>
      </c>
      <c r="T1990" t="e">
        <f t="shared" si="67"/>
        <v>#REF!</v>
      </c>
      <c r="U1990" t="e">
        <f t="shared" si="68"/>
        <v>#REF!</v>
      </c>
    </row>
    <row r="1991" spans="4:21" x14ac:dyDescent="0.2">
      <c r="D1991" s="4"/>
      <c r="G1991" s="5"/>
      <c r="H1991" s="5"/>
      <c r="I1991" s="4"/>
      <c r="J1991" s="4"/>
      <c r="K1991" s="5"/>
      <c r="Q1991" t="e">
        <f>VLOOKUP(A1991,'גיליון דאטה להכל'!A:E,5,0)</f>
        <v>#N/A</v>
      </c>
      <c r="R1991" t="e">
        <f>VLOOKUP(A1991,'לעדכן בסינתזה דאטה אריזה 42+24'!$A:$C,3,0)</f>
        <v>#N/A</v>
      </c>
      <c r="S1991" t="e">
        <f>VLOOKUP(#REF!,'מלאי לא תקין'!A:N,17,0)</f>
        <v>#REF!</v>
      </c>
      <c r="T1991" t="e">
        <f t="shared" si="67"/>
        <v>#REF!</v>
      </c>
      <c r="U1991" t="e">
        <f t="shared" si="68"/>
        <v>#REF!</v>
      </c>
    </row>
    <row r="1992" spans="4:21" x14ac:dyDescent="0.2">
      <c r="D1992" s="4"/>
      <c r="G1992" s="5"/>
      <c r="H1992" s="5"/>
      <c r="I1992" s="4"/>
      <c r="J1992" s="4"/>
      <c r="K1992" s="5"/>
      <c r="Q1992" t="e">
        <f>VLOOKUP(A1992,'גיליון דאטה להכל'!A:E,5,0)</f>
        <v>#N/A</v>
      </c>
      <c r="R1992" t="e">
        <f>VLOOKUP(A1992,'לעדכן בסינתזה דאטה אריזה 42+24'!$A:$C,3,0)</f>
        <v>#N/A</v>
      </c>
      <c r="S1992" t="e">
        <f>VLOOKUP(#REF!,'מלאי לא תקין'!A:N,17,0)</f>
        <v>#REF!</v>
      </c>
      <c r="T1992" t="e">
        <f t="shared" si="67"/>
        <v>#REF!</v>
      </c>
      <c r="U1992" t="e">
        <f t="shared" si="68"/>
        <v>#REF!</v>
      </c>
    </row>
    <row r="1993" spans="4:21" x14ac:dyDescent="0.2">
      <c r="D1993" s="4"/>
      <c r="G1993" s="5"/>
      <c r="H1993" s="5"/>
      <c r="I1993" s="4"/>
      <c r="J1993" s="4"/>
      <c r="K1993" s="5"/>
      <c r="Q1993" t="e">
        <f>VLOOKUP(A1993,'גיליון דאטה להכל'!A:E,5,0)</f>
        <v>#N/A</v>
      </c>
      <c r="R1993" t="e">
        <f>VLOOKUP(A1993,'לעדכן בסינתזה דאטה אריזה 42+24'!$A:$C,3,0)</f>
        <v>#N/A</v>
      </c>
      <c r="S1993" t="e">
        <f>VLOOKUP(#REF!,'מלאי לא תקין'!A:N,17,0)</f>
        <v>#REF!</v>
      </c>
      <c r="T1993" t="e">
        <f t="shared" si="67"/>
        <v>#REF!</v>
      </c>
      <c r="U1993" t="e">
        <f t="shared" si="68"/>
        <v>#REF!</v>
      </c>
    </row>
    <row r="1994" spans="4:21" x14ac:dyDescent="0.2">
      <c r="D1994" s="4"/>
      <c r="G1994" s="5"/>
      <c r="H1994" s="5"/>
      <c r="I1994" s="4"/>
      <c r="J1994" s="4"/>
      <c r="K1994" s="5"/>
      <c r="Q1994" t="e">
        <f>VLOOKUP(A1994,'גיליון דאטה להכל'!A:E,5,0)</f>
        <v>#N/A</v>
      </c>
      <c r="R1994" t="e">
        <f>VLOOKUP(A1994,'לעדכן בסינתזה דאטה אריזה 42+24'!$A:$C,3,0)</f>
        <v>#N/A</v>
      </c>
      <c r="S1994" t="e">
        <f>VLOOKUP(#REF!,'מלאי לא תקין'!A:N,17,0)</f>
        <v>#REF!</v>
      </c>
      <c r="T1994" t="e">
        <f t="shared" si="67"/>
        <v>#REF!</v>
      </c>
      <c r="U1994" t="e">
        <f t="shared" si="68"/>
        <v>#REF!</v>
      </c>
    </row>
    <row r="1995" spans="4:21" x14ac:dyDescent="0.2">
      <c r="D1995" s="4"/>
      <c r="G1995" s="5"/>
      <c r="H1995" s="7"/>
      <c r="I1995" s="4"/>
      <c r="J1995" s="4"/>
      <c r="K1995" s="5"/>
      <c r="Q1995" t="e">
        <f>VLOOKUP(A1995,'גיליון דאטה להכל'!A:E,5,0)</f>
        <v>#N/A</v>
      </c>
      <c r="R1995" t="e">
        <f>VLOOKUP(A1995,'לעדכן בסינתזה דאטה אריזה 42+24'!$A:$C,3,0)</f>
        <v>#N/A</v>
      </c>
      <c r="S1995" t="e">
        <f>VLOOKUP(#REF!,'מלאי לא תקין'!A:N,17,0)</f>
        <v>#REF!</v>
      </c>
      <c r="T1995" t="e">
        <f t="shared" si="67"/>
        <v>#REF!</v>
      </c>
      <c r="U1995" t="e">
        <f t="shared" si="68"/>
        <v>#REF!</v>
      </c>
    </row>
    <row r="1996" spans="4:21" x14ac:dyDescent="0.2">
      <c r="D1996" s="4"/>
      <c r="G1996" s="5"/>
      <c r="H1996" s="5"/>
      <c r="I1996" s="4"/>
      <c r="J1996" s="4"/>
      <c r="K1996" s="5"/>
      <c r="Q1996" t="e">
        <f>VLOOKUP(A1996,'גיליון דאטה להכל'!A:E,5,0)</f>
        <v>#N/A</v>
      </c>
      <c r="R1996" t="e">
        <f>VLOOKUP(A1996,'לעדכן בסינתזה דאטה אריזה 42+24'!$A:$C,3,0)</f>
        <v>#N/A</v>
      </c>
      <c r="S1996" t="e">
        <f>VLOOKUP(#REF!,'מלאי לא תקין'!A:N,17,0)</f>
        <v>#REF!</v>
      </c>
      <c r="T1996" t="e">
        <f t="shared" si="67"/>
        <v>#REF!</v>
      </c>
      <c r="U1996" t="e">
        <f t="shared" si="68"/>
        <v>#REF!</v>
      </c>
    </row>
    <row r="1997" spans="4:21" x14ac:dyDescent="0.2">
      <c r="D1997" s="4"/>
      <c r="G1997" s="5"/>
      <c r="H1997" s="5"/>
      <c r="I1997" s="4"/>
      <c r="J1997" s="4"/>
      <c r="K1997" s="5"/>
      <c r="Q1997" t="e">
        <f>VLOOKUP(A1997,'גיליון דאטה להכל'!A:E,5,0)</f>
        <v>#N/A</v>
      </c>
      <c r="R1997" t="e">
        <f>VLOOKUP(A1997,'לעדכן בסינתזה דאטה אריזה 42+24'!$A:$C,3,0)</f>
        <v>#N/A</v>
      </c>
      <c r="S1997" t="e">
        <f>VLOOKUP(#REF!,'מלאי לא תקין'!A:N,17,0)</f>
        <v>#REF!</v>
      </c>
      <c r="T1997" t="e">
        <f t="shared" si="67"/>
        <v>#REF!</v>
      </c>
      <c r="U1997" t="e">
        <f t="shared" si="68"/>
        <v>#REF!</v>
      </c>
    </row>
    <row r="1998" spans="4:21" x14ac:dyDescent="0.2">
      <c r="D1998" s="4"/>
      <c r="G1998" s="5"/>
      <c r="H1998" s="5"/>
      <c r="I1998" s="4"/>
      <c r="J1998" s="4"/>
      <c r="K1998" s="5"/>
      <c r="Q1998" t="e">
        <f>VLOOKUP(A1998,'גיליון דאטה להכל'!A:E,5,0)</f>
        <v>#N/A</v>
      </c>
      <c r="R1998" t="e">
        <f>VLOOKUP(A1998,'לעדכן בסינתזה דאטה אריזה 42+24'!$A:$C,3,0)</f>
        <v>#N/A</v>
      </c>
      <c r="S1998" t="e">
        <f>VLOOKUP(#REF!,'מלאי לא תקין'!A:N,17,0)</f>
        <v>#REF!</v>
      </c>
      <c r="T1998" t="e">
        <f t="shared" si="67"/>
        <v>#REF!</v>
      </c>
      <c r="U1998" t="e">
        <f t="shared" si="68"/>
        <v>#REF!</v>
      </c>
    </row>
    <row r="1999" spans="4:21" x14ac:dyDescent="0.2">
      <c r="D1999" s="4"/>
      <c r="G1999" s="5"/>
      <c r="H1999" s="5"/>
      <c r="I1999" s="4"/>
      <c r="J1999" s="4"/>
      <c r="K1999" s="5"/>
      <c r="Q1999" t="e">
        <f>VLOOKUP(A1999,'גיליון דאטה להכל'!A:E,5,0)</f>
        <v>#N/A</v>
      </c>
      <c r="R1999" t="e">
        <f>VLOOKUP(A1999,'לעדכן בסינתזה דאטה אריזה 42+24'!$A:$C,3,0)</f>
        <v>#N/A</v>
      </c>
      <c r="S1999" t="e">
        <f>VLOOKUP(#REF!,'מלאי לא תקין'!A:N,17,0)</f>
        <v>#REF!</v>
      </c>
      <c r="T1999" t="e">
        <f t="shared" si="67"/>
        <v>#REF!</v>
      </c>
      <c r="U1999" t="e">
        <f t="shared" si="68"/>
        <v>#REF!</v>
      </c>
    </row>
    <row r="2000" spans="4:21" x14ac:dyDescent="0.2">
      <c r="D2000" s="4"/>
      <c r="G2000" s="5"/>
      <c r="H2000" s="7"/>
      <c r="I2000" s="4"/>
      <c r="J2000" s="4"/>
      <c r="K2000" s="5"/>
      <c r="Q2000" t="e">
        <f>VLOOKUP(A2000,'גיליון דאטה להכל'!A:E,5,0)</f>
        <v>#N/A</v>
      </c>
      <c r="R2000" t="e">
        <f>VLOOKUP(A2000,'לעדכן בסינתזה דאטה אריזה 42+24'!$A:$C,3,0)</f>
        <v>#N/A</v>
      </c>
      <c r="S2000" t="e">
        <f>VLOOKUP(#REF!,'מלאי לא תקין'!A:N,17,0)</f>
        <v>#REF!</v>
      </c>
      <c r="T2000" t="e">
        <f t="shared" si="67"/>
        <v>#REF!</v>
      </c>
      <c r="U2000" t="e">
        <f t="shared" si="68"/>
        <v>#REF!</v>
      </c>
    </row>
    <row r="2001" spans="4:21" x14ac:dyDescent="0.2">
      <c r="D2001" s="4"/>
      <c r="G2001" s="5"/>
      <c r="H2001" s="5"/>
      <c r="I2001" s="4"/>
      <c r="J2001" s="4"/>
      <c r="K2001" s="5"/>
      <c r="Q2001" t="e">
        <f>VLOOKUP(A2001,'גיליון דאטה להכל'!A:E,5,0)</f>
        <v>#N/A</v>
      </c>
      <c r="R2001" t="e">
        <f>VLOOKUP(A2001,'לעדכן בסינתזה דאטה אריזה 42+24'!$A:$C,3,0)</f>
        <v>#N/A</v>
      </c>
      <c r="S2001" t="e">
        <f>VLOOKUP(#REF!,'מלאי לא תקין'!A:N,17,0)</f>
        <v>#REF!</v>
      </c>
      <c r="T2001" t="e">
        <f t="shared" si="67"/>
        <v>#REF!</v>
      </c>
      <c r="U2001" t="e">
        <f t="shared" si="68"/>
        <v>#REF!</v>
      </c>
    </row>
    <row r="2002" spans="4:21" x14ac:dyDescent="0.2">
      <c r="D2002" s="4"/>
      <c r="G2002" s="5"/>
      <c r="H2002" s="5"/>
      <c r="I2002" s="4"/>
      <c r="J2002" s="4"/>
      <c r="K2002" s="5"/>
      <c r="Q2002" t="e">
        <f>VLOOKUP(A2002,'גיליון דאטה להכל'!A:E,5,0)</f>
        <v>#N/A</v>
      </c>
      <c r="R2002" t="e">
        <f>VLOOKUP(A2002,'לעדכן בסינתזה דאטה אריזה 42+24'!$A:$C,3,0)</f>
        <v>#N/A</v>
      </c>
      <c r="S2002" t="e">
        <f>VLOOKUP(#REF!,'מלאי לא תקין'!A:N,17,0)</f>
        <v>#REF!</v>
      </c>
      <c r="T2002" t="e">
        <f t="shared" si="67"/>
        <v>#REF!</v>
      </c>
      <c r="U2002" t="e">
        <f t="shared" si="68"/>
        <v>#REF!</v>
      </c>
    </row>
    <row r="2003" spans="4:21" x14ac:dyDescent="0.2">
      <c r="D2003" s="4"/>
      <c r="G2003" s="5"/>
      <c r="H2003" s="5"/>
      <c r="I2003" s="4"/>
      <c r="J2003" s="4"/>
      <c r="K2003" s="5"/>
      <c r="Q2003" t="e">
        <f>VLOOKUP(A2003,'גיליון דאטה להכל'!A:E,5,0)</f>
        <v>#N/A</v>
      </c>
      <c r="R2003" t="e">
        <f>VLOOKUP(A2003,'לעדכן בסינתזה דאטה אריזה 42+24'!$A:$C,3,0)</f>
        <v>#N/A</v>
      </c>
      <c r="S2003" t="e">
        <f>VLOOKUP(#REF!,'מלאי לא תקין'!A:N,17,0)</f>
        <v>#REF!</v>
      </c>
      <c r="T2003" t="e">
        <f t="shared" si="67"/>
        <v>#REF!</v>
      </c>
      <c r="U2003" t="e">
        <f t="shared" si="68"/>
        <v>#REF!</v>
      </c>
    </row>
    <row r="2004" spans="4:21" x14ac:dyDescent="0.2">
      <c r="D2004" s="4"/>
      <c r="G2004" s="5"/>
      <c r="H2004" s="5"/>
      <c r="I2004" s="4"/>
      <c r="J2004" s="4"/>
      <c r="K2004" s="5"/>
      <c r="Q2004" t="e">
        <f>VLOOKUP(A2004,'גיליון דאטה להכל'!A:E,5,0)</f>
        <v>#N/A</v>
      </c>
      <c r="R2004" t="e">
        <f>VLOOKUP(A2004,'לעדכן בסינתזה דאטה אריזה 42+24'!$A:$C,3,0)</f>
        <v>#N/A</v>
      </c>
      <c r="S2004" t="e">
        <f>VLOOKUP(#REF!,'מלאי לא תקין'!A:N,17,0)</f>
        <v>#REF!</v>
      </c>
      <c r="T2004" t="e">
        <f t="shared" si="67"/>
        <v>#REF!</v>
      </c>
      <c r="U2004" t="e">
        <f t="shared" si="68"/>
        <v>#REF!</v>
      </c>
    </row>
    <row r="2005" spans="4:21" x14ac:dyDescent="0.2">
      <c r="D2005" s="4"/>
      <c r="G2005" s="5"/>
      <c r="H2005" s="7"/>
      <c r="I2005" s="4"/>
      <c r="J2005" s="4"/>
      <c r="K2005" s="5"/>
      <c r="Q2005" t="e">
        <f>VLOOKUP(A2005,'גיליון דאטה להכל'!A:E,5,0)</f>
        <v>#N/A</v>
      </c>
      <c r="R2005" t="e">
        <f>VLOOKUP(A2005,'לעדכן בסינתזה דאטה אריזה 42+24'!$A:$C,3,0)</f>
        <v>#N/A</v>
      </c>
      <c r="S2005" t="e">
        <f>VLOOKUP(#REF!,'מלאי לא תקין'!A:N,17,0)</f>
        <v>#REF!</v>
      </c>
      <c r="T2005" t="e">
        <f t="shared" si="67"/>
        <v>#REF!</v>
      </c>
      <c r="U2005" t="e">
        <f t="shared" si="68"/>
        <v>#REF!</v>
      </c>
    </row>
    <row r="2006" spans="4:21" x14ac:dyDescent="0.2">
      <c r="D2006" s="4"/>
      <c r="G2006" s="5"/>
      <c r="H2006" s="5"/>
      <c r="I2006" s="4"/>
      <c r="J2006" s="4"/>
      <c r="K2006" s="5"/>
      <c r="Q2006" t="e">
        <f>VLOOKUP(A2006,'גיליון דאטה להכל'!A:E,5,0)</f>
        <v>#N/A</v>
      </c>
      <c r="R2006" t="e">
        <f>VLOOKUP(A2006,'לעדכן בסינתזה דאטה אריזה 42+24'!$A:$C,3,0)</f>
        <v>#N/A</v>
      </c>
      <c r="S2006" t="e">
        <f>VLOOKUP(#REF!,'מלאי לא תקין'!A:N,17,0)</f>
        <v>#REF!</v>
      </c>
      <c r="T2006" t="e">
        <f t="shared" si="67"/>
        <v>#REF!</v>
      </c>
      <c r="U2006" t="e">
        <f t="shared" si="68"/>
        <v>#REF!</v>
      </c>
    </row>
    <row r="2007" spans="4:21" x14ac:dyDescent="0.2">
      <c r="D2007" s="4"/>
      <c r="G2007" s="5"/>
      <c r="H2007" s="5"/>
      <c r="I2007" s="4"/>
      <c r="J2007" s="4"/>
      <c r="K2007" s="5"/>
      <c r="Q2007" t="e">
        <f>VLOOKUP(A2007,'גיליון דאטה להכל'!A:E,5,0)</f>
        <v>#N/A</v>
      </c>
      <c r="R2007" t="e">
        <f>VLOOKUP(A2007,'לעדכן בסינתזה דאטה אריזה 42+24'!$A:$C,3,0)</f>
        <v>#N/A</v>
      </c>
      <c r="S2007" t="e">
        <f>VLOOKUP(#REF!,'מלאי לא תקין'!A:N,17,0)</f>
        <v>#REF!</v>
      </c>
      <c r="T2007" t="e">
        <f t="shared" si="67"/>
        <v>#REF!</v>
      </c>
      <c r="U2007" t="e">
        <f t="shared" si="68"/>
        <v>#REF!</v>
      </c>
    </row>
    <row r="2008" spans="4:21" x14ac:dyDescent="0.2">
      <c r="D2008" s="4"/>
      <c r="G2008" s="5"/>
      <c r="H2008" s="5"/>
      <c r="I2008" s="4"/>
      <c r="J2008" s="4"/>
      <c r="K2008" s="5"/>
      <c r="Q2008" t="e">
        <f>VLOOKUP(A2008,'גיליון דאטה להכל'!A:E,5,0)</f>
        <v>#N/A</v>
      </c>
      <c r="R2008" t="e">
        <f>VLOOKUP(A2008,'לעדכן בסינתזה דאטה אריזה 42+24'!$A:$C,3,0)</f>
        <v>#N/A</v>
      </c>
      <c r="S2008" t="e">
        <f>VLOOKUP(#REF!,'מלאי לא תקין'!A:N,17,0)</f>
        <v>#REF!</v>
      </c>
      <c r="T2008" t="e">
        <f t="shared" si="67"/>
        <v>#REF!</v>
      </c>
      <c r="U2008" t="e">
        <f t="shared" si="68"/>
        <v>#REF!</v>
      </c>
    </row>
    <row r="2009" spans="4:21" x14ac:dyDescent="0.2">
      <c r="D2009" s="4"/>
      <c r="G2009" s="5"/>
      <c r="H2009" s="5"/>
      <c r="I2009" s="4"/>
      <c r="J2009" s="4"/>
      <c r="K2009" s="5"/>
      <c r="Q2009" t="e">
        <f>VLOOKUP(A2009,'גיליון דאטה להכל'!A:E,5,0)</f>
        <v>#N/A</v>
      </c>
      <c r="R2009" t="e">
        <f>VLOOKUP(A2009,'לעדכן בסינתזה דאטה אריזה 42+24'!$A:$C,3,0)</f>
        <v>#N/A</v>
      </c>
      <c r="S2009" t="e">
        <f>VLOOKUP(#REF!,'מלאי לא תקין'!A:N,17,0)</f>
        <v>#REF!</v>
      </c>
      <c r="T2009" t="e">
        <f t="shared" si="67"/>
        <v>#REF!</v>
      </c>
      <c r="U2009" t="e">
        <f t="shared" si="68"/>
        <v>#REF!</v>
      </c>
    </row>
    <row r="2010" spans="4:21" x14ac:dyDescent="0.2">
      <c r="D2010" s="4"/>
      <c r="G2010" s="5"/>
      <c r="H2010" s="7"/>
      <c r="I2010" s="4"/>
      <c r="J2010" s="4"/>
      <c r="K2010" s="5"/>
      <c r="Q2010" t="e">
        <f>VLOOKUP(A2010,'גיליון דאטה להכל'!A:E,5,0)</f>
        <v>#N/A</v>
      </c>
      <c r="R2010" t="e">
        <f>VLOOKUP(A2010,'לעדכן בסינתזה דאטה אריזה 42+24'!$A:$C,3,0)</f>
        <v>#N/A</v>
      </c>
      <c r="S2010" t="e">
        <f>VLOOKUP(#REF!,'מלאי לא תקין'!A:N,17,0)</f>
        <v>#REF!</v>
      </c>
      <c r="T2010" t="e">
        <f t="shared" si="67"/>
        <v>#REF!</v>
      </c>
      <c r="U2010" t="e">
        <f t="shared" si="68"/>
        <v>#REF!</v>
      </c>
    </row>
    <row r="2011" spans="4:21" x14ac:dyDescent="0.2">
      <c r="D2011" s="4"/>
      <c r="G2011" s="5"/>
      <c r="H2011" s="5"/>
      <c r="I2011" s="4"/>
      <c r="J2011" s="4"/>
      <c r="K2011" s="5"/>
      <c r="Q2011" t="e">
        <f>VLOOKUP(A2011,'גיליון דאטה להכל'!A:E,5,0)</f>
        <v>#N/A</v>
      </c>
      <c r="R2011" t="e">
        <f>VLOOKUP(A2011,'לעדכן בסינתזה דאטה אריזה 42+24'!$A:$C,3,0)</f>
        <v>#N/A</v>
      </c>
      <c r="S2011" t="e">
        <f>VLOOKUP(#REF!,'מלאי לא תקין'!A:N,17,0)</f>
        <v>#REF!</v>
      </c>
      <c r="T2011" t="e">
        <f t="shared" si="67"/>
        <v>#REF!</v>
      </c>
      <c r="U2011" t="e">
        <f t="shared" si="68"/>
        <v>#REF!</v>
      </c>
    </row>
    <row r="2012" spans="4:21" x14ac:dyDescent="0.2">
      <c r="D2012" s="4"/>
      <c r="G2012" s="5"/>
      <c r="H2012" s="5"/>
      <c r="I2012" s="4"/>
      <c r="J2012" s="4"/>
      <c r="K2012" s="5"/>
      <c r="Q2012" t="e">
        <f>VLOOKUP(A2012,'גיליון דאטה להכל'!A:E,5,0)</f>
        <v>#N/A</v>
      </c>
      <c r="R2012" t="e">
        <f>VLOOKUP(A2012,'לעדכן בסינתזה דאטה אריזה 42+24'!$A:$C,3,0)</f>
        <v>#N/A</v>
      </c>
      <c r="S2012" t="e">
        <f>VLOOKUP(#REF!,'מלאי לא תקין'!A:N,17,0)</f>
        <v>#REF!</v>
      </c>
      <c r="T2012" t="e">
        <f t="shared" si="67"/>
        <v>#REF!</v>
      </c>
      <c r="U2012" t="e">
        <f t="shared" si="68"/>
        <v>#REF!</v>
      </c>
    </row>
    <row r="2013" spans="4:21" x14ac:dyDescent="0.2">
      <c r="D2013" s="4"/>
      <c r="G2013" s="5"/>
      <c r="H2013" s="5"/>
      <c r="I2013" s="4"/>
      <c r="J2013" s="4"/>
      <c r="K2013" s="5"/>
      <c r="Q2013" t="e">
        <f>VLOOKUP(A2013,'גיליון דאטה להכל'!A:E,5,0)</f>
        <v>#N/A</v>
      </c>
      <c r="R2013" t="e">
        <f>VLOOKUP(A2013,'לעדכן בסינתזה דאטה אריזה 42+24'!$A:$C,3,0)</f>
        <v>#N/A</v>
      </c>
      <c r="S2013" t="e">
        <f>VLOOKUP(#REF!,'מלאי לא תקין'!A:N,17,0)</f>
        <v>#REF!</v>
      </c>
      <c r="T2013" t="e">
        <f t="shared" si="67"/>
        <v>#REF!</v>
      </c>
      <c r="U2013" t="e">
        <f t="shared" si="68"/>
        <v>#REF!</v>
      </c>
    </row>
    <row r="2014" spans="4:21" x14ac:dyDescent="0.2">
      <c r="D2014" s="4"/>
      <c r="G2014" s="5"/>
      <c r="H2014" s="5"/>
      <c r="I2014" s="4"/>
      <c r="J2014" s="4"/>
      <c r="K2014" s="5"/>
      <c r="Q2014" t="e">
        <f>VLOOKUP(A2014,'גיליון דאטה להכל'!A:E,5,0)</f>
        <v>#N/A</v>
      </c>
      <c r="R2014" t="e">
        <f>VLOOKUP(A2014,'לעדכן בסינתזה דאטה אריזה 42+24'!$A:$C,3,0)</f>
        <v>#N/A</v>
      </c>
      <c r="S2014" t="e">
        <f>VLOOKUP(#REF!,'מלאי לא תקין'!A:N,17,0)</f>
        <v>#REF!</v>
      </c>
      <c r="T2014" t="e">
        <f t="shared" si="67"/>
        <v>#REF!</v>
      </c>
      <c r="U2014" t="e">
        <f t="shared" si="68"/>
        <v>#REF!</v>
      </c>
    </row>
    <row r="2015" spans="4:21" x14ac:dyDescent="0.2">
      <c r="D2015" s="4"/>
      <c r="G2015" s="5"/>
      <c r="H2015" s="7"/>
      <c r="I2015" s="4"/>
      <c r="J2015" s="4"/>
      <c r="K2015" s="5"/>
      <c r="Q2015" t="e">
        <f>VLOOKUP(A2015,'גיליון דאטה להכל'!A:E,5,0)</f>
        <v>#N/A</v>
      </c>
      <c r="R2015" t="e">
        <f>VLOOKUP(A2015,'לעדכן בסינתזה דאטה אריזה 42+24'!$A:$C,3,0)</f>
        <v>#N/A</v>
      </c>
      <c r="S2015" t="e">
        <f>VLOOKUP(#REF!,'מלאי לא תקין'!A:N,17,0)</f>
        <v>#REF!</v>
      </c>
      <c r="T2015" t="e">
        <f t="shared" si="67"/>
        <v>#REF!</v>
      </c>
      <c r="U2015" t="e">
        <f t="shared" si="68"/>
        <v>#REF!</v>
      </c>
    </row>
    <row r="2016" spans="4:21" x14ac:dyDescent="0.2">
      <c r="D2016" s="4"/>
      <c r="G2016" s="5"/>
      <c r="H2016" s="5"/>
      <c r="I2016" s="4"/>
      <c r="J2016" s="4"/>
      <c r="K2016" s="5"/>
      <c r="Q2016" t="e">
        <f>VLOOKUP(A2016,'גיליון דאטה להכל'!A:E,5,0)</f>
        <v>#N/A</v>
      </c>
      <c r="R2016" t="e">
        <f>VLOOKUP(A2016,'לעדכן בסינתזה דאטה אריזה 42+24'!$A:$C,3,0)</f>
        <v>#N/A</v>
      </c>
      <c r="S2016" t="e">
        <f>VLOOKUP(#REF!,'מלאי לא תקין'!A:N,17,0)</f>
        <v>#REF!</v>
      </c>
      <c r="T2016" t="e">
        <f t="shared" si="67"/>
        <v>#REF!</v>
      </c>
      <c r="U2016" t="e">
        <f t="shared" si="68"/>
        <v>#REF!</v>
      </c>
    </row>
    <row r="2017" spans="4:21" x14ac:dyDescent="0.2">
      <c r="D2017" s="4"/>
      <c r="G2017" s="5"/>
      <c r="H2017" s="5"/>
      <c r="I2017" s="4"/>
      <c r="J2017" s="4"/>
      <c r="K2017" s="5"/>
      <c r="Q2017" t="e">
        <f>VLOOKUP(A2017,'גיליון דאטה להכל'!A:E,5,0)</f>
        <v>#N/A</v>
      </c>
      <c r="R2017" t="e">
        <f>VLOOKUP(A2017,'לעדכן בסינתזה דאטה אריזה 42+24'!$A:$C,3,0)</f>
        <v>#N/A</v>
      </c>
      <c r="S2017" t="e">
        <f>VLOOKUP(#REF!,'מלאי לא תקין'!A:N,17,0)</f>
        <v>#REF!</v>
      </c>
      <c r="T2017" t="e">
        <f t="shared" si="67"/>
        <v>#REF!</v>
      </c>
      <c r="U2017" t="e">
        <f t="shared" si="68"/>
        <v>#REF!</v>
      </c>
    </row>
    <row r="2018" spans="4:21" x14ac:dyDescent="0.2">
      <c r="D2018" s="4"/>
      <c r="G2018" s="5"/>
      <c r="H2018" s="5"/>
      <c r="I2018" s="4"/>
      <c r="J2018" s="4"/>
      <c r="K2018" s="5"/>
      <c r="Q2018" t="e">
        <f>VLOOKUP(A2018,'גיליון דאטה להכל'!A:E,5,0)</f>
        <v>#N/A</v>
      </c>
      <c r="R2018" t="e">
        <f>VLOOKUP(A2018,'לעדכן בסינתזה דאטה אריזה 42+24'!$A:$C,3,0)</f>
        <v>#N/A</v>
      </c>
      <c r="S2018" t="e">
        <f>VLOOKUP(#REF!,'מלאי לא תקין'!A:N,17,0)</f>
        <v>#REF!</v>
      </c>
      <c r="T2018" t="e">
        <f t="shared" si="67"/>
        <v>#REF!</v>
      </c>
      <c r="U2018" t="e">
        <f t="shared" si="68"/>
        <v>#REF!</v>
      </c>
    </row>
    <row r="2019" spans="4:21" x14ac:dyDescent="0.2">
      <c r="D2019" s="4"/>
      <c r="G2019" s="5"/>
      <c r="H2019" s="5"/>
      <c r="I2019" s="4"/>
      <c r="J2019" s="4"/>
      <c r="K2019" s="5"/>
      <c r="Q2019" t="e">
        <f>VLOOKUP(A2019,'גיליון דאטה להכל'!A:E,5,0)</f>
        <v>#N/A</v>
      </c>
      <c r="R2019" t="e">
        <f>VLOOKUP(A2019,'לעדכן בסינתזה דאטה אריזה 42+24'!$A:$C,3,0)</f>
        <v>#N/A</v>
      </c>
      <c r="S2019" t="e">
        <f>VLOOKUP(#REF!,'מלאי לא תקין'!A:N,17,0)</f>
        <v>#REF!</v>
      </c>
      <c r="T2019" t="e">
        <f t="shared" si="67"/>
        <v>#REF!</v>
      </c>
      <c r="U2019" t="e">
        <f t="shared" si="68"/>
        <v>#REF!</v>
      </c>
    </row>
    <row r="2020" spans="4:21" x14ac:dyDescent="0.2">
      <c r="D2020" s="4"/>
      <c r="G2020" s="5"/>
      <c r="H2020" s="7"/>
      <c r="I2020" s="4"/>
      <c r="J2020" s="4"/>
      <c r="K2020" s="5"/>
      <c r="Q2020" t="e">
        <f>VLOOKUP(A2020,'גיליון דאטה להכל'!A:E,5,0)</f>
        <v>#N/A</v>
      </c>
      <c r="R2020" t="e">
        <f>VLOOKUP(A2020,'לעדכן בסינתזה דאטה אריזה 42+24'!$A:$C,3,0)</f>
        <v>#N/A</v>
      </c>
      <c r="S2020" t="e">
        <f>VLOOKUP(#REF!,'מלאי לא תקין'!A:N,17,0)</f>
        <v>#REF!</v>
      </c>
      <c r="T2020" t="e">
        <f t="shared" si="67"/>
        <v>#REF!</v>
      </c>
      <c r="U2020" t="e">
        <f t="shared" si="68"/>
        <v>#REF!</v>
      </c>
    </row>
    <row r="2021" spans="4:21" x14ac:dyDescent="0.2">
      <c r="D2021" s="4"/>
      <c r="G2021" s="5"/>
      <c r="H2021" s="5"/>
      <c r="I2021" s="4"/>
      <c r="J2021" s="4"/>
      <c r="K2021" s="5"/>
      <c r="Q2021" t="e">
        <f>VLOOKUP(A2021,'גיליון דאטה להכל'!A:E,5,0)</f>
        <v>#N/A</v>
      </c>
      <c r="R2021" t="e">
        <f>VLOOKUP(A2021,'לעדכן בסינתזה דאטה אריזה 42+24'!$A:$C,3,0)</f>
        <v>#N/A</v>
      </c>
      <c r="S2021" t="e">
        <f>VLOOKUP(#REF!,'מלאי לא תקין'!A:N,17,0)</f>
        <v>#REF!</v>
      </c>
      <c r="T2021" t="e">
        <f t="shared" si="67"/>
        <v>#REF!</v>
      </c>
      <c r="U2021" t="e">
        <f t="shared" si="68"/>
        <v>#REF!</v>
      </c>
    </row>
    <row r="2022" spans="4:21" x14ac:dyDescent="0.2">
      <c r="D2022" s="4"/>
      <c r="G2022" s="5"/>
      <c r="H2022" s="5"/>
      <c r="I2022" s="4"/>
      <c r="J2022" s="4"/>
      <c r="K2022" s="5"/>
      <c r="Q2022" t="e">
        <f>VLOOKUP(A2022,'גיליון דאטה להכל'!A:E,5,0)</f>
        <v>#N/A</v>
      </c>
      <c r="R2022" t="e">
        <f>VLOOKUP(A2022,'לעדכן בסינתזה דאטה אריזה 42+24'!$A:$C,3,0)</f>
        <v>#N/A</v>
      </c>
      <c r="S2022" t="e">
        <f>VLOOKUP(#REF!,'מלאי לא תקין'!A:N,17,0)</f>
        <v>#REF!</v>
      </c>
      <c r="T2022" t="e">
        <f t="shared" si="67"/>
        <v>#REF!</v>
      </c>
      <c r="U2022" t="e">
        <f t="shared" si="68"/>
        <v>#REF!</v>
      </c>
    </row>
    <row r="2023" spans="4:21" x14ac:dyDescent="0.2">
      <c r="D2023" s="4"/>
      <c r="G2023" s="5"/>
      <c r="H2023" s="5"/>
      <c r="I2023" s="4"/>
      <c r="J2023" s="4"/>
      <c r="K2023" s="5"/>
      <c r="Q2023" t="e">
        <f>VLOOKUP(A2023,'גיליון דאטה להכל'!A:E,5,0)</f>
        <v>#N/A</v>
      </c>
      <c r="R2023" t="e">
        <f>VLOOKUP(A2023,'לעדכן בסינתזה דאטה אריזה 42+24'!$A:$C,3,0)</f>
        <v>#N/A</v>
      </c>
      <c r="S2023" t="e">
        <f>VLOOKUP(#REF!,'מלאי לא תקין'!A:N,17,0)</f>
        <v>#REF!</v>
      </c>
      <c r="T2023" t="e">
        <f t="shared" si="67"/>
        <v>#REF!</v>
      </c>
      <c r="U2023" t="e">
        <f t="shared" si="68"/>
        <v>#REF!</v>
      </c>
    </row>
    <row r="2024" spans="4:21" x14ac:dyDescent="0.2">
      <c r="D2024" s="4"/>
      <c r="G2024" s="5"/>
      <c r="H2024" s="5"/>
      <c r="I2024" s="4"/>
      <c r="J2024" s="4"/>
      <c r="K2024" s="5"/>
      <c r="Q2024" t="e">
        <f>VLOOKUP(A2024,'גיליון דאטה להכל'!A:E,5,0)</f>
        <v>#N/A</v>
      </c>
      <c r="R2024" t="e">
        <f>VLOOKUP(A2024,'לעדכן בסינתזה דאטה אריזה 42+24'!$A:$C,3,0)</f>
        <v>#N/A</v>
      </c>
      <c r="S2024" t="e">
        <f>VLOOKUP(#REF!,'מלאי לא תקין'!A:N,17,0)</f>
        <v>#REF!</v>
      </c>
      <c r="T2024" t="e">
        <f t="shared" si="67"/>
        <v>#REF!</v>
      </c>
      <c r="U2024" t="e">
        <f t="shared" si="68"/>
        <v>#REF!</v>
      </c>
    </row>
    <row r="2025" spans="4:21" x14ac:dyDescent="0.2">
      <c r="D2025" s="4"/>
      <c r="G2025" s="5"/>
      <c r="H2025" s="7"/>
      <c r="I2025" s="4"/>
      <c r="J2025" s="4"/>
      <c r="K2025" s="5"/>
      <c r="Q2025" t="e">
        <f>VLOOKUP(A2025,'גיליון דאטה להכל'!A:E,5,0)</f>
        <v>#N/A</v>
      </c>
      <c r="R2025" t="e">
        <f>VLOOKUP(A2025,'לעדכן בסינתזה דאטה אריזה 42+24'!$A:$C,3,0)</f>
        <v>#N/A</v>
      </c>
      <c r="S2025" t="e">
        <f>VLOOKUP(#REF!,'מלאי לא תקין'!A:N,17,0)</f>
        <v>#REF!</v>
      </c>
      <c r="T2025" t="e">
        <f t="shared" si="67"/>
        <v>#REF!</v>
      </c>
      <c r="U2025" t="e">
        <f t="shared" si="68"/>
        <v>#REF!</v>
      </c>
    </row>
    <row r="2026" spans="4:21" x14ac:dyDescent="0.2">
      <c r="D2026" s="4"/>
      <c r="G2026" s="5"/>
      <c r="H2026" s="5"/>
      <c r="I2026" s="4"/>
      <c r="J2026" s="4"/>
      <c r="K2026" s="5"/>
      <c r="Q2026" t="e">
        <f>VLOOKUP(A2026,'גיליון דאטה להכל'!A:E,5,0)</f>
        <v>#N/A</v>
      </c>
      <c r="R2026" t="e">
        <f>VLOOKUP(A2026,'לעדכן בסינתזה דאטה אריזה 42+24'!$A:$C,3,0)</f>
        <v>#N/A</v>
      </c>
      <c r="S2026" t="e">
        <f>VLOOKUP(#REF!,'מלאי לא תקין'!A:N,17,0)</f>
        <v>#REF!</v>
      </c>
      <c r="T2026" t="e">
        <f t="shared" si="67"/>
        <v>#REF!</v>
      </c>
      <c r="U2026" t="e">
        <f t="shared" si="68"/>
        <v>#REF!</v>
      </c>
    </row>
    <row r="2027" spans="4:21" x14ac:dyDescent="0.2">
      <c r="D2027" s="4"/>
      <c r="G2027" s="5"/>
      <c r="H2027" s="5"/>
      <c r="I2027" s="4"/>
      <c r="J2027" s="4"/>
      <c r="K2027" s="5"/>
      <c r="Q2027" t="e">
        <f>VLOOKUP(A2027,'גיליון דאטה להכל'!A:E,5,0)</f>
        <v>#N/A</v>
      </c>
      <c r="R2027" t="e">
        <f>VLOOKUP(A2027,'לעדכן בסינתזה דאטה אריזה 42+24'!$A:$C,3,0)</f>
        <v>#N/A</v>
      </c>
      <c r="S2027" t="e">
        <f>VLOOKUP(#REF!,'מלאי לא תקין'!A:N,17,0)</f>
        <v>#REF!</v>
      </c>
      <c r="T2027" t="e">
        <f t="shared" si="67"/>
        <v>#REF!</v>
      </c>
      <c r="U2027" t="e">
        <f t="shared" si="68"/>
        <v>#REF!</v>
      </c>
    </row>
    <row r="2028" spans="4:21" x14ac:dyDescent="0.2">
      <c r="D2028" s="4"/>
      <c r="G2028" s="5"/>
      <c r="H2028" s="5"/>
      <c r="I2028" s="4"/>
      <c r="J2028" s="4"/>
      <c r="K2028" s="5"/>
      <c r="Q2028" t="e">
        <f>VLOOKUP(A2028,'גיליון דאטה להכל'!A:E,5,0)</f>
        <v>#N/A</v>
      </c>
      <c r="R2028" t="e">
        <f>VLOOKUP(A2028,'לעדכן בסינתזה דאטה אריזה 42+24'!$A:$C,3,0)</f>
        <v>#N/A</v>
      </c>
      <c r="S2028" t="e">
        <f>VLOOKUP(#REF!,'מלאי לא תקין'!A:N,17,0)</f>
        <v>#REF!</v>
      </c>
      <c r="T2028" t="e">
        <f t="shared" si="67"/>
        <v>#REF!</v>
      </c>
      <c r="U2028" t="e">
        <f t="shared" si="68"/>
        <v>#REF!</v>
      </c>
    </row>
    <row r="2029" spans="4:21" x14ac:dyDescent="0.2">
      <c r="D2029" s="4"/>
      <c r="G2029" s="5"/>
      <c r="H2029" s="5"/>
      <c r="I2029" s="4"/>
      <c r="J2029" s="4"/>
      <c r="K2029" s="5"/>
      <c r="Q2029" t="e">
        <f>VLOOKUP(A2029,'גיליון דאטה להכל'!A:E,5,0)</f>
        <v>#N/A</v>
      </c>
      <c r="R2029" t="e">
        <f>VLOOKUP(A2029,'לעדכן בסינתזה דאטה אריזה 42+24'!$A:$C,3,0)</f>
        <v>#N/A</v>
      </c>
      <c r="S2029" t="e">
        <f>VLOOKUP(#REF!,'מלאי לא תקין'!A:N,17,0)</f>
        <v>#REF!</v>
      </c>
      <c r="T2029" t="e">
        <f t="shared" si="67"/>
        <v>#REF!</v>
      </c>
      <c r="U2029" t="e">
        <f t="shared" si="68"/>
        <v>#REF!</v>
      </c>
    </row>
    <row r="2030" spans="4:21" x14ac:dyDescent="0.2">
      <c r="D2030" s="4"/>
      <c r="G2030" s="5"/>
      <c r="H2030" s="7"/>
      <c r="I2030" s="4"/>
      <c r="J2030" s="4"/>
      <c r="K2030" s="5"/>
      <c r="Q2030" t="e">
        <f>VLOOKUP(A2030,'גיליון דאטה להכל'!A:E,5,0)</f>
        <v>#N/A</v>
      </c>
      <c r="R2030" t="e">
        <f>VLOOKUP(A2030,'לעדכן בסינתזה דאטה אריזה 42+24'!$A:$C,3,0)</f>
        <v>#N/A</v>
      </c>
      <c r="S2030" t="e">
        <f>VLOOKUP(#REF!,'מלאי לא תקין'!A:N,17,0)</f>
        <v>#REF!</v>
      </c>
      <c r="T2030" t="e">
        <f t="shared" si="67"/>
        <v>#REF!</v>
      </c>
      <c r="U2030" t="e">
        <f t="shared" si="68"/>
        <v>#REF!</v>
      </c>
    </row>
    <row r="2031" spans="4:21" x14ac:dyDescent="0.2">
      <c r="D2031" s="4"/>
      <c r="G2031" s="5"/>
      <c r="H2031" s="5"/>
      <c r="I2031" s="4"/>
      <c r="J2031" s="4"/>
      <c r="K2031" s="5"/>
      <c r="Q2031" t="e">
        <f>VLOOKUP(A2031,'גיליון דאטה להכל'!A:E,5,0)</f>
        <v>#N/A</v>
      </c>
      <c r="R2031" t="e">
        <f>VLOOKUP(A2031,'לעדכן בסינתזה דאטה אריזה 42+24'!$A:$C,3,0)</f>
        <v>#N/A</v>
      </c>
      <c r="S2031" t="e">
        <f>VLOOKUP(#REF!,'מלאי לא תקין'!A:N,17,0)</f>
        <v>#REF!</v>
      </c>
      <c r="T2031" t="e">
        <f t="shared" si="67"/>
        <v>#REF!</v>
      </c>
      <c r="U2031" t="e">
        <f t="shared" si="68"/>
        <v>#REF!</v>
      </c>
    </row>
    <row r="2032" spans="4:21" x14ac:dyDescent="0.2">
      <c r="D2032" s="4"/>
      <c r="G2032" s="5"/>
      <c r="H2032" s="5"/>
      <c r="I2032" s="4"/>
      <c r="J2032" s="4"/>
      <c r="K2032" s="5"/>
      <c r="Q2032" t="e">
        <f>VLOOKUP(A2032,'גיליון דאטה להכל'!A:E,5,0)</f>
        <v>#N/A</v>
      </c>
      <c r="R2032" t="e">
        <f>VLOOKUP(A2032,'לעדכן בסינתזה דאטה אריזה 42+24'!$A:$C,3,0)</f>
        <v>#N/A</v>
      </c>
      <c r="S2032" t="e">
        <f>VLOOKUP(#REF!,'מלאי לא תקין'!A:N,17,0)</f>
        <v>#REF!</v>
      </c>
      <c r="T2032" t="e">
        <f t="shared" si="67"/>
        <v>#REF!</v>
      </c>
      <c r="U2032" t="e">
        <f t="shared" si="68"/>
        <v>#REF!</v>
      </c>
    </row>
    <row r="2033" spans="4:21" x14ac:dyDescent="0.2">
      <c r="D2033" s="4"/>
      <c r="G2033" s="5"/>
      <c r="H2033" s="5"/>
      <c r="I2033" s="4"/>
      <c r="J2033" s="4"/>
      <c r="K2033" s="5"/>
      <c r="Q2033" t="e">
        <f>VLOOKUP(A2033,'גיליון דאטה להכל'!A:E,5,0)</f>
        <v>#N/A</v>
      </c>
      <c r="R2033" t="e">
        <f>VLOOKUP(A2033,'לעדכן בסינתזה דאטה אריזה 42+24'!$A:$C,3,0)</f>
        <v>#N/A</v>
      </c>
      <c r="S2033" t="e">
        <f>VLOOKUP(#REF!,'מלאי לא תקין'!A:N,17,0)</f>
        <v>#REF!</v>
      </c>
      <c r="T2033" t="e">
        <f t="shared" si="67"/>
        <v>#REF!</v>
      </c>
      <c r="U2033" t="e">
        <f t="shared" si="68"/>
        <v>#REF!</v>
      </c>
    </row>
    <row r="2034" spans="4:21" x14ac:dyDescent="0.2">
      <c r="D2034" s="4"/>
      <c r="G2034" s="5"/>
      <c r="H2034" s="5"/>
      <c r="I2034" s="4"/>
      <c r="J2034" s="4"/>
      <c r="K2034" s="5"/>
      <c r="Q2034" t="e">
        <f>VLOOKUP(A2034,'גיליון דאטה להכל'!A:E,5,0)</f>
        <v>#N/A</v>
      </c>
      <c r="R2034" t="e">
        <f>VLOOKUP(A2034,'לעדכן בסינתזה דאטה אריזה 42+24'!$A:$C,3,0)</f>
        <v>#N/A</v>
      </c>
      <c r="S2034" t="e">
        <f>VLOOKUP(#REF!,'מלאי לא תקין'!A:N,17,0)</f>
        <v>#REF!</v>
      </c>
      <c r="T2034" t="e">
        <f t="shared" si="67"/>
        <v>#REF!</v>
      </c>
      <c r="U2034" t="e">
        <f t="shared" si="68"/>
        <v>#REF!</v>
      </c>
    </row>
    <row r="2035" spans="4:21" x14ac:dyDescent="0.2">
      <c r="D2035" s="4"/>
      <c r="G2035" s="5"/>
      <c r="H2035" s="7"/>
      <c r="I2035" s="4"/>
      <c r="J2035" s="4"/>
      <c r="K2035" s="5"/>
      <c r="Q2035" t="e">
        <f>VLOOKUP(A2035,'גיליון דאטה להכל'!A:E,5,0)</f>
        <v>#N/A</v>
      </c>
      <c r="R2035" t="e">
        <f>VLOOKUP(A2035,'לעדכן בסינתזה דאטה אריזה 42+24'!$A:$C,3,0)</f>
        <v>#N/A</v>
      </c>
      <c r="S2035" t="e">
        <f>VLOOKUP(#REF!,'מלאי לא תקין'!A:N,17,0)</f>
        <v>#REF!</v>
      </c>
      <c r="T2035" t="e">
        <f t="shared" si="67"/>
        <v>#REF!</v>
      </c>
      <c r="U2035" t="e">
        <f t="shared" si="68"/>
        <v>#REF!</v>
      </c>
    </row>
    <row r="2036" spans="4:21" x14ac:dyDescent="0.2">
      <c r="D2036" s="4"/>
      <c r="G2036" s="5"/>
      <c r="H2036" s="5"/>
      <c r="I2036" s="4"/>
      <c r="J2036" s="4"/>
      <c r="K2036" s="5"/>
      <c r="Q2036" t="e">
        <f>VLOOKUP(A2036,'גיליון דאטה להכל'!A:E,5,0)</f>
        <v>#N/A</v>
      </c>
      <c r="R2036" t="e">
        <f>VLOOKUP(A2036,'לעדכן בסינתזה דאטה אריזה 42+24'!$A:$C,3,0)</f>
        <v>#N/A</v>
      </c>
      <c r="S2036" t="e">
        <f>VLOOKUP(#REF!,'מלאי לא תקין'!A:N,17,0)</f>
        <v>#REF!</v>
      </c>
      <c r="T2036" t="e">
        <f t="shared" si="67"/>
        <v>#REF!</v>
      </c>
      <c r="U2036" t="e">
        <f t="shared" si="68"/>
        <v>#REF!</v>
      </c>
    </row>
    <row r="2037" spans="4:21" x14ac:dyDescent="0.2">
      <c r="D2037" s="4"/>
      <c r="G2037" s="5"/>
      <c r="H2037" s="5"/>
      <c r="I2037" s="4"/>
      <c r="J2037" s="4"/>
      <c r="K2037" s="5"/>
      <c r="Q2037" t="e">
        <f>VLOOKUP(A2037,'גיליון דאטה להכל'!A:E,5,0)</f>
        <v>#N/A</v>
      </c>
      <c r="R2037" t="e">
        <f>VLOOKUP(A2037,'לעדכן בסינתזה דאטה אריזה 42+24'!$A:$C,3,0)</f>
        <v>#N/A</v>
      </c>
      <c r="S2037" t="e">
        <f>VLOOKUP(#REF!,'מלאי לא תקין'!A:N,17,0)</f>
        <v>#REF!</v>
      </c>
      <c r="T2037" t="e">
        <f t="shared" si="67"/>
        <v>#REF!</v>
      </c>
      <c r="U2037" t="e">
        <f t="shared" si="68"/>
        <v>#REF!</v>
      </c>
    </row>
    <row r="2038" spans="4:21" x14ac:dyDescent="0.2">
      <c r="D2038" s="4"/>
      <c r="G2038" s="5"/>
      <c r="H2038" s="5"/>
      <c r="I2038" s="4"/>
      <c r="J2038" s="4"/>
      <c r="K2038" s="5"/>
      <c r="Q2038" t="e">
        <f>VLOOKUP(A2038,'גיליון דאטה להכל'!A:E,5,0)</f>
        <v>#N/A</v>
      </c>
      <c r="R2038" t="e">
        <f>VLOOKUP(A2038,'לעדכן בסינתזה דאטה אריזה 42+24'!$A:$C,3,0)</f>
        <v>#N/A</v>
      </c>
      <c r="S2038" t="e">
        <f>VLOOKUP(#REF!,'מלאי לא תקין'!A:N,17,0)</f>
        <v>#REF!</v>
      </c>
      <c r="T2038" t="e">
        <f t="shared" si="67"/>
        <v>#REF!</v>
      </c>
      <c r="U2038" t="e">
        <f t="shared" si="68"/>
        <v>#REF!</v>
      </c>
    </row>
    <row r="2039" spans="4:21" x14ac:dyDescent="0.2">
      <c r="D2039" s="4"/>
      <c r="G2039" s="5"/>
      <c r="H2039" s="5"/>
      <c r="I2039" s="4"/>
      <c r="J2039" s="4"/>
      <c r="K2039" s="5"/>
      <c r="Q2039" t="e">
        <f>VLOOKUP(A2039,'גיליון דאטה להכל'!A:E,5,0)</f>
        <v>#N/A</v>
      </c>
      <c r="R2039" t="e">
        <f>VLOOKUP(A2039,'לעדכן בסינתזה דאטה אריזה 42+24'!$A:$C,3,0)</f>
        <v>#N/A</v>
      </c>
      <c r="S2039" t="e">
        <f>VLOOKUP(#REF!,'מלאי לא תקין'!A:N,17,0)</f>
        <v>#REF!</v>
      </c>
      <c r="T2039" t="e">
        <f t="shared" si="67"/>
        <v>#REF!</v>
      </c>
      <c r="U2039" t="e">
        <f t="shared" si="68"/>
        <v>#REF!</v>
      </c>
    </row>
    <row r="2040" spans="4:21" x14ac:dyDescent="0.2">
      <c r="D2040" s="4"/>
      <c r="G2040" s="5"/>
      <c r="H2040" s="7"/>
      <c r="I2040" s="4"/>
      <c r="J2040" s="4"/>
      <c r="K2040" s="5"/>
      <c r="Q2040" t="e">
        <f>VLOOKUP(A2040,'גיליון דאטה להכל'!A:E,5,0)</f>
        <v>#N/A</v>
      </c>
      <c r="R2040" t="e">
        <f>VLOOKUP(A2040,'לעדכן בסינתזה דאטה אריזה 42+24'!$A:$C,3,0)</f>
        <v>#N/A</v>
      </c>
      <c r="S2040" t="e">
        <f>VLOOKUP(#REF!,'מלאי לא תקין'!A:N,17,0)</f>
        <v>#REF!</v>
      </c>
      <c r="T2040" t="e">
        <f t="shared" si="67"/>
        <v>#REF!</v>
      </c>
      <c r="U2040" t="e">
        <f t="shared" si="68"/>
        <v>#REF!</v>
      </c>
    </row>
    <row r="2041" spans="4:21" x14ac:dyDescent="0.2">
      <c r="D2041" s="4"/>
      <c r="G2041" s="5"/>
      <c r="H2041" s="5"/>
      <c r="I2041" s="4"/>
      <c r="J2041" s="4"/>
      <c r="K2041" s="5"/>
      <c r="Q2041" t="e">
        <f>VLOOKUP(A2041,'גיליון דאטה להכל'!A:E,5,0)</f>
        <v>#N/A</v>
      </c>
      <c r="R2041" t="e">
        <f>VLOOKUP(A2041,'לעדכן בסינתזה דאטה אריזה 42+24'!$A:$C,3,0)</f>
        <v>#N/A</v>
      </c>
      <c r="S2041" t="e">
        <f>VLOOKUP(#REF!,'מלאי לא תקין'!A:N,17,0)</f>
        <v>#REF!</v>
      </c>
      <c r="T2041" t="e">
        <f t="shared" si="67"/>
        <v>#REF!</v>
      </c>
      <c r="U2041" t="e">
        <f t="shared" si="68"/>
        <v>#REF!</v>
      </c>
    </row>
    <row r="2042" spans="4:21" x14ac:dyDescent="0.2">
      <c r="D2042" s="4"/>
      <c r="G2042" s="5"/>
      <c r="H2042" s="5"/>
      <c r="I2042" s="4"/>
      <c r="J2042" s="4"/>
      <c r="K2042" s="5"/>
      <c r="Q2042" t="e">
        <f>VLOOKUP(A2042,'גיליון דאטה להכל'!A:E,5,0)</f>
        <v>#N/A</v>
      </c>
      <c r="R2042" t="e">
        <f>VLOOKUP(A2042,'לעדכן בסינתזה דאטה אריזה 42+24'!$A:$C,3,0)</f>
        <v>#N/A</v>
      </c>
      <c r="S2042" t="e">
        <f>VLOOKUP(#REF!,'מלאי לא תקין'!A:N,17,0)</f>
        <v>#REF!</v>
      </c>
      <c r="T2042" t="e">
        <f t="shared" si="67"/>
        <v>#REF!</v>
      </c>
      <c r="U2042" t="e">
        <f t="shared" si="68"/>
        <v>#REF!</v>
      </c>
    </row>
    <row r="2043" spans="4:21" x14ac:dyDescent="0.2">
      <c r="D2043" s="4"/>
      <c r="G2043" s="5"/>
      <c r="H2043" s="5"/>
      <c r="I2043" s="4"/>
      <c r="J2043" s="4"/>
      <c r="K2043" s="5"/>
      <c r="Q2043" t="e">
        <f>VLOOKUP(A2043,'גיליון דאטה להכל'!A:E,5,0)</f>
        <v>#N/A</v>
      </c>
      <c r="R2043" t="e">
        <f>VLOOKUP(A2043,'לעדכן בסינתזה דאטה אריזה 42+24'!$A:$C,3,0)</f>
        <v>#N/A</v>
      </c>
      <c r="S2043" t="e">
        <f>VLOOKUP(#REF!,'מלאי לא תקין'!A:N,17,0)</f>
        <v>#REF!</v>
      </c>
      <c r="T2043" t="e">
        <f t="shared" si="67"/>
        <v>#REF!</v>
      </c>
      <c r="U2043" t="e">
        <f t="shared" si="68"/>
        <v>#REF!</v>
      </c>
    </row>
    <row r="2044" spans="4:21" x14ac:dyDescent="0.2">
      <c r="D2044" s="4"/>
      <c r="G2044" s="5"/>
      <c r="H2044" s="5"/>
      <c r="I2044" s="4"/>
      <c r="J2044" s="4"/>
      <c r="K2044" s="5"/>
      <c r="Q2044" t="e">
        <f>VLOOKUP(A2044,'גיליון דאטה להכל'!A:E,5,0)</f>
        <v>#N/A</v>
      </c>
      <c r="R2044" t="e">
        <f>VLOOKUP(A2044,'לעדכן בסינתזה דאטה אריזה 42+24'!$A:$C,3,0)</f>
        <v>#N/A</v>
      </c>
      <c r="S2044" t="e">
        <f>VLOOKUP(#REF!,'מלאי לא תקין'!A:N,17,0)</f>
        <v>#REF!</v>
      </c>
      <c r="T2044" t="e">
        <f t="shared" si="67"/>
        <v>#REF!</v>
      </c>
      <c r="U2044" t="e">
        <f t="shared" si="68"/>
        <v>#REF!</v>
      </c>
    </row>
    <row r="2045" spans="4:21" x14ac:dyDescent="0.2">
      <c r="D2045" s="4"/>
      <c r="G2045" s="5"/>
      <c r="H2045" s="7"/>
      <c r="I2045" s="4"/>
      <c r="J2045" s="4"/>
      <c r="K2045" s="5"/>
      <c r="Q2045" t="e">
        <f>VLOOKUP(A2045,'גיליון דאטה להכל'!A:E,5,0)</f>
        <v>#N/A</v>
      </c>
      <c r="R2045" t="e">
        <f>VLOOKUP(A2045,'לעדכן בסינתזה דאטה אריזה 42+24'!$A:$C,3,0)</f>
        <v>#N/A</v>
      </c>
      <c r="S2045" t="e">
        <f>VLOOKUP(#REF!,'מלאי לא תקין'!A:N,17,0)</f>
        <v>#REF!</v>
      </c>
      <c r="T2045" t="e">
        <f t="shared" si="67"/>
        <v>#REF!</v>
      </c>
      <c r="U2045" t="e">
        <f t="shared" si="68"/>
        <v>#REF!</v>
      </c>
    </row>
    <row r="2046" spans="4:21" x14ac:dyDescent="0.2">
      <c r="D2046" s="4"/>
      <c r="G2046" s="5"/>
      <c r="H2046" s="5"/>
      <c r="I2046" s="4"/>
      <c r="J2046" s="4"/>
      <c r="K2046" s="5"/>
      <c r="Q2046" t="e">
        <f>VLOOKUP(A2046,'גיליון דאטה להכל'!A:E,5,0)</f>
        <v>#N/A</v>
      </c>
      <c r="R2046" t="e">
        <f>VLOOKUP(A2046,'לעדכן בסינתזה דאטה אריזה 42+24'!$A:$C,3,0)</f>
        <v>#N/A</v>
      </c>
      <c r="S2046" t="e">
        <f>VLOOKUP(#REF!,'מלאי לא תקין'!A:N,17,0)</f>
        <v>#REF!</v>
      </c>
      <c r="T2046" t="e">
        <f t="shared" ref="T2046:T2109" si="69">_xlfn.CONCAT(S2046,Q2046)</f>
        <v>#REF!</v>
      </c>
      <c r="U2046" t="e">
        <f t="shared" ref="U2046:U2109" si="70">_xlfn.CONCAT(S2046,O2046)</f>
        <v>#REF!</v>
      </c>
    </row>
    <row r="2047" spans="4:21" x14ac:dyDescent="0.2">
      <c r="D2047" s="4"/>
      <c r="G2047" s="5"/>
      <c r="H2047" s="5"/>
      <c r="I2047" s="4"/>
      <c r="J2047" s="4"/>
      <c r="K2047" s="5"/>
      <c r="Q2047" t="e">
        <f>VLOOKUP(A2047,'גיליון דאטה להכל'!A:E,5,0)</f>
        <v>#N/A</v>
      </c>
      <c r="R2047" t="e">
        <f>VLOOKUP(A2047,'לעדכן בסינתזה דאטה אריזה 42+24'!$A:$C,3,0)</f>
        <v>#N/A</v>
      </c>
      <c r="S2047" t="e">
        <f>VLOOKUP(#REF!,'מלאי לא תקין'!A:N,17,0)</f>
        <v>#REF!</v>
      </c>
      <c r="T2047" t="e">
        <f t="shared" si="69"/>
        <v>#REF!</v>
      </c>
      <c r="U2047" t="e">
        <f t="shared" si="70"/>
        <v>#REF!</v>
      </c>
    </row>
    <row r="2048" spans="4:21" x14ac:dyDescent="0.2">
      <c r="D2048" s="4"/>
      <c r="G2048" s="5"/>
      <c r="H2048" s="5"/>
      <c r="I2048" s="4"/>
      <c r="J2048" s="4"/>
      <c r="K2048" s="5"/>
      <c r="Q2048" t="e">
        <f>VLOOKUP(A2048,'גיליון דאטה להכל'!A:E,5,0)</f>
        <v>#N/A</v>
      </c>
      <c r="R2048" t="e">
        <f>VLOOKUP(A2048,'לעדכן בסינתזה דאטה אריזה 42+24'!$A:$C,3,0)</f>
        <v>#N/A</v>
      </c>
      <c r="S2048" t="e">
        <f>VLOOKUP(#REF!,'מלאי לא תקין'!A:N,17,0)</f>
        <v>#REF!</v>
      </c>
      <c r="T2048" t="e">
        <f t="shared" si="69"/>
        <v>#REF!</v>
      </c>
      <c r="U2048" t="e">
        <f t="shared" si="70"/>
        <v>#REF!</v>
      </c>
    </row>
    <row r="2049" spans="4:21" x14ac:dyDescent="0.2">
      <c r="D2049" s="4"/>
      <c r="G2049" s="5"/>
      <c r="H2049" s="5"/>
      <c r="I2049" s="4"/>
      <c r="J2049" s="4"/>
      <c r="K2049" s="5"/>
      <c r="Q2049" t="e">
        <f>VLOOKUP(A2049,'גיליון דאטה להכל'!A:E,5,0)</f>
        <v>#N/A</v>
      </c>
      <c r="R2049" t="e">
        <f>VLOOKUP(A2049,'לעדכן בסינתזה דאטה אריזה 42+24'!$A:$C,3,0)</f>
        <v>#N/A</v>
      </c>
      <c r="S2049" t="e">
        <f>VLOOKUP(#REF!,'מלאי לא תקין'!A:N,17,0)</f>
        <v>#REF!</v>
      </c>
      <c r="T2049" t="e">
        <f t="shared" si="69"/>
        <v>#REF!</v>
      </c>
      <c r="U2049" t="e">
        <f t="shared" si="70"/>
        <v>#REF!</v>
      </c>
    </row>
    <row r="2050" spans="4:21" x14ac:dyDescent="0.2">
      <c r="D2050" s="4"/>
      <c r="G2050" s="5"/>
      <c r="H2050" s="7"/>
      <c r="I2050" s="4"/>
      <c r="J2050" s="4"/>
      <c r="K2050" s="5"/>
      <c r="Q2050" t="e">
        <f>VLOOKUP(A2050,'גיליון דאטה להכל'!A:E,5,0)</f>
        <v>#N/A</v>
      </c>
      <c r="R2050" t="e">
        <f>VLOOKUP(A2050,'לעדכן בסינתזה דאטה אריזה 42+24'!$A:$C,3,0)</f>
        <v>#N/A</v>
      </c>
      <c r="S2050" t="e">
        <f>VLOOKUP(#REF!,'מלאי לא תקין'!A:N,17,0)</f>
        <v>#REF!</v>
      </c>
      <c r="T2050" t="e">
        <f t="shared" si="69"/>
        <v>#REF!</v>
      </c>
      <c r="U2050" t="e">
        <f t="shared" si="70"/>
        <v>#REF!</v>
      </c>
    </row>
    <row r="2051" spans="4:21" x14ac:dyDescent="0.2">
      <c r="D2051" s="4"/>
      <c r="G2051" s="5"/>
      <c r="H2051" s="5"/>
      <c r="I2051" s="4"/>
      <c r="J2051" s="4"/>
      <c r="K2051" s="5"/>
      <c r="Q2051" t="e">
        <f>VLOOKUP(A2051,'גיליון דאטה להכל'!A:E,5,0)</f>
        <v>#N/A</v>
      </c>
      <c r="R2051" t="e">
        <f>VLOOKUP(A2051,'לעדכן בסינתזה דאטה אריזה 42+24'!$A:$C,3,0)</f>
        <v>#N/A</v>
      </c>
      <c r="S2051" t="e">
        <f>VLOOKUP(#REF!,'מלאי לא תקין'!A:N,17,0)</f>
        <v>#REF!</v>
      </c>
      <c r="T2051" t="e">
        <f t="shared" si="69"/>
        <v>#REF!</v>
      </c>
      <c r="U2051" t="e">
        <f t="shared" si="70"/>
        <v>#REF!</v>
      </c>
    </row>
    <row r="2052" spans="4:21" x14ac:dyDescent="0.2">
      <c r="D2052" s="4"/>
      <c r="G2052" s="5"/>
      <c r="H2052" s="5"/>
      <c r="I2052" s="4"/>
      <c r="J2052" s="4"/>
      <c r="K2052" s="5"/>
      <c r="Q2052" t="e">
        <f>VLOOKUP(A2052,'גיליון דאטה להכל'!A:E,5,0)</f>
        <v>#N/A</v>
      </c>
      <c r="R2052" t="e">
        <f>VLOOKUP(A2052,'לעדכן בסינתזה דאטה אריזה 42+24'!$A:$C,3,0)</f>
        <v>#N/A</v>
      </c>
      <c r="S2052" t="e">
        <f>VLOOKUP(#REF!,'מלאי לא תקין'!A:N,17,0)</f>
        <v>#REF!</v>
      </c>
      <c r="T2052" t="e">
        <f t="shared" si="69"/>
        <v>#REF!</v>
      </c>
      <c r="U2052" t="e">
        <f t="shared" si="70"/>
        <v>#REF!</v>
      </c>
    </row>
    <row r="2053" spans="4:21" x14ac:dyDescent="0.2">
      <c r="D2053" s="4"/>
      <c r="G2053" s="5"/>
      <c r="H2053" s="5"/>
      <c r="I2053" s="4"/>
      <c r="J2053" s="4"/>
      <c r="K2053" s="5"/>
      <c r="Q2053" t="e">
        <f>VLOOKUP(A2053,'גיליון דאטה להכל'!A:E,5,0)</f>
        <v>#N/A</v>
      </c>
      <c r="R2053" t="e">
        <f>VLOOKUP(A2053,'לעדכן בסינתזה דאטה אריזה 42+24'!$A:$C,3,0)</f>
        <v>#N/A</v>
      </c>
      <c r="S2053" t="e">
        <f>VLOOKUP(#REF!,'מלאי לא תקין'!A:N,17,0)</f>
        <v>#REF!</v>
      </c>
      <c r="T2053" t="e">
        <f t="shared" si="69"/>
        <v>#REF!</v>
      </c>
      <c r="U2053" t="e">
        <f t="shared" si="70"/>
        <v>#REF!</v>
      </c>
    </row>
    <row r="2054" spans="4:21" x14ac:dyDescent="0.2">
      <c r="D2054" s="4"/>
      <c r="G2054" s="5"/>
      <c r="H2054" s="5"/>
      <c r="I2054" s="4"/>
      <c r="J2054" s="4"/>
      <c r="K2054" s="5"/>
      <c r="Q2054" t="e">
        <f>VLOOKUP(A2054,'גיליון דאטה להכל'!A:E,5,0)</f>
        <v>#N/A</v>
      </c>
      <c r="R2054" t="e">
        <f>VLOOKUP(A2054,'לעדכן בסינתזה דאטה אריזה 42+24'!$A:$C,3,0)</f>
        <v>#N/A</v>
      </c>
      <c r="S2054" t="e">
        <f>VLOOKUP(#REF!,'מלאי לא תקין'!A:N,17,0)</f>
        <v>#REF!</v>
      </c>
      <c r="T2054" t="e">
        <f t="shared" si="69"/>
        <v>#REF!</v>
      </c>
      <c r="U2054" t="e">
        <f t="shared" si="70"/>
        <v>#REF!</v>
      </c>
    </row>
    <row r="2055" spans="4:21" x14ac:dyDescent="0.2">
      <c r="D2055" s="4"/>
      <c r="G2055" s="5"/>
      <c r="H2055" s="7"/>
      <c r="I2055" s="4"/>
      <c r="J2055" s="4"/>
      <c r="K2055" s="5"/>
      <c r="Q2055" t="e">
        <f>VLOOKUP(A2055,'גיליון דאטה להכל'!A:E,5,0)</f>
        <v>#N/A</v>
      </c>
      <c r="R2055" t="e">
        <f>VLOOKUP(A2055,'לעדכן בסינתזה דאטה אריזה 42+24'!$A:$C,3,0)</f>
        <v>#N/A</v>
      </c>
      <c r="S2055" t="e">
        <f>VLOOKUP(#REF!,'מלאי לא תקין'!A:N,17,0)</f>
        <v>#REF!</v>
      </c>
      <c r="T2055" t="e">
        <f t="shared" si="69"/>
        <v>#REF!</v>
      </c>
      <c r="U2055" t="e">
        <f t="shared" si="70"/>
        <v>#REF!</v>
      </c>
    </row>
    <row r="2056" spans="4:21" x14ac:dyDescent="0.2">
      <c r="D2056" s="4"/>
      <c r="G2056" s="5"/>
      <c r="H2056" s="5"/>
      <c r="I2056" s="4"/>
      <c r="J2056" s="4"/>
      <c r="K2056" s="5"/>
      <c r="Q2056" t="e">
        <f>VLOOKUP(A2056,'גיליון דאטה להכל'!A:E,5,0)</f>
        <v>#N/A</v>
      </c>
      <c r="R2056" t="e">
        <f>VLOOKUP(A2056,'לעדכן בסינתזה דאטה אריזה 42+24'!$A:$C,3,0)</f>
        <v>#N/A</v>
      </c>
      <c r="S2056" t="e">
        <f>VLOOKUP(#REF!,'מלאי לא תקין'!A:N,17,0)</f>
        <v>#REF!</v>
      </c>
      <c r="T2056" t="e">
        <f t="shared" si="69"/>
        <v>#REF!</v>
      </c>
      <c r="U2056" t="e">
        <f t="shared" si="70"/>
        <v>#REF!</v>
      </c>
    </row>
    <row r="2057" spans="4:21" x14ac:dyDescent="0.2">
      <c r="D2057" s="4"/>
      <c r="G2057" s="5"/>
      <c r="H2057" s="5"/>
      <c r="I2057" s="4"/>
      <c r="J2057" s="4"/>
      <c r="K2057" s="5"/>
      <c r="Q2057" t="e">
        <f>VLOOKUP(A2057,'גיליון דאטה להכל'!A:E,5,0)</f>
        <v>#N/A</v>
      </c>
      <c r="R2057" t="e">
        <f>VLOOKUP(A2057,'לעדכן בסינתזה דאטה אריזה 42+24'!$A:$C,3,0)</f>
        <v>#N/A</v>
      </c>
      <c r="S2057" t="e">
        <f>VLOOKUP(#REF!,'מלאי לא תקין'!A:N,17,0)</f>
        <v>#REF!</v>
      </c>
      <c r="T2057" t="e">
        <f t="shared" si="69"/>
        <v>#REF!</v>
      </c>
      <c r="U2057" t="e">
        <f t="shared" si="70"/>
        <v>#REF!</v>
      </c>
    </row>
    <row r="2058" spans="4:21" x14ac:dyDescent="0.2">
      <c r="D2058" s="4"/>
      <c r="G2058" s="5"/>
      <c r="H2058" s="5"/>
      <c r="I2058" s="4"/>
      <c r="J2058" s="4"/>
      <c r="K2058" s="5"/>
      <c r="Q2058" t="e">
        <f>VLOOKUP(A2058,'גיליון דאטה להכל'!A:E,5,0)</f>
        <v>#N/A</v>
      </c>
      <c r="R2058" t="e">
        <f>VLOOKUP(A2058,'לעדכן בסינתזה דאטה אריזה 42+24'!$A:$C,3,0)</f>
        <v>#N/A</v>
      </c>
      <c r="S2058" t="e">
        <f>VLOOKUP(#REF!,'מלאי לא תקין'!A:N,17,0)</f>
        <v>#REF!</v>
      </c>
      <c r="T2058" t="e">
        <f t="shared" si="69"/>
        <v>#REF!</v>
      </c>
      <c r="U2058" t="e">
        <f t="shared" si="70"/>
        <v>#REF!</v>
      </c>
    </row>
    <row r="2059" spans="4:21" x14ac:dyDescent="0.2">
      <c r="D2059" s="4"/>
      <c r="G2059" s="5"/>
      <c r="H2059" s="5"/>
      <c r="I2059" s="4"/>
      <c r="J2059" s="4"/>
      <c r="K2059" s="5"/>
      <c r="Q2059" t="e">
        <f>VLOOKUP(A2059,'גיליון דאטה להכל'!A:E,5,0)</f>
        <v>#N/A</v>
      </c>
      <c r="R2059" t="e">
        <f>VLOOKUP(A2059,'לעדכן בסינתזה דאטה אריזה 42+24'!$A:$C,3,0)</f>
        <v>#N/A</v>
      </c>
      <c r="S2059" t="e">
        <f>VLOOKUP(#REF!,'מלאי לא תקין'!A:N,17,0)</f>
        <v>#REF!</v>
      </c>
      <c r="T2059" t="e">
        <f t="shared" si="69"/>
        <v>#REF!</v>
      </c>
      <c r="U2059" t="e">
        <f t="shared" si="70"/>
        <v>#REF!</v>
      </c>
    </row>
    <row r="2060" spans="4:21" x14ac:dyDescent="0.2">
      <c r="D2060" s="4"/>
      <c r="G2060" s="5"/>
      <c r="H2060" s="7"/>
      <c r="I2060" s="4"/>
      <c r="J2060" s="4"/>
      <c r="K2060" s="5"/>
      <c r="Q2060" t="e">
        <f>VLOOKUP(A2060,'גיליון דאטה להכל'!A:E,5,0)</f>
        <v>#N/A</v>
      </c>
      <c r="R2060" t="e">
        <f>VLOOKUP(A2060,'לעדכן בסינתזה דאטה אריזה 42+24'!$A:$C,3,0)</f>
        <v>#N/A</v>
      </c>
      <c r="S2060" t="e">
        <f>VLOOKUP(#REF!,'מלאי לא תקין'!A:N,17,0)</f>
        <v>#REF!</v>
      </c>
      <c r="T2060" t="e">
        <f t="shared" si="69"/>
        <v>#REF!</v>
      </c>
      <c r="U2060" t="e">
        <f t="shared" si="70"/>
        <v>#REF!</v>
      </c>
    </row>
    <row r="2061" spans="4:21" x14ac:dyDescent="0.2">
      <c r="D2061" s="4"/>
      <c r="G2061" s="5"/>
      <c r="H2061" s="5"/>
      <c r="I2061" s="4"/>
      <c r="J2061" s="4"/>
      <c r="K2061" s="5"/>
      <c r="Q2061" t="e">
        <f>VLOOKUP(A2061,'גיליון דאטה להכל'!A:E,5,0)</f>
        <v>#N/A</v>
      </c>
      <c r="R2061" t="e">
        <f>VLOOKUP(A2061,'לעדכן בסינתזה דאטה אריזה 42+24'!$A:$C,3,0)</f>
        <v>#N/A</v>
      </c>
      <c r="S2061" t="e">
        <f>VLOOKUP(#REF!,'מלאי לא תקין'!A:N,17,0)</f>
        <v>#REF!</v>
      </c>
      <c r="T2061" t="e">
        <f t="shared" si="69"/>
        <v>#REF!</v>
      </c>
      <c r="U2061" t="e">
        <f t="shared" si="70"/>
        <v>#REF!</v>
      </c>
    </row>
    <row r="2062" spans="4:21" x14ac:dyDescent="0.2">
      <c r="D2062" s="4"/>
      <c r="G2062" s="5"/>
      <c r="H2062" s="5"/>
      <c r="I2062" s="4"/>
      <c r="J2062" s="4"/>
      <c r="K2062" s="5"/>
      <c r="Q2062" t="e">
        <f>VLOOKUP(A2062,'גיליון דאטה להכל'!A:E,5,0)</f>
        <v>#N/A</v>
      </c>
      <c r="R2062" t="e">
        <f>VLOOKUP(A2062,'לעדכן בסינתזה דאטה אריזה 42+24'!$A:$C,3,0)</f>
        <v>#N/A</v>
      </c>
      <c r="S2062" t="e">
        <f>VLOOKUP(#REF!,'מלאי לא תקין'!A:N,17,0)</f>
        <v>#REF!</v>
      </c>
      <c r="T2062" t="e">
        <f t="shared" si="69"/>
        <v>#REF!</v>
      </c>
      <c r="U2062" t="e">
        <f t="shared" si="70"/>
        <v>#REF!</v>
      </c>
    </row>
    <row r="2063" spans="4:21" x14ac:dyDescent="0.2">
      <c r="D2063" s="4"/>
      <c r="G2063" s="5"/>
      <c r="H2063" s="5"/>
      <c r="I2063" s="4"/>
      <c r="J2063" s="4"/>
      <c r="K2063" s="5"/>
      <c r="Q2063" t="e">
        <f>VLOOKUP(A2063,'גיליון דאטה להכל'!A:E,5,0)</f>
        <v>#N/A</v>
      </c>
      <c r="R2063" t="e">
        <f>VLOOKUP(A2063,'לעדכן בסינתזה דאטה אריזה 42+24'!$A:$C,3,0)</f>
        <v>#N/A</v>
      </c>
      <c r="S2063" t="e">
        <f>VLOOKUP(#REF!,'מלאי לא תקין'!A:N,17,0)</f>
        <v>#REF!</v>
      </c>
      <c r="T2063" t="e">
        <f t="shared" si="69"/>
        <v>#REF!</v>
      </c>
      <c r="U2063" t="e">
        <f t="shared" si="70"/>
        <v>#REF!</v>
      </c>
    </row>
    <row r="2064" spans="4:21" x14ac:dyDescent="0.2">
      <c r="D2064" s="4"/>
      <c r="G2064" s="5"/>
      <c r="H2064" s="5"/>
      <c r="I2064" s="4"/>
      <c r="J2064" s="4"/>
      <c r="K2064" s="5"/>
      <c r="Q2064" t="e">
        <f>VLOOKUP(A2064,'גיליון דאטה להכל'!A:E,5,0)</f>
        <v>#N/A</v>
      </c>
      <c r="R2064" t="e">
        <f>VLOOKUP(A2064,'לעדכן בסינתזה דאטה אריזה 42+24'!$A:$C,3,0)</f>
        <v>#N/A</v>
      </c>
      <c r="S2064" t="e">
        <f>VLOOKUP(#REF!,'מלאי לא תקין'!A:N,17,0)</f>
        <v>#REF!</v>
      </c>
      <c r="T2064" t="e">
        <f t="shared" si="69"/>
        <v>#REF!</v>
      </c>
      <c r="U2064" t="e">
        <f t="shared" si="70"/>
        <v>#REF!</v>
      </c>
    </row>
    <row r="2065" spans="4:21" x14ac:dyDescent="0.2">
      <c r="D2065" s="4"/>
      <c r="G2065" s="5"/>
      <c r="H2065" s="7"/>
      <c r="I2065" s="4"/>
      <c r="J2065" s="4"/>
      <c r="K2065" s="5"/>
      <c r="Q2065" t="e">
        <f>VLOOKUP(A2065,'גיליון דאטה להכל'!A:E,5,0)</f>
        <v>#N/A</v>
      </c>
      <c r="R2065" t="e">
        <f>VLOOKUP(A2065,'לעדכן בסינתזה דאטה אריזה 42+24'!$A:$C,3,0)</f>
        <v>#N/A</v>
      </c>
      <c r="S2065" t="e">
        <f>VLOOKUP(#REF!,'מלאי לא תקין'!A:N,17,0)</f>
        <v>#REF!</v>
      </c>
      <c r="T2065" t="e">
        <f t="shared" si="69"/>
        <v>#REF!</v>
      </c>
      <c r="U2065" t="e">
        <f t="shared" si="70"/>
        <v>#REF!</v>
      </c>
    </row>
    <row r="2066" spans="4:21" x14ac:dyDescent="0.2">
      <c r="D2066" s="4"/>
      <c r="G2066" s="5"/>
      <c r="H2066" s="5"/>
      <c r="I2066" s="4"/>
      <c r="J2066" s="4"/>
      <c r="K2066" s="5"/>
      <c r="Q2066" t="e">
        <f>VLOOKUP(A2066,'גיליון דאטה להכל'!A:E,5,0)</f>
        <v>#N/A</v>
      </c>
      <c r="R2066" t="e">
        <f>VLOOKUP(A2066,'לעדכן בסינתזה דאטה אריזה 42+24'!$A:$C,3,0)</f>
        <v>#N/A</v>
      </c>
      <c r="S2066" t="e">
        <f>VLOOKUP(#REF!,'מלאי לא תקין'!A:N,17,0)</f>
        <v>#REF!</v>
      </c>
      <c r="T2066" t="e">
        <f t="shared" si="69"/>
        <v>#REF!</v>
      </c>
      <c r="U2066" t="e">
        <f t="shared" si="70"/>
        <v>#REF!</v>
      </c>
    </row>
    <row r="2067" spans="4:21" x14ac:dyDescent="0.2">
      <c r="D2067" s="4"/>
      <c r="G2067" s="5"/>
      <c r="H2067" s="5"/>
      <c r="I2067" s="4"/>
      <c r="J2067" s="4"/>
      <c r="K2067" s="5"/>
      <c r="Q2067" t="e">
        <f>VLOOKUP(A2067,'גיליון דאטה להכל'!A:E,5,0)</f>
        <v>#N/A</v>
      </c>
      <c r="R2067" t="e">
        <f>VLOOKUP(A2067,'לעדכן בסינתזה דאטה אריזה 42+24'!$A:$C,3,0)</f>
        <v>#N/A</v>
      </c>
      <c r="S2067" t="e">
        <f>VLOOKUP(#REF!,'מלאי לא תקין'!A:N,17,0)</f>
        <v>#REF!</v>
      </c>
      <c r="T2067" t="e">
        <f t="shared" si="69"/>
        <v>#REF!</v>
      </c>
      <c r="U2067" t="e">
        <f t="shared" si="70"/>
        <v>#REF!</v>
      </c>
    </row>
    <row r="2068" spans="4:21" x14ac:dyDescent="0.2">
      <c r="D2068" s="4"/>
      <c r="G2068" s="5"/>
      <c r="H2068" s="5"/>
      <c r="I2068" s="4"/>
      <c r="J2068" s="4"/>
      <c r="K2068" s="5"/>
      <c r="Q2068" t="e">
        <f>VLOOKUP(A2068,'גיליון דאטה להכל'!A:E,5,0)</f>
        <v>#N/A</v>
      </c>
      <c r="R2068" t="e">
        <f>VLOOKUP(A2068,'לעדכן בסינתזה דאטה אריזה 42+24'!$A:$C,3,0)</f>
        <v>#N/A</v>
      </c>
      <c r="S2068" t="e">
        <f>VLOOKUP(#REF!,'מלאי לא תקין'!A:N,17,0)</f>
        <v>#REF!</v>
      </c>
      <c r="T2068" t="e">
        <f t="shared" si="69"/>
        <v>#REF!</v>
      </c>
      <c r="U2068" t="e">
        <f t="shared" si="70"/>
        <v>#REF!</v>
      </c>
    </row>
    <row r="2069" spans="4:21" x14ac:dyDescent="0.2">
      <c r="D2069" s="4"/>
      <c r="G2069" s="5"/>
      <c r="H2069" s="5"/>
      <c r="I2069" s="4"/>
      <c r="J2069" s="4"/>
      <c r="K2069" s="5"/>
      <c r="Q2069" t="e">
        <f>VLOOKUP(A2069,'גיליון דאטה להכל'!A:E,5,0)</f>
        <v>#N/A</v>
      </c>
      <c r="R2069" t="e">
        <f>VLOOKUP(A2069,'לעדכן בסינתזה דאטה אריזה 42+24'!$A:$C,3,0)</f>
        <v>#N/A</v>
      </c>
      <c r="S2069" t="e">
        <f>VLOOKUP(#REF!,'מלאי לא תקין'!A:N,17,0)</f>
        <v>#REF!</v>
      </c>
      <c r="T2069" t="e">
        <f t="shared" si="69"/>
        <v>#REF!</v>
      </c>
      <c r="U2069" t="e">
        <f t="shared" si="70"/>
        <v>#REF!</v>
      </c>
    </row>
    <row r="2070" spans="4:21" x14ac:dyDescent="0.2">
      <c r="D2070" s="4"/>
      <c r="G2070" s="5"/>
      <c r="H2070" s="7"/>
      <c r="I2070" s="4"/>
      <c r="J2070" s="4"/>
      <c r="K2070" s="5"/>
      <c r="Q2070" t="e">
        <f>VLOOKUP(A2070,'גיליון דאטה להכל'!A:E,5,0)</f>
        <v>#N/A</v>
      </c>
      <c r="R2070" t="e">
        <f>VLOOKUP(A2070,'לעדכן בסינתזה דאטה אריזה 42+24'!$A:$C,3,0)</f>
        <v>#N/A</v>
      </c>
      <c r="S2070" t="e">
        <f>VLOOKUP(#REF!,'מלאי לא תקין'!A:N,17,0)</f>
        <v>#REF!</v>
      </c>
      <c r="T2070" t="e">
        <f t="shared" si="69"/>
        <v>#REF!</v>
      </c>
      <c r="U2070" t="e">
        <f t="shared" si="70"/>
        <v>#REF!</v>
      </c>
    </row>
    <row r="2071" spans="4:21" x14ac:dyDescent="0.2">
      <c r="D2071" s="4"/>
      <c r="G2071" s="5"/>
      <c r="H2071" s="5"/>
      <c r="I2071" s="4"/>
      <c r="J2071" s="4"/>
      <c r="K2071" s="5"/>
      <c r="Q2071" t="e">
        <f>VLOOKUP(A2071,'גיליון דאטה להכל'!A:E,5,0)</f>
        <v>#N/A</v>
      </c>
      <c r="R2071" t="e">
        <f>VLOOKUP(A2071,'לעדכן בסינתזה דאטה אריזה 42+24'!$A:$C,3,0)</f>
        <v>#N/A</v>
      </c>
      <c r="S2071" t="e">
        <f>VLOOKUP(#REF!,'מלאי לא תקין'!A:N,17,0)</f>
        <v>#REF!</v>
      </c>
      <c r="T2071" t="e">
        <f t="shared" si="69"/>
        <v>#REF!</v>
      </c>
      <c r="U2071" t="e">
        <f t="shared" si="70"/>
        <v>#REF!</v>
      </c>
    </row>
    <row r="2072" spans="4:21" x14ac:dyDescent="0.2">
      <c r="D2072" s="4"/>
      <c r="G2072" s="5"/>
      <c r="H2072" s="5"/>
      <c r="I2072" s="4"/>
      <c r="J2072" s="4"/>
      <c r="K2072" s="5"/>
      <c r="Q2072" t="e">
        <f>VLOOKUP(A2072,'גיליון דאטה להכל'!A:E,5,0)</f>
        <v>#N/A</v>
      </c>
      <c r="R2072" t="e">
        <f>VLOOKUP(A2072,'לעדכן בסינתזה דאטה אריזה 42+24'!$A:$C,3,0)</f>
        <v>#N/A</v>
      </c>
      <c r="S2072" t="e">
        <f>VLOOKUP(#REF!,'מלאי לא תקין'!A:N,17,0)</f>
        <v>#REF!</v>
      </c>
      <c r="T2072" t="e">
        <f t="shared" si="69"/>
        <v>#REF!</v>
      </c>
      <c r="U2072" t="e">
        <f t="shared" si="70"/>
        <v>#REF!</v>
      </c>
    </row>
    <row r="2073" spans="4:21" x14ac:dyDescent="0.2">
      <c r="D2073" s="4"/>
      <c r="G2073" s="5"/>
      <c r="H2073" s="5"/>
      <c r="I2073" s="4"/>
      <c r="J2073" s="4"/>
      <c r="K2073" s="5"/>
      <c r="Q2073" t="e">
        <f>VLOOKUP(A2073,'גיליון דאטה להכל'!A:E,5,0)</f>
        <v>#N/A</v>
      </c>
      <c r="R2073" t="e">
        <f>VLOOKUP(A2073,'לעדכן בסינתזה דאטה אריזה 42+24'!$A:$C,3,0)</f>
        <v>#N/A</v>
      </c>
      <c r="S2073" t="e">
        <f>VLOOKUP(#REF!,'מלאי לא תקין'!A:N,17,0)</f>
        <v>#REF!</v>
      </c>
      <c r="T2073" t="e">
        <f t="shared" si="69"/>
        <v>#REF!</v>
      </c>
      <c r="U2073" t="e">
        <f t="shared" si="70"/>
        <v>#REF!</v>
      </c>
    </row>
    <row r="2074" spans="4:21" x14ac:dyDescent="0.2">
      <c r="D2074" s="4"/>
      <c r="G2074" s="5"/>
      <c r="H2074" s="5"/>
      <c r="I2074" s="4"/>
      <c r="J2074" s="4"/>
      <c r="K2074" s="5"/>
      <c r="Q2074" t="e">
        <f>VLOOKUP(A2074,'גיליון דאטה להכל'!A:E,5,0)</f>
        <v>#N/A</v>
      </c>
      <c r="R2074" t="e">
        <f>VLOOKUP(A2074,'לעדכן בסינתזה דאטה אריזה 42+24'!$A:$C,3,0)</f>
        <v>#N/A</v>
      </c>
      <c r="S2074" t="e">
        <f>VLOOKUP(#REF!,'מלאי לא תקין'!A:N,17,0)</f>
        <v>#REF!</v>
      </c>
      <c r="T2074" t="e">
        <f t="shared" si="69"/>
        <v>#REF!</v>
      </c>
      <c r="U2074" t="e">
        <f t="shared" si="70"/>
        <v>#REF!</v>
      </c>
    </row>
    <row r="2075" spans="4:21" x14ac:dyDescent="0.2">
      <c r="D2075" s="4"/>
      <c r="G2075" s="5"/>
      <c r="H2075" s="7"/>
      <c r="I2075" s="4"/>
      <c r="J2075" s="4"/>
      <c r="K2075" s="5"/>
      <c r="Q2075" t="e">
        <f>VLOOKUP(A2075,'גיליון דאטה להכל'!A:E,5,0)</f>
        <v>#N/A</v>
      </c>
      <c r="R2075" t="e">
        <f>VLOOKUP(A2075,'לעדכן בסינתזה דאטה אריזה 42+24'!$A:$C,3,0)</f>
        <v>#N/A</v>
      </c>
      <c r="S2075" t="e">
        <f>VLOOKUP(#REF!,'מלאי לא תקין'!A:N,17,0)</f>
        <v>#REF!</v>
      </c>
      <c r="T2075" t="e">
        <f t="shared" si="69"/>
        <v>#REF!</v>
      </c>
      <c r="U2075" t="e">
        <f t="shared" si="70"/>
        <v>#REF!</v>
      </c>
    </row>
    <row r="2076" spans="4:21" x14ac:dyDescent="0.2">
      <c r="D2076" s="4"/>
      <c r="G2076" s="5"/>
      <c r="H2076" s="5"/>
      <c r="I2076" s="4"/>
      <c r="J2076" s="4"/>
      <c r="K2076" s="5"/>
      <c r="Q2076" t="e">
        <f>VLOOKUP(A2076,'גיליון דאטה להכל'!A:E,5,0)</f>
        <v>#N/A</v>
      </c>
      <c r="R2076" t="e">
        <f>VLOOKUP(A2076,'לעדכן בסינתזה דאטה אריזה 42+24'!$A:$C,3,0)</f>
        <v>#N/A</v>
      </c>
      <c r="S2076" t="e">
        <f>VLOOKUP(#REF!,'מלאי לא תקין'!A:N,17,0)</f>
        <v>#REF!</v>
      </c>
      <c r="T2076" t="e">
        <f t="shared" si="69"/>
        <v>#REF!</v>
      </c>
      <c r="U2076" t="e">
        <f t="shared" si="70"/>
        <v>#REF!</v>
      </c>
    </row>
    <row r="2077" spans="4:21" x14ac:dyDescent="0.2">
      <c r="D2077" s="4"/>
      <c r="G2077" s="5"/>
      <c r="H2077" s="5"/>
      <c r="I2077" s="4"/>
      <c r="J2077" s="4"/>
      <c r="K2077" s="5"/>
      <c r="Q2077" t="e">
        <f>VLOOKUP(A2077,'גיליון דאטה להכל'!A:E,5,0)</f>
        <v>#N/A</v>
      </c>
      <c r="R2077" t="e">
        <f>VLOOKUP(A2077,'לעדכן בסינתזה דאטה אריזה 42+24'!$A:$C,3,0)</f>
        <v>#N/A</v>
      </c>
      <c r="S2077" t="e">
        <f>VLOOKUP(#REF!,'מלאי לא תקין'!A:N,17,0)</f>
        <v>#REF!</v>
      </c>
      <c r="T2077" t="e">
        <f t="shared" si="69"/>
        <v>#REF!</v>
      </c>
      <c r="U2077" t="e">
        <f t="shared" si="70"/>
        <v>#REF!</v>
      </c>
    </row>
    <row r="2078" spans="4:21" x14ac:dyDescent="0.2">
      <c r="D2078" s="4"/>
      <c r="G2078" s="5"/>
      <c r="H2078" s="5"/>
      <c r="I2078" s="4"/>
      <c r="J2078" s="4"/>
      <c r="K2078" s="5"/>
      <c r="Q2078" t="e">
        <f>VLOOKUP(A2078,'גיליון דאטה להכל'!A:E,5,0)</f>
        <v>#N/A</v>
      </c>
      <c r="R2078" t="e">
        <f>VLOOKUP(A2078,'לעדכן בסינתזה דאטה אריזה 42+24'!$A:$C,3,0)</f>
        <v>#N/A</v>
      </c>
      <c r="S2078" t="e">
        <f>VLOOKUP(#REF!,'מלאי לא תקין'!A:N,17,0)</f>
        <v>#REF!</v>
      </c>
      <c r="T2078" t="e">
        <f t="shared" si="69"/>
        <v>#REF!</v>
      </c>
      <c r="U2078" t="e">
        <f t="shared" si="70"/>
        <v>#REF!</v>
      </c>
    </row>
    <row r="2079" spans="4:21" x14ac:dyDescent="0.2">
      <c r="D2079" s="4"/>
      <c r="G2079" s="5"/>
      <c r="H2079" s="5"/>
      <c r="I2079" s="4"/>
      <c r="J2079" s="4"/>
      <c r="K2079" s="5"/>
      <c r="Q2079" t="e">
        <f>VLOOKUP(A2079,'גיליון דאטה להכל'!A:E,5,0)</f>
        <v>#N/A</v>
      </c>
      <c r="R2079" t="e">
        <f>VLOOKUP(A2079,'לעדכן בסינתזה דאטה אריזה 42+24'!$A:$C,3,0)</f>
        <v>#N/A</v>
      </c>
      <c r="S2079" t="e">
        <f>VLOOKUP(#REF!,'מלאי לא תקין'!A:N,17,0)</f>
        <v>#REF!</v>
      </c>
      <c r="T2079" t="e">
        <f t="shared" si="69"/>
        <v>#REF!</v>
      </c>
      <c r="U2079" t="e">
        <f t="shared" si="70"/>
        <v>#REF!</v>
      </c>
    </row>
    <row r="2080" spans="4:21" x14ac:dyDescent="0.2">
      <c r="D2080" s="4"/>
      <c r="G2080" s="5"/>
      <c r="H2080" s="7"/>
      <c r="I2080" s="4"/>
      <c r="J2080" s="4"/>
      <c r="K2080" s="5"/>
      <c r="Q2080" t="e">
        <f>VLOOKUP(A2080,'גיליון דאטה להכל'!A:E,5,0)</f>
        <v>#N/A</v>
      </c>
      <c r="R2080" t="e">
        <f>VLOOKUP(A2080,'לעדכן בסינתזה דאטה אריזה 42+24'!$A:$C,3,0)</f>
        <v>#N/A</v>
      </c>
      <c r="S2080" t="e">
        <f>VLOOKUP(#REF!,'מלאי לא תקין'!A:N,17,0)</f>
        <v>#REF!</v>
      </c>
      <c r="T2080" t="e">
        <f t="shared" si="69"/>
        <v>#REF!</v>
      </c>
      <c r="U2080" t="e">
        <f t="shared" si="70"/>
        <v>#REF!</v>
      </c>
    </row>
    <row r="2081" spans="4:21" x14ac:dyDescent="0.2">
      <c r="D2081" s="4"/>
      <c r="G2081" s="5"/>
      <c r="H2081" s="5"/>
      <c r="I2081" s="4"/>
      <c r="J2081" s="4"/>
      <c r="K2081" s="5"/>
      <c r="Q2081" t="e">
        <f>VLOOKUP(A2081,'גיליון דאטה להכל'!A:E,5,0)</f>
        <v>#N/A</v>
      </c>
      <c r="R2081" t="e">
        <f>VLOOKUP(A2081,'לעדכן בסינתזה דאטה אריזה 42+24'!$A:$C,3,0)</f>
        <v>#N/A</v>
      </c>
      <c r="S2081" t="e">
        <f>VLOOKUP(#REF!,'מלאי לא תקין'!A:N,17,0)</f>
        <v>#REF!</v>
      </c>
      <c r="T2081" t="e">
        <f t="shared" si="69"/>
        <v>#REF!</v>
      </c>
      <c r="U2081" t="e">
        <f t="shared" si="70"/>
        <v>#REF!</v>
      </c>
    </row>
    <row r="2082" spans="4:21" x14ac:dyDescent="0.2">
      <c r="D2082" s="4"/>
      <c r="G2082" s="5"/>
      <c r="H2082" s="5"/>
      <c r="I2082" s="4"/>
      <c r="J2082" s="4"/>
      <c r="K2082" s="5"/>
      <c r="Q2082" t="e">
        <f>VLOOKUP(A2082,'גיליון דאטה להכל'!A:E,5,0)</f>
        <v>#N/A</v>
      </c>
      <c r="R2082" t="e">
        <f>VLOOKUP(A2082,'לעדכן בסינתזה דאטה אריזה 42+24'!$A:$C,3,0)</f>
        <v>#N/A</v>
      </c>
      <c r="S2082" t="e">
        <f>VLOOKUP(#REF!,'מלאי לא תקין'!A:N,17,0)</f>
        <v>#REF!</v>
      </c>
      <c r="T2082" t="e">
        <f t="shared" si="69"/>
        <v>#REF!</v>
      </c>
      <c r="U2082" t="e">
        <f t="shared" si="70"/>
        <v>#REF!</v>
      </c>
    </row>
    <row r="2083" spans="4:21" x14ac:dyDescent="0.2">
      <c r="D2083" s="4"/>
      <c r="G2083" s="5"/>
      <c r="H2083" s="5"/>
      <c r="I2083" s="4"/>
      <c r="J2083" s="4"/>
      <c r="K2083" s="5"/>
      <c r="Q2083" t="e">
        <f>VLOOKUP(A2083,'גיליון דאטה להכל'!A:E,5,0)</f>
        <v>#N/A</v>
      </c>
      <c r="R2083" t="e">
        <f>VLOOKUP(A2083,'לעדכן בסינתזה דאטה אריזה 42+24'!$A:$C,3,0)</f>
        <v>#N/A</v>
      </c>
      <c r="S2083" t="e">
        <f>VLOOKUP(#REF!,'מלאי לא תקין'!A:N,17,0)</f>
        <v>#REF!</v>
      </c>
      <c r="T2083" t="e">
        <f t="shared" si="69"/>
        <v>#REF!</v>
      </c>
      <c r="U2083" t="e">
        <f t="shared" si="70"/>
        <v>#REF!</v>
      </c>
    </row>
    <row r="2084" spans="4:21" x14ac:dyDescent="0.2">
      <c r="D2084" s="4"/>
      <c r="G2084" s="5"/>
      <c r="H2084" s="5"/>
      <c r="I2084" s="4"/>
      <c r="J2084" s="4"/>
      <c r="K2084" s="5"/>
      <c r="Q2084" t="e">
        <f>VLOOKUP(A2084,'גיליון דאטה להכל'!A:E,5,0)</f>
        <v>#N/A</v>
      </c>
      <c r="R2084" t="e">
        <f>VLOOKUP(A2084,'לעדכן בסינתזה דאטה אריזה 42+24'!$A:$C,3,0)</f>
        <v>#N/A</v>
      </c>
      <c r="S2084" t="e">
        <f>VLOOKUP(#REF!,'מלאי לא תקין'!A:N,17,0)</f>
        <v>#REF!</v>
      </c>
      <c r="T2084" t="e">
        <f t="shared" si="69"/>
        <v>#REF!</v>
      </c>
      <c r="U2084" t="e">
        <f t="shared" si="70"/>
        <v>#REF!</v>
      </c>
    </row>
    <row r="2085" spans="4:21" x14ac:dyDescent="0.2">
      <c r="D2085" s="4"/>
      <c r="G2085" s="5"/>
      <c r="H2085" s="7"/>
      <c r="I2085" s="4"/>
      <c r="J2085" s="4"/>
      <c r="K2085" s="5"/>
      <c r="Q2085" t="e">
        <f>VLOOKUP(A2085,'גיליון דאטה להכל'!A:E,5,0)</f>
        <v>#N/A</v>
      </c>
      <c r="R2085" t="e">
        <f>VLOOKUP(A2085,'לעדכן בסינתזה דאטה אריזה 42+24'!$A:$C,3,0)</f>
        <v>#N/A</v>
      </c>
      <c r="S2085" t="e">
        <f>VLOOKUP(#REF!,'מלאי לא תקין'!A:N,17,0)</f>
        <v>#REF!</v>
      </c>
      <c r="T2085" t="e">
        <f t="shared" si="69"/>
        <v>#REF!</v>
      </c>
      <c r="U2085" t="e">
        <f t="shared" si="70"/>
        <v>#REF!</v>
      </c>
    </row>
    <row r="2086" spans="4:21" x14ac:dyDescent="0.2">
      <c r="D2086" s="4"/>
      <c r="G2086" s="5"/>
      <c r="H2086" s="5"/>
      <c r="I2086" s="4"/>
      <c r="J2086" s="4"/>
      <c r="K2086" s="5"/>
      <c r="Q2086" t="e">
        <f>VLOOKUP(A2086,'גיליון דאטה להכל'!A:E,5,0)</f>
        <v>#N/A</v>
      </c>
      <c r="R2086" t="e">
        <f>VLOOKUP(A2086,'לעדכן בסינתזה דאטה אריזה 42+24'!$A:$C,3,0)</f>
        <v>#N/A</v>
      </c>
      <c r="S2086" t="e">
        <f>VLOOKUP(#REF!,'מלאי לא תקין'!A:N,17,0)</f>
        <v>#REF!</v>
      </c>
      <c r="T2086" t="e">
        <f t="shared" si="69"/>
        <v>#REF!</v>
      </c>
      <c r="U2086" t="e">
        <f t="shared" si="70"/>
        <v>#REF!</v>
      </c>
    </row>
    <row r="2087" spans="4:21" x14ac:dyDescent="0.2">
      <c r="D2087" s="4"/>
      <c r="G2087" s="5"/>
      <c r="H2087" s="5"/>
      <c r="I2087" s="4"/>
      <c r="J2087" s="4"/>
      <c r="K2087" s="5"/>
      <c r="Q2087" t="e">
        <f>VLOOKUP(A2087,'גיליון דאטה להכל'!A:E,5,0)</f>
        <v>#N/A</v>
      </c>
      <c r="R2087" t="e">
        <f>VLOOKUP(A2087,'לעדכן בסינתזה דאטה אריזה 42+24'!$A:$C,3,0)</f>
        <v>#N/A</v>
      </c>
      <c r="S2087" t="e">
        <f>VLOOKUP(#REF!,'מלאי לא תקין'!A:N,17,0)</f>
        <v>#REF!</v>
      </c>
      <c r="T2087" t="e">
        <f t="shared" si="69"/>
        <v>#REF!</v>
      </c>
      <c r="U2087" t="e">
        <f t="shared" si="70"/>
        <v>#REF!</v>
      </c>
    </row>
    <row r="2088" spans="4:21" x14ac:dyDescent="0.2">
      <c r="D2088" s="4"/>
      <c r="G2088" s="5"/>
      <c r="H2088" s="5"/>
      <c r="I2088" s="4"/>
      <c r="J2088" s="4"/>
      <c r="K2088" s="5"/>
      <c r="Q2088" t="e">
        <f>VLOOKUP(A2088,'גיליון דאטה להכל'!A:E,5,0)</f>
        <v>#N/A</v>
      </c>
      <c r="R2088" t="e">
        <f>VLOOKUP(A2088,'לעדכן בסינתזה דאטה אריזה 42+24'!$A:$C,3,0)</f>
        <v>#N/A</v>
      </c>
      <c r="S2088" t="e">
        <f>VLOOKUP(#REF!,'מלאי לא תקין'!A:N,17,0)</f>
        <v>#REF!</v>
      </c>
      <c r="T2088" t="e">
        <f t="shared" si="69"/>
        <v>#REF!</v>
      </c>
      <c r="U2088" t="e">
        <f t="shared" si="70"/>
        <v>#REF!</v>
      </c>
    </row>
    <row r="2089" spans="4:21" x14ac:dyDescent="0.2">
      <c r="D2089" s="4"/>
      <c r="G2089" s="5"/>
      <c r="H2089" s="5"/>
      <c r="I2089" s="4"/>
      <c r="J2089" s="4"/>
      <c r="K2089" s="5"/>
      <c r="Q2089" t="e">
        <f>VLOOKUP(A2089,'גיליון דאטה להכל'!A:E,5,0)</f>
        <v>#N/A</v>
      </c>
      <c r="R2089" t="e">
        <f>VLOOKUP(A2089,'לעדכן בסינתזה דאטה אריזה 42+24'!$A:$C,3,0)</f>
        <v>#N/A</v>
      </c>
      <c r="S2089" t="e">
        <f>VLOOKUP(#REF!,'מלאי לא תקין'!A:N,17,0)</f>
        <v>#REF!</v>
      </c>
      <c r="T2089" t="e">
        <f t="shared" si="69"/>
        <v>#REF!</v>
      </c>
      <c r="U2089" t="e">
        <f t="shared" si="70"/>
        <v>#REF!</v>
      </c>
    </row>
    <row r="2090" spans="4:21" x14ac:dyDescent="0.2">
      <c r="D2090" s="4"/>
      <c r="G2090" s="5"/>
      <c r="H2090" s="7"/>
      <c r="I2090" s="4"/>
      <c r="J2090" s="4"/>
      <c r="K2090" s="5"/>
      <c r="Q2090" t="e">
        <f>VLOOKUP(A2090,'גיליון דאטה להכל'!A:E,5,0)</f>
        <v>#N/A</v>
      </c>
      <c r="R2090" t="e">
        <f>VLOOKUP(A2090,'לעדכן בסינתזה דאטה אריזה 42+24'!$A:$C,3,0)</f>
        <v>#N/A</v>
      </c>
      <c r="S2090" t="e">
        <f>VLOOKUP(#REF!,'מלאי לא תקין'!A:N,17,0)</f>
        <v>#REF!</v>
      </c>
      <c r="T2090" t="e">
        <f t="shared" si="69"/>
        <v>#REF!</v>
      </c>
      <c r="U2090" t="e">
        <f t="shared" si="70"/>
        <v>#REF!</v>
      </c>
    </row>
    <row r="2091" spans="4:21" x14ac:dyDescent="0.2">
      <c r="D2091" s="4"/>
      <c r="G2091" s="5"/>
      <c r="H2091" s="5"/>
      <c r="I2091" s="4"/>
      <c r="J2091" s="4"/>
      <c r="K2091" s="5"/>
      <c r="Q2091" t="e">
        <f>VLOOKUP(A2091,'גיליון דאטה להכל'!A:E,5,0)</f>
        <v>#N/A</v>
      </c>
      <c r="R2091" t="e">
        <f>VLOOKUP(A2091,'לעדכן בסינתזה דאטה אריזה 42+24'!$A:$C,3,0)</f>
        <v>#N/A</v>
      </c>
      <c r="S2091" t="e">
        <f>VLOOKUP(#REF!,'מלאי לא תקין'!A:N,17,0)</f>
        <v>#REF!</v>
      </c>
      <c r="T2091" t="e">
        <f t="shared" si="69"/>
        <v>#REF!</v>
      </c>
      <c r="U2091" t="e">
        <f t="shared" si="70"/>
        <v>#REF!</v>
      </c>
    </row>
    <row r="2092" spans="4:21" x14ac:dyDescent="0.2">
      <c r="D2092" s="4"/>
      <c r="G2092" s="5"/>
      <c r="H2092" s="5"/>
      <c r="I2092" s="4"/>
      <c r="J2092" s="4"/>
      <c r="K2092" s="5"/>
      <c r="Q2092" t="e">
        <f>VLOOKUP(A2092,'גיליון דאטה להכל'!A:E,5,0)</f>
        <v>#N/A</v>
      </c>
      <c r="R2092" t="e">
        <f>VLOOKUP(A2092,'לעדכן בסינתזה דאטה אריזה 42+24'!$A:$C,3,0)</f>
        <v>#N/A</v>
      </c>
      <c r="S2092" t="e">
        <f>VLOOKUP(#REF!,'מלאי לא תקין'!A:N,17,0)</f>
        <v>#REF!</v>
      </c>
      <c r="T2092" t="e">
        <f t="shared" si="69"/>
        <v>#REF!</v>
      </c>
      <c r="U2092" t="e">
        <f t="shared" si="70"/>
        <v>#REF!</v>
      </c>
    </row>
    <row r="2093" spans="4:21" x14ac:dyDescent="0.2">
      <c r="D2093" s="4"/>
      <c r="G2093" s="5"/>
      <c r="H2093" s="5"/>
      <c r="I2093" s="4"/>
      <c r="J2093" s="4"/>
      <c r="K2093" s="5"/>
      <c r="Q2093" t="e">
        <f>VLOOKUP(A2093,'גיליון דאטה להכל'!A:E,5,0)</f>
        <v>#N/A</v>
      </c>
      <c r="R2093" t="e">
        <f>VLOOKUP(A2093,'לעדכן בסינתזה דאטה אריזה 42+24'!$A:$C,3,0)</f>
        <v>#N/A</v>
      </c>
      <c r="S2093" t="e">
        <f>VLOOKUP(#REF!,'מלאי לא תקין'!A:N,17,0)</f>
        <v>#REF!</v>
      </c>
      <c r="T2093" t="e">
        <f t="shared" si="69"/>
        <v>#REF!</v>
      </c>
      <c r="U2093" t="e">
        <f t="shared" si="70"/>
        <v>#REF!</v>
      </c>
    </row>
    <row r="2094" spans="4:21" x14ac:dyDescent="0.2">
      <c r="D2094" s="4"/>
      <c r="G2094" s="5"/>
      <c r="H2094" s="5"/>
      <c r="I2094" s="4"/>
      <c r="J2094" s="4"/>
      <c r="K2094" s="5"/>
      <c r="Q2094" t="e">
        <f>VLOOKUP(A2094,'גיליון דאטה להכל'!A:E,5,0)</f>
        <v>#N/A</v>
      </c>
      <c r="R2094" t="e">
        <f>VLOOKUP(A2094,'לעדכן בסינתזה דאטה אריזה 42+24'!$A:$C,3,0)</f>
        <v>#N/A</v>
      </c>
      <c r="S2094" t="e">
        <f>VLOOKUP(#REF!,'מלאי לא תקין'!A:N,17,0)</f>
        <v>#REF!</v>
      </c>
      <c r="T2094" t="e">
        <f t="shared" si="69"/>
        <v>#REF!</v>
      </c>
      <c r="U2094" t="e">
        <f t="shared" si="70"/>
        <v>#REF!</v>
      </c>
    </row>
    <row r="2095" spans="4:21" x14ac:dyDescent="0.2">
      <c r="D2095" s="4"/>
      <c r="G2095" s="5"/>
      <c r="H2095" s="7"/>
      <c r="I2095" s="4"/>
      <c r="J2095" s="4"/>
      <c r="K2095" s="5"/>
      <c r="Q2095" t="e">
        <f>VLOOKUP(A2095,'גיליון דאטה להכל'!A:E,5,0)</f>
        <v>#N/A</v>
      </c>
      <c r="R2095" t="e">
        <f>VLOOKUP(A2095,'לעדכן בסינתזה דאטה אריזה 42+24'!$A:$C,3,0)</f>
        <v>#N/A</v>
      </c>
      <c r="S2095" t="e">
        <f>VLOOKUP(#REF!,'מלאי לא תקין'!A:N,17,0)</f>
        <v>#REF!</v>
      </c>
      <c r="T2095" t="e">
        <f t="shared" si="69"/>
        <v>#REF!</v>
      </c>
      <c r="U2095" t="e">
        <f t="shared" si="70"/>
        <v>#REF!</v>
      </c>
    </row>
    <row r="2096" spans="4:21" x14ac:dyDescent="0.2">
      <c r="D2096" s="4"/>
      <c r="G2096" s="5"/>
      <c r="H2096" s="5"/>
      <c r="I2096" s="4"/>
      <c r="J2096" s="4"/>
      <c r="K2096" s="5"/>
      <c r="Q2096" t="e">
        <f>VLOOKUP(A2096,'גיליון דאטה להכל'!A:E,5,0)</f>
        <v>#N/A</v>
      </c>
      <c r="R2096" t="e">
        <f>VLOOKUP(A2096,'לעדכן בסינתזה דאטה אריזה 42+24'!$A:$C,3,0)</f>
        <v>#N/A</v>
      </c>
      <c r="S2096" t="e">
        <f>VLOOKUP(#REF!,'מלאי לא תקין'!A:N,17,0)</f>
        <v>#REF!</v>
      </c>
      <c r="T2096" t="e">
        <f t="shared" si="69"/>
        <v>#REF!</v>
      </c>
      <c r="U2096" t="e">
        <f t="shared" si="70"/>
        <v>#REF!</v>
      </c>
    </row>
    <row r="2097" spans="4:21" x14ac:dyDescent="0.2">
      <c r="D2097" s="4"/>
      <c r="G2097" s="5"/>
      <c r="H2097" s="5"/>
      <c r="I2097" s="4"/>
      <c r="J2097" s="4"/>
      <c r="K2097" s="5"/>
      <c r="Q2097" t="e">
        <f>VLOOKUP(A2097,'גיליון דאטה להכל'!A:E,5,0)</f>
        <v>#N/A</v>
      </c>
      <c r="R2097" t="e">
        <f>VLOOKUP(A2097,'לעדכן בסינתזה דאטה אריזה 42+24'!$A:$C,3,0)</f>
        <v>#N/A</v>
      </c>
      <c r="S2097" t="e">
        <f>VLOOKUP(#REF!,'מלאי לא תקין'!A:N,17,0)</f>
        <v>#REF!</v>
      </c>
      <c r="T2097" t="e">
        <f t="shared" si="69"/>
        <v>#REF!</v>
      </c>
      <c r="U2097" t="e">
        <f t="shared" si="70"/>
        <v>#REF!</v>
      </c>
    </row>
    <row r="2098" spans="4:21" x14ac:dyDescent="0.2">
      <c r="D2098" s="4"/>
      <c r="G2098" s="5"/>
      <c r="H2098" s="5"/>
      <c r="I2098" s="4"/>
      <c r="J2098" s="4"/>
      <c r="K2098" s="5"/>
      <c r="Q2098" t="e">
        <f>VLOOKUP(A2098,'גיליון דאטה להכל'!A:E,5,0)</f>
        <v>#N/A</v>
      </c>
      <c r="R2098" t="e">
        <f>VLOOKUP(A2098,'לעדכן בסינתזה דאטה אריזה 42+24'!$A:$C,3,0)</f>
        <v>#N/A</v>
      </c>
      <c r="S2098" t="e">
        <f>VLOOKUP(#REF!,'מלאי לא תקין'!A:N,17,0)</f>
        <v>#REF!</v>
      </c>
      <c r="T2098" t="e">
        <f t="shared" si="69"/>
        <v>#REF!</v>
      </c>
      <c r="U2098" t="e">
        <f t="shared" si="70"/>
        <v>#REF!</v>
      </c>
    </row>
    <row r="2099" spans="4:21" x14ac:dyDescent="0.2">
      <c r="D2099" s="4"/>
      <c r="G2099" s="5"/>
      <c r="H2099" s="5"/>
      <c r="I2099" s="4"/>
      <c r="J2099" s="4"/>
      <c r="K2099" s="5"/>
      <c r="Q2099" t="e">
        <f>VLOOKUP(A2099,'גיליון דאטה להכל'!A:E,5,0)</f>
        <v>#N/A</v>
      </c>
      <c r="R2099" t="e">
        <f>VLOOKUP(A2099,'לעדכן בסינתזה דאטה אריזה 42+24'!$A:$C,3,0)</f>
        <v>#N/A</v>
      </c>
      <c r="S2099" t="e">
        <f>VLOOKUP(#REF!,'מלאי לא תקין'!A:N,17,0)</f>
        <v>#REF!</v>
      </c>
      <c r="T2099" t="e">
        <f t="shared" si="69"/>
        <v>#REF!</v>
      </c>
      <c r="U2099" t="e">
        <f t="shared" si="70"/>
        <v>#REF!</v>
      </c>
    </row>
    <row r="2100" spans="4:21" x14ac:dyDescent="0.2">
      <c r="D2100" s="4"/>
      <c r="G2100" s="5"/>
      <c r="H2100" s="7"/>
      <c r="I2100" s="4"/>
      <c r="J2100" s="4"/>
      <c r="K2100" s="5"/>
      <c r="Q2100" t="e">
        <f>VLOOKUP(A2100,'גיליון דאטה להכל'!A:E,5,0)</f>
        <v>#N/A</v>
      </c>
      <c r="R2100" t="e">
        <f>VLOOKUP(A2100,'לעדכן בסינתזה דאטה אריזה 42+24'!$A:$C,3,0)</f>
        <v>#N/A</v>
      </c>
      <c r="S2100" t="e">
        <f>VLOOKUP(#REF!,'מלאי לא תקין'!A:N,17,0)</f>
        <v>#REF!</v>
      </c>
      <c r="T2100" t="e">
        <f t="shared" si="69"/>
        <v>#REF!</v>
      </c>
      <c r="U2100" t="e">
        <f t="shared" si="70"/>
        <v>#REF!</v>
      </c>
    </row>
    <row r="2101" spans="4:21" x14ac:dyDescent="0.2">
      <c r="D2101" s="4"/>
      <c r="G2101" s="5"/>
      <c r="H2101" s="5"/>
      <c r="I2101" s="4"/>
      <c r="J2101" s="4"/>
      <c r="K2101" s="5"/>
      <c r="Q2101" t="e">
        <f>VLOOKUP(A2101,'גיליון דאטה להכל'!A:E,5,0)</f>
        <v>#N/A</v>
      </c>
      <c r="R2101" t="e">
        <f>VLOOKUP(A2101,'לעדכן בסינתזה דאטה אריזה 42+24'!$A:$C,3,0)</f>
        <v>#N/A</v>
      </c>
      <c r="S2101" t="e">
        <f>VLOOKUP(#REF!,'מלאי לא תקין'!A:N,17,0)</f>
        <v>#REF!</v>
      </c>
      <c r="T2101" t="e">
        <f t="shared" si="69"/>
        <v>#REF!</v>
      </c>
      <c r="U2101" t="e">
        <f t="shared" si="70"/>
        <v>#REF!</v>
      </c>
    </row>
    <row r="2102" spans="4:21" x14ac:dyDescent="0.2">
      <c r="D2102" s="4"/>
      <c r="G2102" s="5"/>
      <c r="H2102" s="5"/>
      <c r="I2102" s="4"/>
      <c r="J2102" s="4"/>
      <c r="K2102" s="5"/>
      <c r="Q2102" t="e">
        <f>VLOOKUP(A2102,'גיליון דאטה להכל'!A:E,5,0)</f>
        <v>#N/A</v>
      </c>
      <c r="R2102" t="e">
        <f>VLOOKUP(A2102,'לעדכן בסינתזה דאטה אריזה 42+24'!$A:$C,3,0)</f>
        <v>#N/A</v>
      </c>
      <c r="S2102" t="e">
        <f>VLOOKUP(#REF!,'מלאי לא תקין'!A:N,17,0)</f>
        <v>#REF!</v>
      </c>
      <c r="T2102" t="e">
        <f t="shared" si="69"/>
        <v>#REF!</v>
      </c>
      <c r="U2102" t="e">
        <f t="shared" si="70"/>
        <v>#REF!</v>
      </c>
    </row>
    <row r="2103" spans="4:21" x14ac:dyDescent="0.2">
      <c r="D2103" s="4"/>
      <c r="G2103" s="5"/>
      <c r="H2103" s="5"/>
      <c r="I2103" s="4"/>
      <c r="J2103" s="4"/>
      <c r="K2103" s="5"/>
      <c r="Q2103" t="e">
        <f>VLOOKUP(A2103,'גיליון דאטה להכל'!A:E,5,0)</f>
        <v>#N/A</v>
      </c>
      <c r="R2103" t="e">
        <f>VLOOKUP(A2103,'לעדכן בסינתזה דאטה אריזה 42+24'!$A:$C,3,0)</f>
        <v>#N/A</v>
      </c>
      <c r="S2103" t="e">
        <f>VLOOKUP(#REF!,'מלאי לא תקין'!A:N,17,0)</f>
        <v>#REF!</v>
      </c>
      <c r="T2103" t="e">
        <f t="shared" si="69"/>
        <v>#REF!</v>
      </c>
      <c r="U2103" t="e">
        <f t="shared" si="70"/>
        <v>#REF!</v>
      </c>
    </row>
    <row r="2104" spans="4:21" x14ac:dyDescent="0.2">
      <c r="D2104" s="4"/>
      <c r="G2104" s="5"/>
      <c r="H2104" s="5"/>
      <c r="I2104" s="4"/>
      <c r="J2104" s="4"/>
      <c r="K2104" s="5"/>
      <c r="Q2104" t="e">
        <f>VLOOKUP(A2104,'גיליון דאטה להכל'!A:E,5,0)</f>
        <v>#N/A</v>
      </c>
      <c r="R2104" t="e">
        <f>VLOOKUP(A2104,'לעדכן בסינתזה דאטה אריזה 42+24'!$A:$C,3,0)</f>
        <v>#N/A</v>
      </c>
      <c r="S2104" t="e">
        <f>VLOOKUP(#REF!,'מלאי לא תקין'!A:N,17,0)</f>
        <v>#REF!</v>
      </c>
      <c r="T2104" t="e">
        <f t="shared" si="69"/>
        <v>#REF!</v>
      </c>
      <c r="U2104" t="e">
        <f t="shared" si="70"/>
        <v>#REF!</v>
      </c>
    </row>
    <row r="2105" spans="4:21" x14ac:dyDescent="0.2">
      <c r="D2105" s="4"/>
      <c r="G2105" s="5"/>
      <c r="H2105" s="7"/>
      <c r="I2105" s="4"/>
      <c r="J2105" s="4"/>
      <c r="K2105" s="5"/>
      <c r="Q2105" t="e">
        <f>VLOOKUP(A2105,'גיליון דאטה להכל'!A:E,5,0)</f>
        <v>#N/A</v>
      </c>
      <c r="R2105" t="e">
        <f>VLOOKUP(A2105,'לעדכן בסינתזה דאטה אריזה 42+24'!$A:$C,3,0)</f>
        <v>#N/A</v>
      </c>
      <c r="S2105" t="e">
        <f>VLOOKUP(#REF!,'מלאי לא תקין'!A:N,17,0)</f>
        <v>#REF!</v>
      </c>
      <c r="T2105" t="e">
        <f t="shared" si="69"/>
        <v>#REF!</v>
      </c>
      <c r="U2105" t="e">
        <f t="shared" si="70"/>
        <v>#REF!</v>
      </c>
    </row>
    <row r="2106" spans="4:21" x14ac:dyDescent="0.2">
      <c r="D2106" s="4"/>
      <c r="G2106" s="5"/>
      <c r="H2106" s="5"/>
      <c r="I2106" s="4"/>
      <c r="J2106" s="4"/>
      <c r="K2106" s="5"/>
      <c r="Q2106" t="e">
        <f>VLOOKUP(A2106,'גיליון דאטה להכל'!A:E,5,0)</f>
        <v>#N/A</v>
      </c>
      <c r="R2106" t="e">
        <f>VLOOKUP(A2106,'לעדכן בסינתזה דאטה אריזה 42+24'!$A:$C,3,0)</f>
        <v>#N/A</v>
      </c>
      <c r="S2106" t="e">
        <f>VLOOKUP(#REF!,'מלאי לא תקין'!A:N,17,0)</f>
        <v>#REF!</v>
      </c>
      <c r="T2106" t="e">
        <f t="shared" si="69"/>
        <v>#REF!</v>
      </c>
      <c r="U2106" t="e">
        <f t="shared" si="70"/>
        <v>#REF!</v>
      </c>
    </row>
    <row r="2107" spans="4:21" x14ac:dyDescent="0.2">
      <c r="D2107" s="4"/>
      <c r="G2107" s="5"/>
      <c r="H2107" s="5"/>
      <c r="I2107" s="4"/>
      <c r="J2107" s="4"/>
      <c r="K2107" s="5"/>
      <c r="Q2107" t="e">
        <f>VLOOKUP(A2107,'גיליון דאטה להכל'!A:E,5,0)</f>
        <v>#N/A</v>
      </c>
      <c r="R2107" t="e">
        <f>VLOOKUP(A2107,'לעדכן בסינתזה דאטה אריזה 42+24'!$A:$C,3,0)</f>
        <v>#N/A</v>
      </c>
      <c r="S2107" t="e">
        <f>VLOOKUP(#REF!,'מלאי לא תקין'!A:N,17,0)</f>
        <v>#REF!</v>
      </c>
      <c r="T2107" t="e">
        <f t="shared" si="69"/>
        <v>#REF!</v>
      </c>
      <c r="U2107" t="e">
        <f t="shared" si="70"/>
        <v>#REF!</v>
      </c>
    </row>
    <row r="2108" spans="4:21" x14ac:dyDescent="0.2">
      <c r="D2108" s="4"/>
      <c r="G2108" s="5"/>
      <c r="H2108" s="5"/>
      <c r="I2108" s="4"/>
      <c r="J2108" s="4"/>
      <c r="K2108" s="5"/>
      <c r="Q2108" t="e">
        <f>VLOOKUP(A2108,'גיליון דאטה להכל'!A:E,5,0)</f>
        <v>#N/A</v>
      </c>
      <c r="R2108" t="e">
        <f>VLOOKUP(A2108,'לעדכן בסינתזה דאטה אריזה 42+24'!$A:$C,3,0)</f>
        <v>#N/A</v>
      </c>
      <c r="S2108" t="e">
        <f>VLOOKUP(#REF!,'מלאי לא תקין'!A:N,17,0)</f>
        <v>#REF!</v>
      </c>
      <c r="T2108" t="e">
        <f t="shared" si="69"/>
        <v>#REF!</v>
      </c>
      <c r="U2108" t="e">
        <f t="shared" si="70"/>
        <v>#REF!</v>
      </c>
    </row>
    <row r="2109" spans="4:21" x14ac:dyDescent="0.2">
      <c r="D2109" s="4"/>
      <c r="G2109" s="5"/>
      <c r="H2109" s="5"/>
      <c r="I2109" s="4"/>
      <c r="J2109" s="4"/>
      <c r="K2109" s="5"/>
      <c r="Q2109" t="e">
        <f>VLOOKUP(A2109,'גיליון דאטה להכל'!A:E,5,0)</f>
        <v>#N/A</v>
      </c>
      <c r="R2109" t="e">
        <f>VLOOKUP(A2109,'לעדכן בסינתזה דאטה אריזה 42+24'!$A:$C,3,0)</f>
        <v>#N/A</v>
      </c>
      <c r="S2109" t="e">
        <f>VLOOKUP(#REF!,'מלאי לא תקין'!A:N,17,0)</f>
        <v>#REF!</v>
      </c>
      <c r="T2109" t="e">
        <f t="shared" si="69"/>
        <v>#REF!</v>
      </c>
      <c r="U2109" t="e">
        <f t="shared" si="70"/>
        <v>#REF!</v>
      </c>
    </row>
    <row r="2110" spans="4:21" x14ac:dyDescent="0.2">
      <c r="D2110" s="4"/>
      <c r="G2110" s="5"/>
      <c r="H2110" s="7"/>
      <c r="I2110" s="4"/>
      <c r="J2110" s="4"/>
      <c r="K2110" s="5"/>
      <c r="Q2110" t="e">
        <f>VLOOKUP(A2110,'גיליון דאטה להכל'!A:E,5,0)</f>
        <v>#N/A</v>
      </c>
      <c r="R2110" t="e">
        <f>VLOOKUP(A2110,'לעדכן בסינתזה דאטה אריזה 42+24'!$A:$C,3,0)</f>
        <v>#N/A</v>
      </c>
      <c r="S2110" t="e">
        <f>VLOOKUP(#REF!,'מלאי לא תקין'!A:N,17,0)</f>
        <v>#REF!</v>
      </c>
      <c r="T2110" t="e">
        <f t="shared" ref="T2110:T2173" si="71">_xlfn.CONCAT(S2110,Q2110)</f>
        <v>#REF!</v>
      </c>
      <c r="U2110" t="e">
        <f t="shared" ref="U2110:U2173" si="72">_xlfn.CONCAT(S2110,O2110)</f>
        <v>#REF!</v>
      </c>
    </row>
    <row r="2111" spans="4:21" x14ac:dyDescent="0.2">
      <c r="D2111" s="4"/>
      <c r="G2111" s="5"/>
      <c r="H2111" s="5"/>
      <c r="I2111" s="4"/>
      <c r="J2111" s="4"/>
      <c r="K2111" s="5"/>
      <c r="Q2111" t="e">
        <f>VLOOKUP(A2111,'גיליון דאטה להכל'!A:E,5,0)</f>
        <v>#N/A</v>
      </c>
      <c r="R2111" t="e">
        <f>VLOOKUP(A2111,'לעדכן בסינתזה דאטה אריזה 42+24'!$A:$C,3,0)</f>
        <v>#N/A</v>
      </c>
      <c r="S2111" t="e">
        <f>VLOOKUP(#REF!,'מלאי לא תקין'!A:N,17,0)</f>
        <v>#REF!</v>
      </c>
      <c r="T2111" t="e">
        <f t="shared" si="71"/>
        <v>#REF!</v>
      </c>
      <c r="U2111" t="e">
        <f t="shared" si="72"/>
        <v>#REF!</v>
      </c>
    </row>
    <row r="2112" spans="4:21" x14ac:dyDescent="0.2">
      <c r="D2112" s="4"/>
      <c r="G2112" s="5"/>
      <c r="H2112" s="5"/>
      <c r="I2112" s="4"/>
      <c r="J2112" s="4"/>
      <c r="K2112" s="5"/>
      <c r="Q2112" t="e">
        <f>VLOOKUP(A2112,'גיליון דאטה להכל'!A:E,5,0)</f>
        <v>#N/A</v>
      </c>
      <c r="R2112" t="e">
        <f>VLOOKUP(A2112,'לעדכן בסינתזה דאטה אריזה 42+24'!$A:$C,3,0)</f>
        <v>#N/A</v>
      </c>
      <c r="S2112" t="e">
        <f>VLOOKUP(#REF!,'מלאי לא תקין'!A:N,17,0)</f>
        <v>#REF!</v>
      </c>
      <c r="T2112" t="e">
        <f t="shared" si="71"/>
        <v>#REF!</v>
      </c>
      <c r="U2112" t="e">
        <f t="shared" si="72"/>
        <v>#REF!</v>
      </c>
    </row>
    <row r="2113" spans="4:21" x14ac:dyDescent="0.2">
      <c r="D2113" s="4"/>
      <c r="G2113" s="5"/>
      <c r="H2113" s="5"/>
      <c r="I2113" s="4"/>
      <c r="J2113" s="4"/>
      <c r="K2113" s="5"/>
      <c r="Q2113" t="e">
        <f>VLOOKUP(A2113,'גיליון דאטה להכל'!A:E,5,0)</f>
        <v>#N/A</v>
      </c>
      <c r="R2113" t="e">
        <f>VLOOKUP(A2113,'לעדכן בסינתזה דאטה אריזה 42+24'!$A:$C,3,0)</f>
        <v>#N/A</v>
      </c>
      <c r="S2113" t="e">
        <f>VLOOKUP(#REF!,'מלאי לא תקין'!A:N,17,0)</f>
        <v>#REF!</v>
      </c>
      <c r="T2113" t="e">
        <f t="shared" si="71"/>
        <v>#REF!</v>
      </c>
      <c r="U2113" t="e">
        <f t="shared" si="72"/>
        <v>#REF!</v>
      </c>
    </row>
    <row r="2114" spans="4:21" x14ac:dyDescent="0.2">
      <c r="D2114" s="4"/>
      <c r="G2114" s="5"/>
      <c r="H2114" s="5"/>
      <c r="I2114" s="4"/>
      <c r="J2114" s="4"/>
      <c r="K2114" s="5"/>
      <c r="Q2114" t="e">
        <f>VLOOKUP(A2114,'גיליון דאטה להכל'!A:E,5,0)</f>
        <v>#N/A</v>
      </c>
      <c r="R2114" t="e">
        <f>VLOOKUP(A2114,'לעדכן בסינתזה דאטה אריזה 42+24'!$A:$C,3,0)</f>
        <v>#N/A</v>
      </c>
      <c r="S2114" t="e">
        <f>VLOOKUP(#REF!,'מלאי לא תקין'!A:N,17,0)</f>
        <v>#REF!</v>
      </c>
      <c r="T2114" t="e">
        <f t="shared" si="71"/>
        <v>#REF!</v>
      </c>
      <c r="U2114" t="e">
        <f t="shared" si="72"/>
        <v>#REF!</v>
      </c>
    </row>
    <row r="2115" spans="4:21" x14ac:dyDescent="0.2">
      <c r="D2115" s="4"/>
      <c r="G2115" s="5"/>
      <c r="H2115" s="7"/>
      <c r="I2115" s="4"/>
      <c r="J2115" s="4"/>
      <c r="K2115" s="5"/>
      <c r="Q2115" t="e">
        <f>VLOOKUP(A2115,'גיליון דאטה להכל'!A:E,5,0)</f>
        <v>#N/A</v>
      </c>
      <c r="R2115" t="e">
        <f>VLOOKUP(A2115,'לעדכן בסינתזה דאטה אריזה 42+24'!$A:$C,3,0)</f>
        <v>#N/A</v>
      </c>
      <c r="S2115" t="e">
        <f>VLOOKUP(#REF!,'מלאי לא תקין'!A:N,17,0)</f>
        <v>#REF!</v>
      </c>
      <c r="T2115" t="e">
        <f t="shared" si="71"/>
        <v>#REF!</v>
      </c>
      <c r="U2115" t="e">
        <f t="shared" si="72"/>
        <v>#REF!</v>
      </c>
    </row>
    <row r="2116" spans="4:21" x14ac:dyDescent="0.2">
      <c r="D2116" s="4"/>
      <c r="G2116" s="5"/>
      <c r="H2116" s="5"/>
      <c r="I2116" s="4"/>
      <c r="J2116" s="4"/>
      <c r="K2116" s="5"/>
      <c r="Q2116" t="e">
        <f>VLOOKUP(A2116,'גיליון דאטה להכל'!A:E,5,0)</f>
        <v>#N/A</v>
      </c>
      <c r="R2116" t="e">
        <f>VLOOKUP(A2116,'לעדכן בסינתזה דאטה אריזה 42+24'!$A:$C,3,0)</f>
        <v>#N/A</v>
      </c>
      <c r="S2116" t="e">
        <f>VLOOKUP(#REF!,'מלאי לא תקין'!A:N,17,0)</f>
        <v>#REF!</v>
      </c>
      <c r="T2116" t="e">
        <f t="shared" si="71"/>
        <v>#REF!</v>
      </c>
      <c r="U2116" t="e">
        <f t="shared" si="72"/>
        <v>#REF!</v>
      </c>
    </row>
    <row r="2117" spans="4:21" x14ac:dyDescent="0.2">
      <c r="D2117" s="4"/>
      <c r="G2117" s="5"/>
      <c r="H2117" s="5"/>
      <c r="I2117" s="4"/>
      <c r="J2117" s="4"/>
      <c r="K2117" s="5"/>
      <c r="Q2117" t="e">
        <f>VLOOKUP(A2117,'גיליון דאטה להכל'!A:E,5,0)</f>
        <v>#N/A</v>
      </c>
      <c r="R2117" t="e">
        <f>VLOOKUP(A2117,'לעדכן בסינתזה דאטה אריזה 42+24'!$A:$C,3,0)</f>
        <v>#N/A</v>
      </c>
      <c r="S2117" t="e">
        <f>VLOOKUP(#REF!,'מלאי לא תקין'!A:N,17,0)</f>
        <v>#REF!</v>
      </c>
      <c r="T2117" t="e">
        <f t="shared" si="71"/>
        <v>#REF!</v>
      </c>
      <c r="U2117" t="e">
        <f t="shared" si="72"/>
        <v>#REF!</v>
      </c>
    </row>
    <row r="2118" spans="4:21" x14ac:dyDescent="0.2">
      <c r="D2118" s="4"/>
      <c r="G2118" s="5"/>
      <c r="H2118" s="5"/>
      <c r="I2118" s="4"/>
      <c r="J2118" s="4"/>
      <c r="K2118" s="5"/>
      <c r="Q2118" t="e">
        <f>VLOOKUP(A2118,'גיליון דאטה להכל'!A:E,5,0)</f>
        <v>#N/A</v>
      </c>
      <c r="R2118" t="e">
        <f>VLOOKUP(A2118,'לעדכן בסינתזה דאטה אריזה 42+24'!$A:$C,3,0)</f>
        <v>#N/A</v>
      </c>
      <c r="S2118" t="e">
        <f>VLOOKUP(#REF!,'מלאי לא תקין'!A:N,17,0)</f>
        <v>#REF!</v>
      </c>
      <c r="T2118" t="e">
        <f t="shared" si="71"/>
        <v>#REF!</v>
      </c>
      <c r="U2118" t="e">
        <f t="shared" si="72"/>
        <v>#REF!</v>
      </c>
    </row>
    <row r="2119" spans="4:21" x14ac:dyDescent="0.2">
      <c r="D2119" s="4"/>
      <c r="G2119" s="5"/>
      <c r="H2119" s="5"/>
      <c r="I2119" s="4"/>
      <c r="J2119" s="4"/>
      <c r="K2119" s="5"/>
      <c r="Q2119" t="e">
        <f>VLOOKUP(A2119,'גיליון דאטה להכל'!A:E,5,0)</f>
        <v>#N/A</v>
      </c>
      <c r="R2119" t="e">
        <f>VLOOKUP(A2119,'לעדכן בסינתזה דאטה אריזה 42+24'!$A:$C,3,0)</f>
        <v>#N/A</v>
      </c>
      <c r="S2119" t="e">
        <f>VLOOKUP(#REF!,'מלאי לא תקין'!A:N,17,0)</f>
        <v>#REF!</v>
      </c>
      <c r="T2119" t="e">
        <f t="shared" si="71"/>
        <v>#REF!</v>
      </c>
      <c r="U2119" t="e">
        <f t="shared" si="72"/>
        <v>#REF!</v>
      </c>
    </row>
    <row r="2120" spans="4:21" x14ac:dyDescent="0.2">
      <c r="D2120" s="4"/>
      <c r="G2120" s="5"/>
      <c r="H2120" s="7"/>
      <c r="I2120" s="4"/>
      <c r="J2120" s="4"/>
      <c r="K2120" s="5"/>
      <c r="Q2120" t="e">
        <f>VLOOKUP(A2120,'גיליון דאטה להכל'!A:E,5,0)</f>
        <v>#N/A</v>
      </c>
      <c r="R2120" t="e">
        <f>VLOOKUP(A2120,'לעדכן בסינתזה דאטה אריזה 42+24'!$A:$C,3,0)</f>
        <v>#N/A</v>
      </c>
      <c r="S2120" t="e">
        <f>VLOOKUP(#REF!,'מלאי לא תקין'!A:N,17,0)</f>
        <v>#REF!</v>
      </c>
      <c r="T2120" t="e">
        <f t="shared" si="71"/>
        <v>#REF!</v>
      </c>
      <c r="U2120" t="e">
        <f t="shared" si="72"/>
        <v>#REF!</v>
      </c>
    </row>
    <row r="2121" spans="4:21" x14ac:dyDescent="0.2">
      <c r="D2121" s="4"/>
      <c r="G2121" s="5"/>
      <c r="H2121" s="5"/>
      <c r="I2121" s="4"/>
      <c r="J2121" s="4"/>
      <c r="K2121" s="5"/>
      <c r="Q2121" t="e">
        <f>VLOOKUP(A2121,'גיליון דאטה להכל'!A:E,5,0)</f>
        <v>#N/A</v>
      </c>
      <c r="R2121" t="e">
        <f>VLOOKUP(A2121,'לעדכן בסינתזה דאטה אריזה 42+24'!$A:$C,3,0)</f>
        <v>#N/A</v>
      </c>
      <c r="S2121" t="e">
        <f>VLOOKUP(#REF!,'מלאי לא תקין'!A:N,17,0)</f>
        <v>#REF!</v>
      </c>
      <c r="T2121" t="e">
        <f t="shared" si="71"/>
        <v>#REF!</v>
      </c>
      <c r="U2121" t="e">
        <f t="shared" si="72"/>
        <v>#REF!</v>
      </c>
    </row>
    <row r="2122" spans="4:21" x14ac:dyDescent="0.2">
      <c r="D2122" s="4"/>
      <c r="G2122" s="5"/>
      <c r="H2122" s="5"/>
      <c r="I2122" s="4"/>
      <c r="J2122" s="4"/>
      <c r="K2122" s="5"/>
      <c r="Q2122" t="e">
        <f>VLOOKUP(A2122,'גיליון דאטה להכל'!A:E,5,0)</f>
        <v>#N/A</v>
      </c>
      <c r="R2122" t="e">
        <f>VLOOKUP(A2122,'לעדכן בסינתזה דאטה אריזה 42+24'!$A:$C,3,0)</f>
        <v>#N/A</v>
      </c>
      <c r="S2122" t="e">
        <f>VLOOKUP(#REF!,'מלאי לא תקין'!A:N,17,0)</f>
        <v>#REF!</v>
      </c>
      <c r="T2122" t="e">
        <f t="shared" si="71"/>
        <v>#REF!</v>
      </c>
      <c r="U2122" t="e">
        <f t="shared" si="72"/>
        <v>#REF!</v>
      </c>
    </row>
    <row r="2123" spans="4:21" x14ac:dyDescent="0.2">
      <c r="D2123" s="4"/>
      <c r="G2123" s="5"/>
      <c r="H2123" s="5"/>
      <c r="I2123" s="4"/>
      <c r="J2123" s="4"/>
      <c r="K2123" s="5"/>
      <c r="Q2123" t="e">
        <f>VLOOKUP(A2123,'גיליון דאטה להכל'!A:E,5,0)</f>
        <v>#N/A</v>
      </c>
      <c r="R2123" t="e">
        <f>VLOOKUP(A2123,'לעדכן בסינתזה דאטה אריזה 42+24'!$A:$C,3,0)</f>
        <v>#N/A</v>
      </c>
      <c r="S2123" t="e">
        <f>VLOOKUP(#REF!,'מלאי לא תקין'!A:N,17,0)</f>
        <v>#REF!</v>
      </c>
      <c r="T2123" t="e">
        <f t="shared" si="71"/>
        <v>#REF!</v>
      </c>
      <c r="U2123" t="e">
        <f t="shared" si="72"/>
        <v>#REF!</v>
      </c>
    </row>
    <row r="2124" spans="4:21" x14ac:dyDescent="0.2">
      <c r="D2124" s="4"/>
      <c r="G2124" s="5"/>
      <c r="H2124" s="5"/>
      <c r="I2124" s="4"/>
      <c r="J2124" s="4"/>
      <c r="K2124" s="5"/>
      <c r="Q2124" t="e">
        <f>VLOOKUP(A2124,'גיליון דאטה להכל'!A:E,5,0)</f>
        <v>#N/A</v>
      </c>
      <c r="R2124" t="e">
        <f>VLOOKUP(A2124,'לעדכן בסינתזה דאטה אריזה 42+24'!$A:$C,3,0)</f>
        <v>#N/A</v>
      </c>
      <c r="S2124" t="e">
        <f>VLOOKUP(#REF!,'מלאי לא תקין'!A:N,17,0)</f>
        <v>#REF!</v>
      </c>
      <c r="T2124" t="e">
        <f t="shared" si="71"/>
        <v>#REF!</v>
      </c>
      <c r="U2124" t="e">
        <f t="shared" si="72"/>
        <v>#REF!</v>
      </c>
    </row>
    <row r="2125" spans="4:21" x14ac:dyDescent="0.2">
      <c r="D2125" s="4"/>
      <c r="G2125" s="5"/>
      <c r="H2125" s="7"/>
      <c r="I2125" s="4"/>
      <c r="J2125" s="4"/>
      <c r="K2125" s="5"/>
      <c r="Q2125" t="e">
        <f>VLOOKUP(A2125,'גיליון דאטה להכל'!A:E,5,0)</f>
        <v>#N/A</v>
      </c>
      <c r="R2125" t="e">
        <f>VLOOKUP(A2125,'לעדכן בסינתזה דאטה אריזה 42+24'!$A:$C,3,0)</f>
        <v>#N/A</v>
      </c>
      <c r="S2125" t="e">
        <f>VLOOKUP(#REF!,'מלאי לא תקין'!A:N,17,0)</f>
        <v>#REF!</v>
      </c>
      <c r="T2125" t="e">
        <f t="shared" si="71"/>
        <v>#REF!</v>
      </c>
      <c r="U2125" t="e">
        <f t="shared" si="72"/>
        <v>#REF!</v>
      </c>
    </row>
    <row r="2126" spans="4:21" x14ac:dyDescent="0.2">
      <c r="D2126" s="4"/>
      <c r="G2126" s="5"/>
      <c r="H2126" s="5"/>
      <c r="I2126" s="4"/>
      <c r="J2126" s="4"/>
      <c r="K2126" s="5"/>
      <c r="Q2126" t="e">
        <f>VLOOKUP(A2126,'גיליון דאטה להכל'!A:E,5,0)</f>
        <v>#N/A</v>
      </c>
      <c r="R2126" t="e">
        <f>VLOOKUP(A2126,'לעדכן בסינתזה דאטה אריזה 42+24'!$A:$C,3,0)</f>
        <v>#N/A</v>
      </c>
      <c r="S2126" t="e">
        <f>VLOOKUP(#REF!,'מלאי לא תקין'!A:N,17,0)</f>
        <v>#REF!</v>
      </c>
      <c r="T2126" t="e">
        <f t="shared" si="71"/>
        <v>#REF!</v>
      </c>
      <c r="U2126" t="e">
        <f t="shared" si="72"/>
        <v>#REF!</v>
      </c>
    </row>
    <row r="2127" spans="4:21" x14ac:dyDescent="0.2">
      <c r="D2127" s="4"/>
      <c r="G2127" s="5"/>
      <c r="H2127" s="5"/>
      <c r="I2127" s="4"/>
      <c r="J2127" s="4"/>
      <c r="K2127" s="5"/>
      <c r="Q2127" t="e">
        <f>VLOOKUP(A2127,'גיליון דאטה להכל'!A:E,5,0)</f>
        <v>#N/A</v>
      </c>
      <c r="R2127" t="e">
        <f>VLOOKUP(A2127,'לעדכן בסינתזה דאטה אריזה 42+24'!$A:$C,3,0)</f>
        <v>#N/A</v>
      </c>
      <c r="S2127" t="e">
        <f>VLOOKUP(#REF!,'מלאי לא תקין'!A:N,17,0)</f>
        <v>#REF!</v>
      </c>
      <c r="T2127" t="e">
        <f t="shared" si="71"/>
        <v>#REF!</v>
      </c>
      <c r="U2127" t="e">
        <f t="shared" si="72"/>
        <v>#REF!</v>
      </c>
    </row>
    <row r="2128" spans="4:21" x14ac:dyDescent="0.2">
      <c r="D2128" s="4"/>
      <c r="G2128" s="5"/>
      <c r="H2128" s="5"/>
      <c r="I2128" s="4"/>
      <c r="J2128" s="4"/>
      <c r="K2128" s="5"/>
      <c r="Q2128" t="e">
        <f>VLOOKUP(A2128,'גיליון דאטה להכל'!A:E,5,0)</f>
        <v>#N/A</v>
      </c>
      <c r="R2128" t="e">
        <f>VLOOKUP(A2128,'לעדכן בסינתזה דאטה אריזה 42+24'!$A:$C,3,0)</f>
        <v>#N/A</v>
      </c>
      <c r="S2128" t="e">
        <f>VLOOKUP(#REF!,'מלאי לא תקין'!A:N,17,0)</f>
        <v>#REF!</v>
      </c>
      <c r="T2128" t="e">
        <f t="shared" si="71"/>
        <v>#REF!</v>
      </c>
      <c r="U2128" t="e">
        <f t="shared" si="72"/>
        <v>#REF!</v>
      </c>
    </row>
    <row r="2129" spans="4:21" x14ac:dyDescent="0.2">
      <c r="D2129" s="4"/>
      <c r="G2129" s="5"/>
      <c r="H2129" s="5"/>
      <c r="I2129" s="4"/>
      <c r="J2129" s="4"/>
      <c r="K2129" s="5"/>
      <c r="Q2129" t="e">
        <f>VLOOKUP(A2129,'גיליון דאטה להכל'!A:E,5,0)</f>
        <v>#N/A</v>
      </c>
      <c r="R2129" t="e">
        <f>VLOOKUP(A2129,'לעדכן בסינתזה דאטה אריזה 42+24'!$A:$C,3,0)</f>
        <v>#N/A</v>
      </c>
      <c r="S2129" t="e">
        <f>VLOOKUP(#REF!,'מלאי לא תקין'!A:N,17,0)</f>
        <v>#REF!</v>
      </c>
      <c r="T2129" t="e">
        <f t="shared" si="71"/>
        <v>#REF!</v>
      </c>
      <c r="U2129" t="e">
        <f t="shared" si="72"/>
        <v>#REF!</v>
      </c>
    </row>
    <row r="2130" spans="4:21" x14ac:dyDescent="0.2">
      <c r="D2130" s="4"/>
      <c r="G2130" s="5"/>
      <c r="H2130" s="7"/>
      <c r="I2130" s="4"/>
      <c r="J2130" s="4"/>
      <c r="K2130" s="5"/>
      <c r="Q2130" t="e">
        <f>VLOOKUP(A2130,'גיליון דאטה להכל'!A:E,5,0)</f>
        <v>#N/A</v>
      </c>
      <c r="R2130" t="e">
        <f>VLOOKUP(A2130,'לעדכן בסינתזה דאטה אריזה 42+24'!$A:$C,3,0)</f>
        <v>#N/A</v>
      </c>
      <c r="S2130" t="e">
        <f>VLOOKUP(#REF!,'מלאי לא תקין'!A:N,17,0)</f>
        <v>#REF!</v>
      </c>
      <c r="T2130" t="e">
        <f t="shared" si="71"/>
        <v>#REF!</v>
      </c>
      <c r="U2130" t="e">
        <f t="shared" si="72"/>
        <v>#REF!</v>
      </c>
    </row>
    <row r="2131" spans="4:21" x14ac:dyDescent="0.2">
      <c r="D2131" s="4"/>
      <c r="G2131" s="5"/>
      <c r="H2131" s="5"/>
      <c r="I2131" s="4"/>
      <c r="J2131" s="4"/>
      <c r="K2131" s="5"/>
      <c r="Q2131" t="e">
        <f>VLOOKUP(A2131,'גיליון דאטה להכל'!A:E,5,0)</f>
        <v>#N/A</v>
      </c>
      <c r="R2131" t="e">
        <f>VLOOKUP(A2131,'לעדכן בסינתזה דאטה אריזה 42+24'!$A:$C,3,0)</f>
        <v>#N/A</v>
      </c>
      <c r="S2131" t="e">
        <f>VLOOKUP(#REF!,'מלאי לא תקין'!A:N,17,0)</f>
        <v>#REF!</v>
      </c>
      <c r="T2131" t="e">
        <f t="shared" si="71"/>
        <v>#REF!</v>
      </c>
      <c r="U2131" t="e">
        <f t="shared" si="72"/>
        <v>#REF!</v>
      </c>
    </row>
    <row r="2132" spans="4:21" x14ac:dyDescent="0.2">
      <c r="D2132" s="4"/>
      <c r="G2132" s="5"/>
      <c r="H2132" s="5"/>
      <c r="I2132" s="4"/>
      <c r="J2132" s="4"/>
      <c r="K2132" s="5"/>
      <c r="Q2132" t="e">
        <f>VLOOKUP(A2132,'גיליון דאטה להכל'!A:E,5,0)</f>
        <v>#N/A</v>
      </c>
      <c r="R2132" t="e">
        <f>VLOOKUP(A2132,'לעדכן בסינתזה דאטה אריזה 42+24'!$A:$C,3,0)</f>
        <v>#N/A</v>
      </c>
      <c r="S2132" t="e">
        <f>VLOOKUP(#REF!,'מלאי לא תקין'!A:N,17,0)</f>
        <v>#REF!</v>
      </c>
      <c r="T2132" t="e">
        <f t="shared" si="71"/>
        <v>#REF!</v>
      </c>
      <c r="U2132" t="e">
        <f t="shared" si="72"/>
        <v>#REF!</v>
      </c>
    </row>
    <row r="2133" spans="4:21" x14ac:dyDescent="0.2">
      <c r="D2133" s="4"/>
      <c r="G2133" s="5"/>
      <c r="H2133" s="5"/>
      <c r="I2133" s="4"/>
      <c r="J2133" s="4"/>
      <c r="K2133" s="5"/>
      <c r="Q2133" t="e">
        <f>VLOOKUP(A2133,'גיליון דאטה להכל'!A:E,5,0)</f>
        <v>#N/A</v>
      </c>
      <c r="R2133" t="e">
        <f>VLOOKUP(A2133,'לעדכן בסינתזה דאטה אריזה 42+24'!$A:$C,3,0)</f>
        <v>#N/A</v>
      </c>
      <c r="S2133" t="e">
        <f>VLOOKUP(#REF!,'מלאי לא תקין'!A:N,17,0)</f>
        <v>#REF!</v>
      </c>
      <c r="T2133" t="e">
        <f t="shared" si="71"/>
        <v>#REF!</v>
      </c>
      <c r="U2133" t="e">
        <f t="shared" si="72"/>
        <v>#REF!</v>
      </c>
    </row>
    <row r="2134" spans="4:21" x14ac:dyDescent="0.2">
      <c r="D2134" s="4"/>
      <c r="G2134" s="5"/>
      <c r="H2134" s="5"/>
      <c r="I2134" s="4"/>
      <c r="J2134" s="4"/>
      <c r="K2134" s="5"/>
      <c r="Q2134" t="e">
        <f>VLOOKUP(A2134,'גיליון דאטה להכל'!A:E,5,0)</f>
        <v>#N/A</v>
      </c>
      <c r="R2134" t="e">
        <f>VLOOKUP(A2134,'לעדכן בסינתזה דאטה אריזה 42+24'!$A:$C,3,0)</f>
        <v>#N/A</v>
      </c>
      <c r="S2134" t="e">
        <f>VLOOKUP(#REF!,'מלאי לא תקין'!A:N,17,0)</f>
        <v>#REF!</v>
      </c>
      <c r="T2134" t="e">
        <f t="shared" si="71"/>
        <v>#REF!</v>
      </c>
      <c r="U2134" t="e">
        <f t="shared" si="72"/>
        <v>#REF!</v>
      </c>
    </row>
    <row r="2135" spans="4:21" x14ac:dyDescent="0.2">
      <c r="D2135" s="4"/>
      <c r="G2135" s="5"/>
      <c r="H2135" s="7"/>
      <c r="I2135" s="4"/>
      <c r="J2135" s="4"/>
      <c r="K2135" s="5"/>
      <c r="Q2135" t="e">
        <f>VLOOKUP(A2135,'גיליון דאטה להכל'!A:E,5,0)</f>
        <v>#N/A</v>
      </c>
      <c r="R2135" t="e">
        <f>VLOOKUP(A2135,'לעדכן בסינתזה דאטה אריזה 42+24'!$A:$C,3,0)</f>
        <v>#N/A</v>
      </c>
      <c r="S2135" t="e">
        <f>VLOOKUP(#REF!,'מלאי לא תקין'!A:N,17,0)</f>
        <v>#REF!</v>
      </c>
      <c r="T2135" t="e">
        <f t="shared" si="71"/>
        <v>#REF!</v>
      </c>
      <c r="U2135" t="e">
        <f t="shared" si="72"/>
        <v>#REF!</v>
      </c>
    </row>
    <row r="2136" spans="4:21" x14ac:dyDescent="0.2">
      <c r="D2136" s="4"/>
      <c r="G2136" s="5"/>
      <c r="H2136" s="5"/>
      <c r="I2136" s="4"/>
      <c r="J2136" s="4"/>
      <c r="K2136" s="5"/>
      <c r="Q2136" t="e">
        <f>VLOOKUP(A2136,'גיליון דאטה להכל'!A:E,5,0)</f>
        <v>#N/A</v>
      </c>
      <c r="R2136" t="e">
        <f>VLOOKUP(A2136,'לעדכן בסינתזה דאטה אריזה 42+24'!$A:$C,3,0)</f>
        <v>#N/A</v>
      </c>
      <c r="S2136" t="e">
        <f>VLOOKUP(#REF!,'מלאי לא תקין'!A:N,17,0)</f>
        <v>#REF!</v>
      </c>
      <c r="T2136" t="e">
        <f t="shared" si="71"/>
        <v>#REF!</v>
      </c>
      <c r="U2136" t="e">
        <f t="shared" si="72"/>
        <v>#REF!</v>
      </c>
    </row>
    <row r="2137" spans="4:21" x14ac:dyDescent="0.2">
      <c r="D2137" s="4"/>
      <c r="G2137" s="5"/>
      <c r="H2137" s="5"/>
      <c r="I2137" s="4"/>
      <c r="J2137" s="4"/>
      <c r="K2137" s="5"/>
      <c r="Q2137" t="e">
        <f>VLOOKUP(A2137,'גיליון דאטה להכל'!A:E,5,0)</f>
        <v>#N/A</v>
      </c>
      <c r="R2137" t="e">
        <f>VLOOKUP(A2137,'לעדכן בסינתזה דאטה אריזה 42+24'!$A:$C,3,0)</f>
        <v>#N/A</v>
      </c>
      <c r="S2137" t="e">
        <f>VLOOKUP(#REF!,'מלאי לא תקין'!A:N,17,0)</f>
        <v>#REF!</v>
      </c>
      <c r="T2137" t="e">
        <f t="shared" si="71"/>
        <v>#REF!</v>
      </c>
      <c r="U2137" t="e">
        <f t="shared" si="72"/>
        <v>#REF!</v>
      </c>
    </row>
    <row r="2138" spans="4:21" x14ac:dyDescent="0.2">
      <c r="D2138" s="4"/>
      <c r="G2138" s="5"/>
      <c r="H2138" s="5"/>
      <c r="I2138" s="4"/>
      <c r="J2138" s="4"/>
      <c r="K2138" s="5"/>
      <c r="Q2138" t="e">
        <f>VLOOKUP(A2138,'גיליון דאטה להכל'!A:E,5,0)</f>
        <v>#N/A</v>
      </c>
      <c r="R2138" t="e">
        <f>VLOOKUP(A2138,'לעדכן בסינתזה דאטה אריזה 42+24'!$A:$C,3,0)</f>
        <v>#N/A</v>
      </c>
      <c r="S2138" t="e">
        <f>VLOOKUP(#REF!,'מלאי לא תקין'!A:N,17,0)</f>
        <v>#REF!</v>
      </c>
      <c r="T2138" t="e">
        <f t="shared" si="71"/>
        <v>#REF!</v>
      </c>
      <c r="U2138" t="e">
        <f t="shared" si="72"/>
        <v>#REF!</v>
      </c>
    </row>
    <row r="2139" spans="4:21" x14ac:dyDescent="0.2">
      <c r="D2139" s="4"/>
      <c r="G2139" s="5"/>
      <c r="H2139" s="5"/>
      <c r="I2139" s="4"/>
      <c r="J2139" s="4"/>
      <c r="K2139" s="5"/>
      <c r="Q2139" t="e">
        <f>VLOOKUP(A2139,'גיליון דאטה להכל'!A:E,5,0)</f>
        <v>#N/A</v>
      </c>
      <c r="R2139" t="e">
        <f>VLOOKUP(A2139,'לעדכן בסינתזה דאטה אריזה 42+24'!$A:$C,3,0)</f>
        <v>#N/A</v>
      </c>
      <c r="S2139" t="e">
        <f>VLOOKUP(#REF!,'מלאי לא תקין'!A:N,17,0)</f>
        <v>#REF!</v>
      </c>
      <c r="T2139" t="e">
        <f t="shared" si="71"/>
        <v>#REF!</v>
      </c>
      <c r="U2139" t="e">
        <f t="shared" si="72"/>
        <v>#REF!</v>
      </c>
    </row>
    <row r="2140" spans="4:21" x14ac:dyDescent="0.2">
      <c r="D2140" s="4"/>
      <c r="G2140" s="5"/>
      <c r="H2140" s="7"/>
      <c r="I2140" s="4"/>
      <c r="J2140" s="4"/>
      <c r="K2140" s="5"/>
      <c r="Q2140" t="e">
        <f>VLOOKUP(A2140,'גיליון דאטה להכל'!A:E,5,0)</f>
        <v>#N/A</v>
      </c>
      <c r="R2140" t="e">
        <f>VLOOKUP(A2140,'לעדכן בסינתזה דאטה אריזה 42+24'!$A:$C,3,0)</f>
        <v>#N/A</v>
      </c>
      <c r="S2140" t="e">
        <f>VLOOKUP(#REF!,'מלאי לא תקין'!A:N,17,0)</f>
        <v>#REF!</v>
      </c>
      <c r="T2140" t="e">
        <f t="shared" si="71"/>
        <v>#REF!</v>
      </c>
      <c r="U2140" t="e">
        <f t="shared" si="72"/>
        <v>#REF!</v>
      </c>
    </row>
    <row r="2141" spans="4:21" x14ac:dyDescent="0.2">
      <c r="D2141" s="4"/>
      <c r="G2141" s="5"/>
      <c r="H2141" s="5"/>
      <c r="I2141" s="4"/>
      <c r="J2141" s="4"/>
      <c r="K2141" s="5"/>
      <c r="Q2141" t="e">
        <f>VLOOKUP(A2141,'גיליון דאטה להכל'!A:E,5,0)</f>
        <v>#N/A</v>
      </c>
      <c r="R2141" t="e">
        <f>VLOOKUP(A2141,'לעדכן בסינתזה דאטה אריזה 42+24'!$A:$C,3,0)</f>
        <v>#N/A</v>
      </c>
      <c r="S2141" t="e">
        <f>VLOOKUP(#REF!,'מלאי לא תקין'!A:N,17,0)</f>
        <v>#REF!</v>
      </c>
      <c r="T2141" t="e">
        <f t="shared" si="71"/>
        <v>#REF!</v>
      </c>
      <c r="U2141" t="e">
        <f t="shared" si="72"/>
        <v>#REF!</v>
      </c>
    </row>
    <row r="2142" spans="4:21" x14ac:dyDescent="0.2">
      <c r="D2142" s="4"/>
      <c r="G2142" s="5"/>
      <c r="H2142" s="5"/>
      <c r="I2142" s="4"/>
      <c r="J2142" s="4"/>
      <c r="K2142" s="5"/>
      <c r="Q2142" t="e">
        <f>VLOOKUP(A2142,'גיליון דאטה להכל'!A:E,5,0)</f>
        <v>#N/A</v>
      </c>
      <c r="R2142" t="e">
        <f>VLOOKUP(A2142,'לעדכן בסינתזה דאטה אריזה 42+24'!$A:$C,3,0)</f>
        <v>#N/A</v>
      </c>
      <c r="S2142" t="e">
        <f>VLOOKUP(#REF!,'מלאי לא תקין'!A:N,17,0)</f>
        <v>#REF!</v>
      </c>
      <c r="T2142" t="e">
        <f t="shared" si="71"/>
        <v>#REF!</v>
      </c>
      <c r="U2142" t="e">
        <f t="shared" si="72"/>
        <v>#REF!</v>
      </c>
    </row>
    <row r="2143" spans="4:21" x14ac:dyDescent="0.2">
      <c r="D2143" s="4"/>
      <c r="G2143" s="5"/>
      <c r="H2143" s="5"/>
      <c r="I2143" s="4"/>
      <c r="J2143" s="4"/>
      <c r="K2143" s="5"/>
      <c r="Q2143" t="e">
        <f>VLOOKUP(A2143,'גיליון דאטה להכל'!A:E,5,0)</f>
        <v>#N/A</v>
      </c>
      <c r="R2143" t="e">
        <f>VLOOKUP(A2143,'לעדכן בסינתזה דאטה אריזה 42+24'!$A:$C,3,0)</f>
        <v>#N/A</v>
      </c>
      <c r="S2143" t="e">
        <f>VLOOKUP(#REF!,'מלאי לא תקין'!A:N,17,0)</f>
        <v>#REF!</v>
      </c>
      <c r="T2143" t="e">
        <f t="shared" si="71"/>
        <v>#REF!</v>
      </c>
      <c r="U2143" t="e">
        <f t="shared" si="72"/>
        <v>#REF!</v>
      </c>
    </row>
    <row r="2144" spans="4:21" x14ac:dyDescent="0.2">
      <c r="D2144" s="4"/>
      <c r="G2144" s="5"/>
      <c r="H2144" s="5"/>
      <c r="I2144" s="4"/>
      <c r="J2144" s="4"/>
      <c r="K2144" s="5"/>
      <c r="Q2144" t="e">
        <f>VLOOKUP(A2144,'גיליון דאטה להכל'!A:E,5,0)</f>
        <v>#N/A</v>
      </c>
      <c r="R2144" t="e">
        <f>VLOOKUP(A2144,'לעדכן בסינתזה דאטה אריזה 42+24'!$A:$C,3,0)</f>
        <v>#N/A</v>
      </c>
      <c r="S2144" t="e">
        <f>VLOOKUP(#REF!,'מלאי לא תקין'!A:N,17,0)</f>
        <v>#REF!</v>
      </c>
      <c r="T2144" t="e">
        <f t="shared" si="71"/>
        <v>#REF!</v>
      </c>
      <c r="U2144" t="e">
        <f t="shared" si="72"/>
        <v>#REF!</v>
      </c>
    </row>
    <row r="2145" spans="4:21" x14ac:dyDescent="0.2">
      <c r="D2145" s="4"/>
      <c r="G2145" s="5"/>
      <c r="H2145" s="7"/>
      <c r="I2145" s="4"/>
      <c r="J2145" s="4"/>
      <c r="K2145" s="5"/>
      <c r="Q2145" t="e">
        <f>VLOOKUP(A2145,'גיליון דאטה להכל'!A:E,5,0)</f>
        <v>#N/A</v>
      </c>
      <c r="R2145" t="e">
        <f>VLOOKUP(A2145,'לעדכן בסינתזה דאטה אריזה 42+24'!$A:$C,3,0)</f>
        <v>#N/A</v>
      </c>
      <c r="S2145" t="e">
        <f>VLOOKUP(#REF!,'מלאי לא תקין'!A:N,17,0)</f>
        <v>#REF!</v>
      </c>
      <c r="T2145" t="e">
        <f t="shared" si="71"/>
        <v>#REF!</v>
      </c>
      <c r="U2145" t="e">
        <f t="shared" si="72"/>
        <v>#REF!</v>
      </c>
    </row>
    <row r="2146" spans="4:21" x14ac:dyDescent="0.2">
      <c r="D2146" s="4"/>
      <c r="G2146" s="5"/>
      <c r="H2146" s="5"/>
      <c r="I2146" s="4"/>
      <c r="J2146" s="4"/>
      <c r="K2146" s="5"/>
      <c r="Q2146" t="e">
        <f>VLOOKUP(A2146,'גיליון דאטה להכל'!A:E,5,0)</f>
        <v>#N/A</v>
      </c>
      <c r="R2146" t="e">
        <f>VLOOKUP(A2146,'לעדכן בסינתזה דאטה אריזה 42+24'!$A:$C,3,0)</f>
        <v>#N/A</v>
      </c>
      <c r="S2146" t="e">
        <f>VLOOKUP(#REF!,'מלאי לא תקין'!A:N,17,0)</f>
        <v>#REF!</v>
      </c>
      <c r="T2146" t="e">
        <f t="shared" si="71"/>
        <v>#REF!</v>
      </c>
      <c r="U2146" t="e">
        <f t="shared" si="72"/>
        <v>#REF!</v>
      </c>
    </row>
    <row r="2147" spans="4:21" x14ac:dyDescent="0.2">
      <c r="D2147" s="4"/>
      <c r="G2147" s="5"/>
      <c r="H2147" s="5"/>
      <c r="I2147" s="4"/>
      <c r="J2147" s="4"/>
      <c r="K2147" s="5"/>
      <c r="Q2147" t="e">
        <f>VLOOKUP(A2147,'גיליון דאטה להכל'!A:E,5,0)</f>
        <v>#N/A</v>
      </c>
      <c r="R2147" t="e">
        <f>VLOOKUP(A2147,'לעדכן בסינתזה דאטה אריזה 42+24'!$A:$C,3,0)</f>
        <v>#N/A</v>
      </c>
      <c r="S2147" t="e">
        <f>VLOOKUP(#REF!,'מלאי לא תקין'!A:N,17,0)</f>
        <v>#REF!</v>
      </c>
      <c r="T2147" t="e">
        <f t="shared" si="71"/>
        <v>#REF!</v>
      </c>
      <c r="U2147" t="e">
        <f t="shared" si="72"/>
        <v>#REF!</v>
      </c>
    </row>
    <row r="2148" spans="4:21" x14ac:dyDescent="0.2">
      <c r="D2148" s="4"/>
      <c r="G2148" s="5"/>
      <c r="H2148" s="5"/>
      <c r="I2148" s="4"/>
      <c r="J2148" s="4"/>
      <c r="K2148" s="5"/>
      <c r="Q2148" t="e">
        <f>VLOOKUP(A2148,'גיליון דאטה להכל'!A:E,5,0)</f>
        <v>#N/A</v>
      </c>
      <c r="R2148" t="e">
        <f>VLOOKUP(A2148,'לעדכן בסינתזה דאטה אריזה 42+24'!$A:$C,3,0)</f>
        <v>#N/A</v>
      </c>
      <c r="S2148" t="e">
        <f>VLOOKUP(#REF!,'מלאי לא תקין'!A:N,17,0)</f>
        <v>#REF!</v>
      </c>
      <c r="T2148" t="e">
        <f t="shared" si="71"/>
        <v>#REF!</v>
      </c>
      <c r="U2148" t="e">
        <f t="shared" si="72"/>
        <v>#REF!</v>
      </c>
    </row>
    <row r="2149" spans="4:21" x14ac:dyDescent="0.2">
      <c r="D2149" s="4"/>
      <c r="G2149" s="5"/>
      <c r="H2149" s="5"/>
      <c r="I2149" s="4"/>
      <c r="J2149" s="4"/>
      <c r="K2149" s="5"/>
      <c r="Q2149" t="e">
        <f>VLOOKUP(A2149,'גיליון דאטה להכל'!A:E,5,0)</f>
        <v>#N/A</v>
      </c>
      <c r="R2149" t="e">
        <f>VLOOKUP(A2149,'לעדכן בסינתזה דאטה אריזה 42+24'!$A:$C,3,0)</f>
        <v>#N/A</v>
      </c>
      <c r="S2149" t="e">
        <f>VLOOKUP(#REF!,'מלאי לא תקין'!A:N,17,0)</f>
        <v>#REF!</v>
      </c>
      <c r="T2149" t="e">
        <f t="shared" si="71"/>
        <v>#REF!</v>
      </c>
      <c r="U2149" t="e">
        <f t="shared" si="72"/>
        <v>#REF!</v>
      </c>
    </row>
    <row r="2150" spans="4:21" x14ac:dyDescent="0.2">
      <c r="D2150" s="4"/>
      <c r="G2150" s="5"/>
      <c r="H2150" s="7"/>
      <c r="I2150" s="4"/>
      <c r="J2150" s="4"/>
      <c r="K2150" s="5"/>
      <c r="Q2150" t="e">
        <f>VLOOKUP(A2150,'גיליון דאטה להכל'!A:E,5,0)</f>
        <v>#N/A</v>
      </c>
      <c r="R2150" t="e">
        <f>VLOOKUP(A2150,'לעדכן בסינתזה דאטה אריזה 42+24'!$A:$C,3,0)</f>
        <v>#N/A</v>
      </c>
      <c r="S2150" t="e">
        <f>VLOOKUP(#REF!,'מלאי לא תקין'!A:N,17,0)</f>
        <v>#REF!</v>
      </c>
      <c r="T2150" t="e">
        <f t="shared" si="71"/>
        <v>#REF!</v>
      </c>
      <c r="U2150" t="e">
        <f t="shared" si="72"/>
        <v>#REF!</v>
      </c>
    </row>
    <row r="2151" spans="4:21" x14ac:dyDescent="0.2">
      <c r="D2151" s="4"/>
      <c r="G2151" s="5"/>
      <c r="H2151" s="5"/>
      <c r="I2151" s="4"/>
      <c r="J2151" s="4"/>
      <c r="K2151" s="5"/>
      <c r="Q2151" t="e">
        <f>VLOOKUP(A2151,'גיליון דאטה להכל'!A:E,5,0)</f>
        <v>#N/A</v>
      </c>
      <c r="R2151" t="e">
        <f>VLOOKUP(A2151,'לעדכן בסינתזה דאטה אריזה 42+24'!$A:$C,3,0)</f>
        <v>#N/A</v>
      </c>
      <c r="S2151" t="e">
        <f>VLOOKUP(#REF!,'מלאי לא תקין'!A:N,17,0)</f>
        <v>#REF!</v>
      </c>
      <c r="T2151" t="e">
        <f t="shared" si="71"/>
        <v>#REF!</v>
      </c>
      <c r="U2151" t="e">
        <f t="shared" si="72"/>
        <v>#REF!</v>
      </c>
    </row>
    <row r="2152" spans="4:21" x14ac:dyDescent="0.2">
      <c r="D2152" s="4"/>
      <c r="G2152" s="5"/>
      <c r="H2152" s="5"/>
      <c r="I2152" s="4"/>
      <c r="J2152" s="4"/>
      <c r="K2152" s="5"/>
      <c r="Q2152" t="e">
        <f>VLOOKUP(A2152,'גיליון דאטה להכל'!A:E,5,0)</f>
        <v>#N/A</v>
      </c>
      <c r="R2152" t="e">
        <f>VLOOKUP(A2152,'לעדכן בסינתזה דאטה אריזה 42+24'!$A:$C,3,0)</f>
        <v>#N/A</v>
      </c>
      <c r="S2152" t="e">
        <f>VLOOKUP(#REF!,'מלאי לא תקין'!A:N,17,0)</f>
        <v>#REF!</v>
      </c>
      <c r="T2152" t="e">
        <f t="shared" si="71"/>
        <v>#REF!</v>
      </c>
      <c r="U2152" t="e">
        <f t="shared" si="72"/>
        <v>#REF!</v>
      </c>
    </row>
    <row r="2153" spans="4:21" x14ac:dyDescent="0.2">
      <c r="D2153" s="4"/>
      <c r="G2153" s="5"/>
      <c r="H2153" s="5"/>
      <c r="I2153" s="4"/>
      <c r="J2153" s="4"/>
      <c r="K2153" s="5"/>
      <c r="Q2153" t="e">
        <f>VLOOKUP(A2153,'גיליון דאטה להכל'!A:E,5,0)</f>
        <v>#N/A</v>
      </c>
      <c r="R2153" t="e">
        <f>VLOOKUP(A2153,'לעדכן בסינתזה דאטה אריזה 42+24'!$A:$C,3,0)</f>
        <v>#N/A</v>
      </c>
      <c r="S2153" t="e">
        <f>VLOOKUP(#REF!,'מלאי לא תקין'!A:N,17,0)</f>
        <v>#REF!</v>
      </c>
      <c r="T2153" t="e">
        <f t="shared" si="71"/>
        <v>#REF!</v>
      </c>
      <c r="U2153" t="e">
        <f t="shared" si="72"/>
        <v>#REF!</v>
      </c>
    </row>
    <row r="2154" spans="4:21" x14ac:dyDescent="0.2">
      <c r="D2154" s="4"/>
      <c r="G2154" s="5"/>
      <c r="H2154" s="5"/>
      <c r="I2154" s="4"/>
      <c r="J2154" s="4"/>
      <c r="K2154" s="5"/>
      <c r="Q2154" t="e">
        <f>VLOOKUP(A2154,'גיליון דאטה להכל'!A:E,5,0)</f>
        <v>#N/A</v>
      </c>
      <c r="R2154" t="e">
        <f>VLOOKUP(A2154,'לעדכן בסינתזה דאטה אריזה 42+24'!$A:$C,3,0)</f>
        <v>#N/A</v>
      </c>
      <c r="S2154" t="e">
        <f>VLOOKUP(#REF!,'מלאי לא תקין'!A:N,17,0)</f>
        <v>#REF!</v>
      </c>
      <c r="T2154" t="e">
        <f t="shared" si="71"/>
        <v>#REF!</v>
      </c>
      <c r="U2154" t="e">
        <f t="shared" si="72"/>
        <v>#REF!</v>
      </c>
    </row>
    <row r="2155" spans="4:21" x14ac:dyDescent="0.2">
      <c r="D2155" s="4"/>
      <c r="G2155" s="5"/>
      <c r="H2155" s="7"/>
      <c r="I2155" s="4"/>
      <c r="J2155" s="4"/>
      <c r="K2155" s="5"/>
      <c r="Q2155" t="e">
        <f>VLOOKUP(A2155,'גיליון דאטה להכל'!A:E,5,0)</f>
        <v>#N/A</v>
      </c>
      <c r="R2155" t="e">
        <f>VLOOKUP(A2155,'לעדכן בסינתזה דאטה אריזה 42+24'!$A:$C,3,0)</f>
        <v>#N/A</v>
      </c>
      <c r="S2155" t="e">
        <f>VLOOKUP(#REF!,'מלאי לא תקין'!A:N,17,0)</f>
        <v>#REF!</v>
      </c>
      <c r="T2155" t="e">
        <f t="shared" si="71"/>
        <v>#REF!</v>
      </c>
      <c r="U2155" t="e">
        <f t="shared" si="72"/>
        <v>#REF!</v>
      </c>
    </row>
    <row r="2156" spans="4:21" x14ac:dyDescent="0.2">
      <c r="D2156" s="4"/>
      <c r="G2156" s="5"/>
      <c r="H2156" s="5"/>
      <c r="I2156" s="4"/>
      <c r="J2156" s="4"/>
      <c r="K2156" s="5"/>
      <c r="Q2156" t="e">
        <f>VLOOKUP(A2156,'גיליון דאטה להכל'!A:E,5,0)</f>
        <v>#N/A</v>
      </c>
      <c r="R2156" t="e">
        <f>VLOOKUP(A2156,'לעדכן בסינתזה דאטה אריזה 42+24'!$A:$C,3,0)</f>
        <v>#N/A</v>
      </c>
      <c r="S2156" t="e">
        <f>VLOOKUP(#REF!,'מלאי לא תקין'!A:N,17,0)</f>
        <v>#REF!</v>
      </c>
      <c r="T2156" t="e">
        <f t="shared" si="71"/>
        <v>#REF!</v>
      </c>
      <c r="U2156" t="e">
        <f t="shared" si="72"/>
        <v>#REF!</v>
      </c>
    </row>
    <row r="2157" spans="4:21" x14ac:dyDescent="0.2">
      <c r="D2157" s="4"/>
      <c r="G2157" s="5"/>
      <c r="H2157" s="5"/>
      <c r="I2157" s="4"/>
      <c r="J2157" s="4"/>
      <c r="K2157" s="5"/>
      <c r="Q2157" t="e">
        <f>VLOOKUP(A2157,'גיליון דאטה להכל'!A:E,5,0)</f>
        <v>#N/A</v>
      </c>
      <c r="R2157" t="e">
        <f>VLOOKUP(A2157,'לעדכן בסינתזה דאטה אריזה 42+24'!$A:$C,3,0)</f>
        <v>#N/A</v>
      </c>
      <c r="S2157" t="e">
        <f>VLOOKUP(#REF!,'מלאי לא תקין'!A:N,17,0)</f>
        <v>#REF!</v>
      </c>
      <c r="T2157" t="e">
        <f t="shared" si="71"/>
        <v>#REF!</v>
      </c>
      <c r="U2157" t="e">
        <f t="shared" si="72"/>
        <v>#REF!</v>
      </c>
    </row>
    <row r="2158" spans="4:21" x14ac:dyDescent="0.2">
      <c r="D2158" s="4"/>
      <c r="G2158" s="5"/>
      <c r="H2158" s="5"/>
      <c r="I2158" s="4"/>
      <c r="J2158" s="4"/>
      <c r="K2158" s="5"/>
      <c r="Q2158" t="e">
        <f>VLOOKUP(A2158,'גיליון דאטה להכל'!A:E,5,0)</f>
        <v>#N/A</v>
      </c>
      <c r="R2158" t="e">
        <f>VLOOKUP(A2158,'לעדכן בסינתזה דאטה אריזה 42+24'!$A:$C,3,0)</f>
        <v>#N/A</v>
      </c>
      <c r="S2158" t="e">
        <f>VLOOKUP(#REF!,'מלאי לא תקין'!A:N,17,0)</f>
        <v>#REF!</v>
      </c>
      <c r="T2158" t="e">
        <f t="shared" si="71"/>
        <v>#REF!</v>
      </c>
      <c r="U2158" t="e">
        <f t="shared" si="72"/>
        <v>#REF!</v>
      </c>
    </row>
    <row r="2159" spans="4:21" x14ac:dyDescent="0.2">
      <c r="D2159" s="4"/>
      <c r="G2159" s="5"/>
      <c r="H2159" s="5"/>
      <c r="I2159" s="4"/>
      <c r="J2159" s="4"/>
      <c r="K2159" s="5"/>
      <c r="Q2159" t="e">
        <f>VLOOKUP(A2159,'גיליון דאטה להכל'!A:E,5,0)</f>
        <v>#N/A</v>
      </c>
      <c r="R2159" t="e">
        <f>VLOOKUP(A2159,'לעדכן בסינתזה דאטה אריזה 42+24'!$A:$C,3,0)</f>
        <v>#N/A</v>
      </c>
      <c r="S2159" t="e">
        <f>VLOOKUP(#REF!,'מלאי לא תקין'!A:N,17,0)</f>
        <v>#REF!</v>
      </c>
      <c r="T2159" t="e">
        <f t="shared" si="71"/>
        <v>#REF!</v>
      </c>
      <c r="U2159" t="e">
        <f t="shared" si="72"/>
        <v>#REF!</v>
      </c>
    </row>
    <row r="2160" spans="4:21" x14ac:dyDescent="0.2">
      <c r="D2160" s="4"/>
      <c r="G2160" s="5"/>
      <c r="H2160" s="7"/>
      <c r="I2160" s="4"/>
      <c r="J2160" s="4"/>
      <c r="K2160" s="5"/>
      <c r="Q2160" t="e">
        <f>VLOOKUP(A2160,'גיליון דאטה להכל'!A:E,5,0)</f>
        <v>#N/A</v>
      </c>
      <c r="R2160" t="e">
        <f>VLOOKUP(A2160,'לעדכן בסינתזה דאטה אריזה 42+24'!$A:$C,3,0)</f>
        <v>#N/A</v>
      </c>
      <c r="S2160" t="e">
        <f>VLOOKUP(#REF!,'מלאי לא תקין'!A:N,17,0)</f>
        <v>#REF!</v>
      </c>
      <c r="T2160" t="e">
        <f t="shared" si="71"/>
        <v>#REF!</v>
      </c>
      <c r="U2160" t="e">
        <f t="shared" si="72"/>
        <v>#REF!</v>
      </c>
    </row>
    <row r="2161" spans="4:21" x14ac:dyDescent="0.2">
      <c r="D2161" s="4"/>
      <c r="G2161" s="5"/>
      <c r="H2161" s="5"/>
      <c r="I2161" s="4"/>
      <c r="J2161" s="4"/>
      <c r="K2161" s="5"/>
      <c r="Q2161" t="e">
        <f>VLOOKUP(A2161,'גיליון דאטה להכל'!A:E,5,0)</f>
        <v>#N/A</v>
      </c>
      <c r="R2161" t="e">
        <f>VLOOKUP(A2161,'לעדכן בסינתזה דאטה אריזה 42+24'!$A:$C,3,0)</f>
        <v>#N/A</v>
      </c>
      <c r="S2161" t="e">
        <f>VLOOKUP(#REF!,'מלאי לא תקין'!A:N,17,0)</f>
        <v>#REF!</v>
      </c>
      <c r="T2161" t="e">
        <f t="shared" si="71"/>
        <v>#REF!</v>
      </c>
      <c r="U2161" t="e">
        <f t="shared" si="72"/>
        <v>#REF!</v>
      </c>
    </row>
    <row r="2162" spans="4:21" x14ac:dyDescent="0.2">
      <c r="D2162" s="4"/>
      <c r="G2162" s="5"/>
      <c r="H2162" s="5"/>
      <c r="I2162" s="4"/>
      <c r="J2162" s="4"/>
      <c r="K2162" s="5"/>
      <c r="Q2162" t="e">
        <f>VLOOKUP(A2162,'גיליון דאטה להכל'!A:E,5,0)</f>
        <v>#N/A</v>
      </c>
      <c r="R2162" t="e">
        <f>VLOOKUP(A2162,'לעדכן בסינתזה דאטה אריזה 42+24'!$A:$C,3,0)</f>
        <v>#N/A</v>
      </c>
      <c r="S2162" t="e">
        <f>VLOOKUP(#REF!,'מלאי לא תקין'!A:N,17,0)</f>
        <v>#REF!</v>
      </c>
      <c r="T2162" t="e">
        <f t="shared" si="71"/>
        <v>#REF!</v>
      </c>
      <c r="U2162" t="e">
        <f t="shared" si="72"/>
        <v>#REF!</v>
      </c>
    </row>
    <row r="2163" spans="4:21" x14ac:dyDescent="0.2">
      <c r="D2163" s="4"/>
      <c r="G2163" s="5"/>
      <c r="H2163" s="5"/>
      <c r="I2163" s="4"/>
      <c r="J2163" s="4"/>
      <c r="K2163" s="5"/>
      <c r="Q2163" t="e">
        <f>VLOOKUP(A2163,'גיליון דאטה להכל'!A:E,5,0)</f>
        <v>#N/A</v>
      </c>
      <c r="R2163" t="e">
        <f>VLOOKUP(A2163,'לעדכן בסינתזה דאטה אריזה 42+24'!$A:$C,3,0)</f>
        <v>#N/A</v>
      </c>
      <c r="S2163" t="e">
        <f>VLOOKUP(#REF!,'מלאי לא תקין'!A:N,17,0)</f>
        <v>#REF!</v>
      </c>
      <c r="T2163" t="e">
        <f t="shared" si="71"/>
        <v>#REF!</v>
      </c>
      <c r="U2163" t="e">
        <f t="shared" si="72"/>
        <v>#REF!</v>
      </c>
    </row>
    <row r="2164" spans="4:21" x14ac:dyDescent="0.2">
      <c r="D2164" s="4"/>
      <c r="G2164" s="5"/>
      <c r="H2164" s="5"/>
      <c r="I2164" s="4"/>
      <c r="J2164" s="4"/>
      <c r="K2164" s="5"/>
      <c r="Q2164" t="e">
        <f>VLOOKUP(A2164,'גיליון דאטה להכל'!A:E,5,0)</f>
        <v>#N/A</v>
      </c>
      <c r="R2164" t="e">
        <f>VLOOKUP(A2164,'לעדכן בסינתזה דאטה אריזה 42+24'!$A:$C,3,0)</f>
        <v>#N/A</v>
      </c>
      <c r="S2164" t="e">
        <f>VLOOKUP(#REF!,'מלאי לא תקין'!A:N,17,0)</f>
        <v>#REF!</v>
      </c>
      <c r="T2164" t="e">
        <f t="shared" si="71"/>
        <v>#REF!</v>
      </c>
      <c r="U2164" t="e">
        <f t="shared" si="72"/>
        <v>#REF!</v>
      </c>
    </row>
    <row r="2165" spans="4:21" x14ac:dyDescent="0.2">
      <c r="D2165" s="4"/>
      <c r="G2165" s="5"/>
      <c r="H2165" s="7"/>
      <c r="I2165" s="4"/>
      <c r="J2165" s="4"/>
      <c r="K2165" s="5"/>
      <c r="Q2165" t="e">
        <f>VLOOKUP(A2165,'גיליון דאטה להכל'!A:E,5,0)</f>
        <v>#N/A</v>
      </c>
      <c r="R2165" t="e">
        <f>VLOOKUP(A2165,'לעדכן בסינתזה דאטה אריזה 42+24'!$A:$C,3,0)</f>
        <v>#N/A</v>
      </c>
      <c r="S2165" t="e">
        <f>VLOOKUP(#REF!,'מלאי לא תקין'!A:N,17,0)</f>
        <v>#REF!</v>
      </c>
      <c r="T2165" t="e">
        <f t="shared" si="71"/>
        <v>#REF!</v>
      </c>
      <c r="U2165" t="e">
        <f t="shared" si="72"/>
        <v>#REF!</v>
      </c>
    </row>
    <row r="2166" spans="4:21" x14ac:dyDescent="0.2">
      <c r="D2166" s="4"/>
      <c r="G2166" s="5"/>
      <c r="H2166" s="5"/>
      <c r="I2166" s="4"/>
      <c r="J2166" s="4"/>
      <c r="K2166" s="5"/>
      <c r="Q2166" t="e">
        <f>VLOOKUP(A2166,'גיליון דאטה להכל'!A:E,5,0)</f>
        <v>#N/A</v>
      </c>
      <c r="R2166" t="e">
        <f>VLOOKUP(A2166,'לעדכן בסינתזה דאטה אריזה 42+24'!$A:$C,3,0)</f>
        <v>#N/A</v>
      </c>
      <c r="S2166" t="e">
        <f>VLOOKUP(#REF!,'מלאי לא תקין'!A:N,17,0)</f>
        <v>#REF!</v>
      </c>
      <c r="T2166" t="e">
        <f t="shared" si="71"/>
        <v>#REF!</v>
      </c>
      <c r="U2166" t="e">
        <f t="shared" si="72"/>
        <v>#REF!</v>
      </c>
    </row>
    <row r="2167" spans="4:21" x14ac:dyDescent="0.2">
      <c r="D2167" s="4"/>
      <c r="G2167" s="5"/>
      <c r="H2167" s="5"/>
      <c r="I2167" s="4"/>
      <c r="J2167" s="4"/>
      <c r="K2167" s="5"/>
      <c r="Q2167" t="e">
        <f>VLOOKUP(A2167,'גיליון דאטה להכל'!A:E,5,0)</f>
        <v>#N/A</v>
      </c>
      <c r="R2167" t="e">
        <f>VLOOKUP(A2167,'לעדכן בסינתזה דאטה אריזה 42+24'!$A:$C,3,0)</f>
        <v>#N/A</v>
      </c>
      <c r="S2167" t="e">
        <f>VLOOKUP(#REF!,'מלאי לא תקין'!A:N,17,0)</f>
        <v>#REF!</v>
      </c>
      <c r="T2167" t="e">
        <f t="shared" si="71"/>
        <v>#REF!</v>
      </c>
      <c r="U2167" t="e">
        <f t="shared" si="72"/>
        <v>#REF!</v>
      </c>
    </row>
    <row r="2168" spans="4:21" x14ac:dyDescent="0.2">
      <c r="D2168" s="4"/>
      <c r="G2168" s="5"/>
      <c r="H2168" s="5"/>
      <c r="I2168" s="4"/>
      <c r="J2168" s="4"/>
      <c r="K2168" s="5"/>
      <c r="Q2168" t="e">
        <f>VLOOKUP(A2168,'גיליון דאטה להכל'!A:E,5,0)</f>
        <v>#N/A</v>
      </c>
      <c r="R2168" t="e">
        <f>VLOOKUP(A2168,'לעדכן בסינתזה דאטה אריזה 42+24'!$A:$C,3,0)</f>
        <v>#N/A</v>
      </c>
      <c r="S2168" t="e">
        <f>VLOOKUP(#REF!,'מלאי לא תקין'!A:N,17,0)</f>
        <v>#REF!</v>
      </c>
      <c r="T2168" t="e">
        <f t="shared" si="71"/>
        <v>#REF!</v>
      </c>
      <c r="U2168" t="e">
        <f t="shared" si="72"/>
        <v>#REF!</v>
      </c>
    </row>
    <row r="2169" spans="4:21" x14ac:dyDescent="0.2">
      <c r="D2169" s="4"/>
      <c r="G2169" s="5"/>
      <c r="H2169" s="5"/>
      <c r="I2169" s="4"/>
      <c r="J2169" s="4"/>
      <c r="K2169" s="5"/>
      <c r="Q2169" t="e">
        <f>VLOOKUP(A2169,'גיליון דאטה להכל'!A:E,5,0)</f>
        <v>#N/A</v>
      </c>
      <c r="R2169" t="e">
        <f>VLOOKUP(A2169,'לעדכן בסינתזה דאטה אריזה 42+24'!$A:$C,3,0)</f>
        <v>#N/A</v>
      </c>
      <c r="S2169" t="e">
        <f>VLOOKUP(#REF!,'מלאי לא תקין'!A:N,17,0)</f>
        <v>#REF!</v>
      </c>
      <c r="T2169" t="e">
        <f t="shared" si="71"/>
        <v>#REF!</v>
      </c>
      <c r="U2169" t="e">
        <f t="shared" si="72"/>
        <v>#REF!</v>
      </c>
    </row>
    <row r="2170" spans="4:21" x14ac:dyDescent="0.2">
      <c r="D2170" s="4"/>
      <c r="G2170" s="5"/>
      <c r="H2170" s="7"/>
      <c r="I2170" s="4"/>
      <c r="J2170" s="4"/>
      <c r="K2170" s="5"/>
      <c r="Q2170" t="e">
        <f>VLOOKUP(A2170,'גיליון דאטה להכל'!A:E,5,0)</f>
        <v>#N/A</v>
      </c>
      <c r="R2170" t="e">
        <f>VLOOKUP(A2170,'לעדכן בסינתזה דאטה אריזה 42+24'!$A:$C,3,0)</f>
        <v>#N/A</v>
      </c>
      <c r="S2170" t="e">
        <f>VLOOKUP(#REF!,'מלאי לא תקין'!A:N,17,0)</f>
        <v>#REF!</v>
      </c>
      <c r="T2170" t="e">
        <f t="shared" si="71"/>
        <v>#REF!</v>
      </c>
      <c r="U2170" t="e">
        <f t="shared" si="72"/>
        <v>#REF!</v>
      </c>
    </row>
    <row r="2171" spans="4:21" x14ac:dyDescent="0.2">
      <c r="D2171" s="4"/>
      <c r="G2171" s="5"/>
      <c r="H2171" s="5"/>
      <c r="I2171" s="4"/>
      <c r="J2171" s="4"/>
      <c r="K2171" s="5"/>
      <c r="Q2171" t="e">
        <f>VLOOKUP(A2171,'גיליון דאטה להכל'!A:E,5,0)</f>
        <v>#N/A</v>
      </c>
      <c r="R2171" t="e">
        <f>VLOOKUP(A2171,'לעדכן בסינתזה דאטה אריזה 42+24'!$A:$C,3,0)</f>
        <v>#N/A</v>
      </c>
      <c r="S2171" t="e">
        <f>VLOOKUP(#REF!,'מלאי לא תקין'!A:N,17,0)</f>
        <v>#REF!</v>
      </c>
      <c r="T2171" t="e">
        <f t="shared" si="71"/>
        <v>#REF!</v>
      </c>
      <c r="U2171" t="e">
        <f t="shared" si="72"/>
        <v>#REF!</v>
      </c>
    </row>
    <row r="2172" spans="4:21" x14ac:dyDescent="0.2">
      <c r="D2172" s="4"/>
      <c r="G2172" s="5"/>
      <c r="H2172" s="5"/>
      <c r="I2172" s="4"/>
      <c r="J2172" s="4"/>
      <c r="K2172" s="5"/>
      <c r="Q2172" t="e">
        <f>VLOOKUP(A2172,'גיליון דאטה להכל'!A:E,5,0)</f>
        <v>#N/A</v>
      </c>
      <c r="R2172" t="e">
        <f>VLOOKUP(A2172,'לעדכן בסינתזה דאטה אריזה 42+24'!$A:$C,3,0)</f>
        <v>#N/A</v>
      </c>
      <c r="S2172" t="e">
        <f>VLOOKUP(#REF!,'מלאי לא תקין'!A:N,17,0)</f>
        <v>#REF!</v>
      </c>
      <c r="T2172" t="e">
        <f t="shared" si="71"/>
        <v>#REF!</v>
      </c>
      <c r="U2172" t="e">
        <f t="shared" si="72"/>
        <v>#REF!</v>
      </c>
    </row>
    <row r="2173" spans="4:21" x14ac:dyDescent="0.2">
      <c r="D2173" s="4"/>
      <c r="G2173" s="5"/>
      <c r="H2173" s="5"/>
      <c r="I2173" s="4"/>
      <c r="J2173" s="4"/>
      <c r="K2173" s="5"/>
      <c r="Q2173" t="e">
        <f>VLOOKUP(A2173,'גיליון דאטה להכל'!A:E,5,0)</f>
        <v>#N/A</v>
      </c>
      <c r="R2173" t="e">
        <f>VLOOKUP(A2173,'לעדכן בסינתזה דאטה אריזה 42+24'!$A:$C,3,0)</f>
        <v>#N/A</v>
      </c>
      <c r="S2173" t="e">
        <f>VLOOKUP(#REF!,'מלאי לא תקין'!A:N,17,0)</f>
        <v>#REF!</v>
      </c>
      <c r="T2173" t="e">
        <f t="shared" si="71"/>
        <v>#REF!</v>
      </c>
      <c r="U2173" t="e">
        <f t="shared" si="72"/>
        <v>#REF!</v>
      </c>
    </row>
    <row r="2174" spans="4:21" x14ac:dyDescent="0.2">
      <c r="D2174" s="4"/>
      <c r="G2174" s="5"/>
      <c r="H2174" s="5"/>
      <c r="I2174" s="4"/>
      <c r="J2174" s="4"/>
      <c r="K2174" s="5"/>
      <c r="Q2174" t="e">
        <f>VLOOKUP(A2174,'גיליון דאטה להכל'!A:E,5,0)</f>
        <v>#N/A</v>
      </c>
      <c r="R2174" t="e">
        <f>VLOOKUP(A2174,'לעדכן בסינתזה דאטה אריזה 42+24'!$A:$C,3,0)</f>
        <v>#N/A</v>
      </c>
      <c r="S2174" t="e">
        <f>VLOOKUP(#REF!,'מלאי לא תקין'!A:N,17,0)</f>
        <v>#REF!</v>
      </c>
      <c r="T2174" t="e">
        <f t="shared" ref="T2174:T2237" si="73">_xlfn.CONCAT(S2174,Q2174)</f>
        <v>#REF!</v>
      </c>
      <c r="U2174" t="e">
        <f t="shared" ref="U2174:U2237" si="74">_xlfn.CONCAT(S2174,O2174)</f>
        <v>#REF!</v>
      </c>
    </row>
    <row r="2175" spans="4:21" x14ac:dyDescent="0.2">
      <c r="D2175" s="4"/>
      <c r="G2175" s="5"/>
      <c r="H2175" s="7"/>
      <c r="I2175" s="4"/>
      <c r="J2175" s="4"/>
      <c r="K2175" s="5"/>
      <c r="Q2175" t="e">
        <f>VLOOKUP(A2175,'גיליון דאטה להכל'!A:E,5,0)</f>
        <v>#N/A</v>
      </c>
      <c r="R2175" t="e">
        <f>VLOOKUP(A2175,'לעדכן בסינתזה דאטה אריזה 42+24'!$A:$C,3,0)</f>
        <v>#N/A</v>
      </c>
      <c r="S2175" t="e">
        <f>VLOOKUP(#REF!,'מלאי לא תקין'!A:N,17,0)</f>
        <v>#REF!</v>
      </c>
      <c r="T2175" t="e">
        <f t="shared" si="73"/>
        <v>#REF!</v>
      </c>
      <c r="U2175" t="e">
        <f t="shared" si="74"/>
        <v>#REF!</v>
      </c>
    </row>
    <row r="2176" spans="4:21" x14ac:dyDescent="0.2">
      <c r="D2176" s="4"/>
      <c r="G2176" s="5"/>
      <c r="H2176" s="5"/>
      <c r="I2176" s="4"/>
      <c r="J2176" s="4"/>
      <c r="K2176" s="5"/>
      <c r="Q2176" t="e">
        <f>VLOOKUP(A2176,'גיליון דאטה להכל'!A:E,5,0)</f>
        <v>#N/A</v>
      </c>
      <c r="R2176" t="e">
        <f>VLOOKUP(A2176,'לעדכן בסינתזה דאטה אריזה 42+24'!$A:$C,3,0)</f>
        <v>#N/A</v>
      </c>
      <c r="S2176" t="e">
        <f>VLOOKUP(#REF!,'מלאי לא תקין'!A:N,17,0)</f>
        <v>#REF!</v>
      </c>
      <c r="T2176" t="e">
        <f t="shared" si="73"/>
        <v>#REF!</v>
      </c>
      <c r="U2176" t="e">
        <f t="shared" si="74"/>
        <v>#REF!</v>
      </c>
    </row>
    <row r="2177" spans="4:21" x14ac:dyDescent="0.2">
      <c r="D2177" s="4"/>
      <c r="G2177" s="5"/>
      <c r="H2177" s="5"/>
      <c r="I2177" s="4"/>
      <c r="J2177" s="4"/>
      <c r="K2177" s="5"/>
      <c r="Q2177" t="e">
        <f>VLOOKUP(A2177,'גיליון דאטה להכל'!A:E,5,0)</f>
        <v>#N/A</v>
      </c>
      <c r="R2177" t="e">
        <f>VLOOKUP(A2177,'לעדכן בסינתזה דאטה אריזה 42+24'!$A:$C,3,0)</f>
        <v>#N/A</v>
      </c>
      <c r="S2177" t="e">
        <f>VLOOKUP(#REF!,'מלאי לא תקין'!A:N,17,0)</f>
        <v>#REF!</v>
      </c>
      <c r="T2177" t="e">
        <f t="shared" si="73"/>
        <v>#REF!</v>
      </c>
      <c r="U2177" t="e">
        <f t="shared" si="74"/>
        <v>#REF!</v>
      </c>
    </row>
    <row r="2178" spans="4:21" x14ac:dyDescent="0.2">
      <c r="D2178" s="4"/>
      <c r="G2178" s="5"/>
      <c r="H2178" s="5"/>
      <c r="I2178" s="4"/>
      <c r="J2178" s="4"/>
      <c r="K2178" s="5"/>
      <c r="Q2178" t="e">
        <f>VLOOKUP(A2178,'גיליון דאטה להכל'!A:E,5,0)</f>
        <v>#N/A</v>
      </c>
      <c r="R2178" t="e">
        <f>VLOOKUP(A2178,'לעדכן בסינתזה דאטה אריזה 42+24'!$A:$C,3,0)</f>
        <v>#N/A</v>
      </c>
      <c r="S2178" t="e">
        <f>VLOOKUP(#REF!,'מלאי לא תקין'!A:N,17,0)</f>
        <v>#REF!</v>
      </c>
      <c r="T2178" t="e">
        <f t="shared" si="73"/>
        <v>#REF!</v>
      </c>
      <c r="U2178" t="e">
        <f t="shared" si="74"/>
        <v>#REF!</v>
      </c>
    </row>
    <row r="2179" spans="4:21" x14ac:dyDescent="0.2">
      <c r="D2179" s="4"/>
      <c r="G2179" s="5"/>
      <c r="H2179" s="5"/>
      <c r="I2179" s="4"/>
      <c r="J2179" s="4"/>
      <c r="K2179" s="5"/>
      <c r="Q2179" t="e">
        <f>VLOOKUP(A2179,'גיליון דאטה להכל'!A:E,5,0)</f>
        <v>#N/A</v>
      </c>
      <c r="R2179" t="e">
        <f>VLOOKUP(A2179,'לעדכן בסינתזה דאטה אריזה 42+24'!$A:$C,3,0)</f>
        <v>#N/A</v>
      </c>
      <c r="S2179" t="e">
        <f>VLOOKUP(#REF!,'מלאי לא תקין'!A:N,17,0)</f>
        <v>#REF!</v>
      </c>
      <c r="T2179" t="e">
        <f t="shared" si="73"/>
        <v>#REF!</v>
      </c>
      <c r="U2179" t="e">
        <f t="shared" si="74"/>
        <v>#REF!</v>
      </c>
    </row>
    <row r="2180" spans="4:21" x14ac:dyDescent="0.2">
      <c r="D2180" s="4"/>
      <c r="G2180" s="5"/>
      <c r="H2180" s="7"/>
      <c r="I2180" s="4"/>
      <c r="J2180" s="4"/>
      <c r="K2180" s="5"/>
      <c r="Q2180" t="e">
        <f>VLOOKUP(A2180,'גיליון דאטה להכל'!A:E,5,0)</f>
        <v>#N/A</v>
      </c>
      <c r="R2180" t="e">
        <f>VLOOKUP(A2180,'לעדכן בסינתזה דאטה אריזה 42+24'!$A:$C,3,0)</f>
        <v>#N/A</v>
      </c>
      <c r="S2180" t="e">
        <f>VLOOKUP(#REF!,'מלאי לא תקין'!A:N,17,0)</f>
        <v>#REF!</v>
      </c>
      <c r="T2180" t="e">
        <f t="shared" si="73"/>
        <v>#REF!</v>
      </c>
      <c r="U2180" t="e">
        <f t="shared" si="74"/>
        <v>#REF!</v>
      </c>
    </row>
    <row r="2181" spans="4:21" x14ac:dyDescent="0.2">
      <c r="D2181" s="4"/>
      <c r="G2181" s="5"/>
      <c r="H2181" s="5"/>
      <c r="I2181" s="4"/>
      <c r="J2181" s="4"/>
      <c r="K2181" s="5"/>
      <c r="Q2181" t="e">
        <f>VLOOKUP(A2181,'גיליון דאטה להכל'!A:E,5,0)</f>
        <v>#N/A</v>
      </c>
      <c r="R2181" t="e">
        <f>VLOOKUP(A2181,'לעדכן בסינתזה דאטה אריזה 42+24'!$A:$C,3,0)</f>
        <v>#N/A</v>
      </c>
      <c r="S2181" t="e">
        <f>VLOOKUP(#REF!,'מלאי לא תקין'!A:N,17,0)</f>
        <v>#REF!</v>
      </c>
      <c r="T2181" t="e">
        <f t="shared" si="73"/>
        <v>#REF!</v>
      </c>
      <c r="U2181" t="e">
        <f t="shared" si="74"/>
        <v>#REF!</v>
      </c>
    </row>
    <row r="2182" spans="4:21" x14ac:dyDescent="0.2">
      <c r="D2182" s="4"/>
      <c r="G2182" s="5"/>
      <c r="H2182" s="5"/>
      <c r="I2182" s="4"/>
      <c r="J2182" s="4"/>
      <c r="K2182" s="5"/>
      <c r="Q2182" t="e">
        <f>VLOOKUP(A2182,'גיליון דאטה להכל'!A:E,5,0)</f>
        <v>#N/A</v>
      </c>
      <c r="R2182" t="e">
        <f>VLOOKUP(A2182,'לעדכן בסינתזה דאטה אריזה 42+24'!$A:$C,3,0)</f>
        <v>#N/A</v>
      </c>
      <c r="S2182" t="e">
        <f>VLOOKUP(#REF!,'מלאי לא תקין'!A:N,17,0)</f>
        <v>#REF!</v>
      </c>
      <c r="T2182" t="e">
        <f t="shared" si="73"/>
        <v>#REF!</v>
      </c>
      <c r="U2182" t="e">
        <f t="shared" si="74"/>
        <v>#REF!</v>
      </c>
    </row>
    <row r="2183" spans="4:21" x14ac:dyDescent="0.2">
      <c r="D2183" s="4"/>
      <c r="G2183" s="5"/>
      <c r="H2183" s="5"/>
      <c r="I2183" s="4"/>
      <c r="J2183" s="4"/>
      <c r="K2183" s="5"/>
      <c r="Q2183" t="e">
        <f>VLOOKUP(A2183,'גיליון דאטה להכל'!A:E,5,0)</f>
        <v>#N/A</v>
      </c>
      <c r="R2183" t="e">
        <f>VLOOKUP(A2183,'לעדכן בסינתזה דאטה אריזה 42+24'!$A:$C,3,0)</f>
        <v>#N/A</v>
      </c>
      <c r="S2183" t="e">
        <f>VLOOKUP(#REF!,'מלאי לא תקין'!A:N,17,0)</f>
        <v>#REF!</v>
      </c>
      <c r="T2183" t="e">
        <f t="shared" si="73"/>
        <v>#REF!</v>
      </c>
      <c r="U2183" t="e">
        <f t="shared" si="74"/>
        <v>#REF!</v>
      </c>
    </row>
    <row r="2184" spans="4:21" x14ac:dyDescent="0.2">
      <c r="D2184" s="4"/>
      <c r="G2184" s="5"/>
      <c r="H2184" s="5"/>
      <c r="I2184" s="4"/>
      <c r="J2184" s="4"/>
      <c r="K2184" s="5"/>
      <c r="Q2184" t="e">
        <f>VLOOKUP(A2184,'גיליון דאטה להכל'!A:E,5,0)</f>
        <v>#N/A</v>
      </c>
      <c r="R2184" t="e">
        <f>VLOOKUP(A2184,'לעדכן בסינתזה דאטה אריזה 42+24'!$A:$C,3,0)</f>
        <v>#N/A</v>
      </c>
      <c r="S2184" t="e">
        <f>VLOOKUP(#REF!,'מלאי לא תקין'!A:N,17,0)</f>
        <v>#REF!</v>
      </c>
      <c r="T2184" t="e">
        <f t="shared" si="73"/>
        <v>#REF!</v>
      </c>
      <c r="U2184" t="e">
        <f t="shared" si="74"/>
        <v>#REF!</v>
      </c>
    </row>
    <row r="2185" spans="4:21" x14ac:dyDescent="0.2">
      <c r="D2185" s="4"/>
      <c r="G2185" s="5"/>
      <c r="H2185" s="7"/>
      <c r="I2185" s="4"/>
      <c r="J2185" s="4"/>
      <c r="K2185" s="5"/>
      <c r="Q2185" t="e">
        <f>VLOOKUP(A2185,'גיליון דאטה להכל'!A:E,5,0)</f>
        <v>#N/A</v>
      </c>
      <c r="R2185" t="e">
        <f>VLOOKUP(A2185,'לעדכן בסינתזה דאטה אריזה 42+24'!$A:$C,3,0)</f>
        <v>#N/A</v>
      </c>
      <c r="S2185" t="e">
        <f>VLOOKUP(#REF!,'מלאי לא תקין'!A:N,17,0)</f>
        <v>#REF!</v>
      </c>
      <c r="T2185" t="e">
        <f t="shared" si="73"/>
        <v>#REF!</v>
      </c>
      <c r="U2185" t="e">
        <f t="shared" si="74"/>
        <v>#REF!</v>
      </c>
    </row>
    <row r="2186" spans="4:21" x14ac:dyDescent="0.2">
      <c r="D2186" s="4"/>
      <c r="G2186" s="5"/>
      <c r="H2186" s="5"/>
      <c r="I2186" s="4"/>
      <c r="J2186" s="4"/>
      <c r="K2186" s="5"/>
      <c r="Q2186" t="e">
        <f>VLOOKUP(A2186,'גיליון דאטה להכל'!A:E,5,0)</f>
        <v>#N/A</v>
      </c>
      <c r="R2186" t="e">
        <f>VLOOKUP(A2186,'לעדכן בסינתזה דאטה אריזה 42+24'!$A:$C,3,0)</f>
        <v>#N/A</v>
      </c>
      <c r="S2186" t="e">
        <f>VLOOKUP(#REF!,'מלאי לא תקין'!A:N,17,0)</f>
        <v>#REF!</v>
      </c>
      <c r="T2186" t="e">
        <f t="shared" si="73"/>
        <v>#REF!</v>
      </c>
      <c r="U2186" t="e">
        <f t="shared" si="74"/>
        <v>#REF!</v>
      </c>
    </row>
    <row r="2187" spans="4:21" x14ac:dyDescent="0.2">
      <c r="D2187" s="4"/>
      <c r="G2187" s="5"/>
      <c r="H2187" s="5"/>
      <c r="I2187" s="4"/>
      <c r="J2187" s="4"/>
      <c r="K2187" s="5"/>
      <c r="Q2187" t="e">
        <f>VLOOKUP(A2187,'גיליון דאטה להכל'!A:E,5,0)</f>
        <v>#N/A</v>
      </c>
      <c r="R2187" t="e">
        <f>VLOOKUP(A2187,'לעדכן בסינתזה דאטה אריזה 42+24'!$A:$C,3,0)</f>
        <v>#N/A</v>
      </c>
      <c r="S2187" t="e">
        <f>VLOOKUP(#REF!,'מלאי לא תקין'!A:N,17,0)</f>
        <v>#REF!</v>
      </c>
      <c r="T2187" t="e">
        <f t="shared" si="73"/>
        <v>#REF!</v>
      </c>
      <c r="U2187" t="e">
        <f t="shared" si="74"/>
        <v>#REF!</v>
      </c>
    </row>
    <row r="2188" spans="4:21" x14ac:dyDescent="0.2">
      <c r="D2188" s="4"/>
      <c r="G2188" s="5"/>
      <c r="H2188" s="5"/>
      <c r="I2188" s="4"/>
      <c r="J2188" s="4"/>
      <c r="K2188" s="5"/>
      <c r="Q2188" t="e">
        <f>VLOOKUP(A2188,'גיליון דאטה להכל'!A:E,5,0)</f>
        <v>#N/A</v>
      </c>
      <c r="R2188" t="e">
        <f>VLOOKUP(A2188,'לעדכן בסינתזה דאטה אריזה 42+24'!$A:$C,3,0)</f>
        <v>#N/A</v>
      </c>
      <c r="S2188" t="e">
        <f>VLOOKUP(#REF!,'מלאי לא תקין'!A:N,17,0)</f>
        <v>#REF!</v>
      </c>
      <c r="T2188" t="e">
        <f t="shared" si="73"/>
        <v>#REF!</v>
      </c>
      <c r="U2188" t="e">
        <f t="shared" si="74"/>
        <v>#REF!</v>
      </c>
    </row>
    <row r="2189" spans="4:21" x14ac:dyDescent="0.2">
      <c r="D2189" s="4"/>
      <c r="G2189" s="5"/>
      <c r="H2189" s="5"/>
      <c r="I2189" s="4"/>
      <c r="J2189" s="4"/>
      <c r="K2189" s="5"/>
      <c r="Q2189" t="e">
        <f>VLOOKUP(A2189,'גיליון דאטה להכל'!A:E,5,0)</f>
        <v>#N/A</v>
      </c>
      <c r="R2189" t="e">
        <f>VLOOKUP(A2189,'לעדכן בסינתזה דאטה אריזה 42+24'!$A:$C,3,0)</f>
        <v>#N/A</v>
      </c>
      <c r="S2189" t="e">
        <f>VLOOKUP(#REF!,'מלאי לא תקין'!A:N,17,0)</f>
        <v>#REF!</v>
      </c>
      <c r="T2189" t="e">
        <f t="shared" si="73"/>
        <v>#REF!</v>
      </c>
      <c r="U2189" t="e">
        <f t="shared" si="74"/>
        <v>#REF!</v>
      </c>
    </row>
    <row r="2190" spans="4:21" x14ac:dyDescent="0.2">
      <c r="D2190" s="4"/>
      <c r="G2190" s="5"/>
      <c r="H2190" s="7"/>
      <c r="I2190" s="4"/>
      <c r="J2190" s="4"/>
      <c r="K2190" s="5"/>
      <c r="Q2190" t="e">
        <f>VLOOKUP(A2190,'גיליון דאטה להכל'!A:E,5,0)</f>
        <v>#N/A</v>
      </c>
      <c r="R2190" t="e">
        <f>VLOOKUP(A2190,'לעדכן בסינתזה דאטה אריזה 42+24'!$A:$C,3,0)</f>
        <v>#N/A</v>
      </c>
      <c r="S2190" t="e">
        <f>VLOOKUP(#REF!,'מלאי לא תקין'!A:N,17,0)</f>
        <v>#REF!</v>
      </c>
      <c r="T2190" t="e">
        <f t="shared" si="73"/>
        <v>#REF!</v>
      </c>
      <c r="U2190" t="e">
        <f t="shared" si="74"/>
        <v>#REF!</v>
      </c>
    </row>
    <row r="2191" spans="4:21" x14ac:dyDescent="0.2">
      <c r="D2191" s="4"/>
      <c r="G2191" s="5"/>
      <c r="H2191" s="5"/>
      <c r="I2191" s="4"/>
      <c r="J2191" s="4"/>
      <c r="K2191" s="5"/>
      <c r="Q2191" t="e">
        <f>VLOOKUP(A2191,'גיליון דאטה להכל'!A:E,5,0)</f>
        <v>#N/A</v>
      </c>
      <c r="R2191" t="e">
        <f>VLOOKUP(A2191,'לעדכן בסינתזה דאטה אריזה 42+24'!$A:$C,3,0)</f>
        <v>#N/A</v>
      </c>
      <c r="S2191" t="e">
        <f>VLOOKUP(#REF!,'מלאי לא תקין'!A:N,17,0)</f>
        <v>#REF!</v>
      </c>
      <c r="T2191" t="e">
        <f t="shared" si="73"/>
        <v>#REF!</v>
      </c>
      <c r="U2191" t="e">
        <f t="shared" si="74"/>
        <v>#REF!</v>
      </c>
    </row>
    <row r="2192" spans="4:21" x14ac:dyDescent="0.2">
      <c r="D2192" s="4"/>
      <c r="G2192" s="5"/>
      <c r="H2192" s="5"/>
      <c r="I2192" s="4"/>
      <c r="J2192" s="4"/>
      <c r="K2192" s="5"/>
      <c r="Q2192" t="e">
        <f>VLOOKUP(A2192,'גיליון דאטה להכל'!A:E,5,0)</f>
        <v>#N/A</v>
      </c>
      <c r="R2192" t="e">
        <f>VLOOKUP(A2192,'לעדכן בסינתזה דאטה אריזה 42+24'!$A:$C,3,0)</f>
        <v>#N/A</v>
      </c>
      <c r="S2192" t="e">
        <f>VLOOKUP(#REF!,'מלאי לא תקין'!A:N,17,0)</f>
        <v>#REF!</v>
      </c>
      <c r="T2192" t="e">
        <f t="shared" si="73"/>
        <v>#REF!</v>
      </c>
      <c r="U2192" t="e">
        <f t="shared" si="74"/>
        <v>#REF!</v>
      </c>
    </row>
    <row r="2193" spans="4:21" x14ac:dyDescent="0.2">
      <c r="D2193" s="4"/>
      <c r="G2193" s="5"/>
      <c r="H2193" s="5"/>
      <c r="I2193" s="4"/>
      <c r="J2193" s="4"/>
      <c r="K2193" s="5"/>
      <c r="Q2193" t="e">
        <f>VLOOKUP(A2193,'גיליון דאטה להכל'!A:E,5,0)</f>
        <v>#N/A</v>
      </c>
      <c r="R2193" t="e">
        <f>VLOOKUP(A2193,'לעדכן בסינתזה דאטה אריזה 42+24'!$A:$C,3,0)</f>
        <v>#N/A</v>
      </c>
      <c r="S2193" t="e">
        <f>VLOOKUP(#REF!,'מלאי לא תקין'!A:N,17,0)</f>
        <v>#REF!</v>
      </c>
      <c r="T2193" t="e">
        <f t="shared" si="73"/>
        <v>#REF!</v>
      </c>
      <c r="U2193" t="e">
        <f t="shared" si="74"/>
        <v>#REF!</v>
      </c>
    </row>
    <row r="2194" spans="4:21" x14ac:dyDescent="0.2">
      <c r="D2194" s="4"/>
      <c r="G2194" s="5"/>
      <c r="H2194" s="5"/>
      <c r="I2194" s="4"/>
      <c r="J2194" s="4"/>
      <c r="K2194" s="5"/>
      <c r="Q2194" t="e">
        <f>VLOOKUP(A2194,'גיליון דאטה להכל'!A:E,5,0)</f>
        <v>#N/A</v>
      </c>
      <c r="R2194" t="e">
        <f>VLOOKUP(A2194,'לעדכן בסינתזה דאטה אריזה 42+24'!$A:$C,3,0)</f>
        <v>#N/A</v>
      </c>
      <c r="S2194" t="e">
        <f>VLOOKUP(#REF!,'מלאי לא תקין'!A:N,17,0)</f>
        <v>#REF!</v>
      </c>
      <c r="T2194" t="e">
        <f t="shared" si="73"/>
        <v>#REF!</v>
      </c>
      <c r="U2194" t="e">
        <f t="shared" si="74"/>
        <v>#REF!</v>
      </c>
    </row>
    <row r="2195" spans="4:21" x14ac:dyDescent="0.2">
      <c r="D2195" s="4"/>
      <c r="G2195" s="5"/>
      <c r="H2195" s="7"/>
      <c r="I2195" s="4"/>
      <c r="J2195" s="4"/>
      <c r="K2195" s="5"/>
      <c r="Q2195" t="e">
        <f>VLOOKUP(A2195,'גיליון דאטה להכל'!A:E,5,0)</f>
        <v>#N/A</v>
      </c>
      <c r="R2195" t="e">
        <f>VLOOKUP(A2195,'לעדכן בסינתזה דאטה אריזה 42+24'!$A:$C,3,0)</f>
        <v>#N/A</v>
      </c>
      <c r="S2195" t="e">
        <f>VLOOKUP(#REF!,'מלאי לא תקין'!A:N,17,0)</f>
        <v>#REF!</v>
      </c>
      <c r="T2195" t="e">
        <f t="shared" si="73"/>
        <v>#REF!</v>
      </c>
      <c r="U2195" t="e">
        <f t="shared" si="74"/>
        <v>#REF!</v>
      </c>
    </row>
    <row r="2196" spans="4:21" x14ac:dyDescent="0.2">
      <c r="D2196" s="4"/>
      <c r="G2196" s="5"/>
      <c r="H2196" s="5"/>
      <c r="I2196" s="4"/>
      <c r="J2196" s="4"/>
      <c r="K2196" s="5"/>
      <c r="Q2196" t="e">
        <f>VLOOKUP(A2196,'גיליון דאטה להכל'!A:E,5,0)</f>
        <v>#N/A</v>
      </c>
      <c r="R2196" t="e">
        <f>VLOOKUP(A2196,'לעדכן בסינתזה דאטה אריזה 42+24'!$A:$C,3,0)</f>
        <v>#N/A</v>
      </c>
      <c r="S2196" t="e">
        <f>VLOOKUP(#REF!,'מלאי לא תקין'!A:N,17,0)</f>
        <v>#REF!</v>
      </c>
      <c r="T2196" t="e">
        <f t="shared" si="73"/>
        <v>#REF!</v>
      </c>
      <c r="U2196" t="e">
        <f t="shared" si="74"/>
        <v>#REF!</v>
      </c>
    </row>
    <row r="2197" spans="4:21" x14ac:dyDescent="0.2">
      <c r="D2197" s="4"/>
      <c r="G2197" s="5"/>
      <c r="H2197" s="5"/>
      <c r="I2197" s="4"/>
      <c r="J2197" s="4"/>
      <c r="K2197" s="5"/>
      <c r="Q2197" t="e">
        <f>VLOOKUP(A2197,'גיליון דאטה להכל'!A:E,5,0)</f>
        <v>#N/A</v>
      </c>
      <c r="R2197" t="e">
        <f>VLOOKUP(A2197,'לעדכן בסינתזה דאטה אריזה 42+24'!$A:$C,3,0)</f>
        <v>#N/A</v>
      </c>
      <c r="S2197" t="e">
        <f>VLOOKUP(#REF!,'מלאי לא תקין'!A:N,17,0)</f>
        <v>#REF!</v>
      </c>
      <c r="T2197" t="e">
        <f t="shared" si="73"/>
        <v>#REF!</v>
      </c>
      <c r="U2197" t="e">
        <f t="shared" si="74"/>
        <v>#REF!</v>
      </c>
    </row>
    <row r="2198" spans="4:21" x14ac:dyDescent="0.2">
      <c r="D2198" s="4"/>
      <c r="G2198" s="5"/>
      <c r="H2198" s="5"/>
      <c r="I2198" s="4"/>
      <c r="J2198" s="4"/>
      <c r="K2198" s="5"/>
      <c r="Q2198" t="e">
        <f>VLOOKUP(A2198,'גיליון דאטה להכל'!A:E,5,0)</f>
        <v>#N/A</v>
      </c>
      <c r="R2198" t="e">
        <f>VLOOKUP(A2198,'לעדכן בסינתזה דאטה אריזה 42+24'!$A:$C,3,0)</f>
        <v>#N/A</v>
      </c>
      <c r="S2198" t="e">
        <f>VLOOKUP(#REF!,'מלאי לא תקין'!A:N,17,0)</f>
        <v>#REF!</v>
      </c>
      <c r="T2198" t="e">
        <f t="shared" si="73"/>
        <v>#REF!</v>
      </c>
      <c r="U2198" t="e">
        <f t="shared" si="74"/>
        <v>#REF!</v>
      </c>
    </row>
    <row r="2199" spans="4:21" x14ac:dyDescent="0.2">
      <c r="D2199" s="4"/>
      <c r="G2199" s="5"/>
      <c r="H2199" s="5"/>
      <c r="I2199" s="4"/>
      <c r="J2199" s="4"/>
      <c r="K2199" s="5"/>
      <c r="Q2199" t="e">
        <f>VLOOKUP(A2199,'גיליון דאטה להכל'!A:E,5,0)</f>
        <v>#N/A</v>
      </c>
      <c r="R2199" t="e">
        <f>VLOOKUP(A2199,'לעדכן בסינתזה דאטה אריזה 42+24'!$A:$C,3,0)</f>
        <v>#N/A</v>
      </c>
      <c r="S2199" t="e">
        <f>VLOOKUP(#REF!,'מלאי לא תקין'!A:N,17,0)</f>
        <v>#REF!</v>
      </c>
      <c r="T2199" t="e">
        <f t="shared" si="73"/>
        <v>#REF!</v>
      </c>
      <c r="U2199" t="e">
        <f t="shared" si="74"/>
        <v>#REF!</v>
      </c>
    </row>
    <row r="2200" spans="4:21" x14ac:dyDescent="0.2">
      <c r="D2200" s="4"/>
      <c r="G2200" s="5"/>
      <c r="H2200" s="7"/>
      <c r="I2200" s="4"/>
      <c r="J2200" s="4"/>
      <c r="K2200" s="5"/>
      <c r="Q2200" t="e">
        <f>VLOOKUP(A2200,'גיליון דאטה להכל'!A:E,5,0)</f>
        <v>#N/A</v>
      </c>
      <c r="R2200" t="e">
        <f>VLOOKUP(A2200,'לעדכן בסינתזה דאטה אריזה 42+24'!$A:$C,3,0)</f>
        <v>#N/A</v>
      </c>
      <c r="S2200" t="e">
        <f>VLOOKUP(#REF!,'מלאי לא תקין'!A:N,17,0)</f>
        <v>#REF!</v>
      </c>
      <c r="T2200" t="e">
        <f t="shared" si="73"/>
        <v>#REF!</v>
      </c>
      <c r="U2200" t="e">
        <f t="shared" si="74"/>
        <v>#REF!</v>
      </c>
    </row>
    <row r="2201" spans="4:21" x14ac:dyDescent="0.2">
      <c r="D2201" s="4"/>
      <c r="G2201" s="5"/>
      <c r="H2201" s="5"/>
      <c r="I2201" s="4"/>
      <c r="J2201" s="4"/>
      <c r="K2201" s="5"/>
      <c r="Q2201" t="e">
        <f>VLOOKUP(A2201,'גיליון דאטה להכל'!A:E,5,0)</f>
        <v>#N/A</v>
      </c>
      <c r="R2201" t="e">
        <f>VLOOKUP(A2201,'לעדכן בסינתזה דאטה אריזה 42+24'!$A:$C,3,0)</f>
        <v>#N/A</v>
      </c>
      <c r="S2201" t="e">
        <f>VLOOKUP(#REF!,'מלאי לא תקין'!A:N,17,0)</f>
        <v>#REF!</v>
      </c>
      <c r="T2201" t="e">
        <f t="shared" si="73"/>
        <v>#REF!</v>
      </c>
      <c r="U2201" t="e">
        <f t="shared" si="74"/>
        <v>#REF!</v>
      </c>
    </row>
    <row r="2202" spans="4:21" x14ac:dyDescent="0.2">
      <c r="D2202" s="4"/>
      <c r="G2202" s="5"/>
      <c r="H2202" s="5"/>
      <c r="I2202" s="4"/>
      <c r="J2202" s="4"/>
      <c r="K2202" s="5"/>
      <c r="Q2202" t="e">
        <f>VLOOKUP(A2202,'גיליון דאטה להכל'!A:E,5,0)</f>
        <v>#N/A</v>
      </c>
      <c r="R2202" t="e">
        <f>VLOOKUP(A2202,'לעדכן בסינתזה דאטה אריזה 42+24'!$A:$C,3,0)</f>
        <v>#N/A</v>
      </c>
      <c r="S2202" t="e">
        <f>VLOOKUP(#REF!,'מלאי לא תקין'!A:N,17,0)</f>
        <v>#REF!</v>
      </c>
      <c r="T2202" t="e">
        <f t="shared" si="73"/>
        <v>#REF!</v>
      </c>
      <c r="U2202" t="e">
        <f t="shared" si="74"/>
        <v>#REF!</v>
      </c>
    </row>
    <row r="2203" spans="4:21" x14ac:dyDescent="0.2">
      <c r="D2203" s="4"/>
      <c r="G2203" s="5"/>
      <c r="H2203" s="5"/>
      <c r="I2203" s="4"/>
      <c r="J2203" s="4"/>
      <c r="K2203" s="5"/>
      <c r="Q2203" t="e">
        <f>VLOOKUP(A2203,'גיליון דאטה להכל'!A:E,5,0)</f>
        <v>#N/A</v>
      </c>
      <c r="R2203" t="e">
        <f>VLOOKUP(A2203,'לעדכן בסינתזה דאטה אריזה 42+24'!$A:$C,3,0)</f>
        <v>#N/A</v>
      </c>
      <c r="S2203" t="e">
        <f>VLOOKUP(#REF!,'מלאי לא תקין'!A:N,17,0)</f>
        <v>#REF!</v>
      </c>
      <c r="T2203" t="e">
        <f t="shared" si="73"/>
        <v>#REF!</v>
      </c>
      <c r="U2203" t="e">
        <f t="shared" si="74"/>
        <v>#REF!</v>
      </c>
    </row>
    <row r="2204" spans="4:21" x14ac:dyDescent="0.2">
      <c r="D2204" s="4"/>
      <c r="G2204" s="5"/>
      <c r="H2204" s="5"/>
      <c r="I2204" s="4"/>
      <c r="J2204" s="4"/>
      <c r="K2204" s="5"/>
      <c r="Q2204" t="e">
        <f>VLOOKUP(A2204,'גיליון דאטה להכל'!A:E,5,0)</f>
        <v>#N/A</v>
      </c>
      <c r="R2204" t="e">
        <f>VLOOKUP(A2204,'לעדכן בסינתזה דאטה אריזה 42+24'!$A:$C,3,0)</f>
        <v>#N/A</v>
      </c>
      <c r="S2204" t="e">
        <f>VLOOKUP(#REF!,'מלאי לא תקין'!A:N,17,0)</f>
        <v>#REF!</v>
      </c>
      <c r="T2204" t="e">
        <f t="shared" si="73"/>
        <v>#REF!</v>
      </c>
      <c r="U2204" t="e">
        <f t="shared" si="74"/>
        <v>#REF!</v>
      </c>
    </row>
    <row r="2205" spans="4:21" x14ac:dyDescent="0.2">
      <c r="D2205" s="4"/>
      <c r="G2205" s="5"/>
      <c r="H2205" s="7"/>
      <c r="I2205" s="4"/>
      <c r="J2205" s="4"/>
      <c r="K2205" s="5"/>
      <c r="Q2205" t="e">
        <f>VLOOKUP(A2205,'גיליון דאטה להכל'!A:E,5,0)</f>
        <v>#N/A</v>
      </c>
      <c r="R2205" t="e">
        <f>VLOOKUP(A2205,'לעדכן בסינתזה דאטה אריזה 42+24'!$A:$C,3,0)</f>
        <v>#N/A</v>
      </c>
      <c r="S2205" t="e">
        <f>VLOOKUP(#REF!,'מלאי לא תקין'!A:N,17,0)</f>
        <v>#REF!</v>
      </c>
      <c r="T2205" t="e">
        <f t="shared" si="73"/>
        <v>#REF!</v>
      </c>
      <c r="U2205" t="e">
        <f t="shared" si="74"/>
        <v>#REF!</v>
      </c>
    </row>
    <row r="2206" spans="4:21" x14ac:dyDescent="0.2">
      <c r="D2206" s="4"/>
      <c r="G2206" s="5"/>
      <c r="H2206" s="5"/>
      <c r="I2206" s="4"/>
      <c r="J2206" s="4"/>
      <c r="K2206" s="5"/>
      <c r="Q2206" t="e">
        <f>VLOOKUP(A2206,'גיליון דאטה להכל'!A:E,5,0)</f>
        <v>#N/A</v>
      </c>
      <c r="R2206" t="e">
        <f>VLOOKUP(A2206,'לעדכן בסינתזה דאטה אריזה 42+24'!$A:$C,3,0)</f>
        <v>#N/A</v>
      </c>
      <c r="S2206" t="e">
        <f>VLOOKUP(#REF!,'מלאי לא תקין'!A:N,17,0)</f>
        <v>#REF!</v>
      </c>
      <c r="T2206" t="e">
        <f t="shared" si="73"/>
        <v>#REF!</v>
      </c>
      <c r="U2206" t="e">
        <f t="shared" si="74"/>
        <v>#REF!</v>
      </c>
    </row>
    <row r="2207" spans="4:21" x14ac:dyDescent="0.2">
      <c r="D2207" s="4"/>
      <c r="G2207" s="5"/>
      <c r="H2207" s="5"/>
      <c r="I2207" s="4"/>
      <c r="J2207" s="4"/>
      <c r="K2207" s="5"/>
      <c r="Q2207" t="e">
        <f>VLOOKUP(A2207,'גיליון דאטה להכל'!A:E,5,0)</f>
        <v>#N/A</v>
      </c>
      <c r="R2207" t="e">
        <f>VLOOKUP(A2207,'לעדכן בסינתזה דאטה אריזה 42+24'!$A:$C,3,0)</f>
        <v>#N/A</v>
      </c>
      <c r="S2207" t="e">
        <f>VLOOKUP(#REF!,'מלאי לא תקין'!A:N,17,0)</f>
        <v>#REF!</v>
      </c>
      <c r="T2207" t="e">
        <f t="shared" si="73"/>
        <v>#REF!</v>
      </c>
      <c r="U2207" t="e">
        <f t="shared" si="74"/>
        <v>#REF!</v>
      </c>
    </row>
    <row r="2208" spans="4:21" x14ac:dyDescent="0.2">
      <c r="D2208" s="4"/>
      <c r="G2208" s="5"/>
      <c r="H2208" s="5"/>
      <c r="I2208" s="4"/>
      <c r="J2208" s="4"/>
      <c r="K2208" s="5"/>
      <c r="Q2208" t="e">
        <f>VLOOKUP(A2208,'גיליון דאטה להכל'!A:E,5,0)</f>
        <v>#N/A</v>
      </c>
      <c r="R2208" t="e">
        <f>VLOOKUP(A2208,'לעדכן בסינתזה דאטה אריזה 42+24'!$A:$C,3,0)</f>
        <v>#N/A</v>
      </c>
      <c r="S2208" t="e">
        <f>VLOOKUP(#REF!,'מלאי לא תקין'!A:N,17,0)</f>
        <v>#REF!</v>
      </c>
      <c r="T2208" t="e">
        <f t="shared" si="73"/>
        <v>#REF!</v>
      </c>
      <c r="U2208" t="e">
        <f t="shared" si="74"/>
        <v>#REF!</v>
      </c>
    </row>
    <row r="2209" spans="4:21" x14ac:dyDescent="0.2">
      <c r="D2209" s="4"/>
      <c r="G2209" s="5"/>
      <c r="H2209" s="5"/>
      <c r="I2209" s="4"/>
      <c r="J2209" s="4"/>
      <c r="K2209" s="5"/>
      <c r="Q2209" t="e">
        <f>VLOOKUP(A2209,'גיליון דאטה להכל'!A:E,5,0)</f>
        <v>#N/A</v>
      </c>
      <c r="R2209" t="e">
        <f>VLOOKUP(A2209,'לעדכן בסינתזה דאטה אריזה 42+24'!$A:$C,3,0)</f>
        <v>#N/A</v>
      </c>
      <c r="S2209" t="e">
        <f>VLOOKUP(#REF!,'מלאי לא תקין'!A:N,17,0)</f>
        <v>#REF!</v>
      </c>
      <c r="T2209" t="e">
        <f t="shared" si="73"/>
        <v>#REF!</v>
      </c>
      <c r="U2209" t="e">
        <f t="shared" si="74"/>
        <v>#REF!</v>
      </c>
    </row>
    <row r="2210" spans="4:21" x14ac:dyDescent="0.2">
      <c r="D2210" s="4"/>
      <c r="G2210" s="5"/>
      <c r="H2210" s="7"/>
      <c r="I2210" s="4"/>
      <c r="J2210" s="4"/>
      <c r="K2210" s="5"/>
      <c r="Q2210" t="e">
        <f>VLOOKUP(A2210,'גיליון דאטה להכל'!A:E,5,0)</f>
        <v>#N/A</v>
      </c>
      <c r="R2210" t="e">
        <f>VLOOKUP(A2210,'לעדכן בסינתזה דאטה אריזה 42+24'!$A:$C,3,0)</f>
        <v>#N/A</v>
      </c>
      <c r="S2210" t="e">
        <f>VLOOKUP(#REF!,'מלאי לא תקין'!A:N,17,0)</f>
        <v>#REF!</v>
      </c>
      <c r="T2210" t="e">
        <f t="shared" si="73"/>
        <v>#REF!</v>
      </c>
      <c r="U2210" t="e">
        <f t="shared" si="74"/>
        <v>#REF!</v>
      </c>
    </row>
    <row r="2211" spans="4:21" x14ac:dyDescent="0.2">
      <c r="D2211" s="4"/>
      <c r="G2211" s="5"/>
      <c r="H2211" s="5"/>
      <c r="I2211" s="4"/>
      <c r="J2211" s="4"/>
      <c r="K2211" s="5"/>
      <c r="Q2211" t="e">
        <f>VLOOKUP(A2211,'גיליון דאטה להכל'!A:E,5,0)</f>
        <v>#N/A</v>
      </c>
      <c r="R2211" t="e">
        <f>VLOOKUP(A2211,'לעדכן בסינתזה דאטה אריזה 42+24'!$A:$C,3,0)</f>
        <v>#N/A</v>
      </c>
      <c r="S2211" t="e">
        <f>VLOOKUP(#REF!,'מלאי לא תקין'!A:N,17,0)</f>
        <v>#REF!</v>
      </c>
      <c r="T2211" t="e">
        <f t="shared" si="73"/>
        <v>#REF!</v>
      </c>
      <c r="U2211" t="e">
        <f t="shared" si="74"/>
        <v>#REF!</v>
      </c>
    </row>
    <row r="2212" spans="4:21" x14ac:dyDescent="0.2">
      <c r="D2212" s="4"/>
      <c r="G2212" s="5"/>
      <c r="H2212" s="5"/>
      <c r="I2212" s="4"/>
      <c r="J2212" s="4"/>
      <c r="K2212" s="5"/>
      <c r="Q2212" t="e">
        <f>VLOOKUP(A2212,'גיליון דאטה להכל'!A:E,5,0)</f>
        <v>#N/A</v>
      </c>
      <c r="R2212" t="e">
        <f>VLOOKUP(A2212,'לעדכן בסינתזה דאטה אריזה 42+24'!$A:$C,3,0)</f>
        <v>#N/A</v>
      </c>
      <c r="S2212" t="e">
        <f>VLOOKUP(#REF!,'מלאי לא תקין'!A:N,17,0)</f>
        <v>#REF!</v>
      </c>
      <c r="T2212" t="e">
        <f t="shared" si="73"/>
        <v>#REF!</v>
      </c>
      <c r="U2212" t="e">
        <f t="shared" si="74"/>
        <v>#REF!</v>
      </c>
    </row>
    <row r="2213" spans="4:21" x14ac:dyDescent="0.2">
      <c r="D2213" s="4"/>
      <c r="G2213" s="5"/>
      <c r="H2213" s="5"/>
      <c r="I2213" s="4"/>
      <c r="J2213" s="4"/>
      <c r="K2213" s="5"/>
      <c r="Q2213" t="e">
        <f>VLOOKUP(A2213,'גיליון דאטה להכל'!A:E,5,0)</f>
        <v>#N/A</v>
      </c>
      <c r="R2213" t="e">
        <f>VLOOKUP(A2213,'לעדכן בסינתזה דאטה אריזה 42+24'!$A:$C,3,0)</f>
        <v>#N/A</v>
      </c>
      <c r="S2213" t="e">
        <f>VLOOKUP(#REF!,'מלאי לא תקין'!A:N,17,0)</f>
        <v>#REF!</v>
      </c>
      <c r="T2213" t="e">
        <f t="shared" si="73"/>
        <v>#REF!</v>
      </c>
      <c r="U2213" t="e">
        <f t="shared" si="74"/>
        <v>#REF!</v>
      </c>
    </row>
    <row r="2214" spans="4:21" x14ac:dyDescent="0.2">
      <c r="D2214" s="4"/>
      <c r="G2214" s="5"/>
      <c r="H2214" s="5"/>
      <c r="I2214" s="4"/>
      <c r="J2214" s="4"/>
      <c r="K2214" s="5"/>
      <c r="Q2214" t="e">
        <f>VLOOKUP(A2214,'גיליון דאטה להכל'!A:E,5,0)</f>
        <v>#N/A</v>
      </c>
      <c r="R2214" t="e">
        <f>VLOOKUP(A2214,'לעדכן בסינתזה דאטה אריזה 42+24'!$A:$C,3,0)</f>
        <v>#N/A</v>
      </c>
      <c r="S2214" t="e">
        <f>VLOOKUP(#REF!,'מלאי לא תקין'!A:N,17,0)</f>
        <v>#REF!</v>
      </c>
      <c r="T2214" t="e">
        <f t="shared" si="73"/>
        <v>#REF!</v>
      </c>
      <c r="U2214" t="e">
        <f t="shared" si="74"/>
        <v>#REF!</v>
      </c>
    </row>
    <row r="2215" spans="4:21" x14ac:dyDescent="0.2">
      <c r="D2215" s="4"/>
      <c r="G2215" s="5"/>
      <c r="H2215" s="7"/>
      <c r="I2215" s="4"/>
      <c r="J2215" s="4"/>
      <c r="K2215" s="5"/>
      <c r="Q2215" t="e">
        <f>VLOOKUP(A2215,'גיליון דאטה להכל'!A:E,5,0)</f>
        <v>#N/A</v>
      </c>
      <c r="R2215" t="e">
        <f>VLOOKUP(A2215,'לעדכן בסינתזה דאטה אריזה 42+24'!$A:$C,3,0)</f>
        <v>#N/A</v>
      </c>
      <c r="S2215" t="e">
        <f>VLOOKUP(#REF!,'מלאי לא תקין'!A:N,17,0)</f>
        <v>#REF!</v>
      </c>
      <c r="T2215" t="e">
        <f t="shared" si="73"/>
        <v>#REF!</v>
      </c>
      <c r="U2215" t="e">
        <f t="shared" si="74"/>
        <v>#REF!</v>
      </c>
    </row>
    <row r="2216" spans="4:21" x14ac:dyDescent="0.2">
      <c r="D2216" s="4"/>
      <c r="G2216" s="5"/>
      <c r="H2216" s="5"/>
      <c r="I2216" s="4"/>
      <c r="J2216" s="4"/>
      <c r="K2216" s="5"/>
      <c r="Q2216" t="e">
        <f>VLOOKUP(A2216,'גיליון דאטה להכל'!A:E,5,0)</f>
        <v>#N/A</v>
      </c>
      <c r="R2216" t="e">
        <f>VLOOKUP(A2216,'לעדכן בסינתזה דאטה אריזה 42+24'!$A:$C,3,0)</f>
        <v>#N/A</v>
      </c>
      <c r="S2216" t="e">
        <f>VLOOKUP(#REF!,'מלאי לא תקין'!A:N,17,0)</f>
        <v>#REF!</v>
      </c>
      <c r="T2216" t="e">
        <f t="shared" si="73"/>
        <v>#REF!</v>
      </c>
      <c r="U2216" t="e">
        <f t="shared" si="74"/>
        <v>#REF!</v>
      </c>
    </row>
    <row r="2217" spans="4:21" x14ac:dyDescent="0.2">
      <c r="D2217" s="4"/>
      <c r="G2217" s="5"/>
      <c r="H2217" s="5"/>
      <c r="I2217" s="4"/>
      <c r="J2217" s="4"/>
      <c r="K2217" s="5"/>
      <c r="Q2217" t="e">
        <f>VLOOKUP(A2217,'גיליון דאטה להכל'!A:E,5,0)</f>
        <v>#N/A</v>
      </c>
      <c r="R2217" t="e">
        <f>VLOOKUP(A2217,'לעדכן בסינתזה דאטה אריזה 42+24'!$A:$C,3,0)</f>
        <v>#N/A</v>
      </c>
      <c r="S2217" t="e">
        <f>VLOOKUP(#REF!,'מלאי לא תקין'!A:N,17,0)</f>
        <v>#REF!</v>
      </c>
      <c r="T2217" t="e">
        <f t="shared" si="73"/>
        <v>#REF!</v>
      </c>
      <c r="U2217" t="e">
        <f t="shared" si="74"/>
        <v>#REF!</v>
      </c>
    </row>
    <row r="2218" spans="4:21" x14ac:dyDescent="0.2">
      <c r="D2218" s="4"/>
      <c r="G2218" s="5"/>
      <c r="H2218" s="5"/>
      <c r="I2218" s="4"/>
      <c r="J2218" s="4"/>
      <c r="K2218" s="5"/>
      <c r="Q2218" t="e">
        <f>VLOOKUP(A2218,'גיליון דאטה להכל'!A:E,5,0)</f>
        <v>#N/A</v>
      </c>
      <c r="R2218" t="e">
        <f>VLOOKUP(A2218,'לעדכן בסינתזה דאטה אריזה 42+24'!$A:$C,3,0)</f>
        <v>#N/A</v>
      </c>
      <c r="S2218" t="e">
        <f>VLOOKUP(#REF!,'מלאי לא תקין'!A:N,17,0)</f>
        <v>#REF!</v>
      </c>
      <c r="T2218" t="e">
        <f t="shared" si="73"/>
        <v>#REF!</v>
      </c>
      <c r="U2218" t="e">
        <f t="shared" si="74"/>
        <v>#REF!</v>
      </c>
    </row>
    <row r="2219" spans="4:21" x14ac:dyDescent="0.2">
      <c r="D2219" s="4"/>
      <c r="G2219" s="5"/>
      <c r="H2219" s="5"/>
      <c r="I2219" s="4"/>
      <c r="J2219" s="4"/>
      <c r="K2219" s="5"/>
      <c r="Q2219" t="e">
        <f>VLOOKUP(A2219,'גיליון דאטה להכל'!A:E,5,0)</f>
        <v>#N/A</v>
      </c>
      <c r="R2219" t="e">
        <f>VLOOKUP(A2219,'לעדכן בסינתזה דאטה אריזה 42+24'!$A:$C,3,0)</f>
        <v>#N/A</v>
      </c>
      <c r="S2219" t="e">
        <f>VLOOKUP(#REF!,'מלאי לא תקין'!A:N,17,0)</f>
        <v>#REF!</v>
      </c>
      <c r="T2219" t="e">
        <f t="shared" si="73"/>
        <v>#REF!</v>
      </c>
      <c r="U2219" t="e">
        <f t="shared" si="74"/>
        <v>#REF!</v>
      </c>
    </row>
    <row r="2220" spans="4:21" x14ac:dyDescent="0.2">
      <c r="D2220" s="4"/>
      <c r="G2220" s="5"/>
      <c r="H2220" s="7"/>
      <c r="I2220" s="4"/>
      <c r="J2220" s="4"/>
      <c r="K2220" s="5"/>
      <c r="Q2220" t="e">
        <f>VLOOKUP(A2220,'גיליון דאטה להכל'!A:E,5,0)</f>
        <v>#N/A</v>
      </c>
      <c r="R2220" t="e">
        <f>VLOOKUP(A2220,'לעדכן בסינתזה דאטה אריזה 42+24'!$A:$C,3,0)</f>
        <v>#N/A</v>
      </c>
      <c r="S2220" t="e">
        <f>VLOOKUP(#REF!,'מלאי לא תקין'!A:N,17,0)</f>
        <v>#REF!</v>
      </c>
      <c r="T2220" t="e">
        <f t="shared" si="73"/>
        <v>#REF!</v>
      </c>
      <c r="U2220" t="e">
        <f t="shared" si="74"/>
        <v>#REF!</v>
      </c>
    </row>
    <row r="2221" spans="4:21" x14ac:dyDescent="0.2">
      <c r="D2221" s="4"/>
      <c r="G2221" s="5"/>
      <c r="H2221" s="5"/>
      <c r="I2221" s="4"/>
      <c r="J2221" s="4"/>
      <c r="K2221" s="5"/>
      <c r="Q2221" t="e">
        <f>VLOOKUP(A2221,'גיליון דאטה להכל'!A:E,5,0)</f>
        <v>#N/A</v>
      </c>
      <c r="R2221" t="e">
        <f>VLOOKUP(A2221,'לעדכן בסינתזה דאטה אריזה 42+24'!$A:$C,3,0)</f>
        <v>#N/A</v>
      </c>
      <c r="S2221" t="e">
        <f>VLOOKUP(#REF!,'מלאי לא תקין'!A:N,17,0)</f>
        <v>#REF!</v>
      </c>
      <c r="T2221" t="e">
        <f t="shared" si="73"/>
        <v>#REF!</v>
      </c>
      <c r="U2221" t="e">
        <f t="shared" si="74"/>
        <v>#REF!</v>
      </c>
    </row>
    <row r="2222" spans="4:21" x14ac:dyDescent="0.2">
      <c r="D2222" s="4"/>
      <c r="G2222" s="5"/>
      <c r="H2222" s="5"/>
      <c r="I2222" s="4"/>
      <c r="J2222" s="4"/>
      <c r="K2222" s="5"/>
      <c r="Q2222" t="e">
        <f>VLOOKUP(A2222,'גיליון דאטה להכל'!A:E,5,0)</f>
        <v>#N/A</v>
      </c>
      <c r="R2222" t="e">
        <f>VLOOKUP(A2222,'לעדכן בסינתזה דאטה אריזה 42+24'!$A:$C,3,0)</f>
        <v>#N/A</v>
      </c>
      <c r="S2222" t="e">
        <f>VLOOKUP(#REF!,'מלאי לא תקין'!A:N,17,0)</f>
        <v>#REF!</v>
      </c>
      <c r="T2222" t="e">
        <f t="shared" si="73"/>
        <v>#REF!</v>
      </c>
      <c r="U2222" t="e">
        <f t="shared" si="74"/>
        <v>#REF!</v>
      </c>
    </row>
    <row r="2223" spans="4:21" x14ac:dyDescent="0.2">
      <c r="D2223" s="4"/>
      <c r="G2223" s="5"/>
      <c r="H2223" s="5"/>
      <c r="I2223" s="4"/>
      <c r="J2223" s="4"/>
      <c r="K2223" s="5"/>
      <c r="Q2223" t="e">
        <f>VLOOKUP(A2223,'גיליון דאטה להכל'!A:E,5,0)</f>
        <v>#N/A</v>
      </c>
      <c r="R2223" t="e">
        <f>VLOOKUP(A2223,'לעדכן בסינתזה דאטה אריזה 42+24'!$A:$C,3,0)</f>
        <v>#N/A</v>
      </c>
      <c r="S2223" t="e">
        <f>VLOOKUP(#REF!,'מלאי לא תקין'!A:N,17,0)</f>
        <v>#REF!</v>
      </c>
      <c r="T2223" t="e">
        <f t="shared" si="73"/>
        <v>#REF!</v>
      </c>
      <c r="U2223" t="e">
        <f t="shared" si="74"/>
        <v>#REF!</v>
      </c>
    </row>
    <row r="2224" spans="4:21" x14ac:dyDescent="0.2">
      <c r="D2224" s="4"/>
      <c r="G2224" s="5"/>
      <c r="H2224" s="5"/>
      <c r="I2224" s="4"/>
      <c r="J2224" s="4"/>
      <c r="K2224" s="5"/>
      <c r="Q2224" t="e">
        <f>VLOOKUP(A2224,'גיליון דאטה להכל'!A:E,5,0)</f>
        <v>#N/A</v>
      </c>
      <c r="R2224" t="e">
        <f>VLOOKUP(A2224,'לעדכן בסינתזה דאטה אריזה 42+24'!$A:$C,3,0)</f>
        <v>#N/A</v>
      </c>
      <c r="S2224" t="e">
        <f>VLOOKUP(#REF!,'מלאי לא תקין'!A:N,17,0)</f>
        <v>#REF!</v>
      </c>
      <c r="T2224" t="e">
        <f t="shared" si="73"/>
        <v>#REF!</v>
      </c>
      <c r="U2224" t="e">
        <f t="shared" si="74"/>
        <v>#REF!</v>
      </c>
    </row>
    <row r="2225" spans="4:21" x14ac:dyDescent="0.2">
      <c r="D2225" s="4"/>
      <c r="G2225" s="5"/>
      <c r="H2225" s="7"/>
      <c r="I2225" s="4"/>
      <c r="J2225" s="4"/>
      <c r="K2225" s="5"/>
      <c r="Q2225" t="e">
        <f>VLOOKUP(A2225,'גיליון דאטה להכל'!A:E,5,0)</f>
        <v>#N/A</v>
      </c>
      <c r="R2225" t="e">
        <f>VLOOKUP(A2225,'לעדכן בסינתזה דאטה אריזה 42+24'!$A:$C,3,0)</f>
        <v>#N/A</v>
      </c>
      <c r="S2225" t="e">
        <f>VLOOKUP(#REF!,'מלאי לא תקין'!A:N,17,0)</f>
        <v>#REF!</v>
      </c>
      <c r="T2225" t="e">
        <f t="shared" si="73"/>
        <v>#REF!</v>
      </c>
      <c r="U2225" t="e">
        <f t="shared" si="74"/>
        <v>#REF!</v>
      </c>
    </row>
    <row r="2226" spans="4:21" x14ac:dyDescent="0.2">
      <c r="D2226" s="4"/>
      <c r="G2226" s="5"/>
      <c r="H2226" s="5"/>
      <c r="I2226" s="4"/>
      <c r="J2226" s="4"/>
      <c r="K2226" s="5"/>
      <c r="Q2226" t="e">
        <f>VLOOKUP(A2226,'גיליון דאטה להכל'!A:E,5,0)</f>
        <v>#N/A</v>
      </c>
      <c r="R2226" t="e">
        <f>VLOOKUP(A2226,'לעדכן בסינתזה דאטה אריזה 42+24'!$A:$C,3,0)</f>
        <v>#N/A</v>
      </c>
      <c r="S2226" t="e">
        <f>VLOOKUP(#REF!,'מלאי לא תקין'!A:N,17,0)</f>
        <v>#REF!</v>
      </c>
      <c r="T2226" t="e">
        <f t="shared" si="73"/>
        <v>#REF!</v>
      </c>
      <c r="U2226" t="e">
        <f t="shared" si="74"/>
        <v>#REF!</v>
      </c>
    </row>
    <row r="2227" spans="4:21" x14ac:dyDescent="0.2">
      <c r="D2227" s="4"/>
      <c r="G2227" s="5"/>
      <c r="H2227" s="5"/>
      <c r="I2227" s="4"/>
      <c r="J2227" s="4"/>
      <c r="K2227" s="5"/>
      <c r="Q2227" t="e">
        <f>VLOOKUP(A2227,'גיליון דאטה להכל'!A:E,5,0)</f>
        <v>#N/A</v>
      </c>
      <c r="R2227" t="e">
        <f>VLOOKUP(A2227,'לעדכן בסינתזה דאטה אריזה 42+24'!$A:$C,3,0)</f>
        <v>#N/A</v>
      </c>
      <c r="S2227" t="e">
        <f>VLOOKUP(#REF!,'מלאי לא תקין'!A:N,17,0)</f>
        <v>#REF!</v>
      </c>
      <c r="T2227" t="e">
        <f t="shared" si="73"/>
        <v>#REF!</v>
      </c>
      <c r="U2227" t="e">
        <f t="shared" si="74"/>
        <v>#REF!</v>
      </c>
    </row>
    <row r="2228" spans="4:21" x14ac:dyDescent="0.2">
      <c r="D2228" s="4"/>
      <c r="G2228" s="5"/>
      <c r="H2228" s="5"/>
      <c r="I2228" s="4"/>
      <c r="J2228" s="4"/>
      <c r="K2228" s="5"/>
      <c r="Q2228" t="e">
        <f>VLOOKUP(A2228,'גיליון דאטה להכל'!A:E,5,0)</f>
        <v>#N/A</v>
      </c>
      <c r="R2228" t="e">
        <f>VLOOKUP(A2228,'לעדכן בסינתזה דאטה אריזה 42+24'!$A:$C,3,0)</f>
        <v>#N/A</v>
      </c>
      <c r="S2228" t="e">
        <f>VLOOKUP(#REF!,'מלאי לא תקין'!A:N,17,0)</f>
        <v>#REF!</v>
      </c>
      <c r="T2228" t="e">
        <f t="shared" si="73"/>
        <v>#REF!</v>
      </c>
      <c r="U2228" t="e">
        <f t="shared" si="74"/>
        <v>#REF!</v>
      </c>
    </row>
    <row r="2229" spans="4:21" x14ac:dyDescent="0.2">
      <c r="D2229" s="4"/>
      <c r="G2229" s="5"/>
      <c r="H2229" s="5"/>
      <c r="I2229" s="4"/>
      <c r="J2229" s="4"/>
      <c r="K2229" s="5"/>
      <c r="Q2229" t="e">
        <f>VLOOKUP(A2229,'גיליון דאטה להכל'!A:E,5,0)</f>
        <v>#N/A</v>
      </c>
      <c r="R2229" t="e">
        <f>VLOOKUP(A2229,'לעדכן בסינתזה דאטה אריזה 42+24'!$A:$C,3,0)</f>
        <v>#N/A</v>
      </c>
      <c r="S2229" t="e">
        <f>VLOOKUP(#REF!,'מלאי לא תקין'!A:N,17,0)</f>
        <v>#REF!</v>
      </c>
      <c r="T2229" t="e">
        <f t="shared" si="73"/>
        <v>#REF!</v>
      </c>
      <c r="U2229" t="e">
        <f t="shared" si="74"/>
        <v>#REF!</v>
      </c>
    </row>
    <row r="2230" spans="4:21" x14ac:dyDescent="0.2">
      <c r="D2230" s="4"/>
      <c r="G2230" s="5"/>
      <c r="H2230" s="7"/>
      <c r="I2230" s="4"/>
      <c r="J2230" s="4"/>
      <c r="K2230" s="5"/>
      <c r="Q2230" t="e">
        <f>VLOOKUP(A2230,'גיליון דאטה להכל'!A:E,5,0)</f>
        <v>#N/A</v>
      </c>
      <c r="R2230" t="e">
        <f>VLOOKUP(A2230,'לעדכן בסינתזה דאטה אריזה 42+24'!$A:$C,3,0)</f>
        <v>#N/A</v>
      </c>
      <c r="S2230" t="e">
        <f>VLOOKUP(#REF!,'מלאי לא תקין'!A:N,17,0)</f>
        <v>#REF!</v>
      </c>
      <c r="T2230" t="e">
        <f t="shared" si="73"/>
        <v>#REF!</v>
      </c>
      <c r="U2230" t="e">
        <f t="shared" si="74"/>
        <v>#REF!</v>
      </c>
    </row>
    <row r="2231" spans="4:21" x14ac:dyDescent="0.2">
      <c r="D2231" s="4"/>
      <c r="G2231" s="5"/>
      <c r="H2231" s="5"/>
      <c r="I2231" s="4"/>
      <c r="J2231" s="4"/>
      <c r="K2231" s="5"/>
      <c r="Q2231" t="e">
        <f>VLOOKUP(A2231,'גיליון דאטה להכל'!A:E,5,0)</f>
        <v>#N/A</v>
      </c>
      <c r="R2231" t="e">
        <f>VLOOKUP(A2231,'לעדכן בסינתזה דאטה אריזה 42+24'!$A:$C,3,0)</f>
        <v>#N/A</v>
      </c>
      <c r="S2231" t="e">
        <f>VLOOKUP(#REF!,'מלאי לא תקין'!A:N,17,0)</f>
        <v>#REF!</v>
      </c>
      <c r="T2231" t="e">
        <f t="shared" si="73"/>
        <v>#REF!</v>
      </c>
      <c r="U2231" t="e">
        <f t="shared" si="74"/>
        <v>#REF!</v>
      </c>
    </row>
    <row r="2232" spans="4:21" x14ac:dyDescent="0.2">
      <c r="D2232" s="4"/>
      <c r="G2232" s="5"/>
      <c r="H2232" s="5"/>
      <c r="I2232" s="4"/>
      <c r="J2232" s="4"/>
      <c r="K2232" s="5"/>
      <c r="Q2232" t="e">
        <f>VLOOKUP(A2232,'גיליון דאטה להכל'!A:E,5,0)</f>
        <v>#N/A</v>
      </c>
      <c r="R2232" t="e">
        <f>VLOOKUP(A2232,'לעדכן בסינתזה דאטה אריזה 42+24'!$A:$C,3,0)</f>
        <v>#N/A</v>
      </c>
      <c r="S2232" t="e">
        <f>VLOOKUP(#REF!,'מלאי לא תקין'!A:N,17,0)</f>
        <v>#REF!</v>
      </c>
      <c r="T2232" t="e">
        <f t="shared" si="73"/>
        <v>#REF!</v>
      </c>
      <c r="U2232" t="e">
        <f t="shared" si="74"/>
        <v>#REF!</v>
      </c>
    </row>
    <row r="2233" spans="4:21" x14ac:dyDescent="0.2">
      <c r="D2233" s="4"/>
      <c r="G2233" s="5"/>
      <c r="H2233" s="5"/>
      <c r="I2233" s="4"/>
      <c r="J2233" s="4"/>
      <c r="K2233" s="5"/>
      <c r="Q2233" t="e">
        <f>VLOOKUP(A2233,'גיליון דאטה להכל'!A:E,5,0)</f>
        <v>#N/A</v>
      </c>
      <c r="R2233" t="e">
        <f>VLOOKUP(A2233,'לעדכן בסינתזה דאטה אריזה 42+24'!$A:$C,3,0)</f>
        <v>#N/A</v>
      </c>
      <c r="S2233" t="e">
        <f>VLOOKUP(#REF!,'מלאי לא תקין'!A:N,17,0)</f>
        <v>#REF!</v>
      </c>
      <c r="T2233" t="e">
        <f t="shared" si="73"/>
        <v>#REF!</v>
      </c>
      <c r="U2233" t="e">
        <f t="shared" si="74"/>
        <v>#REF!</v>
      </c>
    </row>
    <row r="2234" spans="4:21" x14ac:dyDescent="0.2">
      <c r="D2234" s="4"/>
      <c r="G2234" s="5"/>
      <c r="H2234" s="5"/>
      <c r="I2234" s="4"/>
      <c r="J2234" s="4"/>
      <c r="K2234" s="5"/>
      <c r="Q2234" t="e">
        <f>VLOOKUP(A2234,'גיליון דאטה להכל'!A:E,5,0)</f>
        <v>#N/A</v>
      </c>
      <c r="R2234" t="e">
        <f>VLOOKUP(A2234,'לעדכן בסינתזה דאטה אריזה 42+24'!$A:$C,3,0)</f>
        <v>#N/A</v>
      </c>
      <c r="S2234" t="e">
        <f>VLOOKUP(#REF!,'מלאי לא תקין'!A:N,17,0)</f>
        <v>#REF!</v>
      </c>
      <c r="T2234" t="e">
        <f t="shared" si="73"/>
        <v>#REF!</v>
      </c>
      <c r="U2234" t="e">
        <f t="shared" si="74"/>
        <v>#REF!</v>
      </c>
    </row>
    <row r="2235" spans="4:21" x14ac:dyDescent="0.2">
      <c r="D2235" s="4"/>
      <c r="G2235" s="5"/>
      <c r="H2235" s="7"/>
      <c r="I2235" s="4"/>
      <c r="J2235" s="4"/>
      <c r="K2235" s="5"/>
      <c r="Q2235" t="e">
        <f>VLOOKUP(A2235,'גיליון דאטה להכל'!A:E,5,0)</f>
        <v>#N/A</v>
      </c>
      <c r="R2235" t="e">
        <f>VLOOKUP(A2235,'לעדכן בסינתזה דאטה אריזה 42+24'!$A:$C,3,0)</f>
        <v>#N/A</v>
      </c>
      <c r="S2235" t="e">
        <f>VLOOKUP(#REF!,'מלאי לא תקין'!A:N,17,0)</f>
        <v>#REF!</v>
      </c>
      <c r="T2235" t="e">
        <f t="shared" si="73"/>
        <v>#REF!</v>
      </c>
      <c r="U2235" t="e">
        <f t="shared" si="74"/>
        <v>#REF!</v>
      </c>
    </row>
    <row r="2236" spans="4:21" x14ac:dyDescent="0.2">
      <c r="D2236" s="4"/>
      <c r="G2236" s="5"/>
      <c r="H2236" s="5"/>
      <c r="I2236" s="4"/>
      <c r="J2236" s="4"/>
      <c r="K2236" s="5"/>
      <c r="Q2236" t="e">
        <f>VLOOKUP(A2236,'גיליון דאטה להכל'!A:E,5,0)</f>
        <v>#N/A</v>
      </c>
      <c r="R2236" t="e">
        <f>VLOOKUP(A2236,'לעדכן בסינתזה דאטה אריזה 42+24'!$A:$C,3,0)</f>
        <v>#N/A</v>
      </c>
      <c r="S2236" t="e">
        <f>VLOOKUP(#REF!,'מלאי לא תקין'!A:N,17,0)</f>
        <v>#REF!</v>
      </c>
      <c r="T2236" t="e">
        <f t="shared" si="73"/>
        <v>#REF!</v>
      </c>
      <c r="U2236" t="e">
        <f t="shared" si="74"/>
        <v>#REF!</v>
      </c>
    </row>
    <row r="2237" spans="4:21" x14ac:dyDescent="0.2">
      <c r="D2237" s="4"/>
      <c r="G2237" s="5"/>
      <c r="H2237" s="5"/>
      <c r="I2237" s="4"/>
      <c r="J2237" s="4"/>
      <c r="K2237" s="5"/>
      <c r="Q2237" t="e">
        <f>VLOOKUP(A2237,'גיליון דאטה להכל'!A:E,5,0)</f>
        <v>#N/A</v>
      </c>
      <c r="R2237" t="e">
        <f>VLOOKUP(A2237,'לעדכן בסינתזה דאטה אריזה 42+24'!$A:$C,3,0)</f>
        <v>#N/A</v>
      </c>
      <c r="S2237" t="e">
        <f>VLOOKUP(#REF!,'מלאי לא תקין'!A:N,17,0)</f>
        <v>#REF!</v>
      </c>
      <c r="T2237" t="e">
        <f t="shared" si="73"/>
        <v>#REF!</v>
      </c>
      <c r="U2237" t="e">
        <f t="shared" si="74"/>
        <v>#REF!</v>
      </c>
    </row>
    <row r="2238" spans="4:21" x14ac:dyDescent="0.2">
      <c r="D2238" s="4"/>
      <c r="G2238" s="5"/>
      <c r="H2238" s="5"/>
      <c r="I2238" s="4"/>
      <c r="J2238" s="4"/>
      <c r="K2238" s="5"/>
      <c r="Q2238" t="e">
        <f>VLOOKUP(A2238,'גיליון דאטה להכל'!A:E,5,0)</f>
        <v>#N/A</v>
      </c>
      <c r="R2238" t="e">
        <f>VLOOKUP(A2238,'לעדכן בסינתזה דאטה אריזה 42+24'!$A:$C,3,0)</f>
        <v>#N/A</v>
      </c>
      <c r="S2238" t="e">
        <f>VLOOKUP(#REF!,'מלאי לא תקין'!A:N,17,0)</f>
        <v>#REF!</v>
      </c>
      <c r="T2238" t="e">
        <f t="shared" ref="T2238:T2301" si="75">_xlfn.CONCAT(S2238,Q2238)</f>
        <v>#REF!</v>
      </c>
      <c r="U2238" t="e">
        <f t="shared" ref="U2238:U2301" si="76">_xlfn.CONCAT(S2238,O2238)</f>
        <v>#REF!</v>
      </c>
    </row>
    <row r="2239" spans="4:21" x14ac:dyDescent="0.2">
      <c r="D2239" s="4"/>
      <c r="G2239" s="5"/>
      <c r="H2239" s="5"/>
      <c r="I2239" s="4"/>
      <c r="J2239" s="4"/>
      <c r="K2239" s="5"/>
      <c r="Q2239" t="e">
        <f>VLOOKUP(A2239,'גיליון דאטה להכל'!A:E,5,0)</f>
        <v>#N/A</v>
      </c>
      <c r="R2239" t="e">
        <f>VLOOKUP(A2239,'לעדכן בסינתזה דאטה אריזה 42+24'!$A:$C,3,0)</f>
        <v>#N/A</v>
      </c>
      <c r="S2239" t="e">
        <f>VLOOKUP(#REF!,'מלאי לא תקין'!A:N,17,0)</f>
        <v>#REF!</v>
      </c>
      <c r="T2239" t="e">
        <f t="shared" si="75"/>
        <v>#REF!</v>
      </c>
      <c r="U2239" t="e">
        <f t="shared" si="76"/>
        <v>#REF!</v>
      </c>
    </row>
    <row r="2240" spans="4:21" x14ac:dyDescent="0.2">
      <c r="D2240" s="4"/>
      <c r="G2240" s="5"/>
      <c r="H2240" s="7"/>
      <c r="I2240" s="4"/>
      <c r="J2240" s="4"/>
      <c r="K2240" s="5"/>
      <c r="Q2240" t="e">
        <f>VLOOKUP(A2240,'גיליון דאטה להכל'!A:E,5,0)</f>
        <v>#N/A</v>
      </c>
      <c r="R2240" t="e">
        <f>VLOOKUP(A2240,'לעדכן בסינתזה דאטה אריזה 42+24'!$A:$C,3,0)</f>
        <v>#N/A</v>
      </c>
      <c r="S2240" t="e">
        <f>VLOOKUP(#REF!,'מלאי לא תקין'!A:N,17,0)</f>
        <v>#REF!</v>
      </c>
      <c r="T2240" t="e">
        <f t="shared" si="75"/>
        <v>#REF!</v>
      </c>
      <c r="U2240" t="e">
        <f t="shared" si="76"/>
        <v>#REF!</v>
      </c>
    </row>
    <row r="2241" spans="4:21" x14ac:dyDescent="0.2">
      <c r="D2241" s="4"/>
      <c r="G2241" s="5"/>
      <c r="H2241" s="5"/>
      <c r="I2241" s="4"/>
      <c r="J2241" s="4"/>
      <c r="K2241" s="5"/>
      <c r="Q2241" t="e">
        <f>VLOOKUP(A2241,'גיליון דאטה להכל'!A:E,5,0)</f>
        <v>#N/A</v>
      </c>
      <c r="R2241" t="e">
        <f>VLOOKUP(A2241,'לעדכן בסינתזה דאטה אריזה 42+24'!$A:$C,3,0)</f>
        <v>#N/A</v>
      </c>
      <c r="S2241" t="e">
        <f>VLOOKUP(#REF!,'מלאי לא תקין'!A:N,17,0)</f>
        <v>#REF!</v>
      </c>
      <c r="T2241" t="e">
        <f t="shared" si="75"/>
        <v>#REF!</v>
      </c>
      <c r="U2241" t="e">
        <f t="shared" si="76"/>
        <v>#REF!</v>
      </c>
    </row>
    <row r="2242" spans="4:21" x14ac:dyDescent="0.2">
      <c r="D2242" s="4"/>
      <c r="G2242" s="5"/>
      <c r="H2242" s="5"/>
      <c r="I2242" s="4"/>
      <c r="J2242" s="4"/>
      <c r="K2242" s="5"/>
      <c r="Q2242" t="e">
        <f>VLOOKUP(A2242,'גיליון דאטה להכל'!A:E,5,0)</f>
        <v>#N/A</v>
      </c>
      <c r="R2242" t="e">
        <f>VLOOKUP(A2242,'לעדכן בסינתזה דאטה אריזה 42+24'!$A:$C,3,0)</f>
        <v>#N/A</v>
      </c>
      <c r="S2242" t="e">
        <f>VLOOKUP(#REF!,'מלאי לא תקין'!A:N,17,0)</f>
        <v>#REF!</v>
      </c>
      <c r="T2242" t="e">
        <f t="shared" si="75"/>
        <v>#REF!</v>
      </c>
      <c r="U2242" t="e">
        <f t="shared" si="76"/>
        <v>#REF!</v>
      </c>
    </row>
    <row r="2243" spans="4:21" x14ac:dyDescent="0.2">
      <c r="D2243" s="4"/>
      <c r="G2243" s="5"/>
      <c r="H2243" s="5"/>
      <c r="I2243" s="4"/>
      <c r="J2243" s="4"/>
      <c r="K2243" s="5"/>
      <c r="Q2243" t="e">
        <f>VLOOKUP(A2243,'גיליון דאטה להכל'!A:E,5,0)</f>
        <v>#N/A</v>
      </c>
      <c r="R2243" t="e">
        <f>VLOOKUP(A2243,'לעדכן בסינתזה דאטה אריזה 42+24'!$A:$C,3,0)</f>
        <v>#N/A</v>
      </c>
      <c r="S2243" t="e">
        <f>VLOOKUP(#REF!,'מלאי לא תקין'!A:N,17,0)</f>
        <v>#REF!</v>
      </c>
      <c r="T2243" t="e">
        <f t="shared" si="75"/>
        <v>#REF!</v>
      </c>
      <c r="U2243" t="e">
        <f t="shared" si="76"/>
        <v>#REF!</v>
      </c>
    </row>
    <row r="2244" spans="4:21" x14ac:dyDescent="0.2">
      <c r="D2244" s="4"/>
      <c r="G2244" s="5"/>
      <c r="H2244" s="5"/>
      <c r="I2244" s="4"/>
      <c r="J2244" s="4"/>
      <c r="K2244" s="5"/>
      <c r="Q2244" t="e">
        <f>VLOOKUP(A2244,'גיליון דאטה להכל'!A:E,5,0)</f>
        <v>#N/A</v>
      </c>
      <c r="R2244" t="e">
        <f>VLOOKUP(A2244,'לעדכן בסינתזה דאטה אריזה 42+24'!$A:$C,3,0)</f>
        <v>#N/A</v>
      </c>
      <c r="S2244" t="e">
        <f>VLOOKUP(#REF!,'מלאי לא תקין'!A:N,17,0)</f>
        <v>#REF!</v>
      </c>
      <c r="T2244" t="e">
        <f t="shared" si="75"/>
        <v>#REF!</v>
      </c>
      <c r="U2244" t="e">
        <f t="shared" si="76"/>
        <v>#REF!</v>
      </c>
    </row>
    <row r="2245" spans="4:21" x14ac:dyDescent="0.2">
      <c r="D2245" s="4"/>
      <c r="G2245" s="5"/>
      <c r="H2245" s="7"/>
      <c r="I2245" s="4"/>
      <c r="J2245" s="4"/>
      <c r="K2245" s="5"/>
      <c r="Q2245" t="e">
        <f>VLOOKUP(A2245,'גיליון דאטה להכל'!A:E,5,0)</f>
        <v>#N/A</v>
      </c>
      <c r="R2245" t="e">
        <f>VLOOKUP(A2245,'לעדכן בסינתזה דאטה אריזה 42+24'!$A:$C,3,0)</f>
        <v>#N/A</v>
      </c>
      <c r="S2245" t="e">
        <f>VLOOKUP(#REF!,'מלאי לא תקין'!A:N,17,0)</f>
        <v>#REF!</v>
      </c>
      <c r="T2245" t="e">
        <f t="shared" si="75"/>
        <v>#REF!</v>
      </c>
      <c r="U2245" t="e">
        <f t="shared" si="76"/>
        <v>#REF!</v>
      </c>
    </row>
    <row r="2246" spans="4:21" x14ac:dyDescent="0.2">
      <c r="D2246" s="4"/>
      <c r="G2246" s="5"/>
      <c r="H2246" s="5"/>
      <c r="I2246" s="4"/>
      <c r="J2246" s="4"/>
      <c r="K2246" s="5"/>
      <c r="Q2246" t="e">
        <f>VLOOKUP(A2246,'גיליון דאטה להכל'!A:E,5,0)</f>
        <v>#N/A</v>
      </c>
      <c r="R2246" t="e">
        <f>VLOOKUP(A2246,'לעדכן בסינתזה דאטה אריזה 42+24'!$A:$C,3,0)</f>
        <v>#N/A</v>
      </c>
      <c r="S2246" t="e">
        <f>VLOOKUP(#REF!,'מלאי לא תקין'!A:N,17,0)</f>
        <v>#REF!</v>
      </c>
      <c r="T2246" t="e">
        <f t="shared" si="75"/>
        <v>#REF!</v>
      </c>
      <c r="U2246" t="e">
        <f t="shared" si="76"/>
        <v>#REF!</v>
      </c>
    </row>
    <row r="2247" spans="4:21" x14ac:dyDescent="0.2">
      <c r="D2247" s="4"/>
      <c r="G2247" s="5"/>
      <c r="H2247" s="5"/>
      <c r="I2247" s="4"/>
      <c r="J2247" s="4"/>
      <c r="K2247" s="5"/>
      <c r="Q2247" t="e">
        <f>VLOOKUP(A2247,'גיליון דאטה להכל'!A:E,5,0)</f>
        <v>#N/A</v>
      </c>
      <c r="R2247" t="e">
        <f>VLOOKUP(A2247,'לעדכן בסינתזה דאטה אריזה 42+24'!$A:$C,3,0)</f>
        <v>#N/A</v>
      </c>
      <c r="S2247" t="e">
        <f>VLOOKUP(#REF!,'מלאי לא תקין'!A:N,17,0)</f>
        <v>#REF!</v>
      </c>
      <c r="T2247" t="e">
        <f t="shared" si="75"/>
        <v>#REF!</v>
      </c>
      <c r="U2247" t="e">
        <f t="shared" si="76"/>
        <v>#REF!</v>
      </c>
    </row>
    <row r="2248" spans="4:21" x14ac:dyDescent="0.2">
      <c r="D2248" s="4"/>
      <c r="G2248" s="5"/>
      <c r="H2248" s="5"/>
      <c r="I2248" s="4"/>
      <c r="J2248" s="4"/>
      <c r="K2248" s="5"/>
      <c r="Q2248" t="e">
        <f>VLOOKUP(A2248,'גיליון דאטה להכל'!A:E,5,0)</f>
        <v>#N/A</v>
      </c>
      <c r="R2248" t="e">
        <f>VLOOKUP(A2248,'לעדכן בסינתזה דאטה אריזה 42+24'!$A:$C,3,0)</f>
        <v>#N/A</v>
      </c>
      <c r="S2248" t="e">
        <f>VLOOKUP(#REF!,'מלאי לא תקין'!A:N,17,0)</f>
        <v>#REF!</v>
      </c>
      <c r="T2248" t="e">
        <f t="shared" si="75"/>
        <v>#REF!</v>
      </c>
      <c r="U2248" t="e">
        <f t="shared" si="76"/>
        <v>#REF!</v>
      </c>
    </row>
    <row r="2249" spans="4:21" x14ac:dyDescent="0.2">
      <c r="D2249" s="4"/>
      <c r="G2249" s="5"/>
      <c r="H2249" s="5"/>
      <c r="I2249" s="4"/>
      <c r="J2249" s="4"/>
      <c r="K2249" s="5"/>
      <c r="Q2249" t="e">
        <f>VLOOKUP(A2249,'גיליון דאטה להכל'!A:E,5,0)</f>
        <v>#N/A</v>
      </c>
      <c r="R2249" t="e">
        <f>VLOOKUP(A2249,'לעדכן בסינתזה דאטה אריזה 42+24'!$A:$C,3,0)</f>
        <v>#N/A</v>
      </c>
      <c r="S2249" t="e">
        <f>VLOOKUP(#REF!,'מלאי לא תקין'!A:N,17,0)</f>
        <v>#REF!</v>
      </c>
      <c r="T2249" t="e">
        <f t="shared" si="75"/>
        <v>#REF!</v>
      </c>
      <c r="U2249" t="e">
        <f t="shared" si="76"/>
        <v>#REF!</v>
      </c>
    </row>
    <row r="2250" spans="4:21" x14ac:dyDescent="0.2">
      <c r="D2250" s="4"/>
      <c r="G2250" s="5"/>
      <c r="H2250" s="7"/>
      <c r="I2250" s="4"/>
      <c r="J2250" s="4"/>
      <c r="K2250" s="5"/>
      <c r="Q2250" t="e">
        <f>VLOOKUP(A2250,'גיליון דאטה להכל'!A:E,5,0)</f>
        <v>#N/A</v>
      </c>
      <c r="R2250" t="e">
        <f>VLOOKUP(A2250,'לעדכן בסינתזה דאטה אריזה 42+24'!$A:$C,3,0)</f>
        <v>#N/A</v>
      </c>
      <c r="S2250" t="e">
        <f>VLOOKUP(#REF!,'מלאי לא תקין'!A:N,17,0)</f>
        <v>#REF!</v>
      </c>
      <c r="T2250" t="e">
        <f t="shared" si="75"/>
        <v>#REF!</v>
      </c>
      <c r="U2250" t="e">
        <f t="shared" si="76"/>
        <v>#REF!</v>
      </c>
    </row>
    <row r="2251" spans="4:21" x14ac:dyDescent="0.2">
      <c r="D2251" s="4"/>
      <c r="G2251" s="5"/>
      <c r="H2251" s="5"/>
      <c r="I2251" s="4"/>
      <c r="J2251" s="4"/>
      <c r="K2251" s="5"/>
      <c r="Q2251" t="e">
        <f>VLOOKUP(A2251,'גיליון דאטה להכל'!A:E,5,0)</f>
        <v>#N/A</v>
      </c>
      <c r="R2251" t="e">
        <f>VLOOKUP(A2251,'לעדכן בסינתזה דאטה אריזה 42+24'!$A:$C,3,0)</f>
        <v>#N/A</v>
      </c>
      <c r="S2251" t="e">
        <f>VLOOKUP(#REF!,'מלאי לא תקין'!A:N,17,0)</f>
        <v>#REF!</v>
      </c>
      <c r="T2251" t="e">
        <f t="shared" si="75"/>
        <v>#REF!</v>
      </c>
      <c r="U2251" t="e">
        <f t="shared" si="76"/>
        <v>#REF!</v>
      </c>
    </row>
    <row r="2252" spans="4:21" x14ac:dyDescent="0.2">
      <c r="D2252" s="4"/>
      <c r="G2252" s="5"/>
      <c r="H2252" s="5"/>
      <c r="I2252" s="4"/>
      <c r="J2252" s="4"/>
      <c r="K2252" s="5"/>
      <c r="Q2252" t="e">
        <f>VLOOKUP(A2252,'גיליון דאטה להכל'!A:E,5,0)</f>
        <v>#N/A</v>
      </c>
      <c r="R2252" t="e">
        <f>VLOOKUP(A2252,'לעדכן בסינתזה דאטה אריזה 42+24'!$A:$C,3,0)</f>
        <v>#N/A</v>
      </c>
      <c r="S2252" t="e">
        <f>VLOOKUP(#REF!,'מלאי לא תקין'!A:N,17,0)</f>
        <v>#REF!</v>
      </c>
      <c r="T2252" t="e">
        <f t="shared" si="75"/>
        <v>#REF!</v>
      </c>
      <c r="U2252" t="e">
        <f t="shared" si="76"/>
        <v>#REF!</v>
      </c>
    </row>
    <row r="2253" spans="4:21" x14ac:dyDescent="0.2">
      <c r="D2253" s="4"/>
      <c r="G2253" s="5"/>
      <c r="H2253" s="5"/>
      <c r="I2253" s="4"/>
      <c r="J2253" s="4"/>
      <c r="K2253" s="5"/>
      <c r="Q2253" t="e">
        <f>VLOOKUP(A2253,'גיליון דאטה להכל'!A:E,5,0)</f>
        <v>#N/A</v>
      </c>
      <c r="R2253" t="e">
        <f>VLOOKUP(A2253,'לעדכן בסינתזה דאטה אריזה 42+24'!$A:$C,3,0)</f>
        <v>#N/A</v>
      </c>
      <c r="S2253" t="e">
        <f>VLOOKUP(#REF!,'מלאי לא תקין'!A:N,17,0)</f>
        <v>#REF!</v>
      </c>
      <c r="T2253" t="e">
        <f t="shared" si="75"/>
        <v>#REF!</v>
      </c>
      <c r="U2253" t="e">
        <f t="shared" si="76"/>
        <v>#REF!</v>
      </c>
    </row>
    <row r="2254" spans="4:21" x14ac:dyDescent="0.2">
      <c r="D2254" s="4"/>
      <c r="G2254" s="5"/>
      <c r="H2254" s="5"/>
      <c r="I2254" s="4"/>
      <c r="J2254" s="4"/>
      <c r="K2254" s="5"/>
      <c r="Q2254" t="e">
        <f>VLOOKUP(A2254,'גיליון דאטה להכל'!A:E,5,0)</f>
        <v>#N/A</v>
      </c>
      <c r="R2254" t="e">
        <f>VLOOKUP(A2254,'לעדכן בסינתזה דאטה אריזה 42+24'!$A:$C,3,0)</f>
        <v>#N/A</v>
      </c>
      <c r="S2254" t="e">
        <f>VLOOKUP(#REF!,'מלאי לא תקין'!A:N,17,0)</f>
        <v>#REF!</v>
      </c>
      <c r="T2254" t="e">
        <f t="shared" si="75"/>
        <v>#REF!</v>
      </c>
      <c r="U2254" t="e">
        <f t="shared" si="76"/>
        <v>#REF!</v>
      </c>
    </row>
    <row r="2255" spans="4:21" x14ac:dyDescent="0.2">
      <c r="D2255" s="4"/>
      <c r="G2255" s="5"/>
      <c r="H2255" s="7"/>
      <c r="I2255" s="4"/>
      <c r="J2255" s="4"/>
      <c r="K2255" s="5"/>
      <c r="Q2255" t="e">
        <f>VLOOKUP(A2255,'גיליון דאטה להכל'!A:E,5,0)</f>
        <v>#N/A</v>
      </c>
      <c r="R2255" t="e">
        <f>VLOOKUP(A2255,'לעדכן בסינתזה דאטה אריזה 42+24'!$A:$C,3,0)</f>
        <v>#N/A</v>
      </c>
      <c r="S2255" t="e">
        <f>VLOOKUP(#REF!,'מלאי לא תקין'!A:N,17,0)</f>
        <v>#REF!</v>
      </c>
      <c r="T2255" t="e">
        <f t="shared" si="75"/>
        <v>#REF!</v>
      </c>
      <c r="U2255" t="e">
        <f t="shared" si="76"/>
        <v>#REF!</v>
      </c>
    </row>
    <row r="2256" spans="4:21" x14ac:dyDescent="0.2">
      <c r="D2256" s="4"/>
      <c r="G2256" s="5"/>
      <c r="H2256" s="5"/>
      <c r="I2256" s="4"/>
      <c r="J2256" s="4"/>
      <c r="K2256" s="5"/>
      <c r="Q2256" t="e">
        <f>VLOOKUP(A2256,'גיליון דאטה להכל'!A:E,5,0)</f>
        <v>#N/A</v>
      </c>
      <c r="R2256" t="e">
        <f>VLOOKUP(A2256,'לעדכן בסינתזה דאטה אריזה 42+24'!$A:$C,3,0)</f>
        <v>#N/A</v>
      </c>
      <c r="S2256" t="e">
        <f>VLOOKUP(#REF!,'מלאי לא תקין'!A:N,17,0)</f>
        <v>#REF!</v>
      </c>
      <c r="T2256" t="e">
        <f t="shared" si="75"/>
        <v>#REF!</v>
      </c>
      <c r="U2256" t="e">
        <f t="shared" si="76"/>
        <v>#REF!</v>
      </c>
    </row>
    <row r="2257" spans="4:21" x14ac:dyDescent="0.2">
      <c r="D2257" s="4"/>
      <c r="G2257" s="5"/>
      <c r="H2257" s="5"/>
      <c r="I2257" s="4"/>
      <c r="J2257" s="4"/>
      <c r="K2257" s="5"/>
      <c r="Q2257" t="e">
        <f>VLOOKUP(A2257,'גיליון דאטה להכל'!A:E,5,0)</f>
        <v>#N/A</v>
      </c>
      <c r="R2257" t="e">
        <f>VLOOKUP(A2257,'לעדכן בסינתזה דאטה אריזה 42+24'!$A:$C,3,0)</f>
        <v>#N/A</v>
      </c>
      <c r="S2257" t="e">
        <f>VLOOKUP(#REF!,'מלאי לא תקין'!A:N,17,0)</f>
        <v>#REF!</v>
      </c>
      <c r="T2257" t="e">
        <f t="shared" si="75"/>
        <v>#REF!</v>
      </c>
      <c r="U2257" t="e">
        <f t="shared" si="76"/>
        <v>#REF!</v>
      </c>
    </row>
    <row r="2258" spans="4:21" x14ac:dyDescent="0.2">
      <c r="D2258" s="4"/>
      <c r="G2258" s="5"/>
      <c r="H2258" s="5"/>
      <c r="I2258" s="4"/>
      <c r="J2258" s="4"/>
      <c r="K2258" s="5"/>
      <c r="Q2258" t="e">
        <f>VLOOKUP(A2258,'גיליון דאטה להכל'!A:E,5,0)</f>
        <v>#N/A</v>
      </c>
      <c r="R2258" t="e">
        <f>VLOOKUP(A2258,'לעדכן בסינתזה דאטה אריזה 42+24'!$A:$C,3,0)</f>
        <v>#N/A</v>
      </c>
      <c r="S2258" t="e">
        <f>VLOOKUP(#REF!,'מלאי לא תקין'!A:N,17,0)</f>
        <v>#REF!</v>
      </c>
      <c r="T2258" t="e">
        <f t="shared" si="75"/>
        <v>#REF!</v>
      </c>
      <c r="U2258" t="e">
        <f t="shared" si="76"/>
        <v>#REF!</v>
      </c>
    </row>
    <row r="2259" spans="4:21" x14ac:dyDescent="0.2">
      <c r="D2259" s="4"/>
      <c r="G2259" s="5"/>
      <c r="H2259" s="5"/>
      <c r="I2259" s="4"/>
      <c r="J2259" s="4"/>
      <c r="K2259" s="5"/>
      <c r="Q2259" t="e">
        <f>VLOOKUP(A2259,'גיליון דאטה להכל'!A:E,5,0)</f>
        <v>#N/A</v>
      </c>
      <c r="R2259" t="e">
        <f>VLOOKUP(A2259,'לעדכן בסינתזה דאטה אריזה 42+24'!$A:$C,3,0)</f>
        <v>#N/A</v>
      </c>
      <c r="S2259" t="e">
        <f>VLOOKUP(#REF!,'מלאי לא תקין'!A:N,17,0)</f>
        <v>#REF!</v>
      </c>
      <c r="T2259" t="e">
        <f t="shared" si="75"/>
        <v>#REF!</v>
      </c>
      <c r="U2259" t="e">
        <f t="shared" si="76"/>
        <v>#REF!</v>
      </c>
    </row>
    <row r="2260" spans="4:21" x14ac:dyDescent="0.2">
      <c r="D2260" s="4"/>
      <c r="G2260" s="5"/>
      <c r="H2260" s="7"/>
      <c r="I2260" s="4"/>
      <c r="J2260" s="4"/>
      <c r="K2260" s="5"/>
      <c r="Q2260" t="e">
        <f>VLOOKUP(A2260,'גיליון דאטה להכל'!A:E,5,0)</f>
        <v>#N/A</v>
      </c>
      <c r="R2260" t="e">
        <f>VLOOKUP(A2260,'לעדכן בסינתזה דאטה אריזה 42+24'!$A:$C,3,0)</f>
        <v>#N/A</v>
      </c>
      <c r="S2260" t="e">
        <f>VLOOKUP(#REF!,'מלאי לא תקין'!A:N,17,0)</f>
        <v>#REF!</v>
      </c>
      <c r="T2260" t="e">
        <f t="shared" si="75"/>
        <v>#REF!</v>
      </c>
      <c r="U2260" t="e">
        <f t="shared" si="76"/>
        <v>#REF!</v>
      </c>
    </row>
    <row r="2261" spans="4:21" x14ac:dyDescent="0.2">
      <c r="D2261" s="4"/>
      <c r="G2261" s="5"/>
      <c r="H2261" s="5"/>
      <c r="I2261" s="4"/>
      <c r="J2261" s="4"/>
      <c r="K2261" s="5"/>
      <c r="Q2261" t="e">
        <f>VLOOKUP(A2261,'גיליון דאטה להכל'!A:E,5,0)</f>
        <v>#N/A</v>
      </c>
      <c r="R2261" t="e">
        <f>VLOOKUP(A2261,'לעדכן בסינתזה דאטה אריזה 42+24'!$A:$C,3,0)</f>
        <v>#N/A</v>
      </c>
      <c r="S2261" t="e">
        <f>VLOOKUP(#REF!,'מלאי לא תקין'!A:N,17,0)</f>
        <v>#REF!</v>
      </c>
      <c r="T2261" t="e">
        <f t="shared" si="75"/>
        <v>#REF!</v>
      </c>
      <c r="U2261" t="e">
        <f t="shared" si="76"/>
        <v>#REF!</v>
      </c>
    </row>
    <row r="2262" spans="4:21" x14ac:dyDescent="0.2">
      <c r="D2262" s="4"/>
      <c r="G2262" s="5"/>
      <c r="H2262" s="5"/>
      <c r="I2262" s="4"/>
      <c r="J2262" s="4"/>
      <c r="K2262" s="5"/>
      <c r="Q2262" t="e">
        <f>VLOOKUP(A2262,'גיליון דאטה להכל'!A:E,5,0)</f>
        <v>#N/A</v>
      </c>
      <c r="R2262" t="e">
        <f>VLOOKUP(A2262,'לעדכן בסינתזה דאטה אריזה 42+24'!$A:$C,3,0)</f>
        <v>#N/A</v>
      </c>
      <c r="S2262" t="e">
        <f>VLOOKUP(#REF!,'מלאי לא תקין'!A:N,17,0)</f>
        <v>#REF!</v>
      </c>
      <c r="T2262" t="e">
        <f t="shared" si="75"/>
        <v>#REF!</v>
      </c>
      <c r="U2262" t="e">
        <f t="shared" si="76"/>
        <v>#REF!</v>
      </c>
    </row>
    <row r="2263" spans="4:21" x14ac:dyDescent="0.2">
      <c r="D2263" s="4"/>
      <c r="G2263" s="5"/>
      <c r="H2263" s="5"/>
      <c r="I2263" s="4"/>
      <c r="J2263" s="4"/>
      <c r="K2263" s="5"/>
      <c r="Q2263" t="e">
        <f>VLOOKUP(A2263,'גיליון דאטה להכל'!A:E,5,0)</f>
        <v>#N/A</v>
      </c>
      <c r="R2263" t="e">
        <f>VLOOKUP(A2263,'לעדכן בסינתזה דאטה אריזה 42+24'!$A:$C,3,0)</f>
        <v>#N/A</v>
      </c>
      <c r="S2263" t="e">
        <f>VLOOKUP(#REF!,'מלאי לא תקין'!A:N,17,0)</f>
        <v>#REF!</v>
      </c>
      <c r="T2263" t="e">
        <f t="shared" si="75"/>
        <v>#REF!</v>
      </c>
      <c r="U2263" t="e">
        <f t="shared" si="76"/>
        <v>#REF!</v>
      </c>
    </row>
    <row r="2264" spans="4:21" x14ac:dyDescent="0.2">
      <c r="D2264" s="4"/>
      <c r="G2264" s="5"/>
      <c r="H2264" s="5"/>
      <c r="I2264" s="4"/>
      <c r="J2264" s="4"/>
      <c r="K2264" s="5"/>
      <c r="Q2264" t="e">
        <f>VLOOKUP(A2264,'גיליון דאטה להכל'!A:E,5,0)</f>
        <v>#N/A</v>
      </c>
      <c r="R2264" t="e">
        <f>VLOOKUP(A2264,'לעדכן בסינתזה דאטה אריזה 42+24'!$A:$C,3,0)</f>
        <v>#N/A</v>
      </c>
      <c r="S2264" t="e">
        <f>VLOOKUP(#REF!,'מלאי לא תקין'!A:N,17,0)</f>
        <v>#REF!</v>
      </c>
      <c r="T2264" t="e">
        <f t="shared" si="75"/>
        <v>#REF!</v>
      </c>
      <c r="U2264" t="e">
        <f t="shared" si="76"/>
        <v>#REF!</v>
      </c>
    </row>
    <row r="2265" spans="4:21" x14ac:dyDescent="0.2">
      <c r="D2265" s="4"/>
      <c r="G2265" s="5"/>
      <c r="H2265" s="7"/>
      <c r="I2265" s="4"/>
      <c r="J2265" s="4"/>
      <c r="K2265" s="5"/>
      <c r="Q2265" t="e">
        <f>VLOOKUP(A2265,'גיליון דאטה להכל'!A:E,5,0)</f>
        <v>#N/A</v>
      </c>
      <c r="R2265" t="e">
        <f>VLOOKUP(A2265,'לעדכן בסינתזה דאטה אריזה 42+24'!$A:$C,3,0)</f>
        <v>#N/A</v>
      </c>
      <c r="S2265" t="e">
        <f>VLOOKUP(#REF!,'מלאי לא תקין'!A:N,17,0)</f>
        <v>#REF!</v>
      </c>
      <c r="T2265" t="e">
        <f t="shared" si="75"/>
        <v>#REF!</v>
      </c>
      <c r="U2265" t="e">
        <f t="shared" si="76"/>
        <v>#REF!</v>
      </c>
    </row>
    <row r="2266" spans="4:21" x14ac:dyDescent="0.2">
      <c r="D2266" s="4"/>
      <c r="G2266" s="5"/>
      <c r="H2266" s="5"/>
      <c r="I2266" s="4"/>
      <c r="J2266" s="4"/>
      <c r="K2266" s="5"/>
      <c r="Q2266" t="e">
        <f>VLOOKUP(A2266,'גיליון דאטה להכל'!A:E,5,0)</f>
        <v>#N/A</v>
      </c>
      <c r="R2266" t="e">
        <f>VLOOKUP(A2266,'לעדכן בסינתזה דאטה אריזה 42+24'!$A:$C,3,0)</f>
        <v>#N/A</v>
      </c>
      <c r="S2266" t="e">
        <f>VLOOKUP(#REF!,'מלאי לא תקין'!A:N,17,0)</f>
        <v>#REF!</v>
      </c>
      <c r="T2266" t="e">
        <f t="shared" si="75"/>
        <v>#REF!</v>
      </c>
      <c r="U2266" t="e">
        <f t="shared" si="76"/>
        <v>#REF!</v>
      </c>
    </row>
    <row r="2267" spans="4:21" x14ac:dyDescent="0.2">
      <c r="D2267" s="4"/>
      <c r="G2267" s="5"/>
      <c r="H2267" s="5"/>
      <c r="I2267" s="4"/>
      <c r="J2267" s="4"/>
      <c r="K2267" s="5"/>
      <c r="Q2267" t="e">
        <f>VLOOKUP(A2267,'גיליון דאטה להכל'!A:E,5,0)</f>
        <v>#N/A</v>
      </c>
      <c r="R2267" t="e">
        <f>VLOOKUP(A2267,'לעדכן בסינתזה דאטה אריזה 42+24'!$A:$C,3,0)</f>
        <v>#N/A</v>
      </c>
      <c r="S2267" t="e">
        <f>VLOOKUP(#REF!,'מלאי לא תקין'!A:N,17,0)</f>
        <v>#REF!</v>
      </c>
      <c r="T2267" t="e">
        <f t="shared" si="75"/>
        <v>#REF!</v>
      </c>
      <c r="U2267" t="e">
        <f t="shared" si="76"/>
        <v>#REF!</v>
      </c>
    </row>
    <row r="2268" spans="4:21" x14ac:dyDescent="0.2">
      <c r="D2268" s="4"/>
      <c r="G2268" s="5"/>
      <c r="H2268" s="5"/>
      <c r="I2268" s="4"/>
      <c r="J2268" s="4"/>
      <c r="K2268" s="5"/>
      <c r="Q2268" t="e">
        <f>VLOOKUP(A2268,'גיליון דאטה להכל'!A:E,5,0)</f>
        <v>#N/A</v>
      </c>
      <c r="R2268" t="e">
        <f>VLOOKUP(A2268,'לעדכן בסינתזה דאטה אריזה 42+24'!$A:$C,3,0)</f>
        <v>#N/A</v>
      </c>
      <c r="S2268" t="e">
        <f>VLOOKUP(#REF!,'מלאי לא תקין'!A:N,17,0)</f>
        <v>#REF!</v>
      </c>
      <c r="T2268" t="e">
        <f t="shared" si="75"/>
        <v>#REF!</v>
      </c>
      <c r="U2268" t="e">
        <f t="shared" si="76"/>
        <v>#REF!</v>
      </c>
    </row>
    <row r="2269" spans="4:21" x14ac:dyDescent="0.2">
      <c r="D2269" s="4"/>
      <c r="G2269" s="5"/>
      <c r="H2269" s="5"/>
      <c r="I2269" s="4"/>
      <c r="J2269" s="4"/>
      <c r="K2269" s="5"/>
      <c r="Q2269" t="e">
        <f>VLOOKUP(A2269,'גיליון דאטה להכל'!A:E,5,0)</f>
        <v>#N/A</v>
      </c>
      <c r="R2269" t="e">
        <f>VLOOKUP(A2269,'לעדכן בסינתזה דאטה אריזה 42+24'!$A:$C,3,0)</f>
        <v>#N/A</v>
      </c>
      <c r="S2269" t="e">
        <f>VLOOKUP(#REF!,'מלאי לא תקין'!A:N,17,0)</f>
        <v>#REF!</v>
      </c>
      <c r="T2269" t="e">
        <f t="shared" si="75"/>
        <v>#REF!</v>
      </c>
      <c r="U2269" t="e">
        <f t="shared" si="76"/>
        <v>#REF!</v>
      </c>
    </row>
    <row r="2270" spans="4:21" x14ac:dyDescent="0.2">
      <c r="D2270" s="4"/>
      <c r="G2270" s="5"/>
      <c r="H2270" s="7"/>
      <c r="I2270" s="4"/>
      <c r="J2270" s="4"/>
      <c r="K2270" s="5"/>
      <c r="Q2270" t="e">
        <f>VLOOKUP(A2270,'גיליון דאטה להכל'!A:E,5,0)</f>
        <v>#N/A</v>
      </c>
      <c r="R2270" t="e">
        <f>VLOOKUP(A2270,'לעדכן בסינתזה דאטה אריזה 42+24'!$A:$C,3,0)</f>
        <v>#N/A</v>
      </c>
      <c r="S2270" t="e">
        <f>VLOOKUP(#REF!,'מלאי לא תקין'!A:N,17,0)</f>
        <v>#REF!</v>
      </c>
      <c r="T2270" t="e">
        <f t="shared" si="75"/>
        <v>#REF!</v>
      </c>
      <c r="U2270" t="e">
        <f t="shared" si="76"/>
        <v>#REF!</v>
      </c>
    </row>
    <row r="2271" spans="4:21" x14ac:dyDescent="0.2">
      <c r="D2271" s="4"/>
      <c r="G2271" s="5"/>
      <c r="H2271" s="5"/>
      <c r="I2271" s="4"/>
      <c r="J2271" s="4"/>
      <c r="K2271" s="5"/>
      <c r="Q2271" t="e">
        <f>VLOOKUP(A2271,'גיליון דאטה להכל'!A:E,5,0)</f>
        <v>#N/A</v>
      </c>
      <c r="R2271" t="e">
        <f>VLOOKUP(A2271,'לעדכן בסינתזה דאטה אריזה 42+24'!$A:$C,3,0)</f>
        <v>#N/A</v>
      </c>
      <c r="S2271" t="e">
        <f>VLOOKUP(#REF!,'מלאי לא תקין'!A:N,17,0)</f>
        <v>#REF!</v>
      </c>
      <c r="T2271" t="e">
        <f t="shared" si="75"/>
        <v>#REF!</v>
      </c>
      <c r="U2271" t="e">
        <f t="shared" si="76"/>
        <v>#REF!</v>
      </c>
    </row>
    <row r="2272" spans="4:21" x14ac:dyDescent="0.2">
      <c r="D2272" s="4"/>
      <c r="G2272" s="5"/>
      <c r="H2272" s="5"/>
      <c r="I2272" s="4"/>
      <c r="J2272" s="4"/>
      <c r="K2272" s="5"/>
      <c r="Q2272" t="e">
        <f>VLOOKUP(A2272,'גיליון דאטה להכל'!A:E,5,0)</f>
        <v>#N/A</v>
      </c>
      <c r="R2272" t="e">
        <f>VLOOKUP(A2272,'לעדכן בסינתזה דאטה אריזה 42+24'!$A:$C,3,0)</f>
        <v>#N/A</v>
      </c>
      <c r="S2272" t="e">
        <f>VLOOKUP(#REF!,'מלאי לא תקין'!A:N,17,0)</f>
        <v>#REF!</v>
      </c>
      <c r="T2272" t="e">
        <f t="shared" si="75"/>
        <v>#REF!</v>
      </c>
      <c r="U2272" t="e">
        <f t="shared" si="76"/>
        <v>#REF!</v>
      </c>
    </row>
    <row r="2273" spans="4:21" x14ac:dyDescent="0.2">
      <c r="D2273" s="4"/>
      <c r="G2273" s="5"/>
      <c r="H2273" s="5"/>
      <c r="I2273" s="4"/>
      <c r="J2273" s="4"/>
      <c r="K2273" s="5"/>
      <c r="Q2273" t="e">
        <f>VLOOKUP(A2273,'גיליון דאטה להכל'!A:E,5,0)</f>
        <v>#N/A</v>
      </c>
      <c r="R2273" t="e">
        <f>VLOOKUP(A2273,'לעדכן בסינתזה דאטה אריזה 42+24'!$A:$C,3,0)</f>
        <v>#N/A</v>
      </c>
      <c r="S2273" t="e">
        <f>VLOOKUP(#REF!,'מלאי לא תקין'!A:N,17,0)</f>
        <v>#REF!</v>
      </c>
      <c r="T2273" t="e">
        <f t="shared" si="75"/>
        <v>#REF!</v>
      </c>
      <c r="U2273" t="e">
        <f t="shared" si="76"/>
        <v>#REF!</v>
      </c>
    </row>
    <row r="2274" spans="4:21" x14ac:dyDescent="0.2">
      <c r="D2274" s="4"/>
      <c r="G2274" s="5"/>
      <c r="H2274" s="5"/>
      <c r="I2274" s="4"/>
      <c r="J2274" s="4"/>
      <c r="K2274" s="5"/>
      <c r="Q2274" t="e">
        <f>VLOOKUP(A2274,'גיליון דאטה להכל'!A:E,5,0)</f>
        <v>#N/A</v>
      </c>
      <c r="R2274" t="e">
        <f>VLOOKUP(A2274,'לעדכן בסינתזה דאטה אריזה 42+24'!$A:$C,3,0)</f>
        <v>#N/A</v>
      </c>
      <c r="S2274" t="e">
        <f>VLOOKUP(#REF!,'מלאי לא תקין'!A:N,17,0)</f>
        <v>#REF!</v>
      </c>
      <c r="T2274" t="e">
        <f t="shared" si="75"/>
        <v>#REF!</v>
      </c>
      <c r="U2274" t="e">
        <f t="shared" si="76"/>
        <v>#REF!</v>
      </c>
    </row>
    <row r="2275" spans="4:21" x14ac:dyDescent="0.2">
      <c r="D2275" s="4"/>
      <c r="G2275" s="5"/>
      <c r="H2275" s="7"/>
      <c r="I2275" s="4"/>
      <c r="J2275" s="4"/>
      <c r="K2275" s="5"/>
      <c r="Q2275" t="e">
        <f>VLOOKUP(A2275,'גיליון דאטה להכל'!A:E,5,0)</f>
        <v>#N/A</v>
      </c>
      <c r="R2275" t="e">
        <f>VLOOKUP(A2275,'לעדכן בסינתזה דאטה אריזה 42+24'!$A:$C,3,0)</f>
        <v>#N/A</v>
      </c>
      <c r="S2275" t="e">
        <f>VLOOKUP(#REF!,'מלאי לא תקין'!A:N,17,0)</f>
        <v>#REF!</v>
      </c>
      <c r="T2275" t="e">
        <f t="shared" si="75"/>
        <v>#REF!</v>
      </c>
      <c r="U2275" t="e">
        <f t="shared" si="76"/>
        <v>#REF!</v>
      </c>
    </row>
    <row r="2276" spans="4:21" x14ac:dyDescent="0.2">
      <c r="D2276" s="4"/>
      <c r="G2276" s="5"/>
      <c r="H2276" s="5"/>
      <c r="I2276" s="4"/>
      <c r="J2276" s="4"/>
      <c r="K2276" s="5"/>
      <c r="Q2276" t="e">
        <f>VLOOKUP(A2276,'גיליון דאטה להכל'!A:E,5,0)</f>
        <v>#N/A</v>
      </c>
      <c r="R2276" t="e">
        <f>VLOOKUP(A2276,'לעדכן בסינתזה דאטה אריזה 42+24'!$A:$C,3,0)</f>
        <v>#N/A</v>
      </c>
      <c r="S2276" t="e">
        <f>VLOOKUP(#REF!,'מלאי לא תקין'!A:N,17,0)</f>
        <v>#REF!</v>
      </c>
      <c r="T2276" t="e">
        <f t="shared" si="75"/>
        <v>#REF!</v>
      </c>
      <c r="U2276" t="e">
        <f t="shared" si="76"/>
        <v>#REF!</v>
      </c>
    </row>
    <row r="2277" spans="4:21" x14ac:dyDescent="0.2">
      <c r="D2277" s="4"/>
      <c r="G2277" s="5"/>
      <c r="H2277" s="5"/>
      <c r="I2277" s="4"/>
      <c r="J2277" s="4"/>
      <c r="K2277" s="5"/>
      <c r="Q2277" t="e">
        <f>VLOOKUP(A2277,'גיליון דאטה להכל'!A:E,5,0)</f>
        <v>#N/A</v>
      </c>
      <c r="R2277" t="e">
        <f>VLOOKUP(A2277,'לעדכן בסינתזה דאטה אריזה 42+24'!$A:$C,3,0)</f>
        <v>#N/A</v>
      </c>
      <c r="S2277" t="e">
        <f>VLOOKUP(#REF!,'מלאי לא תקין'!A:N,17,0)</f>
        <v>#REF!</v>
      </c>
      <c r="T2277" t="e">
        <f t="shared" si="75"/>
        <v>#REF!</v>
      </c>
      <c r="U2277" t="e">
        <f t="shared" si="76"/>
        <v>#REF!</v>
      </c>
    </row>
    <row r="2278" spans="4:21" x14ac:dyDescent="0.2">
      <c r="D2278" s="4"/>
      <c r="G2278" s="5"/>
      <c r="H2278" s="5"/>
      <c r="I2278" s="4"/>
      <c r="J2278" s="4"/>
      <c r="K2278" s="5"/>
      <c r="Q2278" t="e">
        <f>VLOOKUP(A2278,'גיליון דאטה להכל'!A:E,5,0)</f>
        <v>#N/A</v>
      </c>
      <c r="R2278" t="e">
        <f>VLOOKUP(A2278,'לעדכן בסינתזה דאטה אריזה 42+24'!$A:$C,3,0)</f>
        <v>#N/A</v>
      </c>
      <c r="S2278" t="e">
        <f>VLOOKUP(#REF!,'מלאי לא תקין'!A:N,17,0)</f>
        <v>#REF!</v>
      </c>
      <c r="T2278" t="e">
        <f t="shared" si="75"/>
        <v>#REF!</v>
      </c>
      <c r="U2278" t="e">
        <f t="shared" si="76"/>
        <v>#REF!</v>
      </c>
    </row>
    <row r="2279" spans="4:21" x14ac:dyDescent="0.2">
      <c r="D2279" s="4"/>
      <c r="G2279" s="5"/>
      <c r="H2279" s="5"/>
      <c r="I2279" s="4"/>
      <c r="J2279" s="4"/>
      <c r="K2279" s="5"/>
      <c r="Q2279" t="e">
        <f>VLOOKUP(A2279,'גיליון דאטה להכל'!A:E,5,0)</f>
        <v>#N/A</v>
      </c>
      <c r="R2279" t="e">
        <f>VLOOKUP(A2279,'לעדכן בסינתזה דאטה אריזה 42+24'!$A:$C,3,0)</f>
        <v>#N/A</v>
      </c>
      <c r="S2279" t="e">
        <f>VLOOKUP(#REF!,'מלאי לא תקין'!A:N,17,0)</f>
        <v>#REF!</v>
      </c>
      <c r="T2279" t="e">
        <f t="shared" si="75"/>
        <v>#REF!</v>
      </c>
      <c r="U2279" t="e">
        <f t="shared" si="76"/>
        <v>#REF!</v>
      </c>
    </row>
    <row r="2280" spans="4:21" x14ac:dyDescent="0.2">
      <c r="D2280" s="4"/>
      <c r="G2280" s="5"/>
      <c r="H2280" s="7"/>
      <c r="I2280" s="4"/>
      <c r="J2280" s="4"/>
      <c r="K2280" s="5"/>
      <c r="Q2280" t="e">
        <f>VLOOKUP(A2280,'גיליון דאטה להכל'!A:E,5,0)</f>
        <v>#N/A</v>
      </c>
      <c r="R2280" t="e">
        <f>VLOOKUP(A2280,'לעדכן בסינתזה דאטה אריזה 42+24'!$A:$C,3,0)</f>
        <v>#N/A</v>
      </c>
      <c r="S2280" t="e">
        <f>VLOOKUP(#REF!,'מלאי לא תקין'!A:N,17,0)</f>
        <v>#REF!</v>
      </c>
      <c r="T2280" t="e">
        <f t="shared" si="75"/>
        <v>#REF!</v>
      </c>
      <c r="U2280" t="e">
        <f t="shared" si="76"/>
        <v>#REF!</v>
      </c>
    </row>
    <row r="2281" spans="4:21" x14ac:dyDescent="0.2">
      <c r="D2281" s="4"/>
      <c r="G2281" s="5"/>
      <c r="H2281" s="5"/>
      <c r="I2281" s="4"/>
      <c r="J2281" s="4"/>
      <c r="K2281" s="5"/>
      <c r="Q2281" t="e">
        <f>VLOOKUP(A2281,'גיליון דאטה להכל'!A:E,5,0)</f>
        <v>#N/A</v>
      </c>
      <c r="R2281" t="e">
        <f>VLOOKUP(A2281,'לעדכן בסינתזה דאטה אריזה 42+24'!$A:$C,3,0)</f>
        <v>#N/A</v>
      </c>
      <c r="S2281" t="e">
        <f>VLOOKUP(#REF!,'מלאי לא תקין'!A:N,17,0)</f>
        <v>#REF!</v>
      </c>
      <c r="T2281" t="e">
        <f t="shared" si="75"/>
        <v>#REF!</v>
      </c>
      <c r="U2281" t="e">
        <f t="shared" si="76"/>
        <v>#REF!</v>
      </c>
    </row>
    <row r="2282" spans="4:21" x14ac:dyDescent="0.2">
      <c r="D2282" s="4"/>
      <c r="G2282" s="5"/>
      <c r="H2282" s="5"/>
      <c r="I2282" s="4"/>
      <c r="J2282" s="4"/>
      <c r="K2282" s="5"/>
      <c r="Q2282" t="e">
        <f>VLOOKUP(A2282,'גיליון דאטה להכל'!A:E,5,0)</f>
        <v>#N/A</v>
      </c>
      <c r="R2282" t="e">
        <f>VLOOKUP(A2282,'לעדכן בסינתזה דאטה אריזה 42+24'!$A:$C,3,0)</f>
        <v>#N/A</v>
      </c>
      <c r="S2282" t="e">
        <f>VLOOKUP(#REF!,'מלאי לא תקין'!A:N,17,0)</f>
        <v>#REF!</v>
      </c>
      <c r="T2282" t="e">
        <f t="shared" si="75"/>
        <v>#REF!</v>
      </c>
      <c r="U2282" t="e">
        <f t="shared" si="76"/>
        <v>#REF!</v>
      </c>
    </row>
    <row r="2283" spans="4:21" x14ac:dyDescent="0.2">
      <c r="D2283" s="4"/>
      <c r="G2283" s="5"/>
      <c r="H2283" s="5"/>
      <c r="I2283" s="4"/>
      <c r="J2283" s="4"/>
      <c r="K2283" s="5"/>
      <c r="Q2283" t="e">
        <f>VLOOKUP(A2283,'גיליון דאטה להכל'!A:E,5,0)</f>
        <v>#N/A</v>
      </c>
      <c r="R2283" t="e">
        <f>VLOOKUP(A2283,'לעדכן בסינתזה דאטה אריזה 42+24'!$A:$C,3,0)</f>
        <v>#N/A</v>
      </c>
      <c r="S2283" t="e">
        <f>VLOOKUP(#REF!,'מלאי לא תקין'!A:N,17,0)</f>
        <v>#REF!</v>
      </c>
      <c r="T2283" t="e">
        <f t="shared" si="75"/>
        <v>#REF!</v>
      </c>
      <c r="U2283" t="e">
        <f t="shared" si="76"/>
        <v>#REF!</v>
      </c>
    </row>
    <row r="2284" spans="4:21" x14ac:dyDescent="0.2">
      <c r="D2284" s="4"/>
      <c r="G2284" s="5"/>
      <c r="H2284" s="5"/>
      <c r="I2284" s="4"/>
      <c r="J2284" s="4"/>
      <c r="K2284" s="5"/>
      <c r="Q2284" t="e">
        <f>VLOOKUP(A2284,'גיליון דאטה להכל'!A:E,5,0)</f>
        <v>#N/A</v>
      </c>
      <c r="R2284" t="e">
        <f>VLOOKUP(A2284,'לעדכן בסינתזה דאטה אריזה 42+24'!$A:$C,3,0)</f>
        <v>#N/A</v>
      </c>
      <c r="S2284" t="e">
        <f>VLOOKUP(#REF!,'מלאי לא תקין'!A:N,17,0)</f>
        <v>#REF!</v>
      </c>
      <c r="T2284" t="e">
        <f t="shared" si="75"/>
        <v>#REF!</v>
      </c>
      <c r="U2284" t="e">
        <f t="shared" si="76"/>
        <v>#REF!</v>
      </c>
    </row>
    <row r="2285" spans="4:21" x14ac:dyDescent="0.2">
      <c r="D2285" s="4"/>
      <c r="G2285" s="5"/>
      <c r="H2285" s="7"/>
      <c r="I2285" s="4"/>
      <c r="J2285" s="4"/>
      <c r="K2285" s="5"/>
      <c r="Q2285" t="e">
        <f>VLOOKUP(A2285,'גיליון דאטה להכל'!A:E,5,0)</f>
        <v>#N/A</v>
      </c>
      <c r="R2285" t="e">
        <f>VLOOKUP(A2285,'לעדכן בסינתזה דאטה אריזה 42+24'!$A:$C,3,0)</f>
        <v>#N/A</v>
      </c>
      <c r="S2285" t="e">
        <f>VLOOKUP(#REF!,'מלאי לא תקין'!A:N,17,0)</f>
        <v>#REF!</v>
      </c>
      <c r="T2285" t="e">
        <f t="shared" si="75"/>
        <v>#REF!</v>
      </c>
      <c r="U2285" t="e">
        <f t="shared" si="76"/>
        <v>#REF!</v>
      </c>
    </row>
    <row r="2286" spans="4:21" x14ac:dyDescent="0.2">
      <c r="D2286" s="4"/>
      <c r="G2286" s="5"/>
      <c r="H2286" s="5"/>
      <c r="I2286" s="4"/>
      <c r="J2286" s="4"/>
      <c r="K2286" s="5"/>
      <c r="Q2286" t="e">
        <f>VLOOKUP(A2286,'גיליון דאטה להכל'!A:E,5,0)</f>
        <v>#N/A</v>
      </c>
      <c r="R2286" t="e">
        <f>VLOOKUP(A2286,'לעדכן בסינתזה דאטה אריזה 42+24'!$A:$C,3,0)</f>
        <v>#N/A</v>
      </c>
      <c r="S2286" t="e">
        <f>VLOOKUP(#REF!,'מלאי לא תקין'!A:N,17,0)</f>
        <v>#REF!</v>
      </c>
      <c r="T2286" t="e">
        <f t="shared" si="75"/>
        <v>#REF!</v>
      </c>
      <c r="U2286" t="e">
        <f t="shared" si="76"/>
        <v>#REF!</v>
      </c>
    </row>
    <row r="2287" spans="4:21" x14ac:dyDescent="0.2">
      <c r="D2287" s="4"/>
      <c r="G2287" s="5"/>
      <c r="H2287" s="5"/>
      <c r="I2287" s="4"/>
      <c r="J2287" s="4"/>
      <c r="K2287" s="5"/>
      <c r="Q2287" t="e">
        <f>VLOOKUP(A2287,'גיליון דאטה להכל'!A:E,5,0)</f>
        <v>#N/A</v>
      </c>
      <c r="R2287" t="e">
        <f>VLOOKUP(A2287,'לעדכן בסינתזה דאטה אריזה 42+24'!$A:$C,3,0)</f>
        <v>#N/A</v>
      </c>
      <c r="S2287" t="e">
        <f>VLOOKUP(#REF!,'מלאי לא תקין'!A:N,17,0)</f>
        <v>#REF!</v>
      </c>
      <c r="T2287" t="e">
        <f t="shared" si="75"/>
        <v>#REF!</v>
      </c>
      <c r="U2287" t="e">
        <f t="shared" si="76"/>
        <v>#REF!</v>
      </c>
    </row>
    <row r="2288" spans="4:21" x14ac:dyDescent="0.2">
      <c r="D2288" s="4"/>
      <c r="G2288" s="5"/>
      <c r="H2288" s="5"/>
      <c r="I2288" s="4"/>
      <c r="J2288" s="4"/>
      <c r="K2288" s="5"/>
      <c r="Q2288" t="e">
        <f>VLOOKUP(A2288,'גיליון דאטה להכל'!A:E,5,0)</f>
        <v>#N/A</v>
      </c>
      <c r="R2288" t="e">
        <f>VLOOKUP(A2288,'לעדכן בסינתזה דאטה אריזה 42+24'!$A:$C,3,0)</f>
        <v>#N/A</v>
      </c>
      <c r="S2288" t="e">
        <f>VLOOKUP(#REF!,'מלאי לא תקין'!A:N,17,0)</f>
        <v>#REF!</v>
      </c>
      <c r="T2288" t="e">
        <f t="shared" si="75"/>
        <v>#REF!</v>
      </c>
      <c r="U2288" t="e">
        <f t="shared" si="76"/>
        <v>#REF!</v>
      </c>
    </row>
    <row r="2289" spans="4:21" x14ac:dyDescent="0.2">
      <c r="D2289" s="4"/>
      <c r="G2289" s="5"/>
      <c r="H2289" s="5"/>
      <c r="I2289" s="4"/>
      <c r="J2289" s="4"/>
      <c r="K2289" s="5"/>
      <c r="Q2289" t="e">
        <f>VLOOKUP(A2289,'גיליון דאטה להכל'!A:E,5,0)</f>
        <v>#N/A</v>
      </c>
      <c r="R2289" t="e">
        <f>VLOOKUP(A2289,'לעדכן בסינתזה דאטה אריזה 42+24'!$A:$C,3,0)</f>
        <v>#N/A</v>
      </c>
      <c r="S2289" t="e">
        <f>VLOOKUP(#REF!,'מלאי לא תקין'!A:N,17,0)</f>
        <v>#REF!</v>
      </c>
      <c r="T2289" t="e">
        <f t="shared" si="75"/>
        <v>#REF!</v>
      </c>
      <c r="U2289" t="e">
        <f t="shared" si="76"/>
        <v>#REF!</v>
      </c>
    </row>
    <row r="2290" spans="4:21" x14ac:dyDescent="0.2">
      <c r="D2290" s="4"/>
      <c r="G2290" s="5"/>
      <c r="H2290" s="7"/>
      <c r="I2290" s="4"/>
      <c r="J2290" s="4"/>
      <c r="K2290" s="5"/>
      <c r="Q2290" t="e">
        <f>VLOOKUP(A2290,'גיליון דאטה להכל'!A:E,5,0)</f>
        <v>#N/A</v>
      </c>
      <c r="R2290" t="e">
        <f>VLOOKUP(A2290,'לעדכן בסינתזה דאטה אריזה 42+24'!$A:$C,3,0)</f>
        <v>#N/A</v>
      </c>
      <c r="S2290" t="e">
        <f>VLOOKUP(#REF!,'מלאי לא תקין'!A:N,17,0)</f>
        <v>#REF!</v>
      </c>
      <c r="T2290" t="e">
        <f t="shared" si="75"/>
        <v>#REF!</v>
      </c>
      <c r="U2290" t="e">
        <f t="shared" si="76"/>
        <v>#REF!</v>
      </c>
    </row>
    <row r="2291" spans="4:21" x14ac:dyDescent="0.2">
      <c r="D2291" s="4"/>
      <c r="G2291" s="5"/>
      <c r="H2291" s="5"/>
      <c r="I2291" s="4"/>
      <c r="J2291" s="4"/>
      <c r="K2291" s="5"/>
      <c r="Q2291" t="e">
        <f>VLOOKUP(A2291,'גיליון דאטה להכל'!A:E,5,0)</f>
        <v>#N/A</v>
      </c>
      <c r="R2291" t="e">
        <f>VLOOKUP(A2291,'לעדכן בסינתזה דאטה אריזה 42+24'!$A:$C,3,0)</f>
        <v>#N/A</v>
      </c>
      <c r="S2291" t="e">
        <f>VLOOKUP(#REF!,'מלאי לא תקין'!A:N,17,0)</f>
        <v>#REF!</v>
      </c>
      <c r="T2291" t="e">
        <f t="shared" si="75"/>
        <v>#REF!</v>
      </c>
      <c r="U2291" t="e">
        <f t="shared" si="76"/>
        <v>#REF!</v>
      </c>
    </row>
    <row r="2292" spans="4:21" x14ac:dyDescent="0.2">
      <c r="D2292" s="4"/>
      <c r="G2292" s="5"/>
      <c r="H2292" s="5"/>
      <c r="I2292" s="4"/>
      <c r="J2292" s="4"/>
      <c r="K2292" s="5"/>
      <c r="Q2292" t="e">
        <f>VLOOKUP(A2292,'גיליון דאטה להכל'!A:E,5,0)</f>
        <v>#N/A</v>
      </c>
      <c r="R2292" t="e">
        <f>VLOOKUP(A2292,'לעדכן בסינתזה דאטה אריזה 42+24'!$A:$C,3,0)</f>
        <v>#N/A</v>
      </c>
      <c r="S2292" t="e">
        <f>VLOOKUP(#REF!,'מלאי לא תקין'!A:N,17,0)</f>
        <v>#REF!</v>
      </c>
      <c r="T2292" t="e">
        <f t="shared" si="75"/>
        <v>#REF!</v>
      </c>
      <c r="U2292" t="e">
        <f t="shared" si="76"/>
        <v>#REF!</v>
      </c>
    </row>
    <row r="2293" spans="4:21" x14ac:dyDescent="0.2">
      <c r="D2293" s="4"/>
      <c r="G2293" s="5"/>
      <c r="H2293" s="5"/>
      <c r="I2293" s="4"/>
      <c r="J2293" s="4"/>
      <c r="K2293" s="5"/>
      <c r="Q2293" t="e">
        <f>VLOOKUP(A2293,'גיליון דאטה להכל'!A:E,5,0)</f>
        <v>#N/A</v>
      </c>
      <c r="R2293" t="e">
        <f>VLOOKUP(A2293,'לעדכן בסינתזה דאטה אריזה 42+24'!$A:$C,3,0)</f>
        <v>#N/A</v>
      </c>
      <c r="S2293" t="e">
        <f>VLOOKUP(#REF!,'מלאי לא תקין'!A:N,17,0)</f>
        <v>#REF!</v>
      </c>
      <c r="T2293" t="e">
        <f t="shared" si="75"/>
        <v>#REF!</v>
      </c>
      <c r="U2293" t="e">
        <f t="shared" si="76"/>
        <v>#REF!</v>
      </c>
    </row>
    <row r="2294" spans="4:21" x14ac:dyDescent="0.2">
      <c r="D2294" s="4"/>
      <c r="G2294" s="5"/>
      <c r="H2294" s="5"/>
      <c r="I2294" s="4"/>
      <c r="J2294" s="4"/>
      <c r="K2294" s="5"/>
      <c r="Q2294" t="e">
        <f>VLOOKUP(A2294,'גיליון דאטה להכל'!A:E,5,0)</f>
        <v>#N/A</v>
      </c>
      <c r="R2294" t="e">
        <f>VLOOKUP(A2294,'לעדכן בסינתזה דאטה אריזה 42+24'!$A:$C,3,0)</f>
        <v>#N/A</v>
      </c>
      <c r="S2294" t="e">
        <f>VLOOKUP(#REF!,'מלאי לא תקין'!A:N,17,0)</f>
        <v>#REF!</v>
      </c>
      <c r="T2294" t="e">
        <f t="shared" si="75"/>
        <v>#REF!</v>
      </c>
      <c r="U2294" t="e">
        <f t="shared" si="76"/>
        <v>#REF!</v>
      </c>
    </row>
    <row r="2295" spans="4:21" x14ac:dyDescent="0.2">
      <c r="D2295" s="4"/>
      <c r="G2295" s="5"/>
      <c r="H2295" s="7"/>
      <c r="I2295" s="4"/>
      <c r="J2295" s="4"/>
      <c r="K2295" s="5"/>
      <c r="Q2295" t="e">
        <f>VLOOKUP(A2295,'גיליון דאטה להכל'!A:E,5,0)</f>
        <v>#N/A</v>
      </c>
      <c r="R2295" t="e">
        <f>VLOOKUP(A2295,'לעדכן בסינתזה דאטה אריזה 42+24'!$A:$C,3,0)</f>
        <v>#N/A</v>
      </c>
      <c r="S2295" t="e">
        <f>VLOOKUP(#REF!,'מלאי לא תקין'!A:N,17,0)</f>
        <v>#REF!</v>
      </c>
      <c r="T2295" t="e">
        <f t="shared" si="75"/>
        <v>#REF!</v>
      </c>
      <c r="U2295" t="e">
        <f t="shared" si="76"/>
        <v>#REF!</v>
      </c>
    </row>
    <row r="2296" spans="4:21" x14ac:dyDescent="0.2">
      <c r="D2296" s="4"/>
      <c r="G2296" s="5"/>
      <c r="H2296" s="5"/>
      <c r="I2296" s="4"/>
      <c r="J2296" s="4"/>
      <c r="K2296" s="5"/>
      <c r="Q2296" t="e">
        <f>VLOOKUP(A2296,'גיליון דאטה להכל'!A:E,5,0)</f>
        <v>#N/A</v>
      </c>
      <c r="R2296" t="e">
        <f>VLOOKUP(A2296,'לעדכן בסינתזה דאטה אריזה 42+24'!$A:$C,3,0)</f>
        <v>#N/A</v>
      </c>
      <c r="S2296" t="e">
        <f>VLOOKUP(#REF!,'מלאי לא תקין'!A:N,17,0)</f>
        <v>#REF!</v>
      </c>
      <c r="T2296" t="e">
        <f t="shared" si="75"/>
        <v>#REF!</v>
      </c>
      <c r="U2296" t="e">
        <f t="shared" si="76"/>
        <v>#REF!</v>
      </c>
    </row>
    <row r="2297" spans="4:21" x14ac:dyDescent="0.2">
      <c r="D2297" s="4"/>
      <c r="G2297" s="5"/>
      <c r="H2297" s="5"/>
      <c r="I2297" s="4"/>
      <c r="J2297" s="4"/>
      <c r="K2297" s="5"/>
      <c r="Q2297" t="e">
        <f>VLOOKUP(A2297,'גיליון דאטה להכל'!A:E,5,0)</f>
        <v>#N/A</v>
      </c>
      <c r="R2297" t="e">
        <f>VLOOKUP(A2297,'לעדכן בסינתזה דאטה אריזה 42+24'!$A:$C,3,0)</f>
        <v>#N/A</v>
      </c>
      <c r="S2297" t="e">
        <f>VLOOKUP(#REF!,'מלאי לא תקין'!A:N,17,0)</f>
        <v>#REF!</v>
      </c>
      <c r="T2297" t="e">
        <f t="shared" si="75"/>
        <v>#REF!</v>
      </c>
      <c r="U2297" t="e">
        <f t="shared" si="76"/>
        <v>#REF!</v>
      </c>
    </row>
    <row r="2298" spans="4:21" x14ac:dyDescent="0.2">
      <c r="D2298" s="4"/>
      <c r="G2298" s="5"/>
      <c r="H2298" s="5"/>
      <c r="I2298" s="4"/>
      <c r="J2298" s="4"/>
      <c r="K2298" s="5"/>
      <c r="Q2298" t="e">
        <f>VLOOKUP(A2298,'גיליון דאטה להכל'!A:E,5,0)</f>
        <v>#N/A</v>
      </c>
      <c r="R2298" t="e">
        <f>VLOOKUP(A2298,'לעדכן בסינתזה דאטה אריזה 42+24'!$A:$C,3,0)</f>
        <v>#N/A</v>
      </c>
      <c r="S2298" t="e">
        <f>VLOOKUP(#REF!,'מלאי לא תקין'!A:N,17,0)</f>
        <v>#REF!</v>
      </c>
      <c r="T2298" t="e">
        <f t="shared" si="75"/>
        <v>#REF!</v>
      </c>
      <c r="U2298" t="e">
        <f t="shared" si="76"/>
        <v>#REF!</v>
      </c>
    </row>
    <row r="2299" spans="4:21" x14ac:dyDescent="0.2">
      <c r="D2299" s="4"/>
      <c r="G2299" s="5"/>
      <c r="H2299" s="5"/>
      <c r="I2299" s="4"/>
      <c r="J2299" s="4"/>
      <c r="K2299" s="5"/>
      <c r="Q2299" t="e">
        <f>VLOOKUP(A2299,'גיליון דאטה להכל'!A:E,5,0)</f>
        <v>#N/A</v>
      </c>
      <c r="R2299" t="e">
        <f>VLOOKUP(A2299,'לעדכן בסינתזה דאטה אריזה 42+24'!$A:$C,3,0)</f>
        <v>#N/A</v>
      </c>
      <c r="S2299" t="e">
        <f>VLOOKUP(#REF!,'מלאי לא תקין'!A:N,17,0)</f>
        <v>#REF!</v>
      </c>
      <c r="T2299" t="e">
        <f t="shared" si="75"/>
        <v>#REF!</v>
      </c>
      <c r="U2299" t="e">
        <f t="shared" si="76"/>
        <v>#REF!</v>
      </c>
    </row>
    <row r="2300" spans="4:21" x14ac:dyDescent="0.2">
      <c r="D2300" s="4"/>
      <c r="G2300" s="5"/>
      <c r="H2300" s="7"/>
      <c r="I2300" s="4"/>
      <c r="J2300" s="4"/>
      <c r="K2300" s="5"/>
      <c r="Q2300" t="e">
        <f>VLOOKUP(A2300,'גיליון דאטה להכל'!A:E,5,0)</f>
        <v>#N/A</v>
      </c>
      <c r="R2300" t="e">
        <f>VLOOKUP(A2300,'לעדכן בסינתזה דאטה אריזה 42+24'!$A:$C,3,0)</f>
        <v>#N/A</v>
      </c>
      <c r="S2300" t="e">
        <f>VLOOKUP(#REF!,'מלאי לא תקין'!A:N,17,0)</f>
        <v>#REF!</v>
      </c>
      <c r="T2300" t="e">
        <f t="shared" si="75"/>
        <v>#REF!</v>
      </c>
      <c r="U2300" t="e">
        <f t="shared" si="76"/>
        <v>#REF!</v>
      </c>
    </row>
    <row r="2301" spans="4:21" x14ac:dyDescent="0.2">
      <c r="D2301" s="4"/>
      <c r="G2301" s="5"/>
      <c r="H2301" s="5"/>
      <c r="I2301" s="4"/>
      <c r="J2301" s="4"/>
      <c r="K2301" s="5"/>
      <c r="Q2301" t="e">
        <f>VLOOKUP(A2301,'גיליון דאטה להכל'!A:E,5,0)</f>
        <v>#N/A</v>
      </c>
      <c r="R2301" t="e">
        <f>VLOOKUP(A2301,'לעדכן בסינתזה דאטה אריזה 42+24'!$A:$C,3,0)</f>
        <v>#N/A</v>
      </c>
      <c r="S2301" t="e">
        <f>VLOOKUP(#REF!,'מלאי לא תקין'!A:N,17,0)</f>
        <v>#REF!</v>
      </c>
      <c r="T2301" t="e">
        <f t="shared" si="75"/>
        <v>#REF!</v>
      </c>
      <c r="U2301" t="e">
        <f t="shared" si="76"/>
        <v>#REF!</v>
      </c>
    </row>
    <row r="2302" spans="4:21" x14ac:dyDescent="0.2">
      <c r="D2302" s="4"/>
      <c r="G2302" s="5"/>
      <c r="H2302" s="5"/>
      <c r="I2302" s="4"/>
      <c r="J2302" s="4"/>
      <c r="K2302" s="5"/>
      <c r="Q2302" t="e">
        <f>VLOOKUP(A2302,'גיליון דאטה להכל'!A:E,5,0)</f>
        <v>#N/A</v>
      </c>
      <c r="R2302" t="e">
        <f>VLOOKUP(A2302,'לעדכן בסינתזה דאטה אריזה 42+24'!$A:$C,3,0)</f>
        <v>#N/A</v>
      </c>
      <c r="S2302" t="e">
        <f>VLOOKUP(#REF!,'מלאי לא תקין'!A:N,17,0)</f>
        <v>#REF!</v>
      </c>
      <c r="T2302" t="e">
        <f t="shared" ref="T2302:T2365" si="77">_xlfn.CONCAT(S2302,Q2302)</f>
        <v>#REF!</v>
      </c>
      <c r="U2302" t="e">
        <f t="shared" ref="U2302:U2365" si="78">_xlfn.CONCAT(S2302,O2302)</f>
        <v>#REF!</v>
      </c>
    </row>
    <row r="2303" spans="4:21" x14ac:dyDescent="0.2">
      <c r="D2303" s="4"/>
      <c r="G2303" s="5"/>
      <c r="H2303" s="5"/>
      <c r="I2303" s="4"/>
      <c r="J2303" s="4"/>
      <c r="K2303" s="5"/>
      <c r="Q2303" t="e">
        <f>VLOOKUP(A2303,'גיליון דאטה להכל'!A:E,5,0)</f>
        <v>#N/A</v>
      </c>
      <c r="R2303" t="e">
        <f>VLOOKUP(A2303,'לעדכן בסינתזה דאטה אריזה 42+24'!$A:$C,3,0)</f>
        <v>#N/A</v>
      </c>
      <c r="S2303" t="e">
        <f>VLOOKUP(#REF!,'מלאי לא תקין'!A:N,17,0)</f>
        <v>#REF!</v>
      </c>
      <c r="T2303" t="e">
        <f t="shared" si="77"/>
        <v>#REF!</v>
      </c>
      <c r="U2303" t="e">
        <f t="shared" si="78"/>
        <v>#REF!</v>
      </c>
    </row>
    <row r="2304" spans="4:21" x14ac:dyDescent="0.2">
      <c r="D2304" s="4"/>
      <c r="G2304" s="5"/>
      <c r="H2304" s="5"/>
      <c r="I2304" s="4"/>
      <c r="J2304" s="4"/>
      <c r="K2304" s="5"/>
      <c r="Q2304" t="e">
        <f>VLOOKUP(A2304,'גיליון דאטה להכל'!A:E,5,0)</f>
        <v>#N/A</v>
      </c>
      <c r="R2304" t="e">
        <f>VLOOKUP(A2304,'לעדכן בסינתזה דאטה אריזה 42+24'!$A:$C,3,0)</f>
        <v>#N/A</v>
      </c>
      <c r="S2304" t="e">
        <f>VLOOKUP(#REF!,'מלאי לא תקין'!A:N,17,0)</f>
        <v>#REF!</v>
      </c>
      <c r="T2304" t="e">
        <f t="shared" si="77"/>
        <v>#REF!</v>
      </c>
      <c r="U2304" t="e">
        <f t="shared" si="78"/>
        <v>#REF!</v>
      </c>
    </row>
    <row r="2305" spans="4:21" x14ac:dyDescent="0.2">
      <c r="D2305" s="4"/>
      <c r="G2305" s="5"/>
      <c r="H2305" s="7"/>
      <c r="I2305" s="4"/>
      <c r="J2305" s="4"/>
      <c r="K2305" s="5"/>
      <c r="Q2305" t="e">
        <f>VLOOKUP(A2305,'גיליון דאטה להכל'!A:E,5,0)</f>
        <v>#N/A</v>
      </c>
      <c r="R2305" t="e">
        <f>VLOOKUP(A2305,'לעדכן בסינתזה דאטה אריזה 42+24'!$A:$C,3,0)</f>
        <v>#N/A</v>
      </c>
      <c r="S2305" t="e">
        <f>VLOOKUP(#REF!,'מלאי לא תקין'!A:N,17,0)</f>
        <v>#REF!</v>
      </c>
      <c r="T2305" t="e">
        <f t="shared" si="77"/>
        <v>#REF!</v>
      </c>
      <c r="U2305" t="e">
        <f t="shared" si="78"/>
        <v>#REF!</v>
      </c>
    </row>
    <row r="2306" spans="4:21" x14ac:dyDescent="0.2">
      <c r="D2306" s="4"/>
      <c r="G2306" s="5"/>
      <c r="H2306" s="5"/>
      <c r="I2306" s="4"/>
      <c r="J2306" s="4"/>
      <c r="K2306" s="5"/>
      <c r="Q2306" t="e">
        <f>VLOOKUP(A2306,'גיליון דאטה להכל'!A:E,5,0)</f>
        <v>#N/A</v>
      </c>
      <c r="R2306" t="e">
        <f>VLOOKUP(A2306,'לעדכן בסינתזה דאטה אריזה 42+24'!$A:$C,3,0)</f>
        <v>#N/A</v>
      </c>
      <c r="S2306" t="e">
        <f>VLOOKUP(#REF!,'מלאי לא תקין'!A:N,17,0)</f>
        <v>#REF!</v>
      </c>
      <c r="T2306" t="e">
        <f t="shared" si="77"/>
        <v>#REF!</v>
      </c>
      <c r="U2306" t="e">
        <f t="shared" si="78"/>
        <v>#REF!</v>
      </c>
    </row>
    <row r="2307" spans="4:21" x14ac:dyDescent="0.2">
      <c r="D2307" s="4"/>
      <c r="G2307" s="5"/>
      <c r="H2307" s="5"/>
      <c r="I2307" s="4"/>
      <c r="J2307" s="4"/>
      <c r="K2307" s="5"/>
      <c r="Q2307" t="e">
        <f>VLOOKUP(A2307,'גיליון דאטה להכל'!A:E,5,0)</f>
        <v>#N/A</v>
      </c>
      <c r="R2307" t="e">
        <f>VLOOKUP(A2307,'לעדכן בסינתזה דאטה אריזה 42+24'!$A:$C,3,0)</f>
        <v>#N/A</v>
      </c>
      <c r="S2307" t="e">
        <f>VLOOKUP(#REF!,'מלאי לא תקין'!A:N,17,0)</f>
        <v>#REF!</v>
      </c>
      <c r="T2307" t="e">
        <f t="shared" si="77"/>
        <v>#REF!</v>
      </c>
      <c r="U2307" t="e">
        <f t="shared" si="78"/>
        <v>#REF!</v>
      </c>
    </row>
    <row r="2308" spans="4:21" x14ac:dyDescent="0.2">
      <c r="D2308" s="4"/>
      <c r="G2308" s="5"/>
      <c r="H2308" s="5"/>
      <c r="I2308" s="4"/>
      <c r="J2308" s="4"/>
      <c r="K2308" s="5"/>
      <c r="Q2308" t="e">
        <f>VLOOKUP(A2308,'גיליון דאטה להכל'!A:E,5,0)</f>
        <v>#N/A</v>
      </c>
      <c r="R2308" t="e">
        <f>VLOOKUP(A2308,'לעדכן בסינתזה דאטה אריזה 42+24'!$A:$C,3,0)</f>
        <v>#N/A</v>
      </c>
      <c r="S2308" t="e">
        <f>VLOOKUP(#REF!,'מלאי לא תקין'!A:N,17,0)</f>
        <v>#REF!</v>
      </c>
      <c r="T2308" t="e">
        <f t="shared" si="77"/>
        <v>#REF!</v>
      </c>
      <c r="U2308" t="e">
        <f t="shared" si="78"/>
        <v>#REF!</v>
      </c>
    </row>
    <row r="2309" spans="4:21" x14ac:dyDescent="0.2">
      <c r="D2309" s="4"/>
      <c r="G2309" s="5"/>
      <c r="H2309" s="5"/>
      <c r="I2309" s="4"/>
      <c r="J2309" s="4"/>
      <c r="K2309" s="5"/>
      <c r="Q2309" t="e">
        <f>VLOOKUP(A2309,'גיליון דאטה להכל'!A:E,5,0)</f>
        <v>#N/A</v>
      </c>
      <c r="R2309" t="e">
        <f>VLOOKUP(A2309,'לעדכן בסינתזה דאטה אריזה 42+24'!$A:$C,3,0)</f>
        <v>#N/A</v>
      </c>
      <c r="S2309" t="e">
        <f>VLOOKUP(#REF!,'מלאי לא תקין'!A:N,17,0)</f>
        <v>#REF!</v>
      </c>
      <c r="T2309" t="e">
        <f t="shared" si="77"/>
        <v>#REF!</v>
      </c>
      <c r="U2309" t="e">
        <f t="shared" si="78"/>
        <v>#REF!</v>
      </c>
    </row>
    <row r="2310" spans="4:21" x14ac:dyDescent="0.2">
      <c r="D2310" s="4"/>
      <c r="G2310" s="5"/>
      <c r="H2310" s="7"/>
      <c r="I2310" s="4"/>
      <c r="J2310" s="4"/>
      <c r="K2310" s="5"/>
      <c r="Q2310" t="e">
        <f>VLOOKUP(A2310,'גיליון דאטה להכל'!A:E,5,0)</f>
        <v>#N/A</v>
      </c>
      <c r="R2310" t="e">
        <f>VLOOKUP(A2310,'לעדכן בסינתזה דאטה אריזה 42+24'!$A:$C,3,0)</f>
        <v>#N/A</v>
      </c>
      <c r="S2310" t="e">
        <f>VLOOKUP(#REF!,'מלאי לא תקין'!A:N,17,0)</f>
        <v>#REF!</v>
      </c>
      <c r="T2310" t="e">
        <f t="shared" si="77"/>
        <v>#REF!</v>
      </c>
      <c r="U2310" t="e">
        <f t="shared" si="78"/>
        <v>#REF!</v>
      </c>
    </row>
    <row r="2311" spans="4:21" x14ac:dyDescent="0.2">
      <c r="D2311" s="4"/>
      <c r="G2311" s="5"/>
      <c r="H2311" s="5"/>
      <c r="I2311" s="4"/>
      <c r="J2311" s="4"/>
      <c r="K2311" s="5"/>
      <c r="Q2311" t="e">
        <f>VLOOKUP(A2311,'גיליון דאטה להכל'!A:E,5,0)</f>
        <v>#N/A</v>
      </c>
      <c r="R2311" t="e">
        <f>VLOOKUP(A2311,'לעדכן בסינתזה דאטה אריזה 42+24'!$A:$C,3,0)</f>
        <v>#N/A</v>
      </c>
      <c r="S2311" t="e">
        <f>VLOOKUP(#REF!,'מלאי לא תקין'!A:N,17,0)</f>
        <v>#REF!</v>
      </c>
      <c r="T2311" t="e">
        <f t="shared" si="77"/>
        <v>#REF!</v>
      </c>
      <c r="U2311" t="e">
        <f t="shared" si="78"/>
        <v>#REF!</v>
      </c>
    </row>
    <row r="2312" spans="4:21" x14ac:dyDescent="0.2">
      <c r="D2312" s="4"/>
      <c r="G2312" s="5"/>
      <c r="H2312" s="5"/>
      <c r="I2312" s="4"/>
      <c r="J2312" s="4"/>
      <c r="K2312" s="5"/>
      <c r="Q2312" t="e">
        <f>VLOOKUP(A2312,'גיליון דאטה להכל'!A:E,5,0)</f>
        <v>#N/A</v>
      </c>
      <c r="R2312" t="e">
        <f>VLOOKUP(A2312,'לעדכן בסינתזה דאטה אריזה 42+24'!$A:$C,3,0)</f>
        <v>#N/A</v>
      </c>
      <c r="S2312" t="e">
        <f>VLOOKUP(#REF!,'מלאי לא תקין'!A:N,17,0)</f>
        <v>#REF!</v>
      </c>
      <c r="T2312" t="e">
        <f t="shared" si="77"/>
        <v>#REF!</v>
      </c>
      <c r="U2312" t="e">
        <f t="shared" si="78"/>
        <v>#REF!</v>
      </c>
    </row>
    <row r="2313" spans="4:21" x14ac:dyDescent="0.2">
      <c r="D2313" s="4"/>
      <c r="G2313" s="5"/>
      <c r="H2313" s="5"/>
      <c r="I2313" s="4"/>
      <c r="J2313" s="4"/>
      <c r="K2313" s="5"/>
      <c r="Q2313" t="e">
        <f>VLOOKUP(A2313,'גיליון דאטה להכל'!A:E,5,0)</f>
        <v>#N/A</v>
      </c>
      <c r="R2313" t="e">
        <f>VLOOKUP(A2313,'לעדכן בסינתזה דאטה אריזה 42+24'!$A:$C,3,0)</f>
        <v>#N/A</v>
      </c>
      <c r="S2313" t="e">
        <f>VLOOKUP(#REF!,'מלאי לא תקין'!A:N,17,0)</f>
        <v>#REF!</v>
      </c>
      <c r="T2313" t="e">
        <f t="shared" si="77"/>
        <v>#REF!</v>
      </c>
      <c r="U2313" t="e">
        <f t="shared" si="78"/>
        <v>#REF!</v>
      </c>
    </row>
    <row r="2314" spans="4:21" x14ac:dyDescent="0.2">
      <c r="D2314" s="4"/>
      <c r="G2314" s="5"/>
      <c r="H2314" s="5"/>
      <c r="I2314" s="4"/>
      <c r="J2314" s="4"/>
      <c r="K2314" s="5"/>
      <c r="Q2314" t="e">
        <f>VLOOKUP(A2314,'גיליון דאטה להכל'!A:E,5,0)</f>
        <v>#N/A</v>
      </c>
      <c r="R2314" t="e">
        <f>VLOOKUP(A2314,'לעדכן בסינתזה דאטה אריזה 42+24'!$A:$C,3,0)</f>
        <v>#N/A</v>
      </c>
      <c r="S2314" t="e">
        <f>VLOOKUP(#REF!,'מלאי לא תקין'!A:N,17,0)</f>
        <v>#REF!</v>
      </c>
      <c r="T2314" t="e">
        <f t="shared" si="77"/>
        <v>#REF!</v>
      </c>
      <c r="U2314" t="e">
        <f t="shared" si="78"/>
        <v>#REF!</v>
      </c>
    </row>
    <row r="2315" spans="4:21" x14ac:dyDescent="0.2">
      <c r="D2315" s="4"/>
      <c r="G2315" s="5"/>
      <c r="H2315" s="7"/>
      <c r="I2315" s="4"/>
      <c r="J2315" s="4"/>
      <c r="K2315" s="5"/>
      <c r="Q2315" t="e">
        <f>VLOOKUP(A2315,'גיליון דאטה להכל'!A:E,5,0)</f>
        <v>#N/A</v>
      </c>
      <c r="R2315" t="e">
        <f>VLOOKUP(A2315,'לעדכן בסינתזה דאטה אריזה 42+24'!$A:$C,3,0)</f>
        <v>#N/A</v>
      </c>
      <c r="S2315" t="e">
        <f>VLOOKUP(#REF!,'מלאי לא תקין'!A:N,17,0)</f>
        <v>#REF!</v>
      </c>
      <c r="T2315" t="e">
        <f t="shared" si="77"/>
        <v>#REF!</v>
      </c>
      <c r="U2315" t="e">
        <f t="shared" si="78"/>
        <v>#REF!</v>
      </c>
    </row>
    <row r="2316" spans="4:21" x14ac:dyDescent="0.2">
      <c r="D2316" s="4"/>
      <c r="G2316" s="5"/>
      <c r="H2316" s="5"/>
      <c r="I2316" s="4"/>
      <c r="J2316" s="4"/>
      <c r="K2316" s="5"/>
      <c r="Q2316" t="e">
        <f>VLOOKUP(A2316,'גיליון דאטה להכל'!A:E,5,0)</f>
        <v>#N/A</v>
      </c>
      <c r="R2316" t="e">
        <f>VLOOKUP(A2316,'לעדכן בסינתזה דאטה אריזה 42+24'!$A:$C,3,0)</f>
        <v>#N/A</v>
      </c>
      <c r="S2316" t="e">
        <f>VLOOKUP(#REF!,'מלאי לא תקין'!A:N,17,0)</f>
        <v>#REF!</v>
      </c>
      <c r="T2316" t="e">
        <f t="shared" si="77"/>
        <v>#REF!</v>
      </c>
      <c r="U2316" t="e">
        <f t="shared" si="78"/>
        <v>#REF!</v>
      </c>
    </row>
    <row r="2317" spans="4:21" x14ac:dyDescent="0.2">
      <c r="D2317" s="4"/>
      <c r="G2317" s="5"/>
      <c r="H2317" s="5"/>
      <c r="I2317" s="4"/>
      <c r="J2317" s="4"/>
      <c r="K2317" s="5"/>
      <c r="Q2317" t="e">
        <f>VLOOKUP(A2317,'גיליון דאטה להכל'!A:E,5,0)</f>
        <v>#N/A</v>
      </c>
      <c r="R2317" t="e">
        <f>VLOOKUP(A2317,'לעדכן בסינתזה דאטה אריזה 42+24'!$A:$C,3,0)</f>
        <v>#N/A</v>
      </c>
      <c r="S2317" t="e">
        <f>VLOOKUP(#REF!,'מלאי לא תקין'!A:N,17,0)</f>
        <v>#REF!</v>
      </c>
      <c r="T2317" t="e">
        <f t="shared" si="77"/>
        <v>#REF!</v>
      </c>
      <c r="U2317" t="e">
        <f t="shared" si="78"/>
        <v>#REF!</v>
      </c>
    </row>
    <row r="2318" spans="4:21" x14ac:dyDescent="0.2">
      <c r="D2318" s="4"/>
      <c r="G2318" s="5"/>
      <c r="H2318" s="5"/>
      <c r="I2318" s="4"/>
      <c r="J2318" s="4"/>
      <c r="K2318" s="5"/>
      <c r="Q2318" t="e">
        <f>VLOOKUP(A2318,'גיליון דאטה להכל'!A:E,5,0)</f>
        <v>#N/A</v>
      </c>
      <c r="R2318" t="e">
        <f>VLOOKUP(A2318,'לעדכן בסינתזה דאטה אריזה 42+24'!$A:$C,3,0)</f>
        <v>#N/A</v>
      </c>
      <c r="S2318" t="e">
        <f>VLOOKUP(#REF!,'מלאי לא תקין'!A:N,17,0)</f>
        <v>#REF!</v>
      </c>
      <c r="T2318" t="e">
        <f t="shared" si="77"/>
        <v>#REF!</v>
      </c>
      <c r="U2318" t="e">
        <f t="shared" si="78"/>
        <v>#REF!</v>
      </c>
    </row>
    <row r="2319" spans="4:21" x14ac:dyDescent="0.2">
      <c r="D2319" s="4"/>
      <c r="G2319" s="5"/>
      <c r="H2319" s="5"/>
      <c r="I2319" s="4"/>
      <c r="J2319" s="4"/>
      <c r="K2319" s="5"/>
      <c r="Q2319" t="e">
        <f>VLOOKUP(A2319,'גיליון דאטה להכל'!A:E,5,0)</f>
        <v>#N/A</v>
      </c>
      <c r="R2319" t="e">
        <f>VLOOKUP(A2319,'לעדכן בסינתזה דאטה אריזה 42+24'!$A:$C,3,0)</f>
        <v>#N/A</v>
      </c>
      <c r="S2319" t="e">
        <f>VLOOKUP(#REF!,'מלאי לא תקין'!A:N,17,0)</f>
        <v>#REF!</v>
      </c>
      <c r="T2319" t="e">
        <f t="shared" si="77"/>
        <v>#REF!</v>
      </c>
      <c r="U2319" t="e">
        <f t="shared" si="78"/>
        <v>#REF!</v>
      </c>
    </row>
    <row r="2320" spans="4:21" x14ac:dyDescent="0.2">
      <c r="D2320" s="4"/>
      <c r="G2320" s="5"/>
      <c r="H2320" s="7"/>
      <c r="I2320" s="4"/>
      <c r="J2320" s="4"/>
      <c r="K2320" s="5"/>
      <c r="Q2320" t="e">
        <f>VLOOKUP(A2320,'גיליון דאטה להכל'!A:E,5,0)</f>
        <v>#N/A</v>
      </c>
      <c r="R2320" t="e">
        <f>VLOOKUP(A2320,'לעדכן בסינתזה דאטה אריזה 42+24'!$A:$C,3,0)</f>
        <v>#N/A</v>
      </c>
      <c r="S2320" t="e">
        <f>VLOOKUP(#REF!,'מלאי לא תקין'!A:N,17,0)</f>
        <v>#REF!</v>
      </c>
      <c r="T2320" t="e">
        <f t="shared" si="77"/>
        <v>#REF!</v>
      </c>
      <c r="U2320" t="e">
        <f t="shared" si="78"/>
        <v>#REF!</v>
      </c>
    </row>
    <row r="2321" spans="4:21" x14ac:dyDescent="0.2">
      <c r="D2321" s="4"/>
      <c r="G2321" s="5"/>
      <c r="H2321" s="5"/>
      <c r="I2321" s="4"/>
      <c r="J2321" s="4"/>
      <c r="K2321" s="5"/>
      <c r="Q2321" t="e">
        <f>VLOOKUP(A2321,'גיליון דאטה להכל'!A:E,5,0)</f>
        <v>#N/A</v>
      </c>
      <c r="R2321" t="e">
        <f>VLOOKUP(A2321,'לעדכן בסינתזה דאטה אריזה 42+24'!$A:$C,3,0)</f>
        <v>#N/A</v>
      </c>
      <c r="S2321" t="e">
        <f>VLOOKUP(#REF!,'מלאי לא תקין'!A:N,17,0)</f>
        <v>#REF!</v>
      </c>
      <c r="T2321" t="e">
        <f t="shared" si="77"/>
        <v>#REF!</v>
      </c>
      <c r="U2321" t="e">
        <f t="shared" si="78"/>
        <v>#REF!</v>
      </c>
    </row>
    <row r="2322" spans="4:21" x14ac:dyDescent="0.2">
      <c r="D2322" s="4"/>
      <c r="G2322" s="5"/>
      <c r="H2322" s="5"/>
      <c r="I2322" s="4"/>
      <c r="J2322" s="4"/>
      <c r="K2322" s="5"/>
      <c r="Q2322" t="e">
        <f>VLOOKUP(A2322,'גיליון דאטה להכל'!A:E,5,0)</f>
        <v>#N/A</v>
      </c>
      <c r="R2322" t="e">
        <f>VLOOKUP(A2322,'לעדכן בסינתזה דאטה אריזה 42+24'!$A:$C,3,0)</f>
        <v>#N/A</v>
      </c>
      <c r="S2322" t="e">
        <f>VLOOKUP(#REF!,'מלאי לא תקין'!A:N,17,0)</f>
        <v>#REF!</v>
      </c>
      <c r="T2322" t="e">
        <f t="shared" si="77"/>
        <v>#REF!</v>
      </c>
      <c r="U2322" t="e">
        <f t="shared" si="78"/>
        <v>#REF!</v>
      </c>
    </row>
    <row r="2323" spans="4:21" x14ac:dyDescent="0.2">
      <c r="D2323" s="4"/>
      <c r="G2323" s="5"/>
      <c r="H2323" s="5"/>
      <c r="I2323" s="4"/>
      <c r="J2323" s="4"/>
      <c r="K2323" s="5"/>
      <c r="Q2323" t="e">
        <f>VLOOKUP(A2323,'גיליון דאטה להכל'!A:E,5,0)</f>
        <v>#N/A</v>
      </c>
      <c r="R2323" t="e">
        <f>VLOOKUP(A2323,'לעדכן בסינתזה דאטה אריזה 42+24'!$A:$C,3,0)</f>
        <v>#N/A</v>
      </c>
      <c r="S2323" t="e">
        <f>VLOOKUP(#REF!,'מלאי לא תקין'!A:N,17,0)</f>
        <v>#REF!</v>
      </c>
      <c r="T2323" t="e">
        <f t="shared" si="77"/>
        <v>#REF!</v>
      </c>
      <c r="U2323" t="e">
        <f t="shared" si="78"/>
        <v>#REF!</v>
      </c>
    </row>
    <row r="2324" spans="4:21" x14ac:dyDescent="0.2">
      <c r="D2324" s="4"/>
      <c r="G2324" s="5"/>
      <c r="H2324" s="5"/>
      <c r="I2324" s="4"/>
      <c r="J2324" s="4"/>
      <c r="K2324" s="5"/>
      <c r="Q2324" t="e">
        <f>VLOOKUP(A2324,'גיליון דאטה להכל'!A:E,5,0)</f>
        <v>#N/A</v>
      </c>
      <c r="R2324" t="e">
        <f>VLOOKUP(A2324,'לעדכן בסינתזה דאטה אריזה 42+24'!$A:$C,3,0)</f>
        <v>#N/A</v>
      </c>
      <c r="S2324" t="e">
        <f>VLOOKUP(#REF!,'מלאי לא תקין'!A:N,17,0)</f>
        <v>#REF!</v>
      </c>
      <c r="T2324" t="e">
        <f t="shared" si="77"/>
        <v>#REF!</v>
      </c>
      <c r="U2324" t="e">
        <f t="shared" si="78"/>
        <v>#REF!</v>
      </c>
    </row>
    <row r="2325" spans="4:21" x14ac:dyDescent="0.2">
      <c r="D2325" s="4"/>
      <c r="G2325" s="5"/>
      <c r="H2325" s="7"/>
      <c r="I2325" s="4"/>
      <c r="J2325" s="4"/>
      <c r="K2325" s="5"/>
      <c r="Q2325" t="e">
        <f>VLOOKUP(A2325,'גיליון דאטה להכל'!A:E,5,0)</f>
        <v>#N/A</v>
      </c>
      <c r="R2325" t="e">
        <f>VLOOKUP(A2325,'לעדכן בסינתזה דאטה אריזה 42+24'!$A:$C,3,0)</f>
        <v>#N/A</v>
      </c>
      <c r="S2325" t="e">
        <f>VLOOKUP(#REF!,'מלאי לא תקין'!A:N,17,0)</f>
        <v>#REF!</v>
      </c>
      <c r="T2325" t="e">
        <f t="shared" si="77"/>
        <v>#REF!</v>
      </c>
      <c r="U2325" t="e">
        <f t="shared" si="78"/>
        <v>#REF!</v>
      </c>
    </row>
    <row r="2326" spans="4:21" x14ac:dyDescent="0.2">
      <c r="D2326" s="4"/>
      <c r="G2326" s="5"/>
      <c r="H2326" s="5"/>
      <c r="I2326" s="4"/>
      <c r="J2326" s="4"/>
      <c r="K2326" s="5"/>
      <c r="Q2326" t="e">
        <f>VLOOKUP(A2326,'גיליון דאטה להכל'!A:E,5,0)</f>
        <v>#N/A</v>
      </c>
      <c r="R2326" t="e">
        <f>VLOOKUP(A2326,'לעדכן בסינתזה דאטה אריזה 42+24'!$A:$C,3,0)</f>
        <v>#N/A</v>
      </c>
      <c r="S2326" t="e">
        <f>VLOOKUP(#REF!,'מלאי לא תקין'!A:N,17,0)</f>
        <v>#REF!</v>
      </c>
      <c r="T2326" t="e">
        <f t="shared" si="77"/>
        <v>#REF!</v>
      </c>
      <c r="U2326" t="e">
        <f t="shared" si="78"/>
        <v>#REF!</v>
      </c>
    </row>
    <row r="2327" spans="4:21" x14ac:dyDescent="0.2">
      <c r="D2327" s="4"/>
      <c r="G2327" s="5"/>
      <c r="H2327" s="5"/>
      <c r="I2327" s="4"/>
      <c r="J2327" s="4"/>
      <c r="K2327" s="5"/>
      <c r="Q2327" t="e">
        <f>VLOOKUP(A2327,'גיליון דאטה להכל'!A:E,5,0)</f>
        <v>#N/A</v>
      </c>
      <c r="R2327" t="e">
        <f>VLOOKUP(A2327,'לעדכן בסינתזה דאטה אריזה 42+24'!$A:$C,3,0)</f>
        <v>#N/A</v>
      </c>
      <c r="S2327" t="e">
        <f>VLOOKUP(#REF!,'מלאי לא תקין'!A:N,17,0)</f>
        <v>#REF!</v>
      </c>
      <c r="T2327" t="e">
        <f t="shared" si="77"/>
        <v>#REF!</v>
      </c>
      <c r="U2327" t="e">
        <f t="shared" si="78"/>
        <v>#REF!</v>
      </c>
    </row>
    <row r="2328" spans="4:21" x14ac:dyDescent="0.2">
      <c r="D2328" s="4"/>
      <c r="G2328" s="5"/>
      <c r="H2328" s="5"/>
      <c r="I2328" s="4"/>
      <c r="J2328" s="4"/>
      <c r="K2328" s="5"/>
      <c r="Q2328" t="e">
        <f>VLOOKUP(A2328,'גיליון דאטה להכל'!A:E,5,0)</f>
        <v>#N/A</v>
      </c>
      <c r="R2328" t="e">
        <f>VLOOKUP(A2328,'לעדכן בסינתזה דאטה אריזה 42+24'!$A:$C,3,0)</f>
        <v>#N/A</v>
      </c>
      <c r="S2328" t="e">
        <f>VLOOKUP(#REF!,'מלאי לא תקין'!A:N,17,0)</f>
        <v>#REF!</v>
      </c>
      <c r="T2328" t="e">
        <f t="shared" si="77"/>
        <v>#REF!</v>
      </c>
      <c r="U2328" t="e">
        <f t="shared" si="78"/>
        <v>#REF!</v>
      </c>
    </row>
    <row r="2329" spans="4:21" x14ac:dyDescent="0.2">
      <c r="D2329" s="4"/>
      <c r="G2329" s="5"/>
      <c r="H2329" s="5"/>
      <c r="I2329" s="4"/>
      <c r="J2329" s="4"/>
      <c r="K2329" s="5"/>
      <c r="Q2329" t="e">
        <f>VLOOKUP(A2329,'גיליון דאטה להכל'!A:E,5,0)</f>
        <v>#N/A</v>
      </c>
      <c r="R2329" t="e">
        <f>VLOOKUP(A2329,'לעדכן בסינתזה דאטה אריזה 42+24'!$A:$C,3,0)</f>
        <v>#N/A</v>
      </c>
      <c r="S2329" t="e">
        <f>VLOOKUP(#REF!,'מלאי לא תקין'!A:N,17,0)</f>
        <v>#REF!</v>
      </c>
      <c r="T2329" t="e">
        <f t="shared" si="77"/>
        <v>#REF!</v>
      </c>
      <c r="U2329" t="e">
        <f t="shared" si="78"/>
        <v>#REF!</v>
      </c>
    </row>
    <row r="2330" spans="4:21" x14ac:dyDescent="0.2">
      <c r="D2330" s="4"/>
      <c r="G2330" s="5"/>
      <c r="H2330" s="7"/>
      <c r="I2330" s="4"/>
      <c r="J2330" s="4"/>
      <c r="K2330" s="5"/>
      <c r="Q2330" t="e">
        <f>VLOOKUP(A2330,'גיליון דאטה להכל'!A:E,5,0)</f>
        <v>#N/A</v>
      </c>
      <c r="R2330" t="e">
        <f>VLOOKUP(A2330,'לעדכן בסינתזה דאטה אריזה 42+24'!$A:$C,3,0)</f>
        <v>#N/A</v>
      </c>
      <c r="S2330" t="e">
        <f>VLOOKUP(#REF!,'מלאי לא תקין'!A:N,17,0)</f>
        <v>#REF!</v>
      </c>
      <c r="T2330" t="e">
        <f t="shared" si="77"/>
        <v>#REF!</v>
      </c>
      <c r="U2330" t="e">
        <f t="shared" si="78"/>
        <v>#REF!</v>
      </c>
    </row>
    <row r="2331" spans="4:21" x14ac:dyDescent="0.2">
      <c r="D2331" s="4"/>
      <c r="G2331" s="5"/>
      <c r="H2331" s="5"/>
      <c r="I2331" s="4"/>
      <c r="J2331" s="4"/>
      <c r="K2331" s="5"/>
      <c r="Q2331" t="e">
        <f>VLOOKUP(A2331,'גיליון דאטה להכל'!A:E,5,0)</f>
        <v>#N/A</v>
      </c>
      <c r="R2331" t="e">
        <f>VLOOKUP(A2331,'לעדכן בסינתזה דאטה אריזה 42+24'!$A:$C,3,0)</f>
        <v>#N/A</v>
      </c>
      <c r="S2331" t="e">
        <f>VLOOKUP(#REF!,'מלאי לא תקין'!A:N,17,0)</f>
        <v>#REF!</v>
      </c>
      <c r="T2331" t="e">
        <f t="shared" si="77"/>
        <v>#REF!</v>
      </c>
      <c r="U2331" t="e">
        <f t="shared" si="78"/>
        <v>#REF!</v>
      </c>
    </row>
    <row r="2332" spans="4:21" x14ac:dyDescent="0.2">
      <c r="D2332" s="4"/>
      <c r="G2332" s="5"/>
      <c r="H2332" s="5"/>
      <c r="I2332" s="4"/>
      <c r="J2332" s="4"/>
      <c r="K2332" s="5"/>
      <c r="Q2332" t="e">
        <f>VLOOKUP(A2332,'גיליון דאטה להכל'!A:E,5,0)</f>
        <v>#N/A</v>
      </c>
      <c r="R2332" t="e">
        <f>VLOOKUP(A2332,'לעדכן בסינתזה דאטה אריזה 42+24'!$A:$C,3,0)</f>
        <v>#N/A</v>
      </c>
      <c r="S2332" t="e">
        <f>VLOOKUP(#REF!,'מלאי לא תקין'!A:N,17,0)</f>
        <v>#REF!</v>
      </c>
      <c r="T2332" t="e">
        <f t="shared" si="77"/>
        <v>#REF!</v>
      </c>
      <c r="U2332" t="e">
        <f t="shared" si="78"/>
        <v>#REF!</v>
      </c>
    </row>
    <row r="2333" spans="4:21" x14ac:dyDescent="0.2">
      <c r="D2333" s="4"/>
      <c r="G2333" s="5"/>
      <c r="H2333" s="5"/>
      <c r="I2333" s="4"/>
      <c r="J2333" s="4"/>
      <c r="K2333" s="5"/>
      <c r="Q2333" t="e">
        <f>VLOOKUP(A2333,'גיליון דאטה להכל'!A:E,5,0)</f>
        <v>#N/A</v>
      </c>
      <c r="R2333" t="e">
        <f>VLOOKUP(A2333,'לעדכן בסינתזה דאטה אריזה 42+24'!$A:$C,3,0)</f>
        <v>#N/A</v>
      </c>
      <c r="S2333" t="e">
        <f>VLOOKUP(#REF!,'מלאי לא תקין'!A:N,17,0)</f>
        <v>#REF!</v>
      </c>
      <c r="T2333" t="e">
        <f t="shared" si="77"/>
        <v>#REF!</v>
      </c>
      <c r="U2333" t="e">
        <f t="shared" si="78"/>
        <v>#REF!</v>
      </c>
    </row>
    <row r="2334" spans="4:21" x14ac:dyDescent="0.2">
      <c r="D2334" s="4"/>
      <c r="G2334" s="5"/>
      <c r="H2334" s="5"/>
      <c r="I2334" s="4"/>
      <c r="J2334" s="4"/>
      <c r="K2334" s="5"/>
      <c r="Q2334" t="e">
        <f>VLOOKUP(A2334,'גיליון דאטה להכל'!A:E,5,0)</f>
        <v>#N/A</v>
      </c>
      <c r="R2334" t="e">
        <f>VLOOKUP(A2334,'לעדכן בסינתזה דאטה אריזה 42+24'!$A:$C,3,0)</f>
        <v>#N/A</v>
      </c>
      <c r="S2334" t="e">
        <f>VLOOKUP(#REF!,'מלאי לא תקין'!A:N,17,0)</f>
        <v>#REF!</v>
      </c>
      <c r="T2334" t="e">
        <f t="shared" si="77"/>
        <v>#REF!</v>
      </c>
      <c r="U2334" t="e">
        <f t="shared" si="78"/>
        <v>#REF!</v>
      </c>
    </row>
    <row r="2335" spans="4:21" x14ac:dyDescent="0.2">
      <c r="D2335" s="4"/>
      <c r="G2335" s="5"/>
      <c r="H2335" s="7"/>
      <c r="I2335" s="4"/>
      <c r="J2335" s="4"/>
      <c r="K2335" s="5"/>
      <c r="Q2335" t="e">
        <f>VLOOKUP(A2335,'גיליון דאטה להכל'!A:E,5,0)</f>
        <v>#N/A</v>
      </c>
      <c r="R2335" t="e">
        <f>VLOOKUP(A2335,'לעדכן בסינתזה דאטה אריזה 42+24'!$A:$C,3,0)</f>
        <v>#N/A</v>
      </c>
      <c r="S2335" t="e">
        <f>VLOOKUP(#REF!,'מלאי לא תקין'!A:N,17,0)</f>
        <v>#REF!</v>
      </c>
      <c r="T2335" t="e">
        <f t="shared" si="77"/>
        <v>#REF!</v>
      </c>
      <c r="U2335" t="e">
        <f t="shared" si="78"/>
        <v>#REF!</v>
      </c>
    </row>
    <row r="2336" spans="4:21" x14ac:dyDescent="0.2">
      <c r="D2336" s="4"/>
      <c r="G2336" s="5"/>
      <c r="H2336" s="5"/>
      <c r="I2336" s="4"/>
      <c r="J2336" s="4"/>
      <c r="K2336" s="5"/>
      <c r="Q2336" t="e">
        <f>VLOOKUP(A2336,'גיליון דאטה להכל'!A:E,5,0)</f>
        <v>#N/A</v>
      </c>
      <c r="R2336" t="e">
        <f>VLOOKUP(A2336,'לעדכן בסינתזה דאטה אריזה 42+24'!$A:$C,3,0)</f>
        <v>#N/A</v>
      </c>
      <c r="S2336" t="e">
        <f>VLOOKUP(#REF!,'מלאי לא תקין'!A:N,17,0)</f>
        <v>#REF!</v>
      </c>
      <c r="T2336" t="e">
        <f t="shared" si="77"/>
        <v>#REF!</v>
      </c>
      <c r="U2336" t="e">
        <f t="shared" si="78"/>
        <v>#REF!</v>
      </c>
    </row>
    <row r="2337" spans="4:21" x14ac:dyDescent="0.2">
      <c r="D2337" s="4"/>
      <c r="G2337" s="5"/>
      <c r="H2337" s="5"/>
      <c r="I2337" s="4"/>
      <c r="J2337" s="4"/>
      <c r="K2337" s="5"/>
      <c r="Q2337" t="e">
        <f>VLOOKUP(A2337,'גיליון דאטה להכל'!A:E,5,0)</f>
        <v>#N/A</v>
      </c>
      <c r="R2337" t="e">
        <f>VLOOKUP(A2337,'לעדכן בסינתזה דאטה אריזה 42+24'!$A:$C,3,0)</f>
        <v>#N/A</v>
      </c>
      <c r="S2337" t="e">
        <f>VLOOKUP(#REF!,'מלאי לא תקין'!A:N,17,0)</f>
        <v>#REF!</v>
      </c>
      <c r="T2337" t="e">
        <f t="shared" si="77"/>
        <v>#REF!</v>
      </c>
      <c r="U2337" t="e">
        <f t="shared" si="78"/>
        <v>#REF!</v>
      </c>
    </row>
    <row r="2338" spans="4:21" x14ac:dyDescent="0.2">
      <c r="D2338" s="4"/>
      <c r="G2338" s="5"/>
      <c r="H2338" s="5"/>
      <c r="I2338" s="4"/>
      <c r="J2338" s="4"/>
      <c r="K2338" s="5"/>
      <c r="Q2338" t="e">
        <f>VLOOKUP(A2338,'גיליון דאטה להכל'!A:E,5,0)</f>
        <v>#N/A</v>
      </c>
      <c r="R2338" t="e">
        <f>VLOOKUP(A2338,'לעדכן בסינתזה דאטה אריזה 42+24'!$A:$C,3,0)</f>
        <v>#N/A</v>
      </c>
      <c r="S2338" t="e">
        <f>VLOOKUP(#REF!,'מלאי לא תקין'!A:N,17,0)</f>
        <v>#REF!</v>
      </c>
      <c r="T2338" t="e">
        <f t="shared" si="77"/>
        <v>#REF!</v>
      </c>
      <c r="U2338" t="e">
        <f t="shared" si="78"/>
        <v>#REF!</v>
      </c>
    </row>
    <row r="2339" spans="4:21" x14ac:dyDescent="0.2">
      <c r="D2339" s="4"/>
      <c r="G2339" s="5"/>
      <c r="H2339" s="5"/>
      <c r="I2339" s="4"/>
      <c r="J2339" s="4"/>
      <c r="K2339" s="5"/>
      <c r="Q2339" t="e">
        <f>VLOOKUP(A2339,'גיליון דאטה להכל'!A:E,5,0)</f>
        <v>#N/A</v>
      </c>
      <c r="R2339" t="e">
        <f>VLOOKUP(A2339,'לעדכן בסינתזה דאטה אריזה 42+24'!$A:$C,3,0)</f>
        <v>#N/A</v>
      </c>
      <c r="S2339" t="e">
        <f>VLOOKUP(#REF!,'מלאי לא תקין'!A:N,17,0)</f>
        <v>#REF!</v>
      </c>
      <c r="T2339" t="e">
        <f t="shared" si="77"/>
        <v>#REF!</v>
      </c>
      <c r="U2339" t="e">
        <f t="shared" si="78"/>
        <v>#REF!</v>
      </c>
    </row>
    <row r="2340" spans="4:21" x14ac:dyDescent="0.2">
      <c r="D2340" s="4"/>
      <c r="G2340" s="5"/>
      <c r="H2340" s="7"/>
      <c r="I2340" s="4"/>
      <c r="J2340" s="4"/>
      <c r="K2340" s="5"/>
      <c r="Q2340" t="e">
        <f>VLOOKUP(A2340,'גיליון דאטה להכל'!A:E,5,0)</f>
        <v>#N/A</v>
      </c>
      <c r="R2340" t="e">
        <f>VLOOKUP(A2340,'לעדכן בסינתזה דאטה אריזה 42+24'!$A:$C,3,0)</f>
        <v>#N/A</v>
      </c>
      <c r="S2340" t="e">
        <f>VLOOKUP(#REF!,'מלאי לא תקין'!A:N,17,0)</f>
        <v>#REF!</v>
      </c>
      <c r="T2340" t="e">
        <f t="shared" si="77"/>
        <v>#REF!</v>
      </c>
      <c r="U2340" t="e">
        <f t="shared" si="78"/>
        <v>#REF!</v>
      </c>
    </row>
    <row r="2341" spans="4:21" x14ac:dyDescent="0.2">
      <c r="D2341" s="4"/>
      <c r="G2341" s="5"/>
      <c r="H2341" s="5"/>
      <c r="I2341" s="4"/>
      <c r="J2341" s="4"/>
      <c r="K2341" s="5"/>
      <c r="Q2341" t="e">
        <f>VLOOKUP(A2341,'גיליון דאטה להכל'!A:E,5,0)</f>
        <v>#N/A</v>
      </c>
      <c r="R2341" t="e">
        <f>VLOOKUP(A2341,'לעדכן בסינתזה דאטה אריזה 42+24'!$A:$C,3,0)</f>
        <v>#N/A</v>
      </c>
      <c r="S2341" t="e">
        <f>VLOOKUP(#REF!,'מלאי לא תקין'!A:N,17,0)</f>
        <v>#REF!</v>
      </c>
      <c r="T2341" t="e">
        <f t="shared" si="77"/>
        <v>#REF!</v>
      </c>
      <c r="U2341" t="e">
        <f t="shared" si="78"/>
        <v>#REF!</v>
      </c>
    </row>
    <row r="2342" spans="4:21" x14ac:dyDescent="0.2">
      <c r="D2342" s="4"/>
      <c r="G2342" s="5"/>
      <c r="H2342" s="5"/>
      <c r="I2342" s="4"/>
      <c r="J2342" s="4"/>
      <c r="K2342" s="5"/>
      <c r="Q2342" t="e">
        <f>VLOOKUP(A2342,'גיליון דאטה להכל'!A:E,5,0)</f>
        <v>#N/A</v>
      </c>
      <c r="R2342" t="e">
        <f>VLOOKUP(A2342,'לעדכן בסינתזה דאטה אריזה 42+24'!$A:$C,3,0)</f>
        <v>#N/A</v>
      </c>
      <c r="S2342" t="e">
        <f>VLOOKUP(#REF!,'מלאי לא תקין'!A:N,17,0)</f>
        <v>#REF!</v>
      </c>
      <c r="T2342" t="e">
        <f t="shared" si="77"/>
        <v>#REF!</v>
      </c>
      <c r="U2342" t="e">
        <f t="shared" si="78"/>
        <v>#REF!</v>
      </c>
    </row>
    <row r="2343" spans="4:21" x14ac:dyDescent="0.2">
      <c r="D2343" s="4"/>
      <c r="G2343" s="5"/>
      <c r="H2343" s="5"/>
      <c r="I2343" s="4"/>
      <c r="J2343" s="4"/>
      <c r="K2343" s="5"/>
      <c r="Q2343" t="e">
        <f>VLOOKUP(A2343,'גיליון דאטה להכל'!A:E,5,0)</f>
        <v>#N/A</v>
      </c>
      <c r="R2343" t="e">
        <f>VLOOKUP(A2343,'לעדכן בסינתזה דאטה אריזה 42+24'!$A:$C,3,0)</f>
        <v>#N/A</v>
      </c>
      <c r="S2343" t="e">
        <f>VLOOKUP(#REF!,'מלאי לא תקין'!A:N,17,0)</f>
        <v>#REF!</v>
      </c>
      <c r="T2343" t="e">
        <f t="shared" si="77"/>
        <v>#REF!</v>
      </c>
      <c r="U2343" t="e">
        <f t="shared" si="78"/>
        <v>#REF!</v>
      </c>
    </row>
    <row r="2344" spans="4:21" x14ac:dyDescent="0.2">
      <c r="D2344" s="4"/>
      <c r="G2344" s="5"/>
      <c r="H2344" s="5"/>
      <c r="I2344" s="4"/>
      <c r="J2344" s="4"/>
      <c r="K2344" s="5"/>
      <c r="Q2344" t="e">
        <f>VLOOKUP(A2344,'גיליון דאטה להכל'!A:E,5,0)</f>
        <v>#N/A</v>
      </c>
      <c r="R2344" t="e">
        <f>VLOOKUP(A2344,'לעדכן בסינתזה דאטה אריזה 42+24'!$A:$C,3,0)</f>
        <v>#N/A</v>
      </c>
      <c r="S2344" t="e">
        <f>VLOOKUP(#REF!,'מלאי לא תקין'!A:N,17,0)</f>
        <v>#REF!</v>
      </c>
      <c r="T2344" t="e">
        <f t="shared" si="77"/>
        <v>#REF!</v>
      </c>
      <c r="U2344" t="e">
        <f t="shared" si="78"/>
        <v>#REF!</v>
      </c>
    </row>
    <row r="2345" spans="4:21" x14ac:dyDescent="0.2">
      <c r="D2345" s="4"/>
      <c r="G2345" s="5"/>
      <c r="H2345" s="7"/>
      <c r="I2345" s="4"/>
      <c r="J2345" s="4"/>
      <c r="K2345" s="5"/>
      <c r="Q2345" t="e">
        <f>VLOOKUP(A2345,'גיליון דאטה להכל'!A:E,5,0)</f>
        <v>#N/A</v>
      </c>
      <c r="R2345" t="e">
        <f>VLOOKUP(A2345,'לעדכן בסינתזה דאטה אריזה 42+24'!$A:$C,3,0)</f>
        <v>#N/A</v>
      </c>
      <c r="S2345" t="e">
        <f>VLOOKUP(#REF!,'מלאי לא תקין'!A:N,17,0)</f>
        <v>#REF!</v>
      </c>
      <c r="T2345" t="e">
        <f t="shared" si="77"/>
        <v>#REF!</v>
      </c>
      <c r="U2345" t="e">
        <f t="shared" si="78"/>
        <v>#REF!</v>
      </c>
    </row>
    <row r="2346" spans="4:21" x14ac:dyDescent="0.2">
      <c r="D2346" s="4"/>
      <c r="G2346" s="5"/>
      <c r="H2346" s="5"/>
      <c r="I2346" s="4"/>
      <c r="J2346" s="4"/>
      <c r="K2346" s="5"/>
      <c r="Q2346" t="e">
        <f>VLOOKUP(A2346,'גיליון דאטה להכל'!A:E,5,0)</f>
        <v>#N/A</v>
      </c>
      <c r="R2346" t="e">
        <f>VLOOKUP(A2346,'לעדכן בסינתזה דאטה אריזה 42+24'!$A:$C,3,0)</f>
        <v>#N/A</v>
      </c>
      <c r="S2346" t="e">
        <f>VLOOKUP(#REF!,'מלאי לא תקין'!A:N,17,0)</f>
        <v>#REF!</v>
      </c>
      <c r="T2346" t="e">
        <f t="shared" si="77"/>
        <v>#REF!</v>
      </c>
      <c r="U2346" t="e">
        <f t="shared" si="78"/>
        <v>#REF!</v>
      </c>
    </row>
    <row r="2347" spans="4:21" x14ac:dyDescent="0.2">
      <c r="D2347" s="4"/>
      <c r="G2347" s="5"/>
      <c r="H2347" s="5"/>
      <c r="I2347" s="4"/>
      <c r="J2347" s="4"/>
      <c r="K2347" s="5"/>
      <c r="Q2347" t="e">
        <f>VLOOKUP(A2347,'גיליון דאטה להכל'!A:E,5,0)</f>
        <v>#N/A</v>
      </c>
      <c r="R2347" t="e">
        <f>VLOOKUP(A2347,'לעדכן בסינתזה דאטה אריזה 42+24'!$A:$C,3,0)</f>
        <v>#N/A</v>
      </c>
      <c r="S2347" t="e">
        <f>VLOOKUP(#REF!,'מלאי לא תקין'!A:N,17,0)</f>
        <v>#REF!</v>
      </c>
      <c r="T2347" t="e">
        <f t="shared" si="77"/>
        <v>#REF!</v>
      </c>
      <c r="U2347" t="e">
        <f t="shared" si="78"/>
        <v>#REF!</v>
      </c>
    </row>
    <row r="2348" spans="4:21" x14ac:dyDescent="0.2">
      <c r="D2348" s="4"/>
      <c r="G2348" s="5"/>
      <c r="H2348" s="5"/>
      <c r="I2348" s="4"/>
      <c r="J2348" s="4"/>
      <c r="K2348" s="5"/>
      <c r="Q2348" t="e">
        <f>VLOOKUP(A2348,'גיליון דאטה להכל'!A:E,5,0)</f>
        <v>#N/A</v>
      </c>
      <c r="R2348" t="e">
        <f>VLOOKUP(A2348,'לעדכן בסינתזה דאטה אריזה 42+24'!$A:$C,3,0)</f>
        <v>#N/A</v>
      </c>
      <c r="S2348" t="e">
        <f>VLOOKUP(#REF!,'מלאי לא תקין'!A:N,17,0)</f>
        <v>#REF!</v>
      </c>
      <c r="T2348" t="e">
        <f t="shared" si="77"/>
        <v>#REF!</v>
      </c>
      <c r="U2348" t="e">
        <f t="shared" si="78"/>
        <v>#REF!</v>
      </c>
    </row>
    <row r="2349" spans="4:21" x14ac:dyDescent="0.2">
      <c r="D2349" s="4"/>
      <c r="G2349" s="5"/>
      <c r="H2349" s="5"/>
      <c r="I2349" s="4"/>
      <c r="J2349" s="4"/>
      <c r="K2349" s="5"/>
      <c r="Q2349" t="e">
        <f>VLOOKUP(A2349,'גיליון דאטה להכל'!A:E,5,0)</f>
        <v>#N/A</v>
      </c>
      <c r="R2349" t="e">
        <f>VLOOKUP(A2349,'לעדכן בסינתזה דאטה אריזה 42+24'!$A:$C,3,0)</f>
        <v>#N/A</v>
      </c>
      <c r="S2349" t="e">
        <f>VLOOKUP(#REF!,'מלאי לא תקין'!A:N,17,0)</f>
        <v>#REF!</v>
      </c>
      <c r="T2349" t="e">
        <f t="shared" si="77"/>
        <v>#REF!</v>
      </c>
      <c r="U2349" t="e">
        <f t="shared" si="78"/>
        <v>#REF!</v>
      </c>
    </row>
    <row r="2350" spans="4:21" x14ac:dyDescent="0.2">
      <c r="D2350" s="4"/>
      <c r="G2350" s="5"/>
      <c r="H2350" s="7"/>
      <c r="I2350" s="4"/>
      <c r="J2350" s="4"/>
      <c r="K2350" s="5"/>
      <c r="Q2350" t="e">
        <f>VLOOKUP(A2350,'גיליון דאטה להכל'!A:E,5,0)</f>
        <v>#N/A</v>
      </c>
      <c r="R2350" t="e">
        <f>VLOOKUP(A2350,'לעדכן בסינתזה דאטה אריזה 42+24'!$A:$C,3,0)</f>
        <v>#N/A</v>
      </c>
      <c r="S2350" t="e">
        <f>VLOOKUP(#REF!,'מלאי לא תקין'!A:N,17,0)</f>
        <v>#REF!</v>
      </c>
      <c r="T2350" t="e">
        <f t="shared" si="77"/>
        <v>#REF!</v>
      </c>
      <c r="U2350" t="e">
        <f t="shared" si="78"/>
        <v>#REF!</v>
      </c>
    </row>
    <row r="2351" spans="4:21" x14ac:dyDescent="0.2">
      <c r="D2351" s="4"/>
      <c r="G2351" s="5"/>
      <c r="H2351" s="5"/>
      <c r="I2351" s="4"/>
      <c r="J2351" s="4"/>
      <c r="K2351" s="5"/>
      <c r="Q2351" t="e">
        <f>VLOOKUP(A2351,'גיליון דאטה להכל'!A:E,5,0)</f>
        <v>#N/A</v>
      </c>
      <c r="R2351" t="e">
        <f>VLOOKUP(A2351,'לעדכן בסינתזה דאטה אריזה 42+24'!$A:$C,3,0)</f>
        <v>#N/A</v>
      </c>
      <c r="S2351" t="e">
        <f>VLOOKUP(#REF!,'מלאי לא תקין'!A:N,17,0)</f>
        <v>#REF!</v>
      </c>
      <c r="T2351" t="e">
        <f t="shared" si="77"/>
        <v>#REF!</v>
      </c>
      <c r="U2351" t="e">
        <f t="shared" si="78"/>
        <v>#REF!</v>
      </c>
    </row>
    <row r="2352" spans="4:21" x14ac:dyDescent="0.2">
      <c r="D2352" s="4"/>
      <c r="G2352" s="5"/>
      <c r="H2352" s="5"/>
      <c r="I2352" s="4"/>
      <c r="J2352" s="4"/>
      <c r="K2352" s="5"/>
      <c r="Q2352" t="e">
        <f>VLOOKUP(A2352,'גיליון דאטה להכל'!A:E,5,0)</f>
        <v>#N/A</v>
      </c>
      <c r="R2352" t="e">
        <f>VLOOKUP(A2352,'לעדכן בסינתזה דאטה אריזה 42+24'!$A:$C,3,0)</f>
        <v>#N/A</v>
      </c>
      <c r="S2352" t="e">
        <f>VLOOKUP(#REF!,'מלאי לא תקין'!A:N,17,0)</f>
        <v>#REF!</v>
      </c>
      <c r="T2352" t="e">
        <f t="shared" si="77"/>
        <v>#REF!</v>
      </c>
      <c r="U2352" t="e">
        <f t="shared" si="78"/>
        <v>#REF!</v>
      </c>
    </row>
    <row r="2353" spans="4:21" x14ac:dyDescent="0.2">
      <c r="D2353" s="4"/>
      <c r="G2353" s="5"/>
      <c r="H2353" s="5"/>
      <c r="I2353" s="4"/>
      <c r="J2353" s="4"/>
      <c r="K2353" s="5"/>
      <c r="Q2353" t="e">
        <f>VLOOKUP(A2353,'גיליון דאטה להכל'!A:E,5,0)</f>
        <v>#N/A</v>
      </c>
      <c r="R2353" t="e">
        <f>VLOOKUP(A2353,'לעדכן בסינתזה דאטה אריזה 42+24'!$A:$C,3,0)</f>
        <v>#N/A</v>
      </c>
      <c r="S2353" t="e">
        <f>VLOOKUP(#REF!,'מלאי לא תקין'!A:N,17,0)</f>
        <v>#REF!</v>
      </c>
      <c r="T2353" t="e">
        <f t="shared" si="77"/>
        <v>#REF!</v>
      </c>
      <c r="U2353" t="e">
        <f t="shared" si="78"/>
        <v>#REF!</v>
      </c>
    </row>
    <row r="2354" spans="4:21" x14ac:dyDescent="0.2">
      <c r="D2354" s="4"/>
      <c r="G2354" s="5"/>
      <c r="H2354" s="5"/>
      <c r="I2354" s="4"/>
      <c r="J2354" s="4"/>
      <c r="K2354" s="5"/>
      <c r="Q2354" t="e">
        <f>VLOOKUP(A2354,'גיליון דאטה להכל'!A:E,5,0)</f>
        <v>#N/A</v>
      </c>
      <c r="R2354" t="e">
        <f>VLOOKUP(A2354,'לעדכן בסינתזה דאטה אריזה 42+24'!$A:$C,3,0)</f>
        <v>#N/A</v>
      </c>
      <c r="S2354" t="e">
        <f>VLOOKUP(#REF!,'מלאי לא תקין'!A:N,17,0)</f>
        <v>#REF!</v>
      </c>
      <c r="T2354" t="e">
        <f t="shared" si="77"/>
        <v>#REF!</v>
      </c>
      <c r="U2354" t="e">
        <f t="shared" si="78"/>
        <v>#REF!</v>
      </c>
    </row>
    <row r="2355" spans="4:21" x14ac:dyDescent="0.2">
      <c r="D2355" s="4"/>
      <c r="G2355" s="5"/>
      <c r="H2355" s="7"/>
      <c r="I2355" s="4"/>
      <c r="J2355" s="4"/>
      <c r="K2355" s="5"/>
      <c r="Q2355" t="e">
        <f>VLOOKUP(A2355,'גיליון דאטה להכל'!A:E,5,0)</f>
        <v>#N/A</v>
      </c>
      <c r="R2355" t="e">
        <f>VLOOKUP(A2355,'לעדכן בסינתזה דאטה אריזה 42+24'!$A:$C,3,0)</f>
        <v>#N/A</v>
      </c>
      <c r="S2355" t="e">
        <f>VLOOKUP(#REF!,'מלאי לא תקין'!A:N,17,0)</f>
        <v>#REF!</v>
      </c>
      <c r="T2355" t="e">
        <f t="shared" si="77"/>
        <v>#REF!</v>
      </c>
      <c r="U2355" t="e">
        <f t="shared" si="78"/>
        <v>#REF!</v>
      </c>
    </row>
    <row r="2356" spans="4:21" x14ac:dyDescent="0.2">
      <c r="D2356" s="4"/>
      <c r="G2356" s="5"/>
      <c r="H2356" s="5"/>
      <c r="I2356" s="4"/>
      <c r="J2356" s="4"/>
      <c r="K2356" s="5"/>
      <c r="Q2356" t="e">
        <f>VLOOKUP(A2356,'גיליון דאטה להכל'!A:E,5,0)</f>
        <v>#N/A</v>
      </c>
      <c r="R2356" t="e">
        <f>VLOOKUP(A2356,'לעדכן בסינתזה דאטה אריזה 42+24'!$A:$C,3,0)</f>
        <v>#N/A</v>
      </c>
      <c r="S2356" t="e">
        <f>VLOOKUP(#REF!,'מלאי לא תקין'!A:N,17,0)</f>
        <v>#REF!</v>
      </c>
      <c r="T2356" t="e">
        <f t="shared" si="77"/>
        <v>#REF!</v>
      </c>
      <c r="U2356" t="e">
        <f t="shared" si="78"/>
        <v>#REF!</v>
      </c>
    </row>
    <row r="2357" spans="4:21" x14ac:dyDescent="0.2">
      <c r="D2357" s="4"/>
      <c r="G2357" s="5"/>
      <c r="H2357" s="5"/>
      <c r="I2357" s="4"/>
      <c r="J2357" s="4"/>
      <c r="K2357" s="5"/>
      <c r="Q2357" t="e">
        <f>VLOOKUP(A2357,'גיליון דאטה להכל'!A:E,5,0)</f>
        <v>#N/A</v>
      </c>
      <c r="R2357" t="e">
        <f>VLOOKUP(A2357,'לעדכן בסינתזה דאטה אריזה 42+24'!$A:$C,3,0)</f>
        <v>#N/A</v>
      </c>
      <c r="S2357" t="e">
        <f>VLOOKUP(#REF!,'מלאי לא תקין'!A:N,17,0)</f>
        <v>#REF!</v>
      </c>
      <c r="T2357" t="e">
        <f t="shared" si="77"/>
        <v>#REF!</v>
      </c>
      <c r="U2357" t="e">
        <f t="shared" si="78"/>
        <v>#REF!</v>
      </c>
    </row>
    <row r="2358" spans="4:21" x14ac:dyDescent="0.2">
      <c r="D2358" s="4"/>
      <c r="G2358" s="5"/>
      <c r="H2358" s="5"/>
      <c r="I2358" s="4"/>
      <c r="J2358" s="4"/>
      <c r="K2358" s="5"/>
      <c r="Q2358" t="e">
        <f>VLOOKUP(A2358,'גיליון דאטה להכל'!A:E,5,0)</f>
        <v>#N/A</v>
      </c>
      <c r="R2358" t="e">
        <f>VLOOKUP(A2358,'לעדכן בסינתזה דאטה אריזה 42+24'!$A:$C,3,0)</f>
        <v>#N/A</v>
      </c>
      <c r="S2358" t="e">
        <f>VLOOKUP(#REF!,'מלאי לא תקין'!A:N,17,0)</f>
        <v>#REF!</v>
      </c>
      <c r="T2358" t="e">
        <f t="shared" si="77"/>
        <v>#REF!</v>
      </c>
      <c r="U2358" t="e">
        <f t="shared" si="78"/>
        <v>#REF!</v>
      </c>
    </row>
    <row r="2359" spans="4:21" x14ac:dyDescent="0.2">
      <c r="D2359" s="4"/>
      <c r="G2359" s="5"/>
      <c r="H2359" s="5"/>
      <c r="I2359" s="4"/>
      <c r="J2359" s="4"/>
      <c r="K2359" s="5"/>
      <c r="Q2359" t="e">
        <f>VLOOKUP(A2359,'גיליון דאטה להכל'!A:E,5,0)</f>
        <v>#N/A</v>
      </c>
      <c r="R2359" t="e">
        <f>VLOOKUP(A2359,'לעדכן בסינתזה דאטה אריזה 42+24'!$A:$C,3,0)</f>
        <v>#N/A</v>
      </c>
      <c r="S2359" t="e">
        <f>VLOOKUP(#REF!,'מלאי לא תקין'!A:N,17,0)</f>
        <v>#REF!</v>
      </c>
      <c r="T2359" t="e">
        <f t="shared" si="77"/>
        <v>#REF!</v>
      </c>
      <c r="U2359" t="e">
        <f t="shared" si="78"/>
        <v>#REF!</v>
      </c>
    </row>
    <row r="2360" spans="4:21" x14ac:dyDescent="0.2">
      <c r="D2360" s="4"/>
      <c r="G2360" s="5"/>
      <c r="H2360" s="7"/>
      <c r="I2360" s="4"/>
      <c r="J2360" s="4"/>
      <c r="K2360" s="5"/>
      <c r="Q2360" t="e">
        <f>VLOOKUP(A2360,'גיליון דאטה להכל'!A:E,5,0)</f>
        <v>#N/A</v>
      </c>
      <c r="R2360" t="e">
        <f>VLOOKUP(A2360,'לעדכן בסינתזה דאטה אריזה 42+24'!$A:$C,3,0)</f>
        <v>#N/A</v>
      </c>
      <c r="S2360" t="e">
        <f>VLOOKUP(#REF!,'מלאי לא תקין'!A:N,17,0)</f>
        <v>#REF!</v>
      </c>
      <c r="T2360" t="e">
        <f t="shared" si="77"/>
        <v>#REF!</v>
      </c>
      <c r="U2360" t="e">
        <f t="shared" si="78"/>
        <v>#REF!</v>
      </c>
    </row>
    <row r="2361" spans="4:21" x14ac:dyDescent="0.2">
      <c r="D2361" s="4"/>
      <c r="G2361" s="5"/>
      <c r="H2361" s="5"/>
      <c r="I2361" s="4"/>
      <c r="J2361" s="4"/>
      <c r="K2361" s="5"/>
      <c r="Q2361" t="e">
        <f>VLOOKUP(A2361,'גיליון דאטה להכל'!A:E,5,0)</f>
        <v>#N/A</v>
      </c>
      <c r="R2361" t="e">
        <f>VLOOKUP(A2361,'לעדכן בסינתזה דאטה אריזה 42+24'!$A:$C,3,0)</f>
        <v>#N/A</v>
      </c>
      <c r="S2361" t="e">
        <f>VLOOKUP(#REF!,'מלאי לא תקין'!A:N,17,0)</f>
        <v>#REF!</v>
      </c>
      <c r="T2361" t="e">
        <f t="shared" si="77"/>
        <v>#REF!</v>
      </c>
      <c r="U2361" t="e">
        <f t="shared" si="78"/>
        <v>#REF!</v>
      </c>
    </row>
    <row r="2362" spans="4:21" x14ac:dyDescent="0.2">
      <c r="D2362" s="4"/>
      <c r="G2362" s="5"/>
      <c r="H2362" s="5"/>
      <c r="I2362" s="4"/>
      <c r="J2362" s="4"/>
      <c r="K2362" s="5"/>
      <c r="Q2362" t="e">
        <f>VLOOKUP(A2362,'גיליון דאטה להכל'!A:E,5,0)</f>
        <v>#N/A</v>
      </c>
      <c r="R2362" t="e">
        <f>VLOOKUP(A2362,'לעדכן בסינתזה דאטה אריזה 42+24'!$A:$C,3,0)</f>
        <v>#N/A</v>
      </c>
      <c r="S2362" t="e">
        <f>VLOOKUP(#REF!,'מלאי לא תקין'!A:N,17,0)</f>
        <v>#REF!</v>
      </c>
      <c r="T2362" t="e">
        <f t="shared" si="77"/>
        <v>#REF!</v>
      </c>
      <c r="U2362" t="e">
        <f t="shared" si="78"/>
        <v>#REF!</v>
      </c>
    </row>
    <row r="2363" spans="4:21" x14ac:dyDescent="0.2">
      <c r="D2363" s="4"/>
      <c r="G2363" s="5"/>
      <c r="H2363" s="5"/>
      <c r="I2363" s="4"/>
      <c r="J2363" s="4"/>
      <c r="K2363" s="5"/>
      <c r="Q2363" t="e">
        <f>VLOOKUP(A2363,'גיליון דאטה להכל'!A:E,5,0)</f>
        <v>#N/A</v>
      </c>
      <c r="R2363" t="e">
        <f>VLOOKUP(A2363,'לעדכן בסינתזה דאטה אריזה 42+24'!$A:$C,3,0)</f>
        <v>#N/A</v>
      </c>
      <c r="S2363" t="e">
        <f>VLOOKUP(#REF!,'מלאי לא תקין'!A:N,17,0)</f>
        <v>#REF!</v>
      </c>
      <c r="T2363" t="e">
        <f t="shared" si="77"/>
        <v>#REF!</v>
      </c>
      <c r="U2363" t="e">
        <f t="shared" si="78"/>
        <v>#REF!</v>
      </c>
    </row>
    <row r="2364" spans="4:21" x14ac:dyDescent="0.2">
      <c r="D2364" s="4"/>
      <c r="G2364" s="5"/>
      <c r="H2364" s="5"/>
      <c r="I2364" s="4"/>
      <c r="J2364" s="4"/>
      <c r="K2364" s="5"/>
      <c r="Q2364" t="e">
        <f>VLOOKUP(A2364,'גיליון דאטה להכל'!A:E,5,0)</f>
        <v>#N/A</v>
      </c>
      <c r="R2364" t="e">
        <f>VLOOKUP(A2364,'לעדכן בסינתזה דאטה אריזה 42+24'!$A:$C,3,0)</f>
        <v>#N/A</v>
      </c>
      <c r="S2364" t="e">
        <f>VLOOKUP(#REF!,'מלאי לא תקין'!A:N,17,0)</f>
        <v>#REF!</v>
      </c>
      <c r="T2364" t="e">
        <f t="shared" si="77"/>
        <v>#REF!</v>
      </c>
      <c r="U2364" t="e">
        <f t="shared" si="78"/>
        <v>#REF!</v>
      </c>
    </row>
    <row r="2365" spans="4:21" x14ac:dyDescent="0.2">
      <c r="D2365" s="4"/>
      <c r="G2365" s="5"/>
      <c r="H2365" s="7"/>
      <c r="I2365" s="4"/>
      <c r="J2365" s="4"/>
      <c r="K2365" s="5"/>
      <c r="Q2365" t="e">
        <f>VLOOKUP(A2365,'גיליון דאטה להכל'!A:E,5,0)</f>
        <v>#N/A</v>
      </c>
      <c r="R2365" t="e">
        <f>VLOOKUP(A2365,'לעדכן בסינתזה דאטה אריזה 42+24'!$A:$C,3,0)</f>
        <v>#N/A</v>
      </c>
      <c r="S2365" t="e">
        <f>VLOOKUP(#REF!,'מלאי לא תקין'!A:N,17,0)</f>
        <v>#REF!</v>
      </c>
      <c r="T2365" t="e">
        <f t="shared" si="77"/>
        <v>#REF!</v>
      </c>
      <c r="U2365" t="e">
        <f t="shared" si="78"/>
        <v>#REF!</v>
      </c>
    </row>
    <row r="2366" spans="4:21" x14ac:dyDescent="0.2">
      <c r="D2366" s="4"/>
      <c r="G2366" s="5"/>
      <c r="H2366" s="5"/>
      <c r="I2366" s="4"/>
      <c r="J2366" s="4"/>
      <c r="K2366" s="5"/>
      <c r="Q2366" t="e">
        <f>VLOOKUP(A2366,'גיליון דאטה להכל'!A:E,5,0)</f>
        <v>#N/A</v>
      </c>
      <c r="R2366" t="e">
        <f>VLOOKUP(A2366,'לעדכן בסינתזה דאטה אריזה 42+24'!$A:$C,3,0)</f>
        <v>#N/A</v>
      </c>
      <c r="S2366" t="e">
        <f>VLOOKUP(#REF!,'מלאי לא תקין'!A:N,17,0)</f>
        <v>#REF!</v>
      </c>
      <c r="T2366" t="e">
        <f t="shared" ref="T2366:T2429" si="79">_xlfn.CONCAT(S2366,Q2366)</f>
        <v>#REF!</v>
      </c>
      <c r="U2366" t="e">
        <f t="shared" ref="U2366:U2429" si="80">_xlfn.CONCAT(S2366,O2366)</f>
        <v>#REF!</v>
      </c>
    </row>
    <row r="2367" spans="4:21" x14ac:dyDescent="0.2">
      <c r="D2367" s="4"/>
      <c r="G2367" s="5"/>
      <c r="H2367" s="5"/>
      <c r="I2367" s="4"/>
      <c r="J2367" s="4"/>
      <c r="K2367" s="5"/>
      <c r="Q2367" t="e">
        <f>VLOOKUP(A2367,'גיליון דאטה להכל'!A:E,5,0)</f>
        <v>#N/A</v>
      </c>
      <c r="R2367" t="e">
        <f>VLOOKUP(A2367,'לעדכן בסינתזה דאטה אריזה 42+24'!$A:$C,3,0)</f>
        <v>#N/A</v>
      </c>
      <c r="S2367" t="e">
        <f>VLOOKUP(#REF!,'מלאי לא תקין'!A:N,17,0)</f>
        <v>#REF!</v>
      </c>
      <c r="T2367" t="e">
        <f t="shared" si="79"/>
        <v>#REF!</v>
      </c>
      <c r="U2367" t="e">
        <f t="shared" si="80"/>
        <v>#REF!</v>
      </c>
    </row>
    <row r="2368" spans="4:21" x14ac:dyDescent="0.2">
      <c r="D2368" s="4"/>
      <c r="G2368" s="5"/>
      <c r="H2368" s="5"/>
      <c r="I2368" s="4"/>
      <c r="J2368" s="4"/>
      <c r="K2368" s="5"/>
      <c r="Q2368" t="e">
        <f>VLOOKUP(A2368,'גיליון דאטה להכל'!A:E,5,0)</f>
        <v>#N/A</v>
      </c>
      <c r="R2368" t="e">
        <f>VLOOKUP(A2368,'לעדכן בסינתזה דאטה אריזה 42+24'!$A:$C,3,0)</f>
        <v>#N/A</v>
      </c>
      <c r="S2368" t="e">
        <f>VLOOKUP(#REF!,'מלאי לא תקין'!A:N,17,0)</f>
        <v>#REF!</v>
      </c>
      <c r="T2368" t="e">
        <f t="shared" si="79"/>
        <v>#REF!</v>
      </c>
      <c r="U2368" t="e">
        <f t="shared" si="80"/>
        <v>#REF!</v>
      </c>
    </row>
    <row r="2369" spans="4:21" x14ac:dyDescent="0.2">
      <c r="D2369" s="4"/>
      <c r="G2369" s="5"/>
      <c r="H2369" s="5"/>
      <c r="I2369" s="4"/>
      <c r="J2369" s="4"/>
      <c r="K2369" s="5"/>
      <c r="Q2369" t="e">
        <f>VLOOKUP(A2369,'גיליון דאטה להכל'!A:E,5,0)</f>
        <v>#N/A</v>
      </c>
      <c r="R2369" t="e">
        <f>VLOOKUP(A2369,'לעדכן בסינתזה דאטה אריזה 42+24'!$A:$C,3,0)</f>
        <v>#N/A</v>
      </c>
      <c r="S2369" t="e">
        <f>VLOOKUP(#REF!,'מלאי לא תקין'!A:N,17,0)</f>
        <v>#REF!</v>
      </c>
      <c r="T2369" t="e">
        <f t="shared" si="79"/>
        <v>#REF!</v>
      </c>
      <c r="U2369" t="e">
        <f t="shared" si="80"/>
        <v>#REF!</v>
      </c>
    </row>
    <row r="2370" spans="4:21" x14ac:dyDescent="0.2">
      <c r="D2370" s="4"/>
      <c r="G2370" s="5"/>
      <c r="H2370" s="7"/>
      <c r="I2370" s="4"/>
      <c r="J2370" s="4"/>
      <c r="K2370" s="5"/>
      <c r="Q2370" t="e">
        <f>VLOOKUP(A2370,'גיליון דאטה להכל'!A:E,5,0)</f>
        <v>#N/A</v>
      </c>
      <c r="R2370" t="e">
        <f>VLOOKUP(A2370,'לעדכן בסינתזה דאטה אריזה 42+24'!$A:$C,3,0)</f>
        <v>#N/A</v>
      </c>
      <c r="S2370" t="e">
        <f>VLOOKUP(#REF!,'מלאי לא תקין'!A:N,17,0)</f>
        <v>#REF!</v>
      </c>
      <c r="T2370" t="e">
        <f t="shared" si="79"/>
        <v>#REF!</v>
      </c>
      <c r="U2370" t="e">
        <f t="shared" si="80"/>
        <v>#REF!</v>
      </c>
    </row>
    <row r="2371" spans="4:21" x14ac:dyDescent="0.2">
      <c r="D2371" s="4"/>
      <c r="G2371" s="5"/>
      <c r="H2371" s="5"/>
      <c r="I2371" s="4"/>
      <c r="J2371" s="4"/>
      <c r="K2371" s="5"/>
      <c r="Q2371" t="e">
        <f>VLOOKUP(A2371,'גיליון דאטה להכל'!A:E,5,0)</f>
        <v>#N/A</v>
      </c>
      <c r="R2371" t="e">
        <f>VLOOKUP(A2371,'לעדכן בסינתזה דאטה אריזה 42+24'!$A:$C,3,0)</f>
        <v>#N/A</v>
      </c>
      <c r="S2371" t="e">
        <f>VLOOKUP(#REF!,'מלאי לא תקין'!A:N,17,0)</f>
        <v>#REF!</v>
      </c>
      <c r="T2371" t="e">
        <f t="shared" si="79"/>
        <v>#REF!</v>
      </c>
      <c r="U2371" t="e">
        <f t="shared" si="80"/>
        <v>#REF!</v>
      </c>
    </row>
    <row r="2372" spans="4:21" x14ac:dyDescent="0.2">
      <c r="D2372" s="4"/>
      <c r="G2372" s="5"/>
      <c r="H2372" s="5"/>
      <c r="I2372" s="4"/>
      <c r="J2372" s="4"/>
      <c r="K2372" s="5"/>
      <c r="Q2372" t="e">
        <f>VLOOKUP(A2372,'גיליון דאטה להכל'!A:E,5,0)</f>
        <v>#N/A</v>
      </c>
      <c r="R2372" t="e">
        <f>VLOOKUP(A2372,'לעדכן בסינתזה דאטה אריזה 42+24'!$A:$C,3,0)</f>
        <v>#N/A</v>
      </c>
      <c r="S2372" t="e">
        <f>VLOOKUP(#REF!,'מלאי לא תקין'!A:N,17,0)</f>
        <v>#REF!</v>
      </c>
      <c r="T2372" t="e">
        <f t="shared" si="79"/>
        <v>#REF!</v>
      </c>
      <c r="U2372" t="e">
        <f t="shared" si="80"/>
        <v>#REF!</v>
      </c>
    </row>
    <row r="2373" spans="4:21" x14ac:dyDescent="0.2">
      <c r="D2373" s="4"/>
      <c r="G2373" s="5"/>
      <c r="H2373" s="5"/>
      <c r="I2373" s="4"/>
      <c r="J2373" s="4"/>
      <c r="K2373" s="5"/>
      <c r="Q2373" t="e">
        <f>VLOOKUP(A2373,'גיליון דאטה להכל'!A:E,5,0)</f>
        <v>#N/A</v>
      </c>
      <c r="R2373" t="e">
        <f>VLOOKUP(A2373,'לעדכן בסינתזה דאטה אריזה 42+24'!$A:$C,3,0)</f>
        <v>#N/A</v>
      </c>
      <c r="S2373" t="e">
        <f>VLOOKUP(#REF!,'מלאי לא תקין'!A:N,17,0)</f>
        <v>#REF!</v>
      </c>
      <c r="T2373" t="e">
        <f t="shared" si="79"/>
        <v>#REF!</v>
      </c>
      <c r="U2373" t="e">
        <f t="shared" si="80"/>
        <v>#REF!</v>
      </c>
    </row>
    <row r="2374" spans="4:21" x14ac:dyDescent="0.2">
      <c r="D2374" s="4"/>
      <c r="G2374" s="5"/>
      <c r="H2374" s="5"/>
      <c r="I2374" s="4"/>
      <c r="J2374" s="4"/>
      <c r="K2374" s="5"/>
      <c r="Q2374" t="e">
        <f>VLOOKUP(A2374,'גיליון דאטה להכל'!A:E,5,0)</f>
        <v>#N/A</v>
      </c>
      <c r="R2374" t="e">
        <f>VLOOKUP(A2374,'לעדכן בסינתזה דאטה אריזה 42+24'!$A:$C,3,0)</f>
        <v>#N/A</v>
      </c>
      <c r="S2374" t="e">
        <f>VLOOKUP(#REF!,'מלאי לא תקין'!A:N,17,0)</f>
        <v>#REF!</v>
      </c>
      <c r="T2374" t="e">
        <f t="shared" si="79"/>
        <v>#REF!</v>
      </c>
      <c r="U2374" t="e">
        <f t="shared" si="80"/>
        <v>#REF!</v>
      </c>
    </row>
    <row r="2375" spans="4:21" x14ac:dyDescent="0.2">
      <c r="D2375" s="4"/>
      <c r="G2375" s="5"/>
      <c r="H2375" s="7"/>
      <c r="I2375" s="4"/>
      <c r="J2375" s="4"/>
      <c r="K2375" s="5"/>
      <c r="Q2375" t="e">
        <f>VLOOKUP(A2375,'גיליון דאטה להכל'!A:E,5,0)</f>
        <v>#N/A</v>
      </c>
      <c r="R2375" t="e">
        <f>VLOOKUP(A2375,'לעדכן בסינתזה דאטה אריזה 42+24'!$A:$C,3,0)</f>
        <v>#N/A</v>
      </c>
      <c r="S2375" t="e">
        <f>VLOOKUP(#REF!,'מלאי לא תקין'!A:N,17,0)</f>
        <v>#REF!</v>
      </c>
      <c r="T2375" t="e">
        <f t="shared" si="79"/>
        <v>#REF!</v>
      </c>
      <c r="U2375" t="e">
        <f t="shared" si="80"/>
        <v>#REF!</v>
      </c>
    </row>
    <row r="2376" spans="4:21" x14ac:dyDescent="0.2">
      <c r="D2376" s="4"/>
      <c r="G2376" s="5"/>
      <c r="H2376" s="5"/>
      <c r="I2376" s="4"/>
      <c r="J2376" s="4"/>
      <c r="K2376" s="5"/>
      <c r="Q2376" t="e">
        <f>VLOOKUP(A2376,'גיליון דאטה להכל'!A:E,5,0)</f>
        <v>#N/A</v>
      </c>
      <c r="R2376" t="e">
        <f>VLOOKUP(A2376,'לעדכן בסינתזה דאטה אריזה 42+24'!$A:$C,3,0)</f>
        <v>#N/A</v>
      </c>
      <c r="S2376" t="e">
        <f>VLOOKUP(#REF!,'מלאי לא תקין'!A:N,17,0)</f>
        <v>#REF!</v>
      </c>
      <c r="T2376" t="e">
        <f t="shared" si="79"/>
        <v>#REF!</v>
      </c>
      <c r="U2376" t="e">
        <f t="shared" si="80"/>
        <v>#REF!</v>
      </c>
    </row>
    <row r="2377" spans="4:21" x14ac:dyDescent="0.2">
      <c r="D2377" s="4"/>
      <c r="G2377" s="5"/>
      <c r="H2377" s="5"/>
      <c r="I2377" s="4"/>
      <c r="J2377" s="4"/>
      <c r="K2377" s="5"/>
      <c r="Q2377" t="e">
        <f>VLOOKUP(A2377,'גיליון דאטה להכל'!A:E,5,0)</f>
        <v>#N/A</v>
      </c>
      <c r="R2377" t="e">
        <f>VLOOKUP(A2377,'לעדכן בסינתזה דאטה אריזה 42+24'!$A:$C,3,0)</f>
        <v>#N/A</v>
      </c>
      <c r="S2377" t="e">
        <f>VLOOKUP(#REF!,'מלאי לא תקין'!A:N,17,0)</f>
        <v>#REF!</v>
      </c>
      <c r="T2377" t="e">
        <f t="shared" si="79"/>
        <v>#REF!</v>
      </c>
      <c r="U2377" t="e">
        <f t="shared" si="80"/>
        <v>#REF!</v>
      </c>
    </row>
    <row r="2378" spans="4:21" x14ac:dyDescent="0.2">
      <c r="D2378" s="4"/>
      <c r="G2378" s="5"/>
      <c r="H2378" s="5"/>
      <c r="I2378" s="4"/>
      <c r="J2378" s="4"/>
      <c r="K2378" s="5"/>
      <c r="Q2378" t="e">
        <f>VLOOKUP(A2378,'גיליון דאטה להכל'!A:E,5,0)</f>
        <v>#N/A</v>
      </c>
      <c r="R2378" t="e">
        <f>VLOOKUP(A2378,'לעדכן בסינתזה דאטה אריזה 42+24'!$A:$C,3,0)</f>
        <v>#N/A</v>
      </c>
      <c r="S2378" t="e">
        <f>VLOOKUP(#REF!,'מלאי לא תקין'!A:N,17,0)</f>
        <v>#REF!</v>
      </c>
      <c r="T2378" t="e">
        <f t="shared" si="79"/>
        <v>#REF!</v>
      </c>
      <c r="U2378" t="e">
        <f t="shared" si="80"/>
        <v>#REF!</v>
      </c>
    </row>
    <row r="2379" spans="4:21" x14ac:dyDescent="0.2">
      <c r="D2379" s="4"/>
      <c r="G2379" s="5"/>
      <c r="H2379" s="5"/>
      <c r="I2379" s="4"/>
      <c r="J2379" s="4"/>
      <c r="K2379" s="5"/>
      <c r="Q2379" t="e">
        <f>VLOOKUP(A2379,'גיליון דאטה להכל'!A:E,5,0)</f>
        <v>#N/A</v>
      </c>
      <c r="R2379" t="e">
        <f>VLOOKUP(A2379,'לעדכן בסינתזה דאטה אריזה 42+24'!$A:$C,3,0)</f>
        <v>#N/A</v>
      </c>
      <c r="S2379" t="e">
        <f>VLOOKUP(#REF!,'מלאי לא תקין'!A:N,17,0)</f>
        <v>#REF!</v>
      </c>
      <c r="T2379" t="e">
        <f t="shared" si="79"/>
        <v>#REF!</v>
      </c>
      <c r="U2379" t="e">
        <f t="shared" si="80"/>
        <v>#REF!</v>
      </c>
    </row>
    <row r="2380" spans="4:21" x14ac:dyDescent="0.2">
      <c r="D2380" s="4"/>
      <c r="G2380" s="5"/>
      <c r="H2380" s="7"/>
      <c r="I2380" s="4"/>
      <c r="J2380" s="4"/>
      <c r="K2380" s="5"/>
      <c r="Q2380" t="e">
        <f>VLOOKUP(A2380,'גיליון דאטה להכל'!A:E,5,0)</f>
        <v>#N/A</v>
      </c>
      <c r="R2380" t="e">
        <f>VLOOKUP(A2380,'לעדכן בסינתזה דאטה אריזה 42+24'!$A:$C,3,0)</f>
        <v>#N/A</v>
      </c>
      <c r="S2380" t="e">
        <f>VLOOKUP(#REF!,'מלאי לא תקין'!A:N,17,0)</f>
        <v>#REF!</v>
      </c>
      <c r="T2380" t="e">
        <f t="shared" si="79"/>
        <v>#REF!</v>
      </c>
      <c r="U2380" t="e">
        <f t="shared" si="80"/>
        <v>#REF!</v>
      </c>
    </row>
    <row r="2381" spans="4:21" x14ac:dyDescent="0.2">
      <c r="D2381" s="4"/>
      <c r="G2381" s="5"/>
      <c r="H2381" s="5"/>
      <c r="I2381" s="4"/>
      <c r="J2381" s="4"/>
      <c r="K2381" s="5"/>
      <c r="Q2381" t="e">
        <f>VLOOKUP(A2381,'גיליון דאטה להכל'!A:E,5,0)</f>
        <v>#N/A</v>
      </c>
      <c r="R2381" t="e">
        <f>VLOOKUP(A2381,'לעדכן בסינתזה דאטה אריזה 42+24'!$A:$C,3,0)</f>
        <v>#N/A</v>
      </c>
      <c r="S2381" t="e">
        <f>VLOOKUP(#REF!,'מלאי לא תקין'!A:N,17,0)</f>
        <v>#REF!</v>
      </c>
      <c r="T2381" t="e">
        <f t="shared" si="79"/>
        <v>#REF!</v>
      </c>
      <c r="U2381" t="e">
        <f t="shared" si="80"/>
        <v>#REF!</v>
      </c>
    </row>
    <row r="2382" spans="4:21" x14ac:dyDescent="0.2">
      <c r="D2382" s="4"/>
      <c r="G2382" s="5"/>
      <c r="H2382" s="5"/>
      <c r="I2382" s="4"/>
      <c r="J2382" s="4"/>
      <c r="K2382" s="5"/>
      <c r="Q2382" t="e">
        <f>VLOOKUP(A2382,'גיליון דאטה להכל'!A:E,5,0)</f>
        <v>#N/A</v>
      </c>
      <c r="R2382" t="e">
        <f>VLOOKUP(A2382,'לעדכן בסינתזה דאטה אריזה 42+24'!$A:$C,3,0)</f>
        <v>#N/A</v>
      </c>
      <c r="S2382" t="e">
        <f>VLOOKUP(#REF!,'מלאי לא תקין'!A:N,17,0)</f>
        <v>#REF!</v>
      </c>
      <c r="T2382" t="e">
        <f t="shared" si="79"/>
        <v>#REF!</v>
      </c>
      <c r="U2382" t="e">
        <f t="shared" si="80"/>
        <v>#REF!</v>
      </c>
    </row>
    <row r="2383" spans="4:21" x14ac:dyDescent="0.2">
      <c r="D2383" s="4"/>
      <c r="G2383" s="5"/>
      <c r="H2383" s="5"/>
      <c r="I2383" s="4"/>
      <c r="J2383" s="4"/>
      <c r="K2383" s="5"/>
      <c r="Q2383" t="e">
        <f>VLOOKUP(A2383,'גיליון דאטה להכל'!A:E,5,0)</f>
        <v>#N/A</v>
      </c>
      <c r="R2383" t="e">
        <f>VLOOKUP(A2383,'לעדכן בסינתזה דאטה אריזה 42+24'!$A:$C,3,0)</f>
        <v>#N/A</v>
      </c>
      <c r="S2383" t="e">
        <f>VLOOKUP(#REF!,'מלאי לא תקין'!A:N,17,0)</f>
        <v>#REF!</v>
      </c>
      <c r="T2383" t="e">
        <f t="shared" si="79"/>
        <v>#REF!</v>
      </c>
      <c r="U2383" t="e">
        <f t="shared" si="80"/>
        <v>#REF!</v>
      </c>
    </row>
    <row r="2384" spans="4:21" x14ac:dyDescent="0.2">
      <c r="D2384" s="4"/>
      <c r="G2384" s="5"/>
      <c r="H2384" s="5"/>
      <c r="I2384" s="4"/>
      <c r="J2384" s="4"/>
      <c r="K2384" s="5"/>
      <c r="Q2384" t="e">
        <f>VLOOKUP(A2384,'גיליון דאטה להכל'!A:E,5,0)</f>
        <v>#N/A</v>
      </c>
      <c r="R2384" t="e">
        <f>VLOOKUP(A2384,'לעדכן בסינתזה דאטה אריזה 42+24'!$A:$C,3,0)</f>
        <v>#N/A</v>
      </c>
      <c r="S2384" t="e">
        <f>VLOOKUP(#REF!,'מלאי לא תקין'!A:N,17,0)</f>
        <v>#REF!</v>
      </c>
      <c r="T2384" t="e">
        <f t="shared" si="79"/>
        <v>#REF!</v>
      </c>
      <c r="U2384" t="e">
        <f t="shared" si="80"/>
        <v>#REF!</v>
      </c>
    </row>
    <row r="2385" spans="4:21" x14ac:dyDescent="0.2">
      <c r="D2385" s="4"/>
      <c r="G2385" s="5"/>
      <c r="H2385" s="7"/>
      <c r="I2385" s="4"/>
      <c r="J2385" s="4"/>
      <c r="K2385" s="5"/>
      <c r="Q2385" t="e">
        <f>VLOOKUP(A2385,'גיליון דאטה להכל'!A:E,5,0)</f>
        <v>#N/A</v>
      </c>
      <c r="R2385" t="e">
        <f>VLOOKUP(A2385,'לעדכן בסינתזה דאטה אריזה 42+24'!$A:$C,3,0)</f>
        <v>#N/A</v>
      </c>
      <c r="S2385" t="e">
        <f>VLOOKUP(#REF!,'מלאי לא תקין'!A:N,17,0)</f>
        <v>#REF!</v>
      </c>
      <c r="T2385" t="e">
        <f t="shared" si="79"/>
        <v>#REF!</v>
      </c>
      <c r="U2385" t="e">
        <f t="shared" si="80"/>
        <v>#REF!</v>
      </c>
    </row>
    <row r="2386" spans="4:21" x14ac:dyDescent="0.2">
      <c r="D2386" s="4"/>
      <c r="G2386" s="5"/>
      <c r="H2386" s="5"/>
      <c r="I2386" s="4"/>
      <c r="J2386" s="4"/>
      <c r="K2386" s="5"/>
      <c r="Q2386" t="e">
        <f>VLOOKUP(A2386,'גיליון דאטה להכל'!A:E,5,0)</f>
        <v>#N/A</v>
      </c>
      <c r="R2386" t="e">
        <f>VLOOKUP(A2386,'לעדכן בסינתזה דאטה אריזה 42+24'!$A:$C,3,0)</f>
        <v>#N/A</v>
      </c>
      <c r="S2386" t="e">
        <f>VLOOKUP(#REF!,'מלאי לא תקין'!A:N,17,0)</f>
        <v>#REF!</v>
      </c>
      <c r="T2386" t="e">
        <f t="shared" si="79"/>
        <v>#REF!</v>
      </c>
      <c r="U2386" t="e">
        <f t="shared" si="80"/>
        <v>#REF!</v>
      </c>
    </row>
    <row r="2387" spans="4:21" x14ac:dyDescent="0.2">
      <c r="D2387" s="4"/>
      <c r="G2387" s="5"/>
      <c r="H2387" s="5"/>
      <c r="I2387" s="4"/>
      <c r="J2387" s="4"/>
      <c r="K2387" s="5"/>
      <c r="Q2387" t="e">
        <f>VLOOKUP(A2387,'גיליון דאטה להכל'!A:E,5,0)</f>
        <v>#N/A</v>
      </c>
      <c r="R2387" t="e">
        <f>VLOOKUP(A2387,'לעדכן בסינתזה דאטה אריזה 42+24'!$A:$C,3,0)</f>
        <v>#N/A</v>
      </c>
      <c r="S2387" t="e">
        <f>VLOOKUP(#REF!,'מלאי לא תקין'!A:N,17,0)</f>
        <v>#REF!</v>
      </c>
      <c r="T2387" t="e">
        <f t="shared" si="79"/>
        <v>#REF!</v>
      </c>
      <c r="U2387" t="e">
        <f t="shared" si="80"/>
        <v>#REF!</v>
      </c>
    </row>
    <row r="2388" spans="4:21" x14ac:dyDescent="0.2">
      <c r="D2388" s="4"/>
      <c r="G2388" s="5"/>
      <c r="H2388" s="5"/>
      <c r="I2388" s="4"/>
      <c r="J2388" s="4"/>
      <c r="K2388" s="5"/>
      <c r="Q2388" t="e">
        <f>VLOOKUP(A2388,'גיליון דאטה להכל'!A:E,5,0)</f>
        <v>#N/A</v>
      </c>
      <c r="R2388" t="e">
        <f>VLOOKUP(A2388,'לעדכן בסינתזה דאטה אריזה 42+24'!$A:$C,3,0)</f>
        <v>#N/A</v>
      </c>
      <c r="S2388" t="e">
        <f>VLOOKUP(#REF!,'מלאי לא תקין'!A:N,17,0)</f>
        <v>#REF!</v>
      </c>
      <c r="T2388" t="e">
        <f t="shared" si="79"/>
        <v>#REF!</v>
      </c>
      <c r="U2388" t="e">
        <f t="shared" si="80"/>
        <v>#REF!</v>
      </c>
    </row>
    <row r="2389" spans="4:21" x14ac:dyDescent="0.2">
      <c r="D2389" s="4"/>
      <c r="G2389" s="5"/>
      <c r="H2389" s="5"/>
      <c r="I2389" s="4"/>
      <c r="J2389" s="4"/>
      <c r="K2389" s="5"/>
      <c r="Q2389" t="e">
        <f>VLOOKUP(A2389,'גיליון דאטה להכל'!A:E,5,0)</f>
        <v>#N/A</v>
      </c>
      <c r="R2389" t="e">
        <f>VLOOKUP(A2389,'לעדכן בסינתזה דאטה אריזה 42+24'!$A:$C,3,0)</f>
        <v>#N/A</v>
      </c>
      <c r="S2389" t="e">
        <f>VLOOKUP(#REF!,'מלאי לא תקין'!A:N,17,0)</f>
        <v>#REF!</v>
      </c>
      <c r="T2389" t="e">
        <f t="shared" si="79"/>
        <v>#REF!</v>
      </c>
      <c r="U2389" t="e">
        <f t="shared" si="80"/>
        <v>#REF!</v>
      </c>
    </row>
    <row r="2390" spans="4:21" x14ac:dyDescent="0.2">
      <c r="D2390" s="4"/>
      <c r="G2390" s="5"/>
      <c r="H2390" s="7"/>
      <c r="I2390" s="4"/>
      <c r="J2390" s="4"/>
      <c r="K2390" s="5"/>
      <c r="Q2390" t="e">
        <f>VLOOKUP(A2390,'גיליון דאטה להכל'!A:E,5,0)</f>
        <v>#N/A</v>
      </c>
      <c r="R2390" t="e">
        <f>VLOOKUP(A2390,'לעדכן בסינתזה דאטה אריזה 42+24'!$A:$C,3,0)</f>
        <v>#N/A</v>
      </c>
      <c r="S2390" t="e">
        <f>VLOOKUP(#REF!,'מלאי לא תקין'!A:N,17,0)</f>
        <v>#REF!</v>
      </c>
      <c r="T2390" t="e">
        <f t="shared" si="79"/>
        <v>#REF!</v>
      </c>
      <c r="U2390" t="e">
        <f t="shared" si="80"/>
        <v>#REF!</v>
      </c>
    </row>
    <row r="2391" spans="4:21" x14ac:dyDescent="0.2">
      <c r="D2391" s="4"/>
      <c r="G2391" s="5"/>
      <c r="H2391" s="5"/>
      <c r="I2391" s="4"/>
      <c r="J2391" s="4"/>
      <c r="K2391" s="5"/>
      <c r="Q2391" t="e">
        <f>VLOOKUP(A2391,'גיליון דאטה להכל'!A:E,5,0)</f>
        <v>#N/A</v>
      </c>
      <c r="R2391" t="e">
        <f>VLOOKUP(A2391,'לעדכן בסינתזה דאטה אריזה 42+24'!$A:$C,3,0)</f>
        <v>#N/A</v>
      </c>
      <c r="S2391" t="e">
        <f>VLOOKUP(#REF!,'מלאי לא תקין'!A:N,17,0)</f>
        <v>#REF!</v>
      </c>
      <c r="T2391" t="e">
        <f t="shared" si="79"/>
        <v>#REF!</v>
      </c>
      <c r="U2391" t="e">
        <f t="shared" si="80"/>
        <v>#REF!</v>
      </c>
    </row>
    <row r="2392" spans="4:21" x14ac:dyDescent="0.2">
      <c r="D2392" s="4"/>
      <c r="G2392" s="5"/>
      <c r="H2392" s="5"/>
      <c r="I2392" s="4"/>
      <c r="J2392" s="4"/>
      <c r="K2392" s="5"/>
      <c r="Q2392" t="e">
        <f>VLOOKUP(A2392,'גיליון דאטה להכל'!A:E,5,0)</f>
        <v>#N/A</v>
      </c>
      <c r="R2392" t="e">
        <f>VLOOKUP(A2392,'לעדכן בסינתזה דאטה אריזה 42+24'!$A:$C,3,0)</f>
        <v>#N/A</v>
      </c>
      <c r="S2392" t="e">
        <f>VLOOKUP(#REF!,'מלאי לא תקין'!A:N,17,0)</f>
        <v>#REF!</v>
      </c>
      <c r="T2392" t="e">
        <f t="shared" si="79"/>
        <v>#REF!</v>
      </c>
      <c r="U2392" t="e">
        <f t="shared" si="80"/>
        <v>#REF!</v>
      </c>
    </row>
    <row r="2393" spans="4:21" x14ac:dyDescent="0.2">
      <c r="D2393" s="4"/>
      <c r="G2393" s="5"/>
      <c r="H2393" s="5"/>
      <c r="I2393" s="4"/>
      <c r="J2393" s="4"/>
      <c r="K2393" s="5"/>
      <c r="Q2393" t="e">
        <f>VLOOKUP(A2393,'גיליון דאטה להכל'!A:E,5,0)</f>
        <v>#N/A</v>
      </c>
      <c r="R2393" t="e">
        <f>VLOOKUP(A2393,'לעדכן בסינתזה דאטה אריזה 42+24'!$A:$C,3,0)</f>
        <v>#N/A</v>
      </c>
      <c r="S2393" t="e">
        <f>VLOOKUP(#REF!,'מלאי לא תקין'!A:N,17,0)</f>
        <v>#REF!</v>
      </c>
      <c r="T2393" t="e">
        <f t="shared" si="79"/>
        <v>#REF!</v>
      </c>
      <c r="U2393" t="e">
        <f t="shared" si="80"/>
        <v>#REF!</v>
      </c>
    </row>
    <row r="2394" spans="4:21" x14ac:dyDescent="0.2">
      <c r="D2394" s="4"/>
      <c r="G2394" s="5"/>
      <c r="H2394" s="5"/>
      <c r="I2394" s="4"/>
      <c r="J2394" s="4"/>
      <c r="K2394" s="5"/>
      <c r="Q2394" t="e">
        <f>VLOOKUP(A2394,'גיליון דאטה להכל'!A:E,5,0)</f>
        <v>#N/A</v>
      </c>
      <c r="R2394" t="e">
        <f>VLOOKUP(A2394,'לעדכן בסינתזה דאטה אריזה 42+24'!$A:$C,3,0)</f>
        <v>#N/A</v>
      </c>
      <c r="S2394" t="e">
        <f>VLOOKUP(#REF!,'מלאי לא תקין'!A:N,17,0)</f>
        <v>#REF!</v>
      </c>
      <c r="T2394" t="e">
        <f t="shared" si="79"/>
        <v>#REF!</v>
      </c>
      <c r="U2394" t="e">
        <f t="shared" si="80"/>
        <v>#REF!</v>
      </c>
    </row>
    <row r="2395" spans="4:21" x14ac:dyDescent="0.2">
      <c r="D2395" s="4"/>
      <c r="G2395" s="5"/>
      <c r="H2395" s="7"/>
      <c r="I2395" s="4"/>
      <c r="J2395" s="4"/>
      <c r="K2395" s="5"/>
      <c r="Q2395" t="e">
        <f>VLOOKUP(A2395,'גיליון דאטה להכל'!A:E,5,0)</f>
        <v>#N/A</v>
      </c>
      <c r="R2395" t="e">
        <f>VLOOKUP(A2395,'לעדכן בסינתזה דאטה אריזה 42+24'!$A:$C,3,0)</f>
        <v>#N/A</v>
      </c>
      <c r="S2395" t="e">
        <f>VLOOKUP(#REF!,'מלאי לא תקין'!A:N,17,0)</f>
        <v>#REF!</v>
      </c>
      <c r="T2395" t="e">
        <f t="shared" si="79"/>
        <v>#REF!</v>
      </c>
      <c r="U2395" t="e">
        <f t="shared" si="80"/>
        <v>#REF!</v>
      </c>
    </row>
    <row r="2396" spans="4:21" x14ac:dyDescent="0.2">
      <c r="D2396" s="4"/>
      <c r="G2396" s="5"/>
      <c r="H2396" s="5"/>
      <c r="I2396" s="4"/>
      <c r="J2396" s="4"/>
      <c r="K2396" s="5"/>
      <c r="Q2396" t="e">
        <f>VLOOKUP(A2396,'גיליון דאטה להכל'!A:E,5,0)</f>
        <v>#N/A</v>
      </c>
      <c r="R2396" t="e">
        <f>VLOOKUP(A2396,'לעדכן בסינתזה דאטה אריזה 42+24'!$A:$C,3,0)</f>
        <v>#N/A</v>
      </c>
      <c r="S2396" t="e">
        <f>VLOOKUP(#REF!,'מלאי לא תקין'!A:N,17,0)</f>
        <v>#REF!</v>
      </c>
      <c r="T2396" t="e">
        <f t="shared" si="79"/>
        <v>#REF!</v>
      </c>
      <c r="U2396" t="e">
        <f t="shared" si="80"/>
        <v>#REF!</v>
      </c>
    </row>
    <row r="2397" spans="4:21" x14ac:dyDescent="0.2">
      <c r="D2397" s="4"/>
      <c r="G2397" s="5"/>
      <c r="H2397" s="5"/>
      <c r="I2397" s="4"/>
      <c r="J2397" s="4"/>
      <c r="K2397" s="5"/>
      <c r="Q2397" t="e">
        <f>VLOOKUP(A2397,'גיליון דאטה להכל'!A:E,5,0)</f>
        <v>#N/A</v>
      </c>
      <c r="R2397" t="e">
        <f>VLOOKUP(A2397,'לעדכן בסינתזה דאטה אריזה 42+24'!$A:$C,3,0)</f>
        <v>#N/A</v>
      </c>
      <c r="S2397" t="e">
        <f>VLOOKUP(#REF!,'מלאי לא תקין'!A:N,17,0)</f>
        <v>#REF!</v>
      </c>
      <c r="T2397" t="e">
        <f t="shared" si="79"/>
        <v>#REF!</v>
      </c>
      <c r="U2397" t="e">
        <f t="shared" si="80"/>
        <v>#REF!</v>
      </c>
    </row>
    <row r="2398" spans="4:21" x14ac:dyDescent="0.2">
      <c r="D2398" s="4"/>
      <c r="G2398" s="5"/>
      <c r="H2398" s="5"/>
      <c r="I2398" s="4"/>
      <c r="J2398" s="4"/>
      <c r="K2398" s="5"/>
      <c r="Q2398" t="e">
        <f>VLOOKUP(A2398,'גיליון דאטה להכל'!A:E,5,0)</f>
        <v>#N/A</v>
      </c>
      <c r="R2398" t="e">
        <f>VLOOKUP(A2398,'לעדכן בסינתזה דאטה אריזה 42+24'!$A:$C,3,0)</f>
        <v>#N/A</v>
      </c>
      <c r="S2398" t="e">
        <f>VLOOKUP(#REF!,'מלאי לא תקין'!A:N,17,0)</f>
        <v>#REF!</v>
      </c>
      <c r="T2398" t="e">
        <f t="shared" si="79"/>
        <v>#REF!</v>
      </c>
      <c r="U2398" t="e">
        <f t="shared" si="80"/>
        <v>#REF!</v>
      </c>
    </row>
    <row r="2399" spans="4:21" x14ac:dyDescent="0.2">
      <c r="D2399" s="4"/>
      <c r="G2399" s="5"/>
      <c r="H2399" s="5"/>
      <c r="I2399" s="4"/>
      <c r="J2399" s="4"/>
      <c r="K2399" s="5"/>
      <c r="Q2399" t="e">
        <f>VLOOKUP(A2399,'גיליון דאטה להכל'!A:E,5,0)</f>
        <v>#N/A</v>
      </c>
      <c r="R2399" t="e">
        <f>VLOOKUP(A2399,'לעדכן בסינתזה דאטה אריזה 42+24'!$A:$C,3,0)</f>
        <v>#N/A</v>
      </c>
      <c r="S2399" t="e">
        <f>VLOOKUP(#REF!,'מלאי לא תקין'!A:N,17,0)</f>
        <v>#REF!</v>
      </c>
      <c r="T2399" t="e">
        <f t="shared" si="79"/>
        <v>#REF!</v>
      </c>
      <c r="U2399" t="e">
        <f t="shared" si="80"/>
        <v>#REF!</v>
      </c>
    </row>
    <row r="2400" spans="4:21" x14ac:dyDescent="0.2">
      <c r="D2400" s="4"/>
      <c r="G2400" s="5"/>
      <c r="H2400" s="7"/>
      <c r="I2400" s="4"/>
      <c r="J2400" s="4"/>
      <c r="K2400" s="5"/>
      <c r="Q2400" t="e">
        <f>VLOOKUP(A2400,'גיליון דאטה להכל'!A:E,5,0)</f>
        <v>#N/A</v>
      </c>
      <c r="R2400" t="e">
        <f>VLOOKUP(A2400,'לעדכן בסינתזה דאטה אריזה 42+24'!$A:$C,3,0)</f>
        <v>#N/A</v>
      </c>
      <c r="S2400" t="e">
        <f>VLOOKUP(#REF!,'מלאי לא תקין'!A:N,17,0)</f>
        <v>#REF!</v>
      </c>
      <c r="T2400" t="e">
        <f t="shared" si="79"/>
        <v>#REF!</v>
      </c>
      <c r="U2400" t="e">
        <f t="shared" si="80"/>
        <v>#REF!</v>
      </c>
    </row>
    <row r="2401" spans="4:21" x14ac:dyDescent="0.2">
      <c r="D2401" s="4"/>
      <c r="G2401" s="5"/>
      <c r="H2401" s="5"/>
      <c r="I2401" s="4"/>
      <c r="J2401" s="4"/>
      <c r="K2401" s="5"/>
      <c r="Q2401" t="e">
        <f>VLOOKUP(A2401,'גיליון דאטה להכל'!A:E,5,0)</f>
        <v>#N/A</v>
      </c>
      <c r="R2401" t="e">
        <f>VLOOKUP(A2401,'לעדכן בסינתזה דאטה אריזה 42+24'!$A:$C,3,0)</f>
        <v>#N/A</v>
      </c>
      <c r="S2401" t="e">
        <f>VLOOKUP(#REF!,'מלאי לא תקין'!A:N,17,0)</f>
        <v>#REF!</v>
      </c>
      <c r="T2401" t="e">
        <f t="shared" si="79"/>
        <v>#REF!</v>
      </c>
      <c r="U2401" t="e">
        <f t="shared" si="80"/>
        <v>#REF!</v>
      </c>
    </row>
    <row r="2402" spans="4:21" x14ac:dyDescent="0.2">
      <c r="D2402" s="4"/>
      <c r="G2402" s="5"/>
      <c r="H2402" s="5"/>
      <c r="I2402" s="4"/>
      <c r="J2402" s="4"/>
      <c r="K2402" s="5"/>
      <c r="Q2402" t="e">
        <f>VLOOKUP(A2402,'גיליון דאטה להכל'!A:E,5,0)</f>
        <v>#N/A</v>
      </c>
      <c r="R2402" t="e">
        <f>VLOOKUP(A2402,'לעדכן בסינתזה דאטה אריזה 42+24'!$A:$C,3,0)</f>
        <v>#N/A</v>
      </c>
      <c r="S2402" t="e">
        <f>VLOOKUP(#REF!,'מלאי לא תקין'!A:N,17,0)</f>
        <v>#REF!</v>
      </c>
      <c r="T2402" t="e">
        <f t="shared" si="79"/>
        <v>#REF!</v>
      </c>
      <c r="U2402" t="e">
        <f t="shared" si="80"/>
        <v>#REF!</v>
      </c>
    </row>
    <row r="2403" spans="4:21" x14ac:dyDescent="0.2">
      <c r="D2403" s="4"/>
      <c r="G2403" s="5"/>
      <c r="H2403" s="5"/>
      <c r="I2403" s="4"/>
      <c r="J2403" s="4"/>
      <c r="K2403" s="5"/>
      <c r="Q2403" t="e">
        <f>VLOOKUP(A2403,'גיליון דאטה להכל'!A:E,5,0)</f>
        <v>#N/A</v>
      </c>
      <c r="R2403" t="e">
        <f>VLOOKUP(A2403,'לעדכן בסינתזה דאטה אריזה 42+24'!$A:$C,3,0)</f>
        <v>#N/A</v>
      </c>
      <c r="S2403" t="e">
        <f>VLOOKUP(#REF!,'מלאי לא תקין'!A:N,17,0)</f>
        <v>#REF!</v>
      </c>
      <c r="T2403" t="e">
        <f t="shared" si="79"/>
        <v>#REF!</v>
      </c>
      <c r="U2403" t="e">
        <f t="shared" si="80"/>
        <v>#REF!</v>
      </c>
    </row>
    <row r="2404" spans="4:21" x14ac:dyDescent="0.2">
      <c r="D2404" s="4"/>
      <c r="G2404" s="5"/>
      <c r="H2404" s="5"/>
      <c r="I2404" s="4"/>
      <c r="J2404" s="4"/>
      <c r="K2404" s="5"/>
      <c r="Q2404" t="e">
        <f>VLOOKUP(A2404,'גיליון דאטה להכל'!A:E,5,0)</f>
        <v>#N/A</v>
      </c>
      <c r="R2404" t="e">
        <f>VLOOKUP(A2404,'לעדכן בסינתזה דאטה אריזה 42+24'!$A:$C,3,0)</f>
        <v>#N/A</v>
      </c>
      <c r="S2404" t="e">
        <f>VLOOKUP(#REF!,'מלאי לא תקין'!A:N,17,0)</f>
        <v>#REF!</v>
      </c>
      <c r="T2404" t="e">
        <f t="shared" si="79"/>
        <v>#REF!</v>
      </c>
      <c r="U2404" t="e">
        <f t="shared" si="80"/>
        <v>#REF!</v>
      </c>
    </row>
    <row r="2405" spans="4:21" x14ac:dyDescent="0.2">
      <c r="D2405" s="4"/>
      <c r="G2405" s="5"/>
      <c r="H2405" s="7"/>
      <c r="I2405" s="4"/>
      <c r="J2405" s="4"/>
      <c r="K2405" s="5"/>
      <c r="Q2405" t="e">
        <f>VLOOKUP(A2405,'גיליון דאטה להכל'!A:E,5,0)</f>
        <v>#N/A</v>
      </c>
      <c r="R2405" t="e">
        <f>VLOOKUP(A2405,'לעדכן בסינתזה דאטה אריזה 42+24'!$A:$C,3,0)</f>
        <v>#N/A</v>
      </c>
      <c r="S2405" t="e">
        <f>VLOOKUP(#REF!,'מלאי לא תקין'!A:N,17,0)</f>
        <v>#REF!</v>
      </c>
      <c r="T2405" t="e">
        <f t="shared" si="79"/>
        <v>#REF!</v>
      </c>
      <c r="U2405" t="e">
        <f t="shared" si="80"/>
        <v>#REF!</v>
      </c>
    </row>
    <row r="2406" spans="4:21" x14ac:dyDescent="0.2">
      <c r="D2406" s="4"/>
      <c r="G2406" s="5"/>
      <c r="H2406" s="5"/>
      <c r="I2406" s="4"/>
      <c r="J2406" s="4"/>
      <c r="K2406" s="5"/>
      <c r="Q2406" t="e">
        <f>VLOOKUP(A2406,'גיליון דאטה להכל'!A:E,5,0)</f>
        <v>#N/A</v>
      </c>
      <c r="R2406" t="e">
        <f>VLOOKUP(A2406,'לעדכן בסינתזה דאטה אריזה 42+24'!$A:$C,3,0)</f>
        <v>#N/A</v>
      </c>
      <c r="S2406" t="e">
        <f>VLOOKUP(#REF!,'מלאי לא תקין'!A:N,17,0)</f>
        <v>#REF!</v>
      </c>
      <c r="T2406" t="e">
        <f t="shared" si="79"/>
        <v>#REF!</v>
      </c>
      <c r="U2406" t="e">
        <f t="shared" si="80"/>
        <v>#REF!</v>
      </c>
    </row>
    <row r="2407" spans="4:21" x14ac:dyDescent="0.2">
      <c r="D2407" s="4"/>
      <c r="G2407" s="5"/>
      <c r="H2407" s="5"/>
      <c r="I2407" s="4"/>
      <c r="J2407" s="4"/>
      <c r="K2407" s="5"/>
      <c r="Q2407" t="e">
        <f>VLOOKUP(A2407,'גיליון דאטה להכל'!A:E,5,0)</f>
        <v>#N/A</v>
      </c>
      <c r="R2407" t="e">
        <f>VLOOKUP(A2407,'לעדכן בסינתזה דאטה אריזה 42+24'!$A:$C,3,0)</f>
        <v>#N/A</v>
      </c>
      <c r="S2407" t="e">
        <f>VLOOKUP(#REF!,'מלאי לא תקין'!A:N,17,0)</f>
        <v>#REF!</v>
      </c>
      <c r="T2407" t="e">
        <f t="shared" si="79"/>
        <v>#REF!</v>
      </c>
      <c r="U2407" t="e">
        <f t="shared" si="80"/>
        <v>#REF!</v>
      </c>
    </row>
    <row r="2408" spans="4:21" x14ac:dyDescent="0.2">
      <c r="D2408" s="4"/>
      <c r="G2408" s="5"/>
      <c r="H2408" s="5"/>
      <c r="I2408" s="4"/>
      <c r="J2408" s="4"/>
      <c r="K2408" s="5"/>
      <c r="Q2408" t="e">
        <f>VLOOKUP(A2408,'גיליון דאטה להכל'!A:E,5,0)</f>
        <v>#N/A</v>
      </c>
      <c r="R2408" t="e">
        <f>VLOOKUP(A2408,'לעדכן בסינתזה דאטה אריזה 42+24'!$A:$C,3,0)</f>
        <v>#N/A</v>
      </c>
      <c r="S2408" t="e">
        <f>VLOOKUP(#REF!,'מלאי לא תקין'!A:N,17,0)</f>
        <v>#REF!</v>
      </c>
      <c r="T2408" t="e">
        <f t="shared" si="79"/>
        <v>#REF!</v>
      </c>
      <c r="U2408" t="e">
        <f t="shared" si="80"/>
        <v>#REF!</v>
      </c>
    </row>
    <row r="2409" spans="4:21" x14ac:dyDescent="0.2">
      <c r="D2409" s="4"/>
      <c r="G2409" s="5"/>
      <c r="H2409" s="5"/>
      <c r="I2409" s="4"/>
      <c r="J2409" s="4"/>
      <c r="K2409" s="5"/>
      <c r="Q2409" t="e">
        <f>VLOOKUP(A2409,'גיליון דאטה להכל'!A:E,5,0)</f>
        <v>#N/A</v>
      </c>
      <c r="R2409" t="e">
        <f>VLOOKUP(A2409,'לעדכן בסינתזה דאטה אריזה 42+24'!$A:$C,3,0)</f>
        <v>#N/A</v>
      </c>
      <c r="S2409" t="e">
        <f>VLOOKUP(#REF!,'מלאי לא תקין'!A:N,17,0)</f>
        <v>#REF!</v>
      </c>
      <c r="T2409" t="e">
        <f t="shared" si="79"/>
        <v>#REF!</v>
      </c>
      <c r="U2409" t="e">
        <f t="shared" si="80"/>
        <v>#REF!</v>
      </c>
    </row>
    <row r="2410" spans="4:21" x14ac:dyDescent="0.2">
      <c r="D2410" s="4"/>
      <c r="G2410" s="5"/>
      <c r="H2410" s="7"/>
      <c r="I2410" s="4"/>
      <c r="J2410" s="4"/>
      <c r="K2410" s="5"/>
      <c r="Q2410" t="e">
        <f>VLOOKUP(A2410,'גיליון דאטה להכל'!A:E,5,0)</f>
        <v>#N/A</v>
      </c>
      <c r="R2410" t="e">
        <f>VLOOKUP(A2410,'לעדכן בסינתזה דאטה אריזה 42+24'!$A:$C,3,0)</f>
        <v>#N/A</v>
      </c>
      <c r="S2410" t="e">
        <f>VLOOKUP(#REF!,'מלאי לא תקין'!A:N,17,0)</f>
        <v>#REF!</v>
      </c>
      <c r="T2410" t="e">
        <f t="shared" si="79"/>
        <v>#REF!</v>
      </c>
      <c r="U2410" t="e">
        <f t="shared" si="80"/>
        <v>#REF!</v>
      </c>
    </row>
    <row r="2411" spans="4:21" x14ac:dyDescent="0.2">
      <c r="D2411" s="4"/>
      <c r="G2411" s="5"/>
      <c r="H2411" s="5"/>
      <c r="I2411" s="4"/>
      <c r="J2411" s="4"/>
      <c r="K2411" s="5"/>
      <c r="Q2411" t="e">
        <f>VLOOKUP(A2411,'גיליון דאטה להכל'!A:E,5,0)</f>
        <v>#N/A</v>
      </c>
      <c r="R2411" t="e">
        <f>VLOOKUP(A2411,'לעדכן בסינתזה דאטה אריזה 42+24'!$A:$C,3,0)</f>
        <v>#N/A</v>
      </c>
      <c r="S2411" t="e">
        <f>VLOOKUP(#REF!,'מלאי לא תקין'!A:N,17,0)</f>
        <v>#REF!</v>
      </c>
      <c r="T2411" t="e">
        <f t="shared" si="79"/>
        <v>#REF!</v>
      </c>
      <c r="U2411" t="e">
        <f t="shared" si="80"/>
        <v>#REF!</v>
      </c>
    </row>
    <row r="2412" spans="4:21" x14ac:dyDescent="0.2">
      <c r="D2412" s="4"/>
      <c r="G2412" s="5"/>
      <c r="H2412" s="5"/>
      <c r="I2412" s="4"/>
      <c r="J2412" s="4"/>
      <c r="K2412" s="5"/>
      <c r="Q2412" t="e">
        <f>VLOOKUP(A2412,'גיליון דאטה להכל'!A:E,5,0)</f>
        <v>#N/A</v>
      </c>
      <c r="R2412" t="e">
        <f>VLOOKUP(A2412,'לעדכן בסינתזה דאטה אריזה 42+24'!$A:$C,3,0)</f>
        <v>#N/A</v>
      </c>
      <c r="S2412" t="e">
        <f>VLOOKUP(#REF!,'מלאי לא תקין'!A:N,17,0)</f>
        <v>#REF!</v>
      </c>
      <c r="T2412" t="e">
        <f t="shared" si="79"/>
        <v>#REF!</v>
      </c>
      <c r="U2412" t="e">
        <f t="shared" si="80"/>
        <v>#REF!</v>
      </c>
    </row>
    <row r="2413" spans="4:21" x14ac:dyDescent="0.2">
      <c r="D2413" s="4"/>
      <c r="G2413" s="5"/>
      <c r="H2413" s="5"/>
      <c r="I2413" s="4"/>
      <c r="J2413" s="4"/>
      <c r="K2413" s="5"/>
      <c r="Q2413" t="e">
        <f>VLOOKUP(A2413,'גיליון דאטה להכל'!A:E,5,0)</f>
        <v>#N/A</v>
      </c>
      <c r="R2413" t="e">
        <f>VLOOKUP(A2413,'לעדכן בסינתזה דאטה אריזה 42+24'!$A:$C,3,0)</f>
        <v>#N/A</v>
      </c>
      <c r="S2413" t="e">
        <f>VLOOKUP(#REF!,'מלאי לא תקין'!A:N,17,0)</f>
        <v>#REF!</v>
      </c>
      <c r="T2413" t="e">
        <f t="shared" si="79"/>
        <v>#REF!</v>
      </c>
      <c r="U2413" t="e">
        <f t="shared" si="80"/>
        <v>#REF!</v>
      </c>
    </row>
    <row r="2414" spans="4:21" x14ac:dyDescent="0.2">
      <c r="D2414" s="4"/>
      <c r="G2414" s="5"/>
      <c r="H2414" s="5"/>
      <c r="I2414" s="4"/>
      <c r="J2414" s="4"/>
      <c r="K2414" s="5"/>
      <c r="Q2414" t="e">
        <f>VLOOKUP(A2414,'גיליון דאטה להכל'!A:E,5,0)</f>
        <v>#N/A</v>
      </c>
      <c r="R2414" t="e">
        <f>VLOOKUP(A2414,'לעדכן בסינתזה דאטה אריזה 42+24'!$A:$C,3,0)</f>
        <v>#N/A</v>
      </c>
      <c r="S2414" t="e">
        <f>VLOOKUP(#REF!,'מלאי לא תקין'!A:N,17,0)</f>
        <v>#REF!</v>
      </c>
      <c r="T2414" t="e">
        <f t="shared" si="79"/>
        <v>#REF!</v>
      </c>
      <c r="U2414" t="e">
        <f t="shared" si="80"/>
        <v>#REF!</v>
      </c>
    </row>
    <row r="2415" spans="4:21" x14ac:dyDescent="0.2">
      <c r="D2415" s="4"/>
      <c r="G2415" s="5"/>
      <c r="H2415" s="7"/>
      <c r="I2415" s="4"/>
      <c r="J2415" s="4"/>
      <c r="K2415" s="5"/>
      <c r="Q2415" t="e">
        <f>VLOOKUP(A2415,'גיליון דאטה להכל'!A:E,5,0)</f>
        <v>#N/A</v>
      </c>
      <c r="R2415" t="e">
        <f>VLOOKUP(A2415,'לעדכן בסינתזה דאטה אריזה 42+24'!$A:$C,3,0)</f>
        <v>#N/A</v>
      </c>
      <c r="S2415" t="e">
        <f>VLOOKUP(#REF!,'מלאי לא תקין'!A:N,17,0)</f>
        <v>#REF!</v>
      </c>
      <c r="T2415" t="e">
        <f t="shared" si="79"/>
        <v>#REF!</v>
      </c>
      <c r="U2415" t="e">
        <f t="shared" si="80"/>
        <v>#REF!</v>
      </c>
    </row>
    <row r="2416" spans="4:21" x14ac:dyDescent="0.2">
      <c r="D2416" s="4"/>
      <c r="G2416" s="5"/>
      <c r="H2416" s="5"/>
      <c r="I2416" s="4"/>
      <c r="J2416" s="4"/>
      <c r="K2416" s="5"/>
      <c r="Q2416" t="e">
        <f>VLOOKUP(A2416,'גיליון דאטה להכל'!A:E,5,0)</f>
        <v>#N/A</v>
      </c>
      <c r="R2416" t="e">
        <f>VLOOKUP(A2416,'לעדכן בסינתזה דאטה אריזה 42+24'!$A:$C,3,0)</f>
        <v>#N/A</v>
      </c>
      <c r="S2416" t="e">
        <f>VLOOKUP(#REF!,'מלאי לא תקין'!A:N,17,0)</f>
        <v>#REF!</v>
      </c>
      <c r="T2416" t="e">
        <f t="shared" si="79"/>
        <v>#REF!</v>
      </c>
      <c r="U2416" t="e">
        <f t="shared" si="80"/>
        <v>#REF!</v>
      </c>
    </row>
    <row r="2417" spans="4:21" x14ac:dyDescent="0.2">
      <c r="D2417" s="4"/>
      <c r="G2417" s="5"/>
      <c r="H2417" s="5"/>
      <c r="I2417" s="4"/>
      <c r="J2417" s="4"/>
      <c r="K2417" s="5"/>
      <c r="Q2417" t="e">
        <f>VLOOKUP(A2417,'גיליון דאטה להכל'!A:E,5,0)</f>
        <v>#N/A</v>
      </c>
      <c r="R2417" t="e">
        <f>VLOOKUP(A2417,'לעדכן בסינתזה דאטה אריזה 42+24'!$A:$C,3,0)</f>
        <v>#N/A</v>
      </c>
      <c r="S2417" t="e">
        <f>VLOOKUP(#REF!,'מלאי לא תקין'!A:N,17,0)</f>
        <v>#REF!</v>
      </c>
      <c r="T2417" t="e">
        <f t="shared" si="79"/>
        <v>#REF!</v>
      </c>
      <c r="U2417" t="e">
        <f t="shared" si="80"/>
        <v>#REF!</v>
      </c>
    </row>
    <row r="2418" spans="4:21" x14ac:dyDescent="0.2">
      <c r="D2418" s="4"/>
      <c r="G2418" s="5"/>
      <c r="H2418" s="5"/>
      <c r="I2418" s="4"/>
      <c r="J2418" s="4"/>
      <c r="K2418" s="5"/>
      <c r="Q2418" t="e">
        <f>VLOOKUP(A2418,'גיליון דאטה להכל'!A:E,5,0)</f>
        <v>#N/A</v>
      </c>
      <c r="R2418" t="e">
        <f>VLOOKUP(A2418,'לעדכן בסינתזה דאטה אריזה 42+24'!$A:$C,3,0)</f>
        <v>#N/A</v>
      </c>
      <c r="S2418" t="e">
        <f>VLOOKUP(#REF!,'מלאי לא תקין'!A:N,17,0)</f>
        <v>#REF!</v>
      </c>
      <c r="T2418" t="e">
        <f t="shared" si="79"/>
        <v>#REF!</v>
      </c>
      <c r="U2418" t="e">
        <f t="shared" si="80"/>
        <v>#REF!</v>
      </c>
    </row>
    <row r="2419" spans="4:21" x14ac:dyDescent="0.2">
      <c r="D2419" s="4"/>
      <c r="G2419" s="5"/>
      <c r="H2419" s="5"/>
      <c r="I2419" s="4"/>
      <c r="J2419" s="4"/>
      <c r="K2419" s="5"/>
      <c r="Q2419" t="e">
        <f>VLOOKUP(A2419,'גיליון דאטה להכל'!A:E,5,0)</f>
        <v>#N/A</v>
      </c>
      <c r="R2419" t="e">
        <f>VLOOKUP(A2419,'לעדכן בסינתזה דאטה אריזה 42+24'!$A:$C,3,0)</f>
        <v>#N/A</v>
      </c>
      <c r="S2419" t="e">
        <f>VLOOKUP(#REF!,'מלאי לא תקין'!A:N,17,0)</f>
        <v>#REF!</v>
      </c>
      <c r="T2419" t="e">
        <f t="shared" si="79"/>
        <v>#REF!</v>
      </c>
      <c r="U2419" t="e">
        <f t="shared" si="80"/>
        <v>#REF!</v>
      </c>
    </row>
    <row r="2420" spans="4:21" x14ac:dyDescent="0.2">
      <c r="D2420" s="4"/>
      <c r="G2420" s="5"/>
      <c r="H2420" s="7"/>
      <c r="I2420" s="4"/>
      <c r="J2420" s="4"/>
      <c r="K2420" s="5"/>
      <c r="Q2420" t="e">
        <f>VLOOKUP(A2420,'גיליון דאטה להכל'!A:E,5,0)</f>
        <v>#N/A</v>
      </c>
      <c r="R2420" t="e">
        <f>VLOOKUP(A2420,'לעדכן בסינתזה דאטה אריזה 42+24'!$A:$C,3,0)</f>
        <v>#N/A</v>
      </c>
      <c r="S2420" t="e">
        <f>VLOOKUP(#REF!,'מלאי לא תקין'!A:N,17,0)</f>
        <v>#REF!</v>
      </c>
      <c r="T2420" t="e">
        <f t="shared" si="79"/>
        <v>#REF!</v>
      </c>
      <c r="U2420" t="e">
        <f t="shared" si="80"/>
        <v>#REF!</v>
      </c>
    </row>
    <row r="2421" spans="4:21" x14ac:dyDescent="0.2">
      <c r="D2421" s="4"/>
      <c r="G2421" s="5"/>
      <c r="H2421" s="5"/>
      <c r="I2421" s="4"/>
      <c r="J2421" s="4"/>
      <c r="K2421" s="5"/>
      <c r="Q2421" t="e">
        <f>VLOOKUP(A2421,'גיליון דאטה להכל'!A:E,5,0)</f>
        <v>#N/A</v>
      </c>
      <c r="R2421" t="e">
        <f>VLOOKUP(A2421,'לעדכן בסינתזה דאטה אריזה 42+24'!$A:$C,3,0)</f>
        <v>#N/A</v>
      </c>
      <c r="S2421" t="e">
        <f>VLOOKUP(#REF!,'מלאי לא תקין'!A:N,17,0)</f>
        <v>#REF!</v>
      </c>
      <c r="T2421" t="e">
        <f t="shared" si="79"/>
        <v>#REF!</v>
      </c>
      <c r="U2421" t="e">
        <f t="shared" si="80"/>
        <v>#REF!</v>
      </c>
    </row>
    <row r="2422" spans="4:21" x14ac:dyDescent="0.2">
      <c r="D2422" s="4"/>
      <c r="G2422" s="5"/>
      <c r="H2422" s="5"/>
      <c r="I2422" s="4"/>
      <c r="J2422" s="4"/>
      <c r="K2422" s="5"/>
      <c r="Q2422" t="e">
        <f>VLOOKUP(A2422,'גיליון דאטה להכל'!A:E,5,0)</f>
        <v>#N/A</v>
      </c>
      <c r="R2422" t="e">
        <f>VLOOKUP(A2422,'לעדכן בסינתזה דאטה אריזה 42+24'!$A:$C,3,0)</f>
        <v>#N/A</v>
      </c>
      <c r="S2422" t="e">
        <f>VLOOKUP(#REF!,'מלאי לא תקין'!A:N,17,0)</f>
        <v>#REF!</v>
      </c>
      <c r="T2422" t="e">
        <f t="shared" si="79"/>
        <v>#REF!</v>
      </c>
      <c r="U2422" t="e">
        <f t="shared" si="80"/>
        <v>#REF!</v>
      </c>
    </row>
    <row r="2423" spans="4:21" x14ac:dyDescent="0.2">
      <c r="D2423" s="4"/>
      <c r="G2423" s="5"/>
      <c r="H2423" s="5"/>
      <c r="I2423" s="4"/>
      <c r="J2423" s="4"/>
      <c r="K2423" s="5"/>
      <c r="Q2423" t="e">
        <f>VLOOKUP(A2423,'גיליון דאטה להכל'!A:E,5,0)</f>
        <v>#N/A</v>
      </c>
      <c r="R2423" t="e">
        <f>VLOOKUP(A2423,'לעדכן בסינתזה דאטה אריזה 42+24'!$A:$C,3,0)</f>
        <v>#N/A</v>
      </c>
      <c r="S2423" t="e">
        <f>VLOOKUP(#REF!,'מלאי לא תקין'!A:N,17,0)</f>
        <v>#REF!</v>
      </c>
      <c r="T2423" t="e">
        <f t="shared" si="79"/>
        <v>#REF!</v>
      </c>
      <c r="U2423" t="e">
        <f t="shared" si="80"/>
        <v>#REF!</v>
      </c>
    </row>
    <row r="2424" spans="4:21" x14ac:dyDescent="0.2">
      <c r="D2424" s="4"/>
      <c r="G2424" s="5"/>
      <c r="H2424" s="5"/>
      <c r="I2424" s="4"/>
      <c r="J2424" s="4"/>
      <c r="K2424" s="5"/>
      <c r="Q2424" t="e">
        <f>VLOOKUP(A2424,'גיליון דאטה להכל'!A:E,5,0)</f>
        <v>#N/A</v>
      </c>
      <c r="R2424" t="e">
        <f>VLOOKUP(A2424,'לעדכן בסינתזה דאטה אריזה 42+24'!$A:$C,3,0)</f>
        <v>#N/A</v>
      </c>
      <c r="S2424" t="e">
        <f>VLOOKUP(#REF!,'מלאי לא תקין'!A:N,17,0)</f>
        <v>#REF!</v>
      </c>
      <c r="T2424" t="e">
        <f t="shared" si="79"/>
        <v>#REF!</v>
      </c>
      <c r="U2424" t="e">
        <f t="shared" si="80"/>
        <v>#REF!</v>
      </c>
    </row>
    <row r="2425" spans="4:21" x14ac:dyDescent="0.2">
      <c r="D2425" s="4"/>
      <c r="G2425" s="5"/>
      <c r="H2425" s="7"/>
      <c r="I2425" s="4"/>
      <c r="J2425" s="4"/>
      <c r="K2425" s="5"/>
      <c r="Q2425" t="e">
        <f>VLOOKUP(A2425,'גיליון דאטה להכל'!A:E,5,0)</f>
        <v>#N/A</v>
      </c>
      <c r="R2425" t="e">
        <f>VLOOKUP(A2425,'לעדכן בסינתזה דאטה אריזה 42+24'!$A:$C,3,0)</f>
        <v>#N/A</v>
      </c>
      <c r="S2425" t="e">
        <f>VLOOKUP(#REF!,'מלאי לא תקין'!A:N,17,0)</f>
        <v>#REF!</v>
      </c>
      <c r="T2425" t="e">
        <f t="shared" si="79"/>
        <v>#REF!</v>
      </c>
      <c r="U2425" t="e">
        <f t="shared" si="80"/>
        <v>#REF!</v>
      </c>
    </row>
    <row r="2426" spans="4:21" x14ac:dyDescent="0.2">
      <c r="D2426" s="4"/>
      <c r="G2426" s="5"/>
      <c r="H2426" s="5"/>
      <c r="I2426" s="4"/>
      <c r="J2426" s="4"/>
      <c r="K2426" s="5"/>
      <c r="Q2426" t="e">
        <f>VLOOKUP(A2426,'גיליון דאטה להכל'!A:E,5,0)</f>
        <v>#N/A</v>
      </c>
      <c r="R2426" t="e">
        <f>VLOOKUP(A2426,'לעדכן בסינתזה דאטה אריזה 42+24'!$A:$C,3,0)</f>
        <v>#N/A</v>
      </c>
      <c r="S2426" t="e">
        <f>VLOOKUP(#REF!,'מלאי לא תקין'!A:N,17,0)</f>
        <v>#REF!</v>
      </c>
      <c r="T2426" t="e">
        <f t="shared" si="79"/>
        <v>#REF!</v>
      </c>
      <c r="U2426" t="e">
        <f t="shared" si="80"/>
        <v>#REF!</v>
      </c>
    </row>
    <row r="2427" spans="4:21" x14ac:dyDescent="0.2">
      <c r="D2427" s="4"/>
      <c r="G2427" s="5"/>
      <c r="H2427" s="5"/>
      <c r="I2427" s="4"/>
      <c r="J2427" s="4"/>
      <c r="K2427" s="5"/>
      <c r="Q2427" t="e">
        <f>VLOOKUP(A2427,'גיליון דאטה להכל'!A:E,5,0)</f>
        <v>#N/A</v>
      </c>
      <c r="R2427" t="e">
        <f>VLOOKUP(A2427,'לעדכן בסינתזה דאטה אריזה 42+24'!$A:$C,3,0)</f>
        <v>#N/A</v>
      </c>
      <c r="S2427" t="e">
        <f>VLOOKUP(#REF!,'מלאי לא תקין'!A:N,17,0)</f>
        <v>#REF!</v>
      </c>
      <c r="T2427" t="e">
        <f t="shared" si="79"/>
        <v>#REF!</v>
      </c>
      <c r="U2427" t="e">
        <f t="shared" si="80"/>
        <v>#REF!</v>
      </c>
    </row>
    <row r="2428" spans="4:21" x14ac:dyDescent="0.2">
      <c r="D2428" s="4"/>
      <c r="G2428" s="5"/>
      <c r="H2428" s="5"/>
      <c r="I2428" s="4"/>
      <c r="J2428" s="4"/>
      <c r="K2428" s="5"/>
      <c r="Q2428" t="e">
        <f>VLOOKUP(A2428,'גיליון דאטה להכל'!A:E,5,0)</f>
        <v>#N/A</v>
      </c>
      <c r="R2428" t="e">
        <f>VLOOKUP(A2428,'לעדכן בסינתזה דאטה אריזה 42+24'!$A:$C,3,0)</f>
        <v>#N/A</v>
      </c>
      <c r="S2428" t="e">
        <f>VLOOKUP(#REF!,'מלאי לא תקין'!A:N,17,0)</f>
        <v>#REF!</v>
      </c>
      <c r="T2428" t="e">
        <f t="shared" si="79"/>
        <v>#REF!</v>
      </c>
      <c r="U2428" t="e">
        <f t="shared" si="80"/>
        <v>#REF!</v>
      </c>
    </row>
    <row r="2429" spans="4:21" x14ac:dyDescent="0.2">
      <c r="D2429" s="4"/>
      <c r="G2429" s="5"/>
      <c r="H2429" s="5"/>
      <c r="I2429" s="4"/>
      <c r="J2429" s="4"/>
      <c r="K2429" s="5"/>
      <c r="Q2429" t="e">
        <f>VLOOKUP(A2429,'גיליון דאטה להכל'!A:E,5,0)</f>
        <v>#N/A</v>
      </c>
      <c r="R2429" t="e">
        <f>VLOOKUP(A2429,'לעדכן בסינתזה דאטה אריזה 42+24'!$A:$C,3,0)</f>
        <v>#N/A</v>
      </c>
      <c r="S2429" t="e">
        <f>VLOOKUP(#REF!,'מלאי לא תקין'!A:N,17,0)</f>
        <v>#REF!</v>
      </c>
      <c r="T2429" t="e">
        <f t="shared" si="79"/>
        <v>#REF!</v>
      </c>
      <c r="U2429" t="e">
        <f t="shared" si="80"/>
        <v>#REF!</v>
      </c>
    </row>
    <row r="2430" spans="4:21" x14ac:dyDescent="0.2">
      <c r="D2430" s="4"/>
      <c r="G2430" s="5"/>
      <c r="H2430" s="7"/>
      <c r="I2430" s="4"/>
      <c r="J2430" s="4"/>
      <c r="K2430" s="5"/>
      <c r="Q2430" t="e">
        <f>VLOOKUP(A2430,'גיליון דאטה להכל'!A:E,5,0)</f>
        <v>#N/A</v>
      </c>
      <c r="R2430" t="e">
        <f>VLOOKUP(A2430,'לעדכן בסינתזה דאטה אריזה 42+24'!$A:$C,3,0)</f>
        <v>#N/A</v>
      </c>
      <c r="S2430" t="e">
        <f>VLOOKUP(#REF!,'מלאי לא תקין'!A:N,17,0)</f>
        <v>#REF!</v>
      </c>
      <c r="T2430" t="e">
        <f t="shared" ref="T2430:T2493" si="81">_xlfn.CONCAT(S2430,Q2430)</f>
        <v>#REF!</v>
      </c>
      <c r="U2430" t="e">
        <f t="shared" ref="U2430:U2493" si="82">_xlfn.CONCAT(S2430,O2430)</f>
        <v>#REF!</v>
      </c>
    </row>
    <row r="2431" spans="4:21" x14ac:dyDescent="0.2">
      <c r="D2431" s="4"/>
      <c r="G2431" s="5"/>
      <c r="H2431" s="5"/>
      <c r="I2431" s="4"/>
      <c r="J2431" s="4"/>
      <c r="K2431" s="5"/>
      <c r="Q2431" t="e">
        <f>VLOOKUP(A2431,'גיליון דאטה להכל'!A:E,5,0)</f>
        <v>#N/A</v>
      </c>
      <c r="R2431" t="e">
        <f>VLOOKUP(A2431,'לעדכן בסינתזה דאטה אריזה 42+24'!$A:$C,3,0)</f>
        <v>#N/A</v>
      </c>
      <c r="S2431" t="e">
        <f>VLOOKUP(#REF!,'מלאי לא תקין'!A:N,17,0)</f>
        <v>#REF!</v>
      </c>
      <c r="T2431" t="e">
        <f t="shared" si="81"/>
        <v>#REF!</v>
      </c>
      <c r="U2431" t="e">
        <f t="shared" si="82"/>
        <v>#REF!</v>
      </c>
    </row>
    <row r="2432" spans="4:21" x14ac:dyDescent="0.2">
      <c r="D2432" s="4"/>
      <c r="G2432" s="5"/>
      <c r="H2432" s="5"/>
      <c r="I2432" s="4"/>
      <c r="J2432" s="4"/>
      <c r="K2432" s="5"/>
      <c r="Q2432" t="e">
        <f>VLOOKUP(A2432,'גיליון דאטה להכל'!A:E,5,0)</f>
        <v>#N/A</v>
      </c>
      <c r="R2432" t="e">
        <f>VLOOKUP(A2432,'לעדכן בסינתזה דאטה אריזה 42+24'!$A:$C,3,0)</f>
        <v>#N/A</v>
      </c>
      <c r="S2432" t="e">
        <f>VLOOKUP(#REF!,'מלאי לא תקין'!A:N,17,0)</f>
        <v>#REF!</v>
      </c>
      <c r="T2432" t="e">
        <f t="shared" si="81"/>
        <v>#REF!</v>
      </c>
      <c r="U2432" t="e">
        <f t="shared" si="82"/>
        <v>#REF!</v>
      </c>
    </row>
    <row r="2433" spans="4:21" x14ac:dyDescent="0.2">
      <c r="D2433" s="4"/>
      <c r="G2433" s="5"/>
      <c r="H2433" s="5"/>
      <c r="I2433" s="4"/>
      <c r="J2433" s="4"/>
      <c r="K2433" s="5"/>
      <c r="Q2433" t="e">
        <f>VLOOKUP(A2433,'גיליון דאטה להכל'!A:E,5,0)</f>
        <v>#N/A</v>
      </c>
      <c r="R2433" t="e">
        <f>VLOOKUP(A2433,'לעדכן בסינתזה דאטה אריזה 42+24'!$A:$C,3,0)</f>
        <v>#N/A</v>
      </c>
      <c r="S2433" t="e">
        <f>VLOOKUP(#REF!,'מלאי לא תקין'!A:N,17,0)</f>
        <v>#REF!</v>
      </c>
      <c r="T2433" t="e">
        <f t="shared" si="81"/>
        <v>#REF!</v>
      </c>
      <c r="U2433" t="e">
        <f t="shared" si="82"/>
        <v>#REF!</v>
      </c>
    </row>
    <row r="2434" spans="4:21" x14ac:dyDescent="0.2">
      <c r="D2434" s="4"/>
      <c r="G2434" s="5"/>
      <c r="H2434" s="5"/>
      <c r="I2434" s="4"/>
      <c r="J2434" s="4"/>
      <c r="K2434" s="5"/>
      <c r="Q2434" t="e">
        <f>VLOOKUP(A2434,'גיליון דאטה להכל'!A:E,5,0)</f>
        <v>#N/A</v>
      </c>
      <c r="R2434" t="e">
        <f>VLOOKUP(A2434,'לעדכן בסינתזה דאטה אריזה 42+24'!$A:$C,3,0)</f>
        <v>#N/A</v>
      </c>
      <c r="S2434" t="e">
        <f>VLOOKUP(#REF!,'מלאי לא תקין'!A:N,17,0)</f>
        <v>#REF!</v>
      </c>
      <c r="T2434" t="e">
        <f t="shared" si="81"/>
        <v>#REF!</v>
      </c>
      <c r="U2434" t="e">
        <f t="shared" si="82"/>
        <v>#REF!</v>
      </c>
    </row>
    <row r="2435" spans="4:21" x14ac:dyDescent="0.2">
      <c r="D2435" s="4"/>
      <c r="G2435" s="5"/>
      <c r="H2435" s="7"/>
      <c r="I2435" s="4"/>
      <c r="J2435" s="4"/>
      <c r="K2435" s="5"/>
      <c r="Q2435" t="e">
        <f>VLOOKUP(A2435,'גיליון דאטה להכל'!A:E,5,0)</f>
        <v>#N/A</v>
      </c>
      <c r="R2435" t="e">
        <f>VLOOKUP(A2435,'לעדכן בסינתזה דאטה אריזה 42+24'!$A:$C,3,0)</f>
        <v>#N/A</v>
      </c>
      <c r="S2435" t="e">
        <f>VLOOKUP(#REF!,'מלאי לא תקין'!A:N,17,0)</f>
        <v>#REF!</v>
      </c>
      <c r="T2435" t="e">
        <f t="shared" si="81"/>
        <v>#REF!</v>
      </c>
      <c r="U2435" t="e">
        <f t="shared" si="82"/>
        <v>#REF!</v>
      </c>
    </row>
    <row r="2436" spans="4:21" x14ac:dyDescent="0.2">
      <c r="D2436" s="4"/>
      <c r="G2436" s="5"/>
      <c r="H2436" s="5"/>
      <c r="I2436" s="4"/>
      <c r="J2436" s="4"/>
      <c r="K2436" s="5"/>
      <c r="Q2436" t="e">
        <f>VLOOKUP(A2436,'גיליון דאטה להכל'!A:E,5,0)</f>
        <v>#N/A</v>
      </c>
      <c r="R2436" t="e">
        <f>VLOOKUP(A2436,'לעדכן בסינתזה דאטה אריזה 42+24'!$A:$C,3,0)</f>
        <v>#N/A</v>
      </c>
      <c r="S2436" t="e">
        <f>VLOOKUP(#REF!,'מלאי לא תקין'!A:N,17,0)</f>
        <v>#REF!</v>
      </c>
      <c r="T2436" t="e">
        <f t="shared" si="81"/>
        <v>#REF!</v>
      </c>
      <c r="U2436" t="e">
        <f t="shared" si="82"/>
        <v>#REF!</v>
      </c>
    </row>
    <row r="2437" spans="4:21" x14ac:dyDescent="0.2">
      <c r="D2437" s="4"/>
      <c r="G2437" s="5"/>
      <c r="H2437" s="5"/>
      <c r="I2437" s="4"/>
      <c r="J2437" s="4"/>
      <c r="K2437" s="5"/>
      <c r="Q2437" t="e">
        <f>VLOOKUP(A2437,'גיליון דאטה להכל'!A:E,5,0)</f>
        <v>#N/A</v>
      </c>
      <c r="R2437" t="e">
        <f>VLOOKUP(A2437,'לעדכן בסינתזה דאטה אריזה 42+24'!$A:$C,3,0)</f>
        <v>#N/A</v>
      </c>
      <c r="S2437" t="e">
        <f>VLOOKUP(#REF!,'מלאי לא תקין'!A:N,17,0)</f>
        <v>#REF!</v>
      </c>
      <c r="T2437" t="e">
        <f t="shared" si="81"/>
        <v>#REF!</v>
      </c>
      <c r="U2437" t="e">
        <f t="shared" si="82"/>
        <v>#REF!</v>
      </c>
    </row>
    <row r="2438" spans="4:21" x14ac:dyDescent="0.2">
      <c r="D2438" s="4"/>
      <c r="G2438" s="5"/>
      <c r="H2438" s="5"/>
      <c r="I2438" s="4"/>
      <c r="J2438" s="4"/>
      <c r="K2438" s="5"/>
      <c r="Q2438" t="e">
        <f>VLOOKUP(A2438,'גיליון דאטה להכל'!A:E,5,0)</f>
        <v>#N/A</v>
      </c>
      <c r="R2438" t="e">
        <f>VLOOKUP(A2438,'לעדכן בסינתזה דאטה אריזה 42+24'!$A:$C,3,0)</f>
        <v>#N/A</v>
      </c>
      <c r="S2438" t="e">
        <f>VLOOKUP(#REF!,'מלאי לא תקין'!A:N,17,0)</f>
        <v>#REF!</v>
      </c>
      <c r="T2438" t="e">
        <f t="shared" si="81"/>
        <v>#REF!</v>
      </c>
      <c r="U2438" t="e">
        <f t="shared" si="82"/>
        <v>#REF!</v>
      </c>
    </row>
    <row r="2439" spans="4:21" x14ac:dyDescent="0.2">
      <c r="D2439" s="4"/>
      <c r="G2439" s="5"/>
      <c r="H2439" s="5"/>
      <c r="I2439" s="4"/>
      <c r="J2439" s="4"/>
      <c r="K2439" s="5"/>
      <c r="Q2439" t="e">
        <f>VLOOKUP(A2439,'גיליון דאטה להכל'!A:E,5,0)</f>
        <v>#N/A</v>
      </c>
      <c r="R2439" t="e">
        <f>VLOOKUP(A2439,'לעדכן בסינתזה דאטה אריזה 42+24'!$A:$C,3,0)</f>
        <v>#N/A</v>
      </c>
      <c r="S2439" t="e">
        <f>VLOOKUP(#REF!,'מלאי לא תקין'!A:N,17,0)</f>
        <v>#REF!</v>
      </c>
      <c r="T2439" t="e">
        <f t="shared" si="81"/>
        <v>#REF!</v>
      </c>
      <c r="U2439" t="e">
        <f t="shared" si="82"/>
        <v>#REF!</v>
      </c>
    </row>
    <row r="2440" spans="4:21" x14ac:dyDescent="0.2">
      <c r="D2440" s="4"/>
      <c r="G2440" s="5"/>
      <c r="H2440" s="7"/>
      <c r="I2440" s="4"/>
      <c r="J2440" s="4"/>
      <c r="K2440" s="5"/>
      <c r="Q2440" t="e">
        <f>VLOOKUP(A2440,'גיליון דאטה להכל'!A:E,5,0)</f>
        <v>#N/A</v>
      </c>
      <c r="R2440" t="e">
        <f>VLOOKUP(A2440,'לעדכן בסינתזה דאטה אריזה 42+24'!$A:$C,3,0)</f>
        <v>#N/A</v>
      </c>
      <c r="S2440" t="e">
        <f>VLOOKUP(#REF!,'מלאי לא תקין'!A:N,17,0)</f>
        <v>#REF!</v>
      </c>
      <c r="T2440" t="e">
        <f t="shared" si="81"/>
        <v>#REF!</v>
      </c>
      <c r="U2440" t="e">
        <f t="shared" si="82"/>
        <v>#REF!</v>
      </c>
    </row>
    <row r="2441" spans="4:21" x14ac:dyDescent="0.2">
      <c r="D2441" s="4"/>
      <c r="G2441" s="5"/>
      <c r="H2441" s="5"/>
      <c r="I2441" s="4"/>
      <c r="J2441" s="4"/>
      <c r="K2441" s="5"/>
      <c r="Q2441" t="e">
        <f>VLOOKUP(A2441,'גיליון דאטה להכל'!A:E,5,0)</f>
        <v>#N/A</v>
      </c>
      <c r="R2441" t="e">
        <f>VLOOKUP(A2441,'לעדכן בסינתזה דאטה אריזה 42+24'!$A:$C,3,0)</f>
        <v>#N/A</v>
      </c>
      <c r="S2441" t="e">
        <f>VLOOKUP(#REF!,'מלאי לא תקין'!A:N,17,0)</f>
        <v>#REF!</v>
      </c>
      <c r="T2441" t="e">
        <f t="shared" si="81"/>
        <v>#REF!</v>
      </c>
      <c r="U2441" t="e">
        <f t="shared" si="82"/>
        <v>#REF!</v>
      </c>
    </row>
    <row r="2442" spans="4:21" x14ac:dyDescent="0.2">
      <c r="D2442" s="4"/>
      <c r="G2442" s="5"/>
      <c r="H2442" s="5"/>
      <c r="I2442" s="4"/>
      <c r="J2442" s="4"/>
      <c r="K2442" s="5"/>
      <c r="Q2442" t="e">
        <f>VLOOKUP(A2442,'גיליון דאטה להכל'!A:E,5,0)</f>
        <v>#N/A</v>
      </c>
      <c r="R2442" t="e">
        <f>VLOOKUP(A2442,'לעדכן בסינתזה דאטה אריזה 42+24'!$A:$C,3,0)</f>
        <v>#N/A</v>
      </c>
      <c r="S2442" t="e">
        <f>VLOOKUP(#REF!,'מלאי לא תקין'!A:N,17,0)</f>
        <v>#REF!</v>
      </c>
      <c r="T2442" t="e">
        <f t="shared" si="81"/>
        <v>#REF!</v>
      </c>
      <c r="U2442" t="e">
        <f t="shared" si="82"/>
        <v>#REF!</v>
      </c>
    </row>
    <row r="2443" spans="4:21" x14ac:dyDescent="0.2">
      <c r="D2443" s="4"/>
      <c r="G2443" s="5"/>
      <c r="H2443" s="5"/>
      <c r="I2443" s="4"/>
      <c r="J2443" s="4"/>
      <c r="K2443" s="5"/>
      <c r="Q2443" t="e">
        <f>VLOOKUP(A2443,'גיליון דאטה להכל'!A:E,5,0)</f>
        <v>#N/A</v>
      </c>
      <c r="R2443" t="e">
        <f>VLOOKUP(A2443,'לעדכן בסינתזה דאטה אריזה 42+24'!$A:$C,3,0)</f>
        <v>#N/A</v>
      </c>
      <c r="S2443" t="e">
        <f>VLOOKUP(#REF!,'מלאי לא תקין'!A:N,17,0)</f>
        <v>#REF!</v>
      </c>
      <c r="T2443" t="e">
        <f t="shared" si="81"/>
        <v>#REF!</v>
      </c>
      <c r="U2443" t="e">
        <f t="shared" si="82"/>
        <v>#REF!</v>
      </c>
    </row>
    <row r="2444" spans="4:21" x14ac:dyDescent="0.2">
      <c r="D2444" s="4"/>
      <c r="G2444" s="5"/>
      <c r="H2444" s="5"/>
      <c r="I2444" s="4"/>
      <c r="J2444" s="4"/>
      <c r="K2444" s="5"/>
      <c r="Q2444" t="e">
        <f>VLOOKUP(A2444,'גיליון דאטה להכל'!A:E,5,0)</f>
        <v>#N/A</v>
      </c>
      <c r="R2444" t="e">
        <f>VLOOKUP(A2444,'לעדכן בסינתזה דאטה אריזה 42+24'!$A:$C,3,0)</f>
        <v>#N/A</v>
      </c>
      <c r="S2444" t="e">
        <f>VLOOKUP(#REF!,'מלאי לא תקין'!A:N,17,0)</f>
        <v>#REF!</v>
      </c>
      <c r="T2444" t="e">
        <f t="shared" si="81"/>
        <v>#REF!</v>
      </c>
      <c r="U2444" t="e">
        <f t="shared" si="82"/>
        <v>#REF!</v>
      </c>
    </row>
    <row r="2445" spans="4:21" x14ac:dyDescent="0.2">
      <c r="D2445" s="4"/>
      <c r="G2445" s="5"/>
      <c r="H2445" s="7"/>
      <c r="I2445" s="4"/>
      <c r="J2445" s="4"/>
      <c r="K2445" s="5"/>
      <c r="Q2445" t="e">
        <f>VLOOKUP(A2445,'גיליון דאטה להכל'!A:E,5,0)</f>
        <v>#N/A</v>
      </c>
      <c r="R2445" t="e">
        <f>VLOOKUP(A2445,'לעדכן בסינתזה דאטה אריזה 42+24'!$A:$C,3,0)</f>
        <v>#N/A</v>
      </c>
      <c r="S2445" t="e">
        <f>VLOOKUP(#REF!,'מלאי לא תקין'!A:N,17,0)</f>
        <v>#REF!</v>
      </c>
      <c r="T2445" t="e">
        <f t="shared" si="81"/>
        <v>#REF!</v>
      </c>
      <c r="U2445" t="e">
        <f t="shared" si="82"/>
        <v>#REF!</v>
      </c>
    </row>
    <row r="2446" spans="4:21" x14ac:dyDescent="0.2">
      <c r="D2446" s="4"/>
      <c r="G2446" s="5"/>
      <c r="H2446" s="5"/>
      <c r="I2446" s="4"/>
      <c r="J2446" s="4"/>
      <c r="K2446" s="5"/>
      <c r="Q2446" t="e">
        <f>VLOOKUP(A2446,'גיליון דאטה להכל'!A:E,5,0)</f>
        <v>#N/A</v>
      </c>
      <c r="R2446" t="e">
        <f>VLOOKUP(A2446,'לעדכן בסינתזה דאטה אריזה 42+24'!$A:$C,3,0)</f>
        <v>#N/A</v>
      </c>
      <c r="S2446" t="e">
        <f>VLOOKUP(#REF!,'מלאי לא תקין'!A:N,17,0)</f>
        <v>#REF!</v>
      </c>
      <c r="T2446" t="e">
        <f t="shared" si="81"/>
        <v>#REF!</v>
      </c>
      <c r="U2446" t="e">
        <f t="shared" si="82"/>
        <v>#REF!</v>
      </c>
    </row>
    <row r="2447" spans="4:21" x14ac:dyDescent="0.2">
      <c r="D2447" s="4"/>
      <c r="G2447" s="5"/>
      <c r="H2447" s="5"/>
      <c r="I2447" s="4"/>
      <c r="J2447" s="4"/>
      <c r="K2447" s="5"/>
      <c r="Q2447" t="e">
        <f>VLOOKUP(A2447,'גיליון דאטה להכל'!A:E,5,0)</f>
        <v>#N/A</v>
      </c>
      <c r="R2447" t="e">
        <f>VLOOKUP(A2447,'לעדכן בסינתזה דאטה אריזה 42+24'!$A:$C,3,0)</f>
        <v>#N/A</v>
      </c>
      <c r="S2447" t="e">
        <f>VLOOKUP(#REF!,'מלאי לא תקין'!A:N,17,0)</f>
        <v>#REF!</v>
      </c>
      <c r="T2447" t="e">
        <f t="shared" si="81"/>
        <v>#REF!</v>
      </c>
      <c r="U2447" t="e">
        <f t="shared" si="82"/>
        <v>#REF!</v>
      </c>
    </row>
    <row r="2448" spans="4:21" x14ac:dyDescent="0.2">
      <c r="D2448" s="4"/>
      <c r="G2448" s="5"/>
      <c r="H2448" s="5"/>
      <c r="I2448" s="4"/>
      <c r="J2448" s="4"/>
      <c r="K2448" s="5"/>
      <c r="Q2448" t="e">
        <f>VLOOKUP(A2448,'גיליון דאטה להכל'!A:E,5,0)</f>
        <v>#N/A</v>
      </c>
      <c r="R2448" t="e">
        <f>VLOOKUP(A2448,'לעדכן בסינתזה דאטה אריזה 42+24'!$A:$C,3,0)</f>
        <v>#N/A</v>
      </c>
      <c r="S2448" t="e">
        <f>VLOOKUP(#REF!,'מלאי לא תקין'!A:N,17,0)</f>
        <v>#REF!</v>
      </c>
      <c r="T2448" t="e">
        <f t="shared" si="81"/>
        <v>#REF!</v>
      </c>
      <c r="U2448" t="e">
        <f t="shared" si="82"/>
        <v>#REF!</v>
      </c>
    </row>
    <row r="2449" spans="4:21" x14ac:dyDescent="0.2">
      <c r="D2449" s="4"/>
      <c r="G2449" s="5"/>
      <c r="H2449" s="5"/>
      <c r="I2449" s="4"/>
      <c r="J2449" s="4"/>
      <c r="K2449" s="5"/>
      <c r="Q2449" t="e">
        <f>VLOOKUP(A2449,'גיליון דאטה להכל'!A:E,5,0)</f>
        <v>#N/A</v>
      </c>
      <c r="R2449" t="e">
        <f>VLOOKUP(A2449,'לעדכן בסינתזה דאטה אריזה 42+24'!$A:$C,3,0)</f>
        <v>#N/A</v>
      </c>
      <c r="S2449" t="e">
        <f>VLOOKUP(#REF!,'מלאי לא תקין'!A:N,17,0)</f>
        <v>#REF!</v>
      </c>
      <c r="T2449" t="e">
        <f t="shared" si="81"/>
        <v>#REF!</v>
      </c>
      <c r="U2449" t="e">
        <f t="shared" si="82"/>
        <v>#REF!</v>
      </c>
    </row>
    <row r="2450" spans="4:21" x14ac:dyDescent="0.2">
      <c r="D2450" s="4"/>
      <c r="G2450" s="5"/>
      <c r="H2450" s="7"/>
      <c r="I2450" s="4"/>
      <c r="J2450" s="4"/>
      <c r="K2450" s="5"/>
      <c r="Q2450" t="e">
        <f>VLOOKUP(A2450,'גיליון דאטה להכל'!A:E,5,0)</f>
        <v>#N/A</v>
      </c>
      <c r="R2450" t="e">
        <f>VLOOKUP(A2450,'לעדכן בסינתזה דאטה אריזה 42+24'!$A:$C,3,0)</f>
        <v>#N/A</v>
      </c>
      <c r="S2450" t="e">
        <f>VLOOKUP(#REF!,'מלאי לא תקין'!A:N,17,0)</f>
        <v>#REF!</v>
      </c>
      <c r="T2450" t="e">
        <f t="shared" si="81"/>
        <v>#REF!</v>
      </c>
      <c r="U2450" t="e">
        <f t="shared" si="82"/>
        <v>#REF!</v>
      </c>
    </row>
    <row r="2451" spans="4:21" x14ac:dyDescent="0.2">
      <c r="D2451" s="4"/>
      <c r="G2451" s="5"/>
      <c r="H2451" s="5"/>
      <c r="I2451" s="4"/>
      <c r="J2451" s="4"/>
      <c r="K2451" s="5"/>
      <c r="Q2451" t="e">
        <f>VLOOKUP(A2451,'גיליון דאטה להכל'!A:E,5,0)</f>
        <v>#N/A</v>
      </c>
      <c r="R2451" t="e">
        <f>VLOOKUP(A2451,'לעדכן בסינתזה דאטה אריזה 42+24'!$A:$C,3,0)</f>
        <v>#N/A</v>
      </c>
      <c r="S2451" t="e">
        <f>VLOOKUP(#REF!,'מלאי לא תקין'!A:N,17,0)</f>
        <v>#REF!</v>
      </c>
      <c r="T2451" t="e">
        <f t="shared" si="81"/>
        <v>#REF!</v>
      </c>
      <c r="U2451" t="e">
        <f t="shared" si="82"/>
        <v>#REF!</v>
      </c>
    </row>
    <row r="2452" spans="4:21" x14ac:dyDescent="0.2">
      <c r="D2452" s="4"/>
      <c r="G2452" s="5"/>
      <c r="H2452" s="5"/>
      <c r="I2452" s="4"/>
      <c r="J2452" s="4"/>
      <c r="K2452" s="5"/>
      <c r="Q2452" t="e">
        <f>VLOOKUP(A2452,'גיליון דאטה להכל'!A:E,5,0)</f>
        <v>#N/A</v>
      </c>
      <c r="R2452" t="e">
        <f>VLOOKUP(A2452,'לעדכן בסינתזה דאטה אריזה 42+24'!$A:$C,3,0)</f>
        <v>#N/A</v>
      </c>
      <c r="S2452" t="e">
        <f>VLOOKUP(#REF!,'מלאי לא תקין'!A:N,17,0)</f>
        <v>#REF!</v>
      </c>
      <c r="T2452" t="e">
        <f t="shared" si="81"/>
        <v>#REF!</v>
      </c>
      <c r="U2452" t="e">
        <f t="shared" si="82"/>
        <v>#REF!</v>
      </c>
    </row>
    <row r="2453" spans="4:21" x14ac:dyDescent="0.2">
      <c r="D2453" s="4"/>
      <c r="G2453" s="5"/>
      <c r="H2453" s="5"/>
      <c r="I2453" s="4"/>
      <c r="J2453" s="4"/>
      <c r="K2453" s="5"/>
      <c r="Q2453" t="e">
        <f>VLOOKUP(A2453,'גיליון דאטה להכל'!A:E,5,0)</f>
        <v>#N/A</v>
      </c>
      <c r="R2453" t="e">
        <f>VLOOKUP(A2453,'לעדכן בסינתזה דאטה אריזה 42+24'!$A:$C,3,0)</f>
        <v>#N/A</v>
      </c>
      <c r="S2453" t="e">
        <f>VLOOKUP(#REF!,'מלאי לא תקין'!A:N,17,0)</f>
        <v>#REF!</v>
      </c>
      <c r="T2453" t="e">
        <f t="shared" si="81"/>
        <v>#REF!</v>
      </c>
      <c r="U2453" t="e">
        <f t="shared" si="82"/>
        <v>#REF!</v>
      </c>
    </row>
    <row r="2454" spans="4:21" x14ac:dyDescent="0.2">
      <c r="D2454" s="4"/>
      <c r="G2454" s="5"/>
      <c r="H2454" s="5"/>
      <c r="I2454" s="4"/>
      <c r="J2454" s="4"/>
      <c r="K2454" s="5"/>
      <c r="Q2454" t="e">
        <f>VLOOKUP(A2454,'גיליון דאטה להכל'!A:E,5,0)</f>
        <v>#N/A</v>
      </c>
      <c r="R2454" t="e">
        <f>VLOOKUP(A2454,'לעדכן בסינתזה דאטה אריזה 42+24'!$A:$C,3,0)</f>
        <v>#N/A</v>
      </c>
      <c r="S2454" t="e">
        <f>VLOOKUP(#REF!,'מלאי לא תקין'!A:N,17,0)</f>
        <v>#REF!</v>
      </c>
      <c r="T2454" t="e">
        <f t="shared" si="81"/>
        <v>#REF!</v>
      </c>
      <c r="U2454" t="e">
        <f t="shared" si="82"/>
        <v>#REF!</v>
      </c>
    </row>
    <row r="2455" spans="4:21" x14ac:dyDescent="0.2">
      <c r="D2455" s="4"/>
      <c r="G2455" s="5"/>
      <c r="H2455" s="7"/>
      <c r="I2455" s="4"/>
      <c r="J2455" s="4"/>
      <c r="K2455" s="5"/>
      <c r="Q2455" t="e">
        <f>VLOOKUP(A2455,'גיליון דאטה להכל'!A:E,5,0)</f>
        <v>#N/A</v>
      </c>
      <c r="R2455" t="e">
        <f>VLOOKUP(A2455,'לעדכן בסינתזה דאטה אריזה 42+24'!$A:$C,3,0)</f>
        <v>#N/A</v>
      </c>
      <c r="S2455" t="e">
        <f>VLOOKUP(#REF!,'מלאי לא תקין'!A:N,17,0)</f>
        <v>#REF!</v>
      </c>
      <c r="T2455" t="e">
        <f t="shared" si="81"/>
        <v>#REF!</v>
      </c>
      <c r="U2455" t="e">
        <f t="shared" si="82"/>
        <v>#REF!</v>
      </c>
    </row>
    <row r="2456" spans="4:21" x14ac:dyDescent="0.2">
      <c r="D2456" s="4"/>
      <c r="G2456" s="5"/>
      <c r="H2456" s="5"/>
      <c r="I2456" s="4"/>
      <c r="J2456" s="4"/>
      <c r="K2456" s="5"/>
      <c r="Q2456" t="e">
        <f>VLOOKUP(A2456,'גיליון דאטה להכל'!A:E,5,0)</f>
        <v>#N/A</v>
      </c>
      <c r="R2456" t="e">
        <f>VLOOKUP(A2456,'לעדכן בסינתזה דאטה אריזה 42+24'!$A:$C,3,0)</f>
        <v>#N/A</v>
      </c>
      <c r="S2456" t="e">
        <f>VLOOKUP(#REF!,'מלאי לא תקין'!A:N,17,0)</f>
        <v>#REF!</v>
      </c>
      <c r="T2456" t="e">
        <f t="shared" si="81"/>
        <v>#REF!</v>
      </c>
      <c r="U2456" t="e">
        <f t="shared" si="82"/>
        <v>#REF!</v>
      </c>
    </row>
    <row r="2457" spans="4:21" x14ac:dyDescent="0.2">
      <c r="D2457" s="4"/>
      <c r="G2457" s="5"/>
      <c r="H2457" s="5"/>
      <c r="I2457" s="4"/>
      <c r="J2457" s="4"/>
      <c r="K2457" s="5"/>
      <c r="Q2457" t="e">
        <f>VLOOKUP(A2457,'גיליון דאטה להכל'!A:E,5,0)</f>
        <v>#N/A</v>
      </c>
      <c r="R2457" t="e">
        <f>VLOOKUP(A2457,'לעדכן בסינתזה דאטה אריזה 42+24'!$A:$C,3,0)</f>
        <v>#N/A</v>
      </c>
      <c r="S2457" t="e">
        <f>VLOOKUP(#REF!,'מלאי לא תקין'!A:N,17,0)</f>
        <v>#REF!</v>
      </c>
      <c r="T2457" t="e">
        <f t="shared" si="81"/>
        <v>#REF!</v>
      </c>
      <c r="U2457" t="e">
        <f t="shared" si="82"/>
        <v>#REF!</v>
      </c>
    </row>
    <row r="2458" spans="4:21" x14ac:dyDescent="0.2">
      <c r="D2458" s="4"/>
      <c r="G2458" s="5"/>
      <c r="H2458" s="5"/>
      <c r="I2458" s="4"/>
      <c r="J2458" s="4"/>
      <c r="K2458" s="5"/>
      <c r="Q2458" t="e">
        <f>VLOOKUP(A2458,'גיליון דאטה להכל'!A:E,5,0)</f>
        <v>#N/A</v>
      </c>
      <c r="R2458" t="e">
        <f>VLOOKUP(A2458,'לעדכן בסינתזה דאטה אריזה 42+24'!$A:$C,3,0)</f>
        <v>#N/A</v>
      </c>
      <c r="S2458" t="e">
        <f>VLOOKUP(#REF!,'מלאי לא תקין'!A:N,17,0)</f>
        <v>#REF!</v>
      </c>
      <c r="T2458" t="e">
        <f t="shared" si="81"/>
        <v>#REF!</v>
      </c>
      <c r="U2458" t="e">
        <f t="shared" si="82"/>
        <v>#REF!</v>
      </c>
    </row>
    <row r="2459" spans="4:21" x14ac:dyDescent="0.2">
      <c r="D2459" s="4"/>
      <c r="G2459" s="5"/>
      <c r="H2459" s="5"/>
      <c r="I2459" s="4"/>
      <c r="J2459" s="4"/>
      <c r="K2459" s="5"/>
      <c r="Q2459" t="e">
        <f>VLOOKUP(A2459,'גיליון דאטה להכל'!A:E,5,0)</f>
        <v>#N/A</v>
      </c>
      <c r="R2459" t="e">
        <f>VLOOKUP(A2459,'לעדכן בסינתזה דאטה אריזה 42+24'!$A:$C,3,0)</f>
        <v>#N/A</v>
      </c>
      <c r="S2459" t="e">
        <f>VLOOKUP(#REF!,'מלאי לא תקין'!A:N,17,0)</f>
        <v>#REF!</v>
      </c>
      <c r="T2459" t="e">
        <f t="shared" si="81"/>
        <v>#REF!</v>
      </c>
      <c r="U2459" t="e">
        <f t="shared" si="82"/>
        <v>#REF!</v>
      </c>
    </row>
    <row r="2460" spans="4:21" x14ac:dyDescent="0.2">
      <c r="D2460" s="4"/>
      <c r="G2460" s="5"/>
      <c r="H2460" s="7"/>
      <c r="I2460" s="4"/>
      <c r="J2460" s="4"/>
      <c r="K2460" s="5"/>
      <c r="Q2460" t="e">
        <f>VLOOKUP(A2460,'גיליון דאטה להכל'!A:E,5,0)</f>
        <v>#N/A</v>
      </c>
      <c r="R2460" t="e">
        <f>VLOOKUP(A2460,'לעדכן בסינתזה דאטה אריזה 42+24'!$A:$C,3,0)</f>
        <v>#N/A</v>
      </c>
      <c r="S2460" t="e">
        <f>VLOOKUP(#REF!,'מלאי לא תקין'!A:N,17,0)</f>
        <v>#REF!</v>
      </c>
      <c r="T2460" t="e">
        <f t="shared" si="81"/>
        <v>#REF!</v>
      </c>
      <c r="U2460" t="e">
        <f t="shared" si="82"/>
        <v>#REF!</v>
      </c>
    </row>
    <row r="2461" spans="4:21" x14ac:dyDescent="0.2">
      <c r="D2461" s="4"/>
      <c r="G2461" s="5"/>
      <c r="H2461" s="5"/>
      <c r="I2461" s="4"/>
      <c r="J2461" s="4"/>
      <c r="K2461" s="5"/>
      <c r="Q2461" t="e">
        <f>VLOOKUP(A2461,'גיליון דאטה להכל'!A:E,5,0)</f>
        <v>#N/A</v>
      </c>
      <c r="R2461" t="e">
        <f>VLOOKUP(A2461,'לעדכן בסינתזה דאטה אריזה 42+24'!$A:$C,3,0)</f>
        <v>#N/A</v>
      </c>
      <c r="S2461" t="e">
        <f>VLOOKUP(#REF!,'מלאי לא תקין'!A:N,17,0)</f>
        <v>#REF!</v>
      </c>
      <c r="T2461" t="e">
        <f t="shared" si="81"/>
        <v>#REF!</v>
      </c>
      <c r="U2461" t="e">
        <f t="shared" si="82"/>
        <v>#REF!</v>
      </c>
    </row>
    <row r="2462" spans="4:21" x14ac:dyDescent="0.2">
      <c r="D2462" s="4"/>
      <c r="G2462" s="5"/>
      <c r="H2462" s="5"/>
      <c r="I2462" s="4"/>
      <c r="J2462" s="4"/>
      <c r="K2462" s="5"/>
      <c r="Q2462" t="e">
        <f>VLOOKUP(A2462,'גיליון דאטה להכל'!A:E,5,0)</f>
        <v>#N/A</v>
      </c>
      <c r="R2462" t="e">
        <f>VLOOKUP(A2462,'לעדכן בסינתזה דאטה אריזה 42+24'!$A:$C,3,0)</f>
        <v>#N/A</v>
      </c>
      <c r="S2462" t="e">
        <f>VLOOKUP(#REF!,'מלאי לא תקין'!A:N,17,0)</f>
        <v>#REF!</v>
      </c>
      <c r="T2462" t="e">
        <f t="shared" si="81"/>
        <v>#REF!</v>
      </c>
      <c r="U2462" t="e">
        <f t="shared" si="82"/>
        <v>#REF!</v>
      </c>
    </row>
    <row r="2463" spans="4:21" x14ac:dyDescent="0.2">
      <c r="D2463" s="4"/>
      <c r="G2463" s="5"/>
      <c r="H2463" s="5"/>
      <c r="I2463" s="4"/>
      <c r="J2463" s="4"/>
      <c r="K2463" s="5"/>
      <c r="Q2463" t="e">
        <f>VLOOKUP(A2463,'גיליון דאטה להכל'!A:E,5,0)</f>
        <v>#N/A</v>
      </c>
      <c r="R2463" t="e">
        <f>VLOOKUP(A2463,'לעדכן בסינתזה דאטה אריזה 42+24'!$A:$C,3,0)</f>
        <v>#N/A</v>
      </c>
      <c r="S2463" t="e">
        <f>VLOOKUP(#REF!,'מלאי לא תקין'!A:N,17,0)</f>
        <v>#REF!</v>
      </c>
      <c r="T2463" t="e">
        <f t="shared" si="81"/>
        <v>#REF!</v>
      </c>
      <c r="U2463" t="e">
        <f t="shared" si="82"/>
        <v>#REF!</v>
      </c>
    </row>
    <row r="2464" spans="4:21" x14ac:dyDescent="0.2">
      <c r="D2464" s="4"/>
      <c r="G2464" s="5"/>
      <c r="H2464" s="5"/>
      <c r="I2464" s="4"/>
      <c r="J2464" s="4"/>
      <c r="K2464" s="5"/>
      <c r="Q2464" t="e">
        <f>VLOOKUP(A2464,'גיליון דאטה להכל'!A:E,5,0)</f>
        <v>#N/A</v>
      </c>
      <c r="R2464" t="e">
        <f>VLOOKUP(A2464,'לעדכן בסינתזה דאטה אריזה 42+24'!$A:$C,3,0)</f>
        <v>#N/A</v>
      </c>
      <c r="S2464" t="e">
        <f>VLOOKUP(#REF!,'מלאי לא תקין'!A:N,17,0)</f>
        <v>#REF!</v>
      </c>
      <c r="T2464" t="e">
        <f t="shared" si="81"/>
        <v>#REF!</v>
      </c>
      <c r="U2464" t="e">
        <f t="shared" si="82"/>
        <v>#REF!</v>
      </c>
    </row>
    <row r="2465" spans="4:21" x14ac:dyDescent="0.2">
      <c r="D2465" s="4"/>
      <c r="G2465" s="5"/>
      <c r="H2465" s="7"/>
      <c r="I2465" s="4"/>
      <c r="J2465" s="4"/>
      <c r="K2465" s="5"/>
      <c r="Q2465" t="e">
        <f>VLOOKUP(A2465,'גיליון דאטה להכל'!A:E,5,0)</f>
        <v>#N/A</v>
      </c>
      <c r="R2465" t="e">
        <f>VLOOKUP(A2465,'לעדכן בסינתזה דאטה אריזה 42+24'!$A:$C,3,0)</f>
        <v>#N/A</v>
      </c>
      <c r="S2465" t="e">
        <f>VLOOKUP(#REF!,'מלאי לא תקין'!A:N,17,0)</f>
        <v>#REF!</v>
      </c>
      <c r="T2465" t="e">
        <f t="shared" si="81"/>
        <v>#REF!</v>
      </c>
      <c r="U2465" t="e">
        <f t="shared" si="82"/>
        <v>#REF!</v>
      </c>
    </row>
    <row r="2466" spans="4:21" x14ac:dyDescent="0.2">
      <c r="D2466" s="4"/>
      <c r="G2466" s="5"/>
      <c r="H2466" s="5"/>
      <c r="I2466" s="4"/>
      <c r="J2466" s="4"/>
      <c r="K2466" s="5"/>
      <c r="Q2466" t="e">
        <f>VLOOKUP(A2466,'גיליון דאטה להכל'!A:E,5,0)</f>
        <v>#N/A</v>
      </c>
      <c r="R2466" t="e">
        <f>VLOOKUP(A2466,'לעדכן בסינתזה דאטה אריזה 42+24'!$A:$C,3,0)</f>
        <v>#N/A</v>
      </c>
      <c r="S2466" t="e">
        <f>VLOOKUP(#REF!,'מלאי לא תקין'!A:N,17,0)</f>
        <v>#REF!</v>
      </c>
      <c r="T2466" t="e">
        <f t="shared" si="81"/>
        <v>#REF!</v>
      </c>
      <c r="U2466" t="e">
        <f t="shared" si="82"/>
        <v>#REF!</v>
      </c>
    </row>
    <row r="2467" spans="4:21" x14ac:dyDescent="0.2">
      <c r="D2467" s="4"/>
      <c r="G2467" s="5"/>
      <c r="H2467" s="5"/>
      <c r="I2467" s="4"/>
      <c r="J2467" s="4"/>
      <c r="K2467" s="5"/>
      <c r="Q2467" t="e">
        <f>VLOOKUP(A2467,'גיליון דאטה להכל'!A:E,5,0)</f>
        <v>#N/A</v>
      </c>
      <c r="R2467" t="e">
        <f>VLOOKUP(A2467,'לעדכן בסינתזה דאטה אריזה 42+24'!$A:$C,3,0)</f>
        <v>#N/A</v>
      </c>
      <c r="S2467" t="e">
        <f>VLOOKUP(#REF!,'מלאי לא תקין'!A:N,17,0)</f>
        <v>#REF!</v>
      </c>
      <c r="T2467" t="e">
        <f t="shared" si="81"/>
        <v>#REF!</v>
      </c>
      <c r="U2467" t="e">
        <f t="shared" si="82"/>
        <v>#REF!</v>
      </c>
    </row>
    <row r="2468" spans="4:21" x14ac:dyDescent="0.2">
      <c r="D2468" s="4"/>
      <c r="G2468" s="5"/>
      <c r="H2468" s="5"/>
      <c r="I2468" s="4"/>
      <c r="J2468" s="4"/>
      <c r="K2468" s="5"/>
      <c r="Q2468" t="e">
        <f>VLOOKUP(A2468,'גיליון דאטה להכל'!A:E,5,0)</f>
        <v>#N/A</v>
      </c>
      <c r="R2468" t="e">
        <f>VLOOKUP(A2468,'לעדכן בסינתזה דאטה אריזה 42+24'!$A:$C,3,0)</f>
        <v>#N/A</v>
      </c>
      <c r="S2468" t="e">
        <f>VLOOKUP(#REF!,'מלאי לא תקין'!A:N,17,0)</f>
        <v>#REF!</v>
      </c>
      <c r="T2468" t="e">
        <f t="shared" si="81"/>
        <v>#REF!</v>
      </c>
      <c r="U2468" t="e">
        <f t="shared" si="82"/>
        <v>#REF!</v>
      </c>
    </row>
    <row r="2469" spans="4:21" x14ac:dyDescent="0.2">
      <c r="D2469" s="4"/>
      <c r="G2469" s="5"/>
      <c r="H2469" s="5"/>
      <c r="I2469" s="4"/>
      <c r="J2469" s="4"/>
      <c r="K2469" s="5"/>
      <c r="Q2469" t="e">
        <f>VLOOKUP(A2469,'גיליון דאטה להכל'!A:E,5,0)</f>
        <v>#N/A</v>
      </c>
      <c r="R2469" t="e">
        <f>VLOOKUP(A2469,'לעדכן בסינתזה דאטה אריזה 42+24'!$A:$C,3,0)</f>
        <v>#N/A</v>
      </c>
      <c r="S2469" t="e">
        <f>VLOOKUP(#REF!,'מלאי לא תקין'!A:N,17,0)</f>
        <v>#REF!</v>
      </c>
      <c r="T2469" t="e">
        <f t="shared" si="81"/>
        <v>#REF!</v>
      </c>
      <c r="U2469" t="e">
        <f t="shared" si="82"/>
        <v>#REF!</v>
      </c>
    </row>
    <row r="2470" spans="4:21" x14ac:dyDescent="0.2">
      <c r="D2470" s="4"/>
      <c r="G2470" s="5"/>
      <c r="H2470" s="7"/>
      <c r="I2470" s="4"/>
      <c r="J2470" s="4"/>
      <c r="K2470" s="5"/>
      <c r="Q2470" t="e">
        <f>VLOOKUP(A2470,'גיליון דאטה להכל'!A:E,5,0)</f>
        <v>#N/A</v>
      </c>
      <c r="R2470" t="e">
        <f>VLOOKUP(A2470,'לעדכן בסינתזה דאטה אריזה 42+24'!$A:$C,3,0)</f>
        <v>#N/A</v>
      </c>
      <c r="S2470" t="e">
        <f>VLOOKUP(#REF!,'מלאי לא תקין'!A:N,17,0)</f>
        <v>#REF!</v>
      </c>
      <c r="T2470" t="e">
        <f t="shared" si="81"/>
        <v>#REF!</v>
      </c>
      <c r="U2470" t="e">
        <f t="shared" si="82"/>
        <v>#REF!</v>
      </c>
    </row>
    <row r="2471" spans="4:21" x14ac:dyDescent="0.2">
      <c r="D2471" s="4"/>
      <c r="G2471" s="5"/>
      <c r="H2471" s="5"/>
      <c r="I2471" s="4"/>
      <c r="J2471" s="4"/>
      <c r="K2471" s="5"/>
      <c r="Q2471" t="e">
        <f>VLOOKUP(A2471,'גיליון דאטה להכל'!A:E,5,0)</f>
        <v>#N/A</v>
      </c>
      <c r="R2471" t="e">
        <f>VLOOKUP(A2471,'לעדכן בסינתזה דאטה אריזה 42+24'!$A:$C,3,0)</f>
        <v>#N/A</v>
      </c>
      <c r="S2471" t="e">
        <f>VLOOKUP(#REF!,'מלאי לא תקין'!A:N,17,0)</f>
        <v>#REF!</v>
      </c>
      <c r="T2471" t="e">
        <f t="shared" si="81"/>
        <v>#REF!</v>
      </c>
      <c r="U2471" t="e">
        <f t="shared" si="82"/>
        <v>#REF!</v>
      </c>
    </row>
    <row r="2472" spans="4:21" x14ac:dyDescent="0.2">
      <c r="D2472" s="4"/>
      <c r="G2472" s="5"/>
      <c r="H2472" s="5"/>
      <c r="I2472" s="4"/>
      <c r="J2472" s="4"/>
      <c r="K2472" s="5"/>
      <c r="Q2472" t="e">
        <f>VLOOKUP(A2472,'גיליון דאטה להכל'!A:E,5,0)</f>
        <v>#N/A</v>
      </c>
      <c r="R2472" t="e">
        <f>VLOOKUP(A2472,'לעדכן בסינתזה דאטה אריזה 42+24'!$A:$C,3,0)</f>
        <v>#N/A</v>
      </c>
      <c r="S2472" t="e">
        <f>VLOOKUP(#REF!,'מלאי לא תקין'!A:N,17,0)</f>
        <v>#REF!</v>
      </c>
      <c r="T2472" t="e">
        <f t="shared" si="81"/>
        <v>#REF!</v>
      </c>
      <c r="U2472" t="e">
        <f t="shared" si="82"/>
        <v>#REF!</v>
      </c>
    </row>
    <row r="2473" spans="4:21" x14ac:dyDescent="0.2">
      <c r="D2473" s="4"/>
      <c r="G2473" s="5"/>
      <c r="H2473" s="5"/>
      <c r="I2473" s="4"/>
      <c r="J2473" s="4"/>
      <c r="K2473" s="5"/>
      <c r="Q2473" t="e">
        <f>VLOOKUP(A2473,'גיליון דאטה להכל'!A:E,5,0)</f>
        <v>#N/A</v>
      </c>
      <c r="R2473" t="e">
        <f>VLOOKUP(A2473,'לעדכן בסינתזה דאטה אריזה 42+24'!$A:$C,3,0)</f>
        <v>#N/A</v>
      </c>
      <c r="S2473" t="e">
        <f>VLOOKUP(#REF!,'מלאי לא תקין'!A:N,17,0)</f>
        <v>#REF!</v>
      </c>
      <c r="T2473" t="e">
        <f t="shared" si="81"/>
        <v>#REF!</v>
      </c>
      <c r="U2473" t="e">
        <f t="shared" si="82"/>
        <v>#REF!</v>
      </c>
    </row>
    <row r="2474" spans="4:21" x14ac:dyDescent="0.2">
      <c r="D2474" s="4"/>
      <c r="G2474" s="5"/>
      <c r="H2474" s="5"/>
      <c r="I2474" s="4"/>
      <c r="J2474" s="4"/>
      <c r="K2474" s="5"/>
      <c r="Q2474" t="e">
        <f>VLOOKUP(A2474,'גיליון דאטה להכל'!A:E,5,0)</f>
        <v>#N/A</v>
      </c>
      <c r="R2474" t="e">
        <f>VLOOKUP(A2474,'לעדכן בסינתזה דאטה אריזה 42+24'!$A:$C,3,0)</f>
        <v>#N/A</v>
      </c>
      <c r="S2474" t="e">
        <f>VLOOKUP(#REF!,'מלאי לא תקין'!A:N,17,0)</f>
        <v>#REF!</v>
      </c>
      <c r="T2474" t="e">
        <f t="shared" si="81"/>
        <v>#REF!</v>
      </c>
      <c r="U2474" t="e">
        <f t="shared" si="82"/>
        <v>#REF!</v>
      </c>
    </row>
    <row r="2475" spans="4:21" x14ac:dyDescent="0.2">
      <c r="D2475" s="4"/>
      <c r="G2475" s="5"/>
      <c r="H2475" s="7"/>
      <c r="I2475" s="4"/>
      <c r="J2475" s="4"/>
      <c r="K2475" s="5"/>
      <c r="Q2475" t="e">
        <f>VLOOKUP(A2475,'גיליון דאטה להכל'!A:E,5,0)</f>
        <v>#N/A</v>
      </c>
      <c r="R2475" t="e">
        <f>VLOOKUP(A2475,'לעדכן בסינתזה דאטה אריזה 42+24'!$A:$C,3,0)</f>
        <v>#N/A</v>
      </c>
      <c r="S2475" t="e">
        <f>VLOOKUP(#REF!,'מלאי לא תקין'!A:N,17,0)</f>
        <v>#REF!</v>
      </c>
      <c r="T2475" t="e">
        <f t="shared" si="81"/>
        <v>#REF!</v>
      </c>
      <c r="U2475" t="e">
        <f t="shared" si="82"/>
        <v>#REF!</v>
      </c>
    </row>
    <row r="2476" spans="4:21" x14ac:dyDescent="0.2">
      <c r="D2476" s="4"/>
      <c r="G2476" s="5"/>
      <c r="H2476" s="5"/>
      <c r="I2476" s="4"/>
      <c r="J2476" s="4"/>
      <c r="K2476" s="5"/>
      <c r="Q2476" t="e">
        <f>VLOOKUP(A2476,'גיליון דאטה להכל'!A:E,5,0)</f>
        <v>#N/A</v>
      </c>
      <c r="R2476" t="e">
        <f>VLOOKUP(A2476,'לעדכן בסינתזה דאטה אריזה 42+24'!$A:$C,3,0)</f>
        <v>#N/A</v>
      </c>
      <c r="S2476" t="e">
        <f>VLOOKUP(#REF!,'מלאי לא תקין'!A:N,17,0)</f>
        <v>#REF!</v>
      </c>
      <c r="T2476" t="e">
        <f t="shared" si="81"/>
        <v>#REF!</v>
      </c>
      <c r="U2476" t="e">
        <f t="shared" si="82"/>
        <v>#REF!</v>
      </c>
    </row>
    <row r="2477" spans="4:21" x14ac:dyDescent="0.2">
      <c r="D2477" s="4"/>
      <c r="G2477" s="5"/>
      <c r="H2477" s="5"/>
      <c r="I2477" s="4"/>
      <c r="J2477" s="4"/>
      <c r="K2477" s="5"/>
      <c r="Q2477" t="e">
        <f>VLOOKUP(A2477,'גיליון דאטה להכל'!A:E,5,0)</f>
        <v>#N/A</v>
      </c>
      <c r="R2477" t="e">
        <f>VLOOKUP(A2477,'לעדכן בסינתזה דאטה אריזה 42+24'!$A:$C,3,0)</f>
        <v>#N/A</v>
      </c>
      <c r="S2477" t="e">
        <f>VLOOKUP(#REF!,'מלאי לא תקין'!A:N,17,0)</f>
        <v>#REF!</v>
      </c>
      <c r="T2477" t="e">
        <f t="shared" si="81"/>
        <v>#REF!</v>
      </c>
      <c r="U2477" t="e">
        <f t="shared" si="82"/>
        <v>#REF!</v>
      </c>
    </row>
    <row r="2478" spans="4:21" x14ac:dyDescent="0.2">
      <c r="D2478" s="4"/>
      <c r="G2478" s="5"/>
      <c r="H2478" s="5"/>
      <c r="I2478" s="4"/>
      <c r="J2478" s="4"/>
      <c r="K2478" s="5"/>
      <c r="Q2478" t="e">
        <f>VLOOKUP(A2478,'גיליון דאטה להכל'!A:E,5,0)</f>
        <v>#N/A</v>
      </c>
      <c r="R2478" t="e">
        <f>VLOOKUP(A2478,'לעדכן בסינתזה דאטה אריזה 42+24'!$A:$C,3,0)</f>
        <v>#N/A</v>
      </c>
      <c r="S2478" t="e">
        <f>VLOOKUP(#REF!,'מלאי לא תקין'!A:N,17,0)</f>
        <v>#REF!</v>
      </c>
      <c r="T2478" t="e">
        <f t="shared" si="81"/>
        <v>#REF!</v>
      </c>
      <c r="U2478" t="e">
        <f t="shared" si="82"/>
        <v>#REF!</v>
      </c>
    </row>
    <row r="2479" spans="4:21" x14ac:dyDescent="0.2">
      <c r="D2479" s="4"/>
      <c r="G2479" s="5"/>
      <c r="H2479" s="5"/>
      <c r="I2479" s="4"/>
      <c r="J2479" s="4"/>
      <c r="K2479" s="5"/>
      <c r="Q2479" t="e">
        <f>VLOOKUP(A2479,'גיליון דאטה להכל'!A:E,5,0)</f>
        <v>#N/A</v>
      </c>
      <c r="R2479" t="e">
        <f>VLOOKUP(A2479,'לעדכן בסינתזה דאטה אריזה 42+24'!$A:$C,3,0)</f>
        <v>#N/A</v>
      </c>
      <c r="S2479" t="e">
        <f>VLOOKUP(#REF!,'מלאי לא תקין'!A:N,17,0)</f>
        <v>#REF!</v>
      </c>
      <c r="T2479" t="e">
        <f t="shared" si="81"/>
        <v>#REF!</v>
      </c>
      <c r="U2479" t="e">
        <f t="shared" si="82"/>
        <v>#REF!</v>
      </c>
    </row>
    <row r="2480" spans="4:21" x14ac:dyDescent="0.2">
      <c r="D2480" s="4"/>
      <c r="G2480" s="5"/>
      <c r="H2480" s="7"/>
      <c r="I2480" s="4"/>
      <c r="J2480" s="4"/>
      <c r="K2480" s="5"/>
      <c r="Q2480" t="e">
        <f>VLOOKUP(A2480,'גיליון דאטה להכל'!A:E,5,0)</f>
        <v>#N/A</v>
      </c>
      <c r="R2480" t="e">
        <f>VLOOKUP(A2480,'לעדכן בסינתזה דאטה אריזה 42+24'!$A:$C,3,0)</f>
        <v>#N/A</v>
      </c>
      <c r="S2480" t="e">
        <f>VLOOKUP(#REF!,'מלאי לא תקין'!A:N,17,0)</f>
        <v>#REF!</v>
      </c>
      <c r="T2480" t="e">
        <f t="shared" si="81"/>
        <v>#REF!</v>
      </c>
      <c r="U2480" t="e">
        <f t="shared" si="82"/>
        <v>#REF!</v>
      </c>
    </row>
    <row r="2481" spans="4:21" x14ac:dyDescent="0.2">
      <c r="D2481" s="4"/>
      <c r="G2481" s="5"/>
      <c r="H2481" s="5"/>
      <c r="I2481" s="4"/>
      <c r="J2481" s="4"/>
      <c r="K2481" s="5"/>
      <c r="Q2481" t="e">
        <f>VLOOKUP(A2481,'גיליון דאטה להכל'!A:E,5,0)</f>
        <v>#N/A</v>
      </c>
      <c r="R2481" t="e">
        <f>VLOOKUP(A2481,'לעדכן בסינתזה דאטה אריזה 42+24'!$A:$C,3,0)</f>
        <v>#N/A</v>
      </c>
      <c r="S2481" t="e">
        <f>VLOOKUP(#REF!,'מלאי לא תקין'!A:N,17,0)</f>
        <v>#REF!</v>
      </c>
      <c r="T2481" t="e">
        <f t="shared" si="81"/>
        <v>#REF!</v>
      </c>
      <c r="U2481" t="e">
        <f t="shared" si="82"/>
        <v>#REF!</v>
      </c>
    </row>
    <row r="2482" spans="4:21" x14ac:dyDescent="0.2">
      <c r="D2482" s="4"/>
      <c r="G2482" s="5"/>
      <c r="H2482" s="5"/>
      <c r="I2482" s="4"/>
      <c r="J2482" s="4"/>
      <c r="K2482" s="5"/>
      <c r="Q2482" t="e">
        <f>VLOOKUP(A2482,'גיליון דאטה להכל'!A:E,5,0)</f>
        <v>#N/A</v>
      </c>
      <c r="R2482" t="e">
        <f>VLOOKUP(A2482,'לעדכן בסינתזה דאטה אריזה 42+24'!$A:$C,3,0)</f>
        <v>#N/A</v>
      </c>
      <c r="S2482" t="e">
        <f>VLOOKUP(#REF!,'מלאי לא תקין'!A:N,17,0)</f>
        <v>#REF!</v>
      </c>
      <c r="T2482" t="e">
        <f t="shared" si="81"/>
        <v>#REF!</v>
      </c>
      <c r="U2482" t="e">
        <f t="shared" si="82"/>
        <v>#REF!</v>
      </c>
    </row>
    <row r="2483" spans="4:21" x14ac:dyDescent="0.2">
      <c r="D2483" s="4"/>
      <c r="G2483" s="5"/>
      <c r="H2483" s="5"/>
      <c r="I2483" s="4"/>
      <c r="J2483" s="4"/>
      <c r="K2483" s="5"/>
      <c r="Q2483" t="e">
        <f>VLOOKUP(A2483,'גיליון דאטה להכל'!A:E,5,0)</f>
        <v>#N/A</v>
      </c>
      <c r="R2483" t="e">
        <f>VLOOKUP(A2483,'לעדכן בסינתזה דאטה אריזה 42+24'!$A:$C,3,0)</f>
        <v>#N/A</v>
      </c>
      <c r="S2483" t="e">
        <f>VLOOKUP(#REF!,'מלאי לא תקין'!A:N,17,0)</f>
        <v>#REF!</v>
      </c>
      <c r="T2483" t="e">
        <f t="shared" si="81"/>
        <v>#REF!</v>
      </c>
      <c r="U2483" t="e">
        <f t="shared" si="82"/>
        <v>#REF!</v>
      </c>
    </row>
    <row r="2484" spans="4:21" x14ac:dyDescent="0.2">
      <c r="D2484" s="4"/>
      <c r="G2484" s="5"/>
      <c r="H2484" s="5"/>
      <c r="I2484" s="4"/>
      <c r="J2484" s="4"/>
      <c r="K2484" s="5"/>
      <c r="Q2484" t="e">
        <f>VLOOKUP(A2484,'גיליון דאטה להכל'!A:E,5,0)</f>
        <v>#N/A</v>
      </c>
      <c r="R2484" t="e">
        <f>VLOOKUP(A2484,'לעדכן בסינתזה דאטה אריזה 42+24'!$A:$C,3,0)</f>
        <v>#N/A</v>
      </c>
      <c r="S2484" t="e">
        <f>VLOOKUP(#REF!,'מלאי לא תקין'!A:N,17,0)</f>
        <v>#REF!</v>
      </c>
      <c r="T2484" t="e">
        <f t="shared" si="81"/>
        <v>#REF!</v>
      </c>
      <c r="U2484" t="e">
        <f t="shared" si="82"/>
        <v>#REF!</v>
      </c>
    </row>
    <row r="2485" spans="4:21" x14ac:dyDescent="0.2">
      <c r="D2485" s="4"/>
      <c r="G2485" s="5"/>
      <c r="H2485" s="7"/>
      <c r="I2485" s="4"/>
      <c r="J2485" s="4"/>
      <c r="K2485" s="5"/>
      <c r="Q2485" t="e">
        <f>VLOOKUP(A2485,'גיליון דאטה להכל'!A:E,5,0)</f>
        <v>#N/A</v>
      </c>
      <c r="R2485" t="e">
        <f>VLOOKUP(A2485,'לעדכן בסינתזה דאטה אריזה 42+24'!$A:$C,3,0)</f>
        <v>#N/A</v>
      </c>
      <c r="S2485" t="e">
        <f>VLOOKUP(#REF!,'מלאי לא תקין'!A:N,17,0)</f>
        <v>#REF!</v>
      </c>
      <c r="T2485" t="e">
        <f t="shared" si="81"/>
        <v>#REF!</v>
      </c>
      <c r="U2485" t="e">
        <f t="shared" si="82"/>
        <v>#REF!</v>
      </c>
    </row>
    <row r="2486" spans="4:21" x14ac:dyDescent="0.2">
      <c r="D2486" s="4"/>
      <c r="G2486" s="5"/>
      <c r="H2486" s="5"/>
      <c r="I2486" s="4"/>
      <c r="J2486" s="4"/>
      <c r="K2486" s="5"/>
      <c r="Q2486" t="e">
        <f>VLOOKUP(A2486,'גיליון דאטה להכל'!A:E,5,0)</f>
        <v>#N/A</v>
      </c>
      <c r="R2486" t="e">
        <f>VLOOKUP(A2486,'לעדכן בסינתזה דאטה אריזה 42+24'!$A:$C,3,0)</f>
        <v>#N/A</v>
      </c>
      <c r="S2486" t="e">
        <f>VLOOKUP(#REF!,'מלאי לא תקין'!A:N,17,0)</f>
        <v>#REF!</v>
      </c>
      <c r="T2486" t="e">
        <f t="shared" si="81"/>
        <v>#REF!</v>
      </c>
      <c r="U2486" t="e">
        <f t="shared" si="82"/>
        <v>#REF!</v>
      </c>
    </row>
    <row r="2487" spans="4:21" x14ac:dyDescent="0.2">
      <c r="D2487" s="4"/>
      <c r="G2487" s="5"/>
      <c r="H2487" s="5"/>
      <c r="I2487" s="4"/>
      <c r="J2487" s="4"/>
      <c r="K2487" s="5"/>
      <c r="Q2487" t="e">
        <f>VLOOKUP(A2487,'גיליון דאטה להכל'!A:E,5,0)</f>
        <v>#N/A</v>
      </c>
      <c r="R2487" t="e">
        <f>VLOOKUP(A2487,'לעדכן בסינתזה דאטה אריזה 42+24'!$A:$C,3,0)</f>
        <v>#N/A</v>
      </c>
      <c r="S2487" t="e">
        <f>VLOOKUP(#REF!,'מלאי לא תקין'!A:N,17,0)</f>
        <v>#REF!</v>
      </c>
      <c r="T2487" t="e">
        <f t="shared" si="81"/>
        <v>#REF!</v>
      </c>
      <c r="U2487" t="e">
        <f t="shared" si="82"/>
        <v>#REF!</v>
      </c>
    </row>
    <row r="2488" spans="4:21" x14ac:dyDescent="0.2">
      <c r="D2488" s="4"/>
      <c r="G2488" s="5"/>
      <c r="H2488" s="5"/>
      <c r="I2488" s="4"/>
      <c r="J2488" s="4"/>
      <c r="K2488" s="5"/>
      <c r="Q2488" t="e">
        <f>VLOOKUP(A2488,'גיליון דאטה להכל'!A:E,5,0)</f>
        <v>#N/A</v>
      </c>
      <c r="R2488" t="e">
        <f>VLOOKUP(A2488,'לעדכן בסינתזה דאטה אריזה 42+24'!$A:$C,3,0)</f>
        <v>#N/A</v>
      </c>
      <c r="S2488" t="e">
        <f>VLOOKUP(#REF!,'מלאי לא תקין'!A:N,17,0)</f>
        <v>#REF!</v>
      </c>
      <c r="T2488" t="e">
        <f t="shared" si="81"/>
        <v>#REF!</v>
      </c>
      <c r="U2488" t="e">
        <f t="shared" si="82"/>
        <v>#REF!</v>
      </c>
    </row>
    <row r="2489" spans="4:21" x14ac:dyDescent="0.2">
      <c r="D2489" s="4"/>
      <c r="G2489" s="5"/>
      <c r="H2489" s="5"/>
      <c r="I2489" s="4"/>
      <c r="J2489" s="4"/>
      <c r="K2489" s="5"/>
      <c r="Q2489" t="e">
        <f>VLOOKUP(A2489,'גיליון דאטה להכל'!A:E,5,0)</f>
        <v>#N/A</v>
      </c>
      <c r="R2489" t="e">
        <f>VLOOKUP(A2489,'לעדכן בסינתזה דאטה אריזה 42+24'!$A:$C,3,0)</f>
        <v>#N/A</v>
      </c>
      <c r="S2489" t="e">
        <f>VLOOKUP(#REF!,'מלאי לא תקין'!A:N,17,0)</f>
        <v>#REF!</v>
      </c>
      <c r="T2489" t="e">
        <f t="shared" si="81"/>
        <v>#REF!</v>
      </c>
      <c r="U2489" t="e">
        <f t="shared" si="82"/>
        <v>#REF!</v>
      </c>
    </row>
    <row r="2490" spans="4:21" x14ac:dyDescent="0.2">
      <c r="D2490" s="4"/>
      <c r="G2490" s="5"/>
      <c r="H2490" s="7"/>
      <c r="I2490" s="4"/>
      <c r="J2490" s="4"/>
      <c r="K2490" s="5"/>
      <c r="Q2490" t="e">
        <f>VLOOKUP(A2490,'גיליון דאטה להכל'!A:E,5,0)</f>
        <v>#N/A</v>
      </c>
      <c r="R2490" t="e">
        <f>VLOOKUP(A2490,'לעדכן בסינתזה דאטה אריזה 42+24'!$A:$C,3,0)</f>
        <v>#N/A</v>
      </c>
      <c r="S2490" t="e">
        <f>VLOOKUP(#REF!,'מלאי לא תקין'!A:N,17,0)</f>
        <v>#REF!</v>
      </c>
      <c r="T2490" t="e">
        <f t="shared" si="81"/>
        <v>#REF!</v>
      </c>
      <c r="U2490" t="e">
        <f t="shared" si="82"/>
        <v>#REF!</v>
      </c>
    </row>
    <row r="2491" spans="4:21" x14ac:dyDescent="0.2">
      <c r="D2491" s="4"/>
      <c r="G2491" s="5"/>
      <c r="H2491" s="5"/>
      <c r="I2491" s="4"/>
      <c r="J2491" s="4"/>
      <c r="K2491" s="5"/>
      <c r="Q2491" t="e">
        <f>VLOOKUP(A2491,'גיליון דאטה להכל'!A:E,5,0)</f>
        <v>#N/A</v>
      </c>
      <c r="R2491" t="e">
        <f>VLOOKUP(A2491,'לעדכן בסינתזה דאטה אריזה 42+24'!$A:$C,3,0)</f>
        <v>#N/A</v>
      </c>
      <c r="S2491" t="e">
        <f>VLOOKUP(#REF!,'מלאי לא תקין'!A:N,17,0)</f>
        <v>#REF!</v>
      </c>
      <c r="T2491" t="e">
        <f t="shared" si="81"/>
        <v>#REF!</v>
      </c>
      <c r="U2491" t="e">
        <f t="shared" si="82"/>
        <v>#REF!</v>
      </c>
    </row>
    <row r="2492" spans="4:21" x14ac:dyDescent="0.2">
      <c r="D2492" s="4"/>
      <c r="G2492" s="5"/>
      <c r="H2492" s="5"/>
      <c r="I2492" s="4"/>
      <c r="J2492" s="4"/>
      <c r="K2492" s="5"/>
      <c r="Q2492" t="e">
        <f>VLOOKUP(A2492,'גיליון דאטה להכל'!A:E,5,0)</f>
        <v>#N/A</v>
      </c>
      <c r="R2492" t="e">
        <f>VLOOKUP(A2492,'לעדכן בסינתזה דאטה אריזה 42+24'!$A:$C,3,0)</f>
        <v>#N/A</v>
      </c>
      <c r="S2492" t="e">
        <f>VLOOKUP(#REF!,'מלאי לא תקין'!A:N,17,0)</f>
        <v>#REF!</v>
      </c>
      <c r="T2492" t="e">
        <f t="shared" si="81"/>
        <v>#REF!</v>
      </c>
      <c r="U2492" t="e">
        <f t="shared" si="82"/>
        <v>#REF!</v>
      </c>
    </row>
    <row r="2493" spans="4:21" x14ac:dyDescent="0.2">
      <c r="D2493" s="4"/>
      <c r="G2493" s="5"/>
      <c r="H2493" s="5"/>
      <c r="I2493" s="4"/>
      <c r="J2493" s="4"/>
      <c r="K2493" s="5"/>
      <c r="Q2493" t="e">
        <f>VLOOKUP(A2493,'גיליון דאטה להכל'!A:E,5,0)</f>
        <v>#N/A</v>
      </c>
      <c r="R2493" t="e">
        <f>VLOOKUP(A2493,'לעדכן בסינתזה דאטה אריזה 42+24'!$A:$C,3,0)</f>
        <v>#N/A</v>
      </c>
      <c r="S2493" t="e">
        <f>VLOOKUP(#REF!,'מלאי לא תקין'!A:N,17,0)</f>
        <v>#REF!</v>
      </c>
      <c r="T2493" t="e">
        <f t="shared" si="81"/>
        <v>#REF!</v>
      </c>
      <c r="U2493" t="e">
        <f t="shared" si="82"/>
        <v>#REF!</v>
      </c>
    </row>
    <row r="2494" spans="4:21" x14ac:dyDescent="0.2">
      <c r="D2494" s="4"/>
      <c r="G2494" s="5"/>
      <c r="H2494" s="5"/>
      <c r="I2494" s="4"/>
      <c r="J2494" s="4"/>
      <c r="K2494" s="5"/>
      <c r="Q2494" t="e">
        <f>VLOOKUP(A2494,'גיליון דאטה להכל'!A:E,5,0)</f>
        <v>#N/A</v>
      </c>
      <c r="R2494" t="e">
        <f>VLOOKUP(A2494,'לעדכן בסינתזה דאטה אריזה 42+24'!$A:$C,3,0)</f>
        <v>#N/A</v>
      </c>
      <c r="S2494" t="e">
        <f>VLOOKUP(#REF!,'מלאי לא תקין'!A:N,17,0)</f>
        <v>#REF!</v>
      </c>
      <c r="T2494" t="e">
        <f t="shared" ref="T2494:T2557" si="83">_xlfn.CONCAT(S2494,Q2494)</f>
        <v>#REF!</v>
      </c>
      <c r="U2494" t="e">
        <f t="shared" ref="U2494:U2557" si="84">_xlfn.CONCAT(S2494,O2494)</f>
        <v>#REF!</v>
      </c>
    </row>
    <row r="2495" spans="4:21" x14ac:dyDescent="0.2">
      <c r="D2495" s="4"/>
      <c r="G2495" s="5"/>
      <c r="H2495" s="7"/>
      <c r="I2495" s="4"/>
      <c r="J2495" s="4"/>
      <c r="K2495" s="5"/>
      <c r="Q2495" t="e">
        <f>VLOOKUP(A2495,'גיליון דאטה להכל'!A:E,5,0)</f>
        <v>#N/A</v>
      </c>
      <c r="R2495" t="e">
        <f>VLOOKUP(A2495,'לעדכן בסינתזה דאטה אריזה 42+24'!$A:$C,3,0)</f>
        <v>#N/A</v>
      </c>
      <c r="S2495" t="e">
        <f>VLOOKUP(#REF!,'מלאי לא תקין'!A:N,17,0)</f>
        <v>#REF!</v>
      </c>
      <c r="T2495" t="e">
        <f t="shared" si="83"/>
        <v>#REF!</v>
      </c>
      <c r="U2495" t="e">
        <f t="shared" si="84"/>
        <v>#REF!</v>
      </c>
    </row>
    <row r="2496" spans="4:21" x14ac:dyDescent="0.2">
      <c r="D2496" s="4"/>
      <c r="G2496" s="5"/>
      <c r="H2496" s="5"/>
      <c r="I2496" s="4"/>
      <c r="J2496" s="4"/>
      <c r="K2496" s="5"/>
      <c r="Q2496" t="e">
        <f>VLOOKUP(A2496,'גיליון דאטה להכל'!A:E,5,0)</f>
        <v>#N/A</v>
      </c>
      <c r="R2496" t="e">
        <f>VLOOKUP(A2496,'לעדכן בסינתזה דאטה אריזה 42+24'!$A:$C,3,0)</f>
        <v>#N/A</v>
      </c>
      <c r="S2496" t="e">
        <f>VLOOKUP(#REF!,'מלאי לא תקין'!A:N,17,0)</f>
        <v>#REF!</v>
      </c>
      <c r="T2496" t="e">
        <f t="shared" si="83"/>
        <v>#REF!</v>
      </c>
      <c r="U2496" t="e">
        <f t="shared" si="84"/>
        <v>#REF!</v>
      </c>
    </row>
    <row r="2497" spans="4:21" x14ac:dyDescent="0.2">
      <c r="D2497" s="4"/>
      <c r="G2497" s="5"/>
      <c r="H2497" s="5"/>
      <c r="I2497" s="4"/>
      <c r="J2497" s="4"/>
      <c r="K2497" s="5"/>
      <c r="Q2497" t="e">
        <f>VLOOKUP(A2497,'גיליון דאטה להכל'!A:E,5,0)</f>
        <v>#N/A</v>
      </c>
      <c r="R2497" t="e">
        <f>VLOOKUP(A2497,'לעדכן בסינתזה דאטה אריזה 42+24'!$A:$C,3,0)</f>
        <v>#N/A</v>
      </c>
      <c r="S2497" t="e">
        <f>VLOOKUP(#REF!,'מלאי לא תקין'!A:N,17,0)</f>
        <v>#REF!</v>
      </c>
      <c r="T2497" t="e">
        <f t="shared" si="83"/>
        <v>#REF!</v>
      </c>
      <c r="U2497" t="e">
        <f t="shared" si="84"/>
        <v>#REF!</v>
      </c>
    </row>
    <row r="2498" spans="4:21" x14ac:dyDescent="0.2">
      <c r="D2498" s="4"/>
      <c r="G2498" s="5"/>
      <c r="H2498" s="5"/>
      <c r="I2498" s="4"/>
      <c r="J2498" s="4"/>
      <c r="K2498" s="5"/>
      <c r="Q2498" t="e">
        <f>VLOOKUP(A2498,'גיליון דאטה להכל'!A:E,5,0)</f>
        <v>#N/A</v>
      </c>
      <c r="R2498" t="e">
        <f>VLOOKUP(A2498,'לעדכן בסינתזה דאטה אריזה 42+24'!$A:$C,3,0)</f>
        <v>#N/A</v>
      </c>
      <c r="S2498" t="e">
        <f>VLOOKUP(#REF!,'מלאי לא תקין'!A:N,17,0)</f>
        <v>#REF!</v>
      </c>
      <c r="T2498" t="e">
        <f t="shared" si="83"/>
        <v>#REF!</v>
      </c>
      <c r="U2498" t="e">
        <f t="shared" si="84"/>
        <v>#REF!</v>
      </c>
    </row>
    <row r="2499" spans="4:21" x14ac:dyDescent="0.2">
      <c r="D2499" s="4"/>
      <c r="G2499" s="5"/>
      <c r="H2499" s="5"/>
      <c r="I2499" s="4"/>
      <c r="J2499" s="4"/>
      <c r="K2499" s="5"/>
      <c r="Q2499" t="e">
        <f>VLOOKUP(A2499,'גיליון דאטה להכל'!A:E,5,0)</f>
        <v>#N/A</v>
      </c>
      <c r="R2499" t="e">
        <f>VLOOKUP(A2499,'לעדכן בסינתזה דאטה אריזה 42+24'!$A:$C,3,0)</f>
        <v>#N/A</v>
      </c>
      <c r="S2499" t="e">
        <f>VLOOKUP(#REF!,'מלאי לא תקין'!A:N,17,0)</f>
        <v>#REF!</v>
      </c>
      <c r="T2499" t="e">
        <f t="shared" si="83"/>
        <v>#REF!</v>
      </c>
      <c r="U2499" t="e">
        <f t="shared" si="84"/>
        <v>#REF!</v>
      </c>
    </row>
    <row r="2500" spans="4:21" x14ac:dyDescent="0.2">
      <c r="D2500" s="4"/>
      <c r="G2500" s="5"/>
      <c r="H2500" s="7"/>
      <c r="I2500" s="4"/>
      <c r="J2500" s="4"/>
      <c r="K2500" s="5"/>
      <c r="Q2500" t="e">
        <f>VLOOKUP(A2500,'גיליון דאטה להכל'!A:E,5,0)</f>
        <v>#N/A</v>
      </c>
      <c r="R2500" t="e">
        <f>VLOOKUP(A2500,'לעדכן בסינתזה דאטה אריזה 42+24'!$A:$C,3,0)</f>
        <v>#N/A</v>
      </c>
      <c r="S2500" t="e">
        <f>VLOOKUP(#REF!,'מלאי לא תקין'!A:N,17,0)</f>
        <v>#REF!</v>
      </c>
      <c r="T2500" t="e">
        <f t="shared" si="83"/>
        <v>#REF!</v>
      </c>
      <c r="U2500" t="e">
        <f t="shared" si="84"/>
        <v>#REF!</v>
      </c>
    </row>
    <row r="2501" spans="4:21" x14ac:dyDescent="0.2">
      <c r="D2501" s="4"/>
      <c r="G2501" s="5"/>
      <c r="H2501" s="5"/>
      <c r="I2501" s="4"/>
      <c r="J2501" s="4"/>
      <c r="K2501" s="5"/>
      <c r="Q2501" t="e">
        <f>VLOOKUP(A2501,'גיליון דאטה להכל'!A:E,5,0)</f>
        <v>#N/A</v>
      </c>
      <c r="R2501" t="e">
        <f>VLOOKUP(A2501,'לעדכן בסינתזה דאטה אריזה 42+24'!$A:$C,3,0)</f>
        <v>#N/A</v>
      </c>
      <c r="S2501" t="e">
        <f>VLOOKUP(#REF!,'מלאי לא תקין'!A:N,17,0)</f>
        <v>#REF!</v>
      </c>
      <c r="T2501" t="e">
        <f t="shared" si="83"/>
        <v>#REF!</v>
      </c>
      <c r="U2501" t="e">
        <f t="shared" si="84"/>
        <v>#REF!</v>
      </c>
    </row>
    <row r="2502" spans="4:21" x14ac:dyDescent="0.2">
      <c r="D2502" s="4"/>
      <c r="G2502" s="5"/>
      <c r="H2502" s="5"/>
      <c r="I2502" s="4"/>
      <c r="J2502" s="4"/>
      <c r="K2502" s="5"/>
      <c r="Q2502" t="e">
        <f>VLOOKUP(A2502,'גיליון דאטה להכל'!A:E,5,0)</f>
        <v>#N/A</v>
      </c>
      <c r="R2502" t="e">
        <f>VLOOKUP(A2502,'לעדכן בסינתזה דאטה אריזה 42+24'!$A:$C,3,0)</f>
        <v>#N/A</v>
      </c>
      <c r="S2502" t="e">
        <f>VLOOKUP(#REF!,'מלאי לא תקין'!A:N,17,0)</f>
        <v>#REF!</v>
      </c>
      <c r="T2502" t="e">
        <f t="shared" si="83"/>
        <v>#REF!</v>
      </c>
      <c r="U2502" t="e">
        <f t="shared" si="84"/>
        <v>#REF!</v>
      </c>
    </row>
    <row r="2503" spans="4:21" x14ac:dyDescent="0.2">
      <c r="D2503" s="4"/>
      <c r="G2503" s="5"/>
      <c r="H2503" s="5"/>
      <c r="I2503" s="4"/>
      <c r="J2503" s="4"/>
      <c r="K2503" s="5"/>
      <c r="Q2503" t="e">
        <f>VLOOKUP(A2503,'גיליון דאטה להכל'!A:E,5,0)</f>
        <v>#N/A</v>
      </c>
      <c r="R2503" t="e">
        <f>VLOOKUP(A2503,'לעדכן בסינתזה דאטה אריזה 42+24'!$A:$C,3,0)</f>
        <v>#N/A</v>
      </c>
      <c r="S2503" t="e">
        <f>VLOOKUP(#REF!,'מלאי לא תקין'!A:N,17,0)</f>
        <v>#REF!</v>
      </c>
      <c r="T2503" t="e">
        <f t="shared" si="83"/>
        <v>#REF!</v>
      </c>
      <c r="U2503" t="e">
        <f t="shared" si="84"/>
        <v>#REF!</v>
      </c>
    </row>
    <row r="2504" spans="4:21" x14ac:dyDescent="0.2">
      <c r="D2504" s="4"/>
      <c r="G2504" s="5"/>
      <c r="H2504" s="5"/>
      <c r="I2504" s="4"/>
      <c r="J2504" s="4"/>
      <c r="K2504" s="5"/>
      <c r="Q2504" t="e">
        <f>VLOOKUP(A2504,'גיליון דאטה להכל'!A:E,5,0)</f>
        <v>#N/A</v>
      </c>
      <c r="R2504" t="e">
        <f>VLOOKUP(A2504,'לעדכן בסינתזה דאטה אריזה 42+24'!$A:$C,3,0)</f>
        <v>#N/A</v>
      </c>
      <c r="S2504" t="e">
        <f>VLOOKUP(#REF!,'מלאי לא תקין'!A:N,17,0)</f>
        <v>#REF!</v>
      </c>
      <c r="T2504" t="e">
        <f t="shared" si="83"/>
        <v>#REF!</v>
      </c>
      <c r="U2504" t="e">
        <f t="shared" si="84"/>
        <v>#REF!</v>
      </c>
    </row>
    <row r="2505" spans="4:21" x14ac:dyDescent="0.2">
      <c r="D2505" s="4"/>
      <c r="G2505" s="5"/>
      <c r="H2505" s="7"/>
      <c r="I2505" s="4"/>
      <c r="J2505" s="4"/>
      <c r="K2505" s="5"/>
      <c r="Q2505" t="e">
        <f>VLOOKUP(A2505,'גיליון דאטה להכל'!A:E,5,0)</f>
        <v>#N/A</v>
      </c>
      <c r="R2505" t="e">
        <f>VLOOKUP(A2505,'לעדכן בסינתזה דאטה אריזה 42+24'!$A:$C,3,0)</f>
        <v>#N/A</v>
      </c>
      <c r="S2505" t="e">
        <f>VLOOKUP(#REF!,'מלאי לא תקין'!A:N,17,0)</f>
        <v>#REF!</v>
      </c>
      <c r="T2505" t="e">
        <f t="shared" si="83"/>
        <v>#REF!</v>
      </c>
      <c r="U2505" t="e">
        <f t="shared" si="84"/>
        <v>#REF!</v>
      </c>
    </row>
    <row r="2506" spans="4:21" x14ac:dyDescent="0.2">
      <c r="D2506" s="4"/>
      <c r="G2506" s="5"/>
      <c r="H2506" s="5"/>
      <c r="I2506" s="4"/>
      <c r="J2506" s="4"/>
      <c r="K2506" s="5"/>
      <c r="Q2506" t="e">
        <f>VLOOKUP(A2506,'גיליון דאטה להכל'!A:E,5,0)</f>
        <v>#N/A</v>
      </c>
      <c r="R2506" t="e">
        <f>VLOOKUP(A2506,'לעדכן בסינתזה דאטה אריזה 42+24'!$A:$C,3,0)</f>
        <v>#N/A</v>
      </c>
      <c r="S2506" t="e">
        <f>VLOOKUP(#REF!,'מלאי לא תקין'!A:N,17,0)</f>
        <v>#REF!</v>
      </c>
      <c r="T2506" t="e">
        <f t="shared" si="83"/>
        <v>#REF!</v>
      </c>
      <c r="U2506" t="e">
        <f t="shared" si="84"/>
        <v>#REF!</v>
      </c>
    </row>
    <row r="2507" spans="4:21" x14ac:dyDescent="0.2">
      <c r="D2507" s="4"/>
      <c r="G2507" s="5"/>
      <c r="H2507" s="5"/>
      <c r="I2507" s="4"/>
      <c r="J2507" s="4"/>
      <c r="K2507" s="5"/>
      <c r="Q2507" t="e">
        <f>VLOOKUP(A2507,'גיליון דאטה להכל'!A:E,5,0)</f>
        <v>#N/A</v>
      </c>
      <c r="R2507" t="e">
        <f>VLOOKUP(A2507,'לעדכן בסינתזה דאטה אריזה 42+24'!$A:$C,3,0)</f>
        <v>#N/A</v>
      </c>
      <c r="S2507" t="e">
        <f>VLOOKUP(#REF!,'מלאי לא תקין'!A:N,17,0)</f>
        <v>#REF!</v>
      </c>
      <c r="T2507" t="e">
        <f t="shared" si="83"/>
        <v>#REF!</v>
      </c>
      <c r="U2507" t="e">
        <f t="shared" si="84"/>
        <v>#REF!</v>
      </c>
    </row>
    <row r="2508" spans="4:21" x14ac:dyDescent="0.2">
      <c r="D2508" s="4"/>
      <c r="G2508" s="5"/>
      <c r="H2508" s="5"/>
      <c r="I2508" s="4"/>
      <c r="J2508" s="4"/>
      <c r="K2508" s="5"/>
      <c r="Q2508" t="e">
        <f>VLOOKUP(A2508,'גיליון דאטה להכל'!A:E,5,0)</f>
        <v>#N/A</v>
      </c>
      <c r="R2508" t="e">
        <f>VLOOKUP(A2508,'לעדכן בסינתזה דאטה אריזה 42+24'!$A:$C,3,0)</f>
        <v>#N/A</v>
      </c>
      <c r="S2508" t="e">
        <f>VLOOKUP(#REF!,'מלאי לא תקין'!A:N,17,0)</f>
        <v>#REF!</v>
      </c>
      <c r="T2508" t="e">
        <f t="shared" si="83"/>
        <v>#REF!</v>
      </c>
      <c r="U2508" t="e">
        <f t="shared" si="84"/>
        <v>#REF!</v>
      </c>
    </row>
    <row r="2509" spans="4:21" x14ac:dyDescent="0.2">
      <c r="D2509" s="4"/>
      <c r="G2509" s="5"/>
      <c r="H2509" s="5"/>
      <c r="I2509" s="4"/>
      <c r="J2509" s="4"/>
      <c r="K2509" s="5"/>
      <c r="Q2509" t="e">
        <f>VLOOKUP(A2509,'גיליון דאטה להכל'!A:E,5,0)</f>
        <v>#N/A</v>
      </c>
      <c r="R2509" t="e">
        <f>VLOOKUP(A2509,'לעדכן בסינתזה דאטה אריזה 42+24'!$A:$C,3,0)</f>
        <v>#N/A</v>
      </c>
      <c r="S2509" t="e">
        <f>VLOOKUP(#REF!,'מלאי לא תקין'!A:N,17,0)</f>
        <v>#REF!</v>
      </c>
      <c r="T2509" t="e">
        <f t="shared" si="83"/>
        <v>#REF!</v>
      </c>
      <c r="U2509" t="e">
        <f t="shared" si="84"/>
        <v>#REF!</v>
      </c>
    </row>
    <row r="2510" spans="4:21" x14ac:dyDescent="0.2">
      <c r="D2510" s="4"/>
      <c r="G2510" s="5"/>
      <c r="H2510" s="7"/>
      <c r="I2510" s="4"/>
      <c r="J2510" s="4"/>
      <c r="K2510" s="5"/>
      <c r="Q2510" t="e">
        <f>VLOOKUP(A2510,'גיליון דאטה להכל'!A:E,5,0)</f>
        <v>#N/A</v>
      </c>
      <c r="R2510" t="e">
        <f>VLOOKUP(A2510,'לעדכן בסינתזה דאטה אריזה 42+24'!$A:$C,3,0)</f>
        <v>#N/A</v>
      </c>
      <c r="S2510" t="e">
        <f>VLOOKUP(#REF!,'מלאי לא תקין'!A:N,17,0)</f>
        <v>#REF!</v>
      </c>
      <c r="T2510" t="e">
        <f t="shared" si="83"/>
        <v>#REF!</v>
      </c>
      <c r="U2510" t="e">
        <f t="shared" si="84"/>
        <v>#REF!</v>
      </c>
    </row>
    <row r="2511" spans="4:21" x14ac:dyDescent="0.2">
      <c r="D2511" s="4"/>
      <c r="G2511" s="5"/>
      <c r="H2511" s="5"/>
      <c r="I2511" s="4"/>
      <c r="J2511" s="4"/>
      <c r="K2511" s="5"/>
      <c r="Q2511" t="e">
        <f>VLOOKUP(A2511,'גיליון דאטה להכל'!A:E,5,0)</f>
        <v>#N/A</v>
      </c>
      <c r="R2511" t="e">
        <f>VLOOKUP(A2511,'לעדכן בסינתזה דאטה אריזה 42+24'!$A:$C,3,0)</f>
        <v>#N/A</v>
      </c>
      <c r="S2511" t="e">
        <f>VLOOKUP(#REF!,'מלאי לא תקין'!A:N,17,0)</f>
        <v>#REF!</v>
      </c>
      <c r="T2511" t="e">
        <f t="shared" si="83"/>
        <v>#REF!</v>
      </c>
      <c r="U2511" t="e">
        <f t="shared" si="84"/>
        <v>#REF!</v>
      </c>
    </row>
    <row r="2512" spans="4:21" x14ac:dyDescent="0.2">
      <c r="D2512" s="4"/>
      <c r="G2512" s="5"/>
      <c r="H2512" s="5"/>
      <c r="I2512" s="4"/>
      <c r="J2512" s="4"/>
      <c r="K2512" s="5"/>
      <c r="Q2512" t="e">
        <f>VLOOKUP(A2512,'גיליון דאטה להכל'!A:E,5,0)</f>
        <v>#N/A</v>
      </c>
      <c r="R2512" t="e">
        <f>VLOOKUP(A2512,'לעדכן בסינתזה דאטה אריזה 42+24'!$A:$C,3,0)</f>
        <v>#N/A</v>
      </c>
      <c r="S2512" t="e">
        <f>VLOOKUP(#REF!,'מלאי לא תקין'!A:N,17,0)</f>
        <v>#REF!</v>
      </c>
      <c r="T2512" t="e">
        <f t="shared" si="83"/>
        <v>#REF!</v>
      </c>
      <c r="U2512" t="e">
        <f t="shared" si="84"/>
        <v>#REF!</v>
      </c>
    </row>
    <row r="2513" spans="4:21" x14ac:dyDescent="0.2">
      <c r="D2513" s="4"/>
      <c r="G2513" s="5"/>
      <c r="H2513" s="5"/>
      <c r="I2513" s="4"/>
      <c r="J2513" s="4"/>
      <c r="K2513" s="5"/>
      <c r="Q2513" t="e">
        <f>VLOOKUP(A2513,'גיליון דאטה להכל'!A:E,5,0)</f>
        <v>#N/A</v>
      </c>
      <c r="R2513" t="e">
        <f>VLOOKUP(A2513,'לעדכן בסינתזה דאטה אריזה 42+24'!$A:$C,3,0)</f>
        <v>#N/A</v>
      </c>
      <c r="S2513" t="e">
        <f>VLOOKUP(#REF!,'מלאי לא תקין'!A:N,17,0)</f>
        <v>#REF!</v>
      </c>
      <c r="T2513" t="e">
        <f t="shared" si="83"/>
        <v>#REF!</v>
      </c>
      <c r="U2513" t="e">
        <f t="shared" si="84"/>
        <v>#REF!</v>
      </c>
    </row>
    <row r="2514" spans="4:21" x14ac:dyDescent="0.2">
      <c r="D2514" s="4"/>
      <c r="G2514" s="5"/>
      <c r="H2514" s="5"/>
      <c r="I2514" s="4"/>
      <c r="J2514" s="4"/>
      <c r="K2514" s="5"/>
      <c r="Q2514" t="e">
        <f>VLOOKUP(A2514,'גיליון דאטה להכל'!A:E,5,0)</f>
        <v>#N/A</v>
      </c>
      <c r="R2514" t="e">
        <f>VLOOKUP(A2514,'לעדכן בסינתזה דאטה אריזה 42+24'!$A:$C,3,0)</f>
        <v>#N/A</v>
      </c>
      <c r="S2514" t="e">
        <f>VLOOKUP(#REF!,'מלאי לא תקין'!A:N,17,0)</f>
        <v>#REF!</v>
      </c>
      <c r="T2514" t="e">
        <f t="shared" si="83"/>
        <v>#REF!</v>
      </c>
      <c r="U2514" t="e">
        <f t="shared" si="84"/>
        <v>#REF!</v>
      </c>
    </row>
    <row r="2515" spans="4:21" x14ac:dyDescent="0.2">
      <c r="D2515" s="4"/>
      <c r="G2515" s="5"/>
      <c r="H2515" s="7"/>
      <c r="I2515" s="4"/>
      <c r="J2515" s="4"/>
      <c r="K2515" s="5"/>
      <c r="Q2515" t="e">
        <f>VLOOKUP(A2515,'גיליון דאטה להכל'!A:E,5,0)</f>
        <v>#N/A</v>
      </c>
      <c r="R2515" t="e">
        <f>VLOOKUP(A2515,'לעדכן בסינתזה דאטה אריזה 42+24'!$A:$C,3,0)</f>
        <v>#N/A</v>
      </c>
      <c r="S2515" t="e">
        <f>VLOOKUP(#REF!,'מלאי לא תקין'!A:N,17,0)</f>
        <v>#REF!</v>
      </c>
      <c r="T2515" t="e">
        <f t="shared" si="83"/>
        <v>#REF!</v>
      </c>
      <c r="U2515" t="e">
        <f t="shared" si="84"/>
        <v>#REF!</v>
      </c>
    </row>
    <row r="2516" spans="4:21" x14ac:dyDescent="0.2">
      <c r="D2516" s="4"/>
      <c r="G2516" s="5"/>
      <c r="H2516" s="5"/>
      <c r="I2516" s="4"/>
      <c r="J2516" s="4"/>
      <c r="K2516" s="5"/>
      <c r="Q2516" t="e">
        <f>VLOOKUP(A2516,'גיליון דאטה להכל'!A:E,5,0)</f>
        <v>#N/A</v>
      </c>
      <c r="R2516" t="e">
        <f>VLOOKUP(A2516,'לעדכן בסינתזה דאטה אריזה 42+24'!$A:$C,3,0)</f>
        <v>#N/A</v>
      </c>
      <c r="S2516" t="e">
        <f>VLOOKUP(#REF!,'מלאי לא תקין'!A:N,17,0)</f>
        <v>#REF!</v>
      </c>
      <c r="T2516" t="e">
        <f t="shared" si="83"/>
        <v>#REF!</v>
      </c>
      <c r="U2516" t="e">
        <f t="shared" si="84"/>
        <v>#REF!</v>
      </c>
    </row>
    <row r="2517" spans="4:21" x14ac:dyDescent="0.2">
      <c r="D2517" s="4"/>
      <c r="G2517" s="5"/>
      <c r="H2517" s="5"/>
      <c r="I2517" s="4"/>
      <c r="J2517" s="4"/>
      <c r="K2517" s="5"/>
      <c r="Q2517" t="e">
        <f>VLOOKUP(A2517,'גיליון דאטה להכל'!A:E,5,0)</f>
        <v>#N/A</v>
      </c>
      <c r="R2517" t="e">
        <f>VLOOKUP(A2517,'לעדכן בסינתזה דאטה אריזה 42+24'!$A:$C,3,0)</f>
        <v>#N/A</v>
      </c>
      <c r="S2517" t="e">
        <f>VLOOKUP(#REF!,'מלאי לא תקין'!A:N,17,0)</f>
        <v>#REF!</v>
      </c>
      <c r="T2517" t="e">
        <f t="shared" si="83"/>
        <v>#REF!</v>
      </c>
      <c r="U2517" t="e">
        <f t="shared" si="84"/>
        <v>#REF!</v>
      </c>
    </row>
    <row r="2518" spans="4:21" x14ac:dyDescent="0.2">
      <c r="D2518" s="4"/>
      <c r="G2518" s="5"/>
      <c r="H2518" s="5"/>
      <c r="I2518" s="4"/>
      <c r="J2518" s="4"/>
      <c r="K2518" s="5"/>
      <c r="Q2518" t="e">
        <f>VLOOKUP(A2518,'גיליון דאטה להכל'!A:E,5,0)</f>
        <v>#N/A</v>
      </c>
      <c r="R2518" t="e">
        <f>VLOOKUP(A2518,'לעדכן בסינתזה דאטה אריזה 42+24'!$A:$C,3,0)</f>
        <v>#N/A</v>
      </c>
      <c r="S2518" t="e">
        <f>VLOOKUP(#REF!,'מלאי לא תקין'!A:N,17,0)</f>
        <v>#REF!</v>
      </c>
      <c r="T2518" t="e">
        <f t="shared" si="83"/>
        <v>#REF!</v>
      </c>
      <c r="U2518" t="e">
        <f t="shared" si="84"/>
        <v>#REF!</v>
      </c>
    </row>
    <row r="2519" spans="4:21" x14ac:dyDescent="0.2">
      <c r="D2519" s="4"/>
      <c r="G2519" s="5"/>
      <c r="H2519" s="5"/>
      <c r="I2519" s="4"/>
      <c r="J2519" s="4"/>
      <c r="K2519" s="5"/>
      <c r="Q2519" t="e">
        <f>VLOOKUP(A2519,'גיליון דאטה להכל'!A:E,5,0)</f>
        <v>#N/A</v>
      </c>
      <c r="R2519" t="e">
        <f>VLOOKUP(A2519,'לעדכן בסינתזה דאטה אריזה 42+24'!$A:$C,3,0)</f>
        <v>#N/A</v>
      </c>
      <c r="S2519" t="e">
        <f>VLOOKUP(#REF!,'מלאי לא תקין'!A:N,17,0)</f>
        <v>#REF!</v>
      </c>
      <c r="T2519" t="e">
        <f t="shared" si="83"/>
        <v>#REF!</v>
      </c>
      <c r="U2519" t="e">
        <f t="shared" si="84"/>
        <v>#REF!</v>
      </c>
    </row>
    <row r="2520" spans="4:21" x14ac:dyDescent="0.2">
      <c r="D2520" s="4"/>
      <c r="G2520" s="5"/>
      <c r="H2520" s="7"/>
      <c r="I2520" s="4"/>
      <c r="J2520" s="4"/>
      <c r="K2520" s="5"/>
      <c r="Q2520" t="e">
        <f>VLOOKUP(A2520,'גיליון דאטה להכל'!A:E,5,0)</f>
        <v>#N/A</v>
      </c>
      <c r="R2520" t="e">
        <f>VLOOKUP(A2520,'לעדכן בסינתזה דאטה אריזה 42+24'!$A:$C,3,0)</f>
        <v>#N/A</v>
      </c>
      <c r="S2520" t="e">
        <f>VLOOKUP(#REF!,'מלאי לא תקין'!A:N,17,0)</f>
        <v>#REF!</v>
      </c>
      <c r="T2520" t="e">
        <f t="shared" si="83"/>
        <v>#REF!</v>
      </c>
      <c r="U2520" t="e">
        <f t="shared" si="84"/>
        <v>#REF!</v>
      </c>
    </row>
    <row r="2521" spans="4:21" x14ac:dyDescent="0.2">
      <c r="D2521" s="4"/>
      <c r="G2521" s="5"/>
      <c r="H2521" s="5"/>
      <c r="I2521" s="4"/>
      <c r="J2521" s="4"/>
      <c r="K2521" s="5"/>
      <c r="Q2521" t="e">
        <f>VLOOKUP(A2521,'גיליון דאטה להכל'!A:E,5,0)</f>
        <v>#N/A</v>
      </c>
      <c r="R2521" t="e">
        <f>VLOOKUP(A2521,'לעדכן בסינתזה דאטה אריזה 42+24'!$A:$C,3,0)</f>
        <v>#N/A</v>
      </c>
      <c r="S2521" t="e">
        <f>VLOOKUP(#REF!,'מלאי לא תקין'!A:N,17,0)</f>
        <v>#REF!</v>
      </c>
      <c r="T2521" t="e">
        <f t="shared" si="83"/>
        <v>#REF!</v>
      </c>
      <c r="U2521" t="e">
        <f t="shared" si="84"/>
        <v>#REF!</v>
      </c>
    </row>
    <row r="2522" spans="4:21" x14ac:dyDescent="0.2">
      <c r="D2522" s="4"/>
      <c r="G2522" s="5"/>
      <c r="H2522" s="5"/>
      <c r="I2522" s="4"/>
      <c r="J2522" s="4"/>
      <c r="K2522" s="5"/>
      <c r="Q2522" t="e">
        <f>VLOOKUP(A2522,'גיליון דאטה להכל'!A:E,5,0)</f>
        <v>#N/A</v>
      </c>
      <c r="R2522" t="e">
        <f>VLOOKUP(A2522,'לעדכן בסינתזה דאטה אריזה 42+24'!$A:$C,3,0)</f>
        <v>#N/A</v>
      </c>
      <c r="S2522" t="e">
        <f>VLOOKUP(#REF!,'מלאי לא תקין'!A:N,17,0)</f>
        <v>#REF!</v>
      </c>
      <c r="T2522" t="e">
        <f t="shared" si="83"/>
        <v>#REF!</v>
      </c>
      <c r="U2522" t="e">
        <f t="shared" si="84"/>
        <v>#REF!</v>
      </c>
    </row>
    <row r="2523" spans="4:21" x14ac:dyDescent="0.2">
      <c r="D2523" s="4"/>
      <c r="G2523" s="5"/>
      <c r="H2523" s="5"/>
      <c r="I2523" s="4"/>
      <c r="J2523" s="4"/>
      <c r="K2523" s="5"/>
      <c r="Q2523" t="e">
        <f>VLOOKUP(A2523,'גיליון דאטה להכל'!A:E,5,0)</f>
        <v>#N/A</v>
      </c>
      <c r="R2523" t="e">
        <f>VLOOKUP(A2523,'לעדכן בסינתזה דאטה אריזה 42+24'!$A:$C,3,0)</f>
        <v>#N/A</v>
      </c>
      <c r="S2523" t="e">
        <f>VLOOKUP(#REF!,'מלאי לא תקין'!A:N,17,0)</f>
        <v>#REF!</v>
      </c>
      <c r="T2523" t="e">
        <f t="shared" si="83"/>
        <v>#REF!</v>
      </c>
      <c r="U2523" t="e">
        <f t="shared" si="84"/>
        <v>#REF!</v>
      </c>
    </row>
    <row r="2524" spans="4:21" x14ac:dyDescent="0.2">
      <c r="D2524" s="4"/>
      <c r="G2524" s="5"/>
      <c r="H2524" s="5"/>
      <c r="I2524" s="4"/>
      <c r="J2524" s="4"/>
      <c r="K2524" s="5"/>
      <c r="Q2524" t="e">
        <f>VLOOKUP(A2524,'גיליון דאטה להכל'!A:E,5,0)</f>
        <v>#N/A</v>
      </c>
      <c r="R2524" t="e">
        <f>VLOOKUP(A2524,'לעדכן בסינתזה דאטה אריזה 42+24'!$A:$C,3,0)</f>
        <v>#N/A</v>
      </c>
      <c r="S2524" t="e">
        <f>VLOOKUP(#REF!,'מלאי לא תקין'!A:N,17,0)</f>
        <v>#REF!</v>
      </c>
      <c r="T2524" t="e">
        <f t="shared" si="83"/>
        <v>#REF!</v>
      </c>
      <c r="U2524" t="e">
        <f t="shared" si="84"/>
        <v>#REF!</v>
      </c>
    </row>
    <row r="2525" spans="4:21" x14ac:dyDescent="0.2">
      <c r="D2525" s="4"/>
      <c r="G2525" s="5"/>
      <c r="H2525" s="7"/>
      <c r="I2525" s="4"/>
      <c r="J2525" s="4"/>
      <c r="K2525" s="5"/>
      <c r="Q2525" t="e">
        <f>VLOOKUP(A2525,'גיליון דאטה להכל'!A:E,5,0)</f>
        <v>#N/A</v>
      </c>
      <c r="R2525" t="e">
        <f>VLOOKUP(A2525,'לעדכן בסינתזה דאטה אריזה 42+24'!$A:$C,3,0)</f>
        <v>#N/A</v>
      </c>
      <c r="S2525" t="e">
        <f>VLOOKUP(#REF!,'מלאי לא תקין'!A:N,17,0)</f>
        <v>#REF!</v>
      </c>
      <c r="T2525" t="e">
        <f t="shared" si="83"/>
        <v>#REF!</v>
      </c>
      <c r="U2525" t="e">
        <f t="shared" si="84"/>
        <v>#REF!</v>
      </c>
    </row>
    <row r="2526" spans="4:21" x14ac:dyDescent="0.2">
      <c r="D2526" s="4"/>
      <c r="G2526" s="5"/>
      <c r="H2526" s="5"/>
      <c r="I2526" s="4"/>
      <c r="J2526" s="4"/>
      <c r="K2526" s="5"/>
      <c r="Q2526" t="e">
        <f>VLOOKUP(A2526,'גיליון דאטה להכל'!A:E,5,0)</f>
        <v>#N/A</v>
      </c>
      <c r="R2526" t="e">
        <f>VLOOKUP(A2526,'לעדכן בסינתזה דאטה אריזה 42+24'!$A:$C,3,0)</f>
        <v>#N/A</v>
      </c>
      <c r="S2526" t="e">
        <f>VLOOKUP(#REF!,'מלאי לא תקין'!A:N,17,0)</f>
        <v>#REF!</v>
      </c>
      <c r="T2526" t="e">
        <f t="shared" si="83"/>
        <v>#REF!</v>
      </c>
      <c r="U2526" t="e">
        <f t="shared" si="84"/>
        <v>#REF!</v>
      </c>
    </row>
    <row r="2527" spans="4:21" x14ac:dyDescent="0.2">
      <c r="D2527" s="4"/>
      <c r="G2527" s="5"/>
      <c r="H2527" s="5"/>
      <c r="I2527" s="4"/>
      <c r="J2527" s="4"/>
      <c r="K2527" s="5"/>
      <c r="Q2527" t="e">
        <f>VLOOKUP(A2527,'גיליון דאטה להכל'!A:E,5,0)</f>
        <v>#N/A</v>
      </c>
      <c r="R2527" t="e">
        <f>VLOOKUP(A2527,'לעדכן בסינתזה דאטה אריזה 42+24'!$A:$C,3,0)</f>
        <v>#N/A</v>
      </c>
      <c r="S2527" t="e">
        <f>VLOOKUP(#REF!,'מלאי לא תקין'!A:N,17,0)</f>
        <v>#REF!</v>
      </c>
      <c r="T2527" t="e">
        <f t="shared" si="83"/>
        <v>#REF!</v>
      </c>
      <c r="U2527" t="e">
        <f t="shared" si="84"/>
        <v>#REF!</v>
      </c>
    </row>
    <row r="2528" spans="4:21" x14ac:dyDescent="0.2">
      <c r="D2528" s="4"/>
      <c r="G2528" s="5"/>
      <c r="H2528" s="5"/>
      <c r="I2528" s="4"/>
      <c r="J2528" s="4"/>
      <c r="K2528" s="5"/>
      <c r="Q2528" t="e">
        <f>VLOOKUP(A2528,'גיליון דאטה להכל'!A:E,5,0)</f>
        <v>#N/A</v>
      </c>
      <c r="R2528" t="e">
        <f>VLOOKUP(A2528,'לעדכן בסינתזה דאטה אריזה 42+24'!$A:$C,3,0)</f>
        <v>#N/A</v>
      </c>
      <c r="S2528" t="e">
        <f>VLOOKUP(#REF!,'מלאי לא תקין'!A:N,17,0)</f>
        <v>#REF!</v>
      </c>
      <c r="T2528" t="e">
        <f t="shared" si="83"/>
        <v>#REF!</v>
      </c>
      <c r="U2528" t="e">
        <f t="shared" si="84"/>
        <v>#REF!</v>
      </c>
    </row>
    <row r="2529" spans="4:21" x14ac:dyDescent="0.2">
      <c r="D2529" s="4"/>
      <c r="G2529" s="5"/>
      <c r="H2529" s="5"/>
      <c r="I2529" s="4"/>
      <c r="J2529" s="4"/>
      <c r="K2529" s="5"/>
      <c r="Q2529" t="e">
        <f>VLOOKUP(A2529,'גיליון דאטה להכל'!A:E,5,0)</f>
        <v>#N/A</v>
      </c>
      <c r="R2529" t="e">
        <f>VLOOKUP(A2529,'לעדכן בסינתזה דאטה אריזה 42+24'!$A:$C,3,0)</f>
        <v>#N/A</v>
      </c>
      <c r="S2529" t="e">
        <f>VLOOKUP(#REF!,'מלאי לא תקין'!A:N,17,0)</f>
        <v>#REF!</v>
      </c>
      <c r="T2529" t="e">
        <f t="shared" si="83"/>
        <v>#REF!</v>
      </c>
      <c r="U2529" t="e">
        <f t="shared" si="84"/>
        <v>#REF!</v>
      </c>
    </row>
    <row r="2530" spans="4:21" x14ac:dyDescent="0.2">
      <c r="D2530" s="4"/>
      <c r="G2530" s="5"/>
      <c r="H2530" s="7"/>
      <c r="I2530" s="4"/>
      <c r="J2530" s="4"/>
      <c r="K2530" s="5"/>
      <c r="Q2530" t="e">
        <f>VLOOKUP(A2530,'גיליון דאטה להכל'!A:E,5,0)</f>
        <v>#N/A</v>
      </c>
      <c r="R2530" t="e">
        <f>VLOOKUP(A2530,'לעדכן בסינתזה דאטה אריזה 42+24'!$A:$C,3,0)</f>
        <v>#N/A</v>
      </c>
      <c r="S2530" t="e">
        <f>VLOOKUP(#REF!,'מלאי לא תקין'!A:N,17,0)</f>
        <v>#REF!</v>
      </c>
      <c r="T2530" t="e">
        <f t="shared" si="83"/>
        <v>#REF!</v>
      </c>
      <c r="U2530" t="e">
        <f t="shared" si="84"/>
        <v>#REF!</v>
      </c>
    </row>
    <row r="2531" spans="4:21" x14ac:dyDescent="0.2">
      <c r="D2531" s="4"/>
      <c r="G2531" s="5"/>
      <c r="H2531" s="5"/>
      <c r="I2531" s="4"/>
      <c r="J2531" s="4"/>
      <c r="K2531" s="5"/>
      <c r="Q2531" t="e">
        <f>VLOOKUP(A2531,'גיליון דאטה להכל'!A:E,5,0)</f>
        <v>#N/A</v>
      </c>
      <c r="R2531" t="e">
        <f>VLOOKUP(A2531,'לעדכן בסינתזה דאטה אריזה 42+24'!$A:$C,3,0)</f>
        <v>#N/A</v>
      </c>
      <c r="S2531" t="e">
        <f>VLOOKUP(#REF!,'מלאי לא תקין'!A:N,17,0)</f>
        <v>#REF!</v>
      </c>
      <c r="T2531" t="e">
        <f t="shared" si="83"/>
        <v>#REF!</v>
      </c>
      <c r="U2531" t="e">
        <f t="shared" si="84"/>
        <v>#REF!</v>
      </c>
    </row>
    <row r="2532" spans="4:21" x14ac:dyDescent="0.2">
      <c r="D2532" s="4"/>
      <c r="G2532" s="5"/>
      <c r="H2532" s="5"/>
      <c r="I2532" s="4"/>
      <c r="J2532" s="4"/>
      <c r="K2532" s="5"/>
      <c r="Q2532" t="e">
        <f>VLOOKUP(A2532,'גיליון דאטה להכל'!A:E,5,0)</f>
        <v>#N/A</v>
      </c>
      <c r="R2532" t="e">
        <f>VLOOKUP(A2532,'לעדכן בסינתזה דאטה אריזה 42+24'!$A:$C,3,0)</f>
        <v>#N/A</v>
      </c>
      <c r="S2532" t="e">
        <f>VLOOKUP(#REF!,'מלאי לא תקין'!A:N,17,0)</f>
        <v>#REF!</v>
      </c>
      <c r="T2532" t="e">
        <f t="shared" si="83"/>
        <v>#REF!</v>
      </c>
      <c r="U2532" t="e">
        <f t="shared" si="84"/>
        <v>#REF!</v>
      </c>
    </row>
    <row r="2533" spans="4:21" x14ac:dyDescent="0.2">
      <c r="D2533" s="4"/>
      <c r="G2533" s="5"/>
      <c r="H2533" s="5"/>
      <c r="I2533" s="4"/>
      <c r="J2533" s="4"/>
      <c r="K2533" s="5"/>
      <c r="Q2533" t="e">
        <f>VLOOKUP(A2533,'גיליון דאטה להכל'!A:E,5,0)</f>
        <v>#N/A</v>
      </c>
      <c r="R2533" t="e">
        <f>VLOOKUP(A2533,'לעדכן בסינתזה דאטה אריזה 42+24'!$A:$C,3,0)</f>
        <v>#N/A</v>
      </c>
      <c r="S2533" t="e">
        <f>VLOOKUP(#REF!,'מלאי לא תקין'!A:N,17,0)</f>
        <v>#REF!</v>
      </c>
      <c r="T2533" t="e">
        <f t="shared" si="83"/>
        <v>#REF!</v>
      </c>
      <c r="U2533" t="e">
        <f t="shared" si="84"/>
        <v>#REF!</v>
      </c>
    </row>
    <row r="2534" spans="4:21" x14ac:dyDescent="0.2">
      <c r="D2534" s="4"/>
      <c r="G2534" s="5"/>
      <c r="H2534" s="5"/>
      <c r="I2534" s="4"/>
      <c r="J2534" s="4"/>
      <c r="K2534" s="5"/>
      <c r="Q2534" t="e">
        <f>VLOOKUP(A2534,'גיליון דאטה להכל'!A:E,5,0)</f>
        <v>#N/A</v>
      </c>
      <c r="R2534" t="e">
        <f>VLOOKUP(A2534,'לעדכן בסינתזה דאטה אריזה 42+24'!$A:$C,3,0)</f>
        <v>#N/A</v>
      </c>
      <c r="S2534" t="e">
        <f>VLOOKUP(#REF!,'מלאי לא תקין'!A:N,17,0)</f>
        <v>#REF!</v>
      </c>
      <c r="T2534" t="e">
        <f t="shared" si="83"/>
        <v>#REF!</v>
      </c>
      <c r="U2534" t="e">
        <f t="shared" si="84"/>
        <v>#REF!</v>
      </c>
    </row>
    <row r="2535" spans="4:21" x14ac:dyDescent="0.2">
      <c r="D2535" s="4"/>
      <c r="G2535" s="5"/>
      <c r="H2535" s="7"/>
      <c r="I2535" s="4"/>
      <c r="J2535" s="4"/>
      <c r="K2535" s="5"/>
      <c r="Q2535" t="e">
        <f>VLOOKUP(A2535,'גיליון דאטה להכל'!A:E,5,0)</f>
        <v>#N/A</v>
      </c>
      <c r="R2535" t="e">
        <f>VLOOKUP(A2535,'לעדכן בסינתזה דאטה אריזה 42+24'!$A:$C,3,0)</f>
        <v>#N/A</v>
      </c>
      <c r="S2535" t="e">
        <f>VLOOKUP(#REF!,'מלאי לא תקין'!A:N,17,0)</f>
        <v>#REF!</v>
      </c>
      <c r="T2535" t="e">
        <f t="shared" si="83"/>
        <v>#REF!</v>
      </c>
      <c r="U2535" t="e">
        <f t="shared" si="84"/>
        <v>#REF!</v>
      </c>
    </row>
    <row r="2536" spans="4:21" x14ac:dyDescent="0.2">
      <c r="D2536" s="4"/>
      <c r="G2536" s="5"/>
      <c r="H2536" s="5"/>
      <c r="I2536" s="4"/>
      <c r="J2536" s="4"/>
      <c r="K2536" s="5"/>
      <c r="Q2536" t="e">
        <f>VLOOKUP(A2536,'גיליון דאטה להכל'!A:E,5,0)</f>
        <v>#N/A</v>
      </c>
      <c r="R2536" t="e">
        <f>VLOOKUP(A2536,'לעדכן בסינתזה דאטה אריזה 42+24'!$A:$C,3,0)</f>
        <v>#N/A</v>
      </c>
      <c r="S2536" t="e">
        <f>VLOOKUP(#REF!,'מלאי לא תקין'!A:N,17,0)</f>
        <v>#REF!</v>
      </c>
      <c r="T2536" t="e">
        <f t="shared" si="83"/>
        <v>#REF!</v>
      </c>
      <c r="U2536" t="e">
        <f t="shared" si="84"/>
        <v>#REF!</v>
      </c>
    </row>
    <row r="2537" spans="4:21" x14ac:dyDescent="0.2">
      <c r="D2537" s="4"/>
      <c r="G2537" s="5"/>
      <c r="H2537" s="5"/>
      <c r="I2537" s="4"/>
      <c r="J2537" s="4"/>
      <c r="K2537" s="5"/>
      <c r="Q2537" t="e">
        <f>VLOOKUP(A2537,'גיליון דאטה להכל'!A:E,5,0)</f>
        <v>#N/A</v>
      </c>
      <c r="R2537" t="e">
        <f>VLOOKUP(A2537,'לעדכן בסינתזה דאטה אריזה 42+24'!$A:$C,3,0)</f>
        <v>#N/A</v>
      </c>
      <c r="S2537" t="e">
        <f>VLOOKUP(#REF!,'מלאי לא תקין'!A:N,17,0)</f>
        <v>#REF!</v>
      </c>
      <c r="T2537" t="e">
        <f t="shared" si="83"/>
        <v>#REF!</v>
      </c>
      <c r="U2537" t="e">
        <f t="shared" si="84"/>
        <v>#REF!</v>
      </c>
    </row>
    <row r="2538" spans="4:21" x14ac:dyDescent="0.2">
      <c r="D2538" s="4"/>
      <c r="G2538" s="5"/>
      <c r="H2538" s="5"/>
      <c r="I2538" s="4"/>
      <c r="J2538" s="4"/>
      <c r="K2538" s="5"/>
      <c r="Q2538" t="e">
        <f>VLOOKUP(A2538,'גיליון דאטה להכל'!A:E,5,0)</f>
        <v>#N/A</v>
      </c>
      <c r="R2538" t="e">
        <f>VLOOKUP(A2538,'לעדכן בסינתזה דאטה אריזה 42+24'!$A:$C,3,0)</f>
        <v>#N/A</v>
      </c>
      <c r="S2538" t="e">
        <f>VLOOKUP(#REF!,'מלאי לא תקין'!A:N,17,0)</f>
        <v>#REF!</v>
      </c>
      <c r="T2538" t="e">
        <f t="shared" si="83"/>
        <v>#REF!</v>
      </c>
      <c r="U2538" t="e">
        <f t="shared" si="84"/>
        <v>#REF!</v>
      </c>
    </row>
    <row r="2539" spans="4:21" x14ac:dyDescent="0.2">
      <c r="D2539" s="4"/>
      <c r="G2539" s="5"/>
      <c r="H2539" s="5"/>
      <c r="I2539" s="4"/>
      <c r="J2539" s="4"/>
      <c r="K2539" s="5"/>
      <c r="Q2539" t="e">
        <f>VLOOKUP(A2539,'גיליון דאטה להכל'!A:E,5,0)</f>
        <v>#N/A</v>
      </c>
      <c r="R2539" t="e">
        <f>VLOOKUP(A2539,'לעדכן בסינתזה דאטה אריזה 42+24'!$A:$C,3,0)</f>
        <v>#N/A</v>
      </c>
      <c r="S2539" t="e">
        <f>VLOOKUP(#REF!,'מלאי לא תקין'!A:N,17,0)</f>
        <v>#REF!</v>
      </c>
      <c r="T2539" t="e">
        <f t="shared" si="83"/>
        <v>#REF!</v>
      </c>
      <c r="U2539" t="e">
        <f t="shared" si="84"/>
        <v>#REF!</v>
      </c>
    </row>
    <row r="2540" spans="4:21" x14ac:dyDescent="0.2">
      <c r="D2540" s="4"/>
      <c r="G2540" s="5"/>
      <c r="H2540" s="7"/>
      <c r="I2540" s="4"/>
      <c r="J2540" s="4"/>
      <c r="K2540" s="5"/>
      <c r="Q2540" t="e">
        <f>VLOOKUP(A2540,'גיליון דאטה להכל'!A:E,5,0)</f>
        <v>#N/A</v>
      </c>
      <c r="R2540" t="e">
        <f>VLOOKUP(A2540,'לעדכן בסינתזה דאטה אריזה 42+24'!$A:$C,3,0)</f>
        <v>#N/A</v>
      </c>
      <c r="S2540" t="e">
        <f>VLOOKUP(#REF!,'מלאי לא תקין'!A:N,17,0)</f>
        <v>#REF!</v>
      </c>
      <c r="T2540" t="e">
        <f t="shared" si="83"/>
        <v>#REF!</v>
      </c>
      <c r="U2540" t="e">
        <f t="shared" si="84"/>
        <v>#REF!</v>
      </c>
    </row>
    <row r="2541" spans="4:21" x14ac:dyDescent="0.2">
      <c r="D2541" s="4"/>
      <c r="G2541" s="5"/>
      <c r="H2541" s="5"/>
      <c r="I2541" s="4"/>
      <c r="J2541" s="4"/>
      <c r="K2541" s="5"/>
      <c r="Q2541" t="e">
        <f>VLOOKUP(A2541,'גיליון דאטה להכל'!A:E,5,0)</f>
        <v>#N/A</v>
      </c>
      <c r="R2541" t="e">
        <f>VLOOKUP(A2541,'לעדכן בסינתזה דאטה אריזה 42+24'!$A:$C,3,0)</f>
        <v>#N/A</v>
      </c>
      <c r="S2541" t="e">
        <f>VLOOKUP(#REF!,'מלאי לא תקין'!A:N,17,0)</f>
        <v>#REF!</v>
      </c>
      <c r="T2541" t="e">
        <f t="shared" si="83"/>
        <v>#REF!</v>
      </c>
      <c r="U2541" t="e">
        <f t="shared" si="84"/>
        <v>#REF!</v>
      </c>
    </row>
    <row r="2542" spans="4:21" x14ac:dyDescent="0.2">
      <c r="D2542" s="4"/>
      <c r="G2542" s="5"/>
      <c r="H2542" s="5"/>
      <c r="I2542" s="4"/>
      <c r="J2542" s="4"/>
      <c r="K2542" s="5"/>
      <c r="Q2542" t="e">
        <f>VLOOKUP(A2542,'גיליון דאטה להכל'!A:E,5,0)</f>
        <v>#N/A</v>
      </c>
      <c r="R2542" t="e">
        <f>VLOOKUP(A2542,'לעדכן בסינתזה דאטה אריזה 42+24'!$A:$C,3,0)</f>
        <v>#N/A</v>
      </c>
      <c r="S2542" t="e">
        <f>VLOOKUP(#REF!,'מלאי לא תקין'!A:N,17,0)</f>
        <v>#REF!</v>
      </c>
      <c r="T2542" t="e">
        <f t="shared" si="83"/>
        <v>#REF!</v>
      </c>
      <c r="U2542" t="e">
        <f t="shared" si="84"/>
        <v>#REF!</v>
      </c>
    </row>
    <row r="2543" spans="4:21" x14ac:dyDescent="0.2">
      <c r="D2543" s="4"/>
      <c r="G2543" s="5"/>
      <c r="H2543" s="5"/>
      <c r="I2543" s="4"/>
      <c r="J2543" s="4"/>
      <c r="K2543" s="5"/>
      <c r="Q2543" t="e">
        <f>VLOOKUP(A2543,'גיליון דאטה להכל'!A:E,5,0)</f>
        <v>#N/A</v>
      </c>
      <c r="R2543" t="e">
        <f>VLOOKUP(A2543,'לעדכן בסינתזה דאטה אריזה 42+24'!$A:$C,3,0)</f>
        <v>#N/A</v>
      </c>
      <c r="S2543" t="e">
        <f>VLOOKUP(#REF!,'מלאי לא תקין'!A:N,17,0)</f>
        <v>#REF!</v>
      </c>
      <c r="T2543" t="e">
        <f t="shared" si="83"/>
        <v>#REF!</v>
      </c>
      <c r="U2543" t="e">
        <f t="shared" si="84"/>
        <v>#REF!</v>
      </c>
    </row>
    <row r="2544" spans="4:21" x14ac:dyDescent="0.2">
      <c r="D2544" s="4"/>
      <c r="G2544" s="5"/>
      <c r="H2544" s="5"/>
      <c r="I2544" s="4"/>
      <c r="J2544" s="4"/>
      <c r="K2544" s="5"/>
      <c r="Q2544" t="e">
        <f>VLOOKUP(A2544,'גיליון דאטה להכל'!A:E,5,0)</f>
        <v>#N/A</v>
      </c>
      <c r="R2544" t="e">
        <f>VLOOKUP(A2544,'לעדכן בסינתזה דאטה אריזה 42+24'!$A:$C,3,0)</f>
        <v>#N/A</v>
      </c>
      <c r="S2544" t="e">
        <f>VLOOKUP(#REF!,'מלאי לא תקין'!A:N,17,0)</f>
        <v>#REF!</v>
      </c>
      <c r="T2544" t="e">
        <f t="shared" si="83"/>
        <v>#REF!</v>
      </c>
      <c r="U2544" t="e">
        <f t="shared" si="84"/>
        <v>#REF!</v>
      </c>
    </row>
    <row r="2545" spans="4:21" x14ac:dyDescent="0.2">
      <c r="D2545" s="4"/>
      <c r="G2545" s="5"/>
      <c r="H2545" s="7"/>
      <c r="I2545" s="4"/>
      <c r="J2545" s="4"/>
      <c r="K2545" s="5"/>
      <c r="Q2545" t="e">
        <f>VLOOKUP(A2545,'גיליון דאטה להכל'!A:E,5,0)</f>
        <v>#N/A</v>
      </c>
      <c r="R2545" t="e">
        <f>VLOOKUP(A2545,'לעדכן בסינתזה דאטה אריזה 42+24'!$A:$C,3,0)</f>
        <v>#N/A</v>
      </c>
      <c r="S2545" t="e">
        <f>VLOOKUP(#REF!,'מלאי לא תקין'!A:N,17,0)</f>
        <v>#REF!</v>
      </c>
      <c r="T2545" t="e">
        <f t="shared" si="83"/>
        <v>#REF!</v>
      </c>
      <c r="U2545" t="e">
        <f t="shared" si="84"/>
        <v>#REF!</v>
      </c>
    </row>
    <row r="2546" spans="4:21" x14ac:dyDescent="0.2">
      <c r="D2546" s="4"/>
      <c r="G2546" s="5"/>
      <c r="H2546" s="5"/>
      <c r="I2546" s="4"/>
      <c r="J2546" s="4"/>
      <c r="K2546" s="5"/>
      <c r="Q2546" t="e">
        <f>VLOOKUP(A2546,'גיליון דאטה להכל'!A:E,5,0)</f>
        <v>#N/A</v>
      </c>
      <c r="R2546" t="e">
        <f>VLOOKUP(A2546,'לעדכן בסינתזה דאטה אריזה 42+24'!$A:$C,3,0)</f>
        <v>#N/A</v>
      </c>
      <c r="S2546" t="e">
        <f>VLOOKUP(#REF!,'מלאי לא תקין'!A:N,17,0)</f>
        <v>#REF!</v>
      </c>
      <c r="T2546" t="e">
        <f t="shared" si="83"/>
        <v>#REF!</v>
      </c>
      <c r="U2546" t="e">
        <f t="shared" si="84"/>
        <v>#REF!</v>
      </c>
    </row>
    <row r="2547" spans="4:21" x14ac:dyDescent="0.2">
      <c r="D2547" s="4"/>
      <c r="G2547" s="5"/>
      <c r="H2547" s="5"/>
      <c r="I2547" s="4"/>
      <c r="J2547" s="4"/>
      <c r="K2547" s="5"/>
      <c r="Q2547" t="e">
        <f>VLOOKUP(A2547,'גיליון דאטה להכל'!A:E,5,0)</f>
        <v>#N/A</v>
      </c>
      <c r="R2547" t="e">
        <f>VLOOKUP(A2547,'לעדכן בסינתזה דאטה אריזה 42+24'!$A:$C,3,0)</f>
        <v>#N/A</v>
      </c>
      <c r="S2547" t="e">
        <f>VLOOKUP(#REF!,'מלאי לא תקין'!A:N,17,0)</f>
        <v>#REF!</v>
      </c>
      <c r="T2547" t="e">
        <f t="shared" si="83"/>
        <v>#REF!</v>
      </c>
      <c r="U2547" t="e">
        <f t="shared" si="84"/>
        <v>#REF!</v>
      </c>
    </row>
    <row r="2548" spans="4:21" x14ac:dyDescent="0.2">
      <c r="D2548" s="4"/>
      <c r="G2548" s="5"/>
      <c r="H2548" s="5"/>
      <c r="I2548" s="4"/>
      <c r="J2548" s="4"/>
      <c r="K2548" s="5"/>
      <c r="Q2548" t="e">
        <f>VLOOKUP(A2548,'גיליון דאטה להכל'!A:E,5,0)</f>
        <v>#N/A</v>
      </c>
      <c r="R2548" t="e">
        <f>VLOOKUP(A2548,'לעדכן בסינתזה דאטה אריזה 42+24'!$A:$C,3,0)</f>
        <v>#N/A</v>
      </c>
      <c r="S2548" t="e">
        <f>VLOOKUP(#REF!,'מלאי לא תקין'!A:N,17,0)</f>
        <v>#REF!</v>
      </c>
      <c r="T2548" t="e">
        <f t="shared" si="83"/>
        <v>#REF!</v>
      </c>
      <c r="U2548" t="e">
        <f t="shared" si="84"/>
        <v>#REF!</v>
      </c>
    </row>
    <row r="2549" spans="4:21" x14ac:dyDescent="0.2">
      <c r="D2549" s="4"/>
      <c r="G2549" s="5"/>
      <c r="H2549" s="5"/>
      <c r="I2549" s="4"/>
      <c r="J2549" s="4"/>
      <c r="K2549" s="5"/>
      <c r="Q2549" t="e">
        <f>VLOOKUP(A2549,'גיליון דאטה להכל'!A:E,5,0)</f>
        <v>#N/A</v>
      </c>
      <c r="R2549" t="e">
        <f>VLOOKUP(A2549,'לעדכן בסינתזה דאטה אריזה 42+24'!$A:$C,3,0)</f>
        <v>#N/A</v>
      </c>
      <c r="S2549" t="e">
        <f>VLOOKUP(#REF!,'מלאי לא תקין'!A:N,17,0)</f>
        <v>#REF!</v>
      </c>
      <c r="T2549" t="e">
        <f t="shared" si="83"/>
        <v>#REF!</v>
      </c>
      <c r="U2549" t="e">
        <f t="shared" si="84"/>
        <v>#REF!</v>
      </c>
    </row>
    <row r="2550" spans="4:21" x14ac:dyDescent="0.2">
      <c r="D2550" s="4"/>
      <c r="G2550" s="5"/>
      <c r="H2550" s="7"/>
      <c r="I2550" s="4"/>
      <c r="J2550" s="4"/>
      <c r="K2550" s="5"/>
      <c r="Q2550" t="e">
        <f>VLOOKUP(A2550,'גיליון דאטה להכל'!A:E,5,0)</f>
        <v>#N/A</v>
      </c>
      <c r="R2550" t="e">
        <f>VLOOKUP(A2550,'לעדכן בסינתזה דאטה אריזה 42+24'!$A:$C,3,0)</f>
        <v>#N/A</v>
      </c>
      <c r="S2550" t="e">
        <f>VLOOKUP(#REF!,'מלאי לא תקין'!A:N,17,0)</f>
        <v>#REF!</v>
      </c>
      <c r="T2550" t="e">
        <f t="shared" si="83"/>
        <v>#REF!</v>
      </c>
      <c r="U2550" t="e">
        <f t="shared" si="84"/>
        <v>#REF!</v>
      </c>
    </row>
    <row r="2551" spans="4:21" x14ac:dyDescent="0.2">
      <c r="D2551" s="4"/>
      <c r="G2551" s="5"/>
      <c r="H2551" s="5"/>
      <c r="I2551" s="4"/>
      <c r="J2551" s="4"/>
      <c r="K2551" s="5"/>
      <c r="Q2551" t="e">
        <f>VLOOKUP(A2551,'גיליון דאטה להכל'!A:E,5,0)</f>
        <v>#N/A</v>
      </c>
      <c r="R2551" t="e">
        <f>VLOOKUP(A2551,'לעדכן בסינתזה דאטה אריזה 42+24'!$A:$C,3,0)</f>
        <v>#N/A</v>
      </c>
      <c r="S2551" t="e">
        <f>VLOOKUP(#REF!,'מלאי לא תקין'!A:N,17,0)</f>
        <v>#REF!</v>
      </c>
      <c r="T2551" t="e">
        <f t="shared" si="83"/>
        <v>#REF!</v>
      </c>
      <c r="U2551" t="e">
        <f t="shared" si="84"/>
        <v>#REF!</v>
      </c>
    </row>
    <row r="2552" spans="4:21" x14ac:dyDescent="0.2">
      <c r="D2552" s="4"/>
      <c r="G2552" s="5"/>
      <c r="H2552" s="5"/>
      <c r="I2552" s="4"/>
      <c r="J2552" s="4"/>
      <c r="K2552" s="5"/>
      <c r="Q2552" t="e">
        <f>VLOOKUP(A2552,'גיליון דאטה להכל'!A:E,5,0)</f>
        <v>#N/A</v>
      </c>
      <c r="R2552" t="e">
        <f>VLOOKUP(A2552,'לעדכן בסינתזה דאטה אריזה 42+24'!$A:$C,3,0)</f>
        <v>#N/A</v>
      </c>
      <c r="S2552" t="e">
        <f>VLOOKUP(#REF!,'מלאי לא תקין'!A:N,17,0)</f>
        <v>#REF!</v>
      </c>
      <c r="T2552" t="e">
        <f t="shared" si="83"/>
        <v>#REF!</v>
      </c>
      <c r="U2552" t="e">
        <f t="shared" si="84"/>
        <v>#REF!</v>
      </c>
    </row>
    <row r="2553" spans="4:21" x14ac:dyDescent="0.2">
      <c r="D2553" s="4"/>
      <c r="G2553" s="5"/>
      <c r="H2553" s="5"/>
      <c r="I2553" s="4"/>
      <c r="J2553" s="4"/>
      <c r="K2553" s="5"/>
      <c r="Q2553" t="e">
        <f>VLOOKUP(A2553,'גיליון דאטה להכל'!A:E,5,0)</f>
        <v>#N/A</v>
      </c>
      <c r="R2553" t="e">
        <f>VLOOKUP(A2553,'לעדכן בסינתזה דאטה אריזה 42+24'!$A:$C,3,0)</f>
        <v>#N/A</v>
      </c>
      <c r="S2553" t="e">
        <f>VLOOKUP(#REF!,'מלאי לא תקין'!A:N,17,0)</f>
        <v>#REF!</v>
      </c>
      <c r="T2553" t="e">
        <f t="shared" si="83"/>
        <v>#REF!</v>
      </c>
      <c r="U2553" t="e">
        <f t="shared" si="84"/>
        <v>#REF!</v>
      </c>
    </row>
    <row r="2554" spans="4:21" x14ac:dyDescent="0.2">
      <c r="D2554" s="4"/>
      <c r="G2554" s="5"/>
      <c r="H2554" s="5"/>
      <c r="I2554" s="4"/>
      <c r="J2554" s="4"/>
      <c r="K2554" s="5"/>
      <c r="Q2554" t="e">
        <f>VLOOKUP(A2554,'גיליון דאטה להכל'!A:E,5,0)</f>
        <v>#N/A</v>
      </c>
      <c r="R2554" t="e">
        <f>VLOOKUP(A2554,'לעדכן בסינתזה דאטה אריזה 42+24'!$A:$C,3,0)</f>
        <v>#N/A</v>
      </c>
      <c r="S2554" t="e">
        <f>VLOOKUP(#REF!,'מלאי לא תקין'!A:N,17,0)</f>
        <v>#REF!</v>
      </c>
      <c r="T2554" t="e">
        <f t="shared" si="83"/>
        <v>#REF!</v>
      </c>
      <c r="U2554" t="e">
        <f t="shared" si="84"/>
        <v>#REF!</v>
      </c>
    </row>
    <row r="2555" spans="4:21" x14ac:dyDescent="0.2">
      <c r="D2555" s="4"/>
      <c r="G2555" s="5"/>
      <c r="H2555" s="7"/>
      <c r="I2555" s="4"/>
      <c r="J2555" s="4"/>
      <c r="K2555" s="5"/>
      <c r="Q2555" t="e">
        <f>VLOOKUP(A2555,'גיליון דאטה להכל'!A:E,5,0)</f>
        <v>#N/A</v>
      </c>
      <c r="R2555" t="e">
        <f>VLOOKUP(A2555,'לעדכן בסינתזה דאטה אריזה 42+24'!$A:$C,3,0)</f>
        <v>#N/A</v>
      </c>
      <c r="S2555" t="e">
        <f>VLOOKUP(#REF!,'מלאי לא תקין'!A:N,17,0)</f>
        <v>#REF!</v>
      </c>
      <c r="T2555" t="e">
        <f t="shared" si="83"/>
        <v>#REF!</v>
      </c>
      <c r="U2555" t="e">
        <f t="shared" si="84"/>
        <v>#REF!</v>
      </c>
    </row>
    <row r="2556" spans="4:21" x14ac:dyDescent="0.2">
      <c r="D2556" s="4"/>
      <c r="G2556" s="5"/>
      <c r="H2556" s="5"/>
      <c r="I2556" s="4"/>
      <c r="J2556" s="4"/>
      <c r="K2556" s="5"/>
      <c r="Q2556" t="e">
        <f>VLOOKUP(A2556,'גיליון דאטה להכל'!A:E,5,0)</f>
        <v>#N/A</v>
      </c>
      <c r="R2556" t="e">
        <f>VLOOKUP(A2556,'לעדכן בסינתזה דאטה אריזה 42+24'!$A:$C,3,0)</f>
        <v>#N/A</v>
      </c>
      <c r="S2556" t="e">
        <f>VLOOKUP(#REF!,'מלאי לא תקין'!A:N,17,0)</f>
        <v>#REF!</v>
      </c>
      <c r="T2556" t="e">
        <f t="shared" si="83"/>
        <v>#REF!</v>
      </c>
      <c r="U2556" t="e">
        <f t="shared" si="84"/>
        <v>#REF!</v>
      </c>
    </row>
    <row r="2557" spans="4:21" x14ac:dyDescent="0.2">
      <c r="D2557" s="4"/>
      <c r="G2557" s="5"/>
      <c r="H2557" s="5"/>
      <c r="I2557" s="4"/>
      <c r="J2557" s="4"/>
      <c r="K2557" s="5"/>
      <c r="Q2557" t="e">
        <f>VLOOKUP(A2557,'גיליון דאטה להכל'!A:E,5,0)</f>
        <v>#N/A</v>
      </c>
      <c r="R2557" t="e">
        <f>VLOOKUP(A2557,'לעדכן בסינתזה דאטה אריזה 42+24'!$A:$C,3,0)</f>
        <v>#N/A</v>
      </c>
      <c r="S2557" t="e">
        <f>VLOOKUP(#REF!,'מלאי לא תקין'!A:N,17,0)</f>
        <v>#REF!</v>
      </c>
      <c r="T2557" t="e">
        <f t="shared" si="83"/>
        <v>#REF!</v>
      </c>
      <c r="U2557" t="e">
        <f t="shared" si="84"/>
        <v>#REF!</v>
      </c>
    </row>
    <row r="2558" spans="4:21" x14ac:dyDescent="0.2">
      <c r="D2558" s="4"/>
      <c r="G2558" s="5"/>
      <c r="H2558" s="5"/>
      <c r="I2558" s="4"/>
      <c r="J2558" s="4"/>
      <c r="K2558" s="5"/>
      <c r="Q2558" t="e">
        <f>VLOOKUP(A2558,'גיליון דאטה להכל'!A:E,5,0)</f>
        <v>#N/A</v>
      </c>
      <c r="R2558" t="e">
        <f>VLOOKUP(A2558,'לעדכן בסינתזה דאטה אריזה 42+24'!$A:$C,3,0)</f>
        <v>#N/A</v>
      </c>
      <c r="S2558" t="e">
        <f>VLOOKUP(#REF!,'מלאי לא תקין'!A:N,17,0)</f>
        <v>#REF!</v>
      </c>
      <c r="T2558" t="e">
        <f t="shared" ref="T2558:T2621" si="85">_xlfn.CONCAT(S2558,Q2558)</f>
        <v>#REF!</v>
      </c>
      <c r="U2558" t="e">
        <f t="shared" ref="U2558:U2621" si="86">_xlfn.CONCAT(S2558,O2558)</f>
        <v>#REF!</v>
      </c>
    </row>
    <row r="2559" spans="4:21" x14ac:dyDescent="0.2">
      <c r="D2559" s="4"/>
      <c r="G2559" s="5"/>
      <c r="H2559" s="5"/>
      <c r="I2559" s="4"/>
      <c r="J2559" s="4"/>
      <c r="K2559" s="5"/>
      <c r="Q2559" t="e">
        <f>VLOOKUP(A2559,'גיליון דאטה להכל'!A:E,5,0)</f>
        <v>#N/A</v>
      </c>
      <c r="R2559" t="e">
        <f>VLOOKUP(A2559,'לעדכן בסינתזה דאטה אריזה 42+24'!$A:$C,3,0)</f>
        <v>#N/A</v>
      </c>
      <c r="S2559" t="e">
        <f>VLOOKUP(#REF!,'מלאי לא תקין'!A:N,17,0)</f>
        <v>#REF!</v>
      </c>
      <c r="T2559" t="e">
        <f t="shared" si="85"/>
        <v>#REF!</v>
      </c>
      <c r="U2559" t="e">
        <f t="shared" si="86"/>
        <v>#REF!</v>
      </c>
    </row>
    <row r="2560" spans="4:21" x14ac:dyDescent="0.2">
      <c r="D2560" s="4"/>
      <c r="G2560" s="5"/>
      <c r="H2560" s="7"/>
      <c r="I2560" s="4"/>
      <c r="J2560" s="4"/>
      <c r="K2560" s="5"/>
      <c r="Q2560" t="e">
        <f>VLOOKUP(A2560,'גיליון דאטה להכל'!A:E,5,0)</f>
        <v>#N/A</v>
      </c>
      <c r="R2560" t="e">
        <f>VLOOKUP(A2560,'לעדכן בסינתזה דאטה אריזה 42+24'!$A:$C,3,0)</f>
        <v>#N/A</v>
      </c>
      <c r="S2560" t="e">
        <f>VLOOKUP(#REF!,'מלאי לא תקין'!A:N,17,0)</f>
        <v>#REF!</v>
      </c>
      <c r="T2560" t="e">
        <f t="shared" si="85"/>
        <v>#REF!</v>
      </c>
      <c r="U2560" t="e">
        <f t="shared" si="86"/>
        <v>#REF!</v>
      </c>
    </row>
    <row r="2561" spans="4:21" x14ac:dyDescent="0.2">
      <c r="D2561" s="4"/>
      <c r="G2561" s="5"/>
      <c r="H2561" s="5"/>
      <c r="I2561" s="4"/>
      <c r="J2561" s="4"/>
      <c r="K2561" s="5"/>
      <c r="Q2561" t="e">
        <f>VLOOKUP(A2561,'גיליון דאטה להכל'!A:E,5,0)</f>
        <v>#N/A</v>
      </c>
      <c r="R2561" t="e">
        <f>VLOOKUP(A2561,'לעדכן בסינתזה דאטה אריזה 42+24'!$A:$C,3,0)</f>
        <v>#N/A</v>
      </c>
      <c r="S2561" t="e">
        <f>VLOOKUP(#REF!,'מלאי לא תקין'!A:N,17,0)</f>
        <v>#REF!</v>
      </c>
      <c r="T2561" t="e">
        <f t="shared" si="85"/>
        <v>#REF!</v>
      </c>
      <c r="U2561" t="e">
        <f t="shared" si="86"/>
        <v>#REF!</v>
      </c>
    </row>
    <row r="2562" spans="4:21" x14ac:dyDescent="0.2">
      <c r="D2562" s="4"/>
      <c r="G2562" s="5"/>
      <c r="H2562" s="5"/>
      <c r="I2562" s="4"/>
      <c r="J2562" s="4"/>
      <c r="K2562" s="5"/>
      <c r="Q2562" t="e">
        <f>VLOOKUP(A2562,'גיליון דאטה להכל'!A:E,5,0)</f>
        <v>#N/A</v>
      </c>
      <c r="R2562" t="e">
        <f>VLOOKUP(A2562,'לעדכן בסינתזה דאטה אריזה 42+24'!$A:$C,3,0)</f>
        <v>#N/A</v>
      </c>
      <c r="S2562" t="e">
        <f>VLOOKUP(#REF!,'מלאי לא תקין'!A:N,17,0)</f>
        <v>#REF!</v>
      </c>
      <c r="T2562" t="e">
        <f t="shared" si="85"/>
        <v>#REF!</v>
      </c>
      <c r="U2562" t="e">
        <f t="shared" si="86"/>
        <v>#REF!</v>
      </c>
    </row>
    <row r="2563" spans="4:21" x14ac:dyDescent="0.2">
      <c r="D2563" s="4"/>
      <c r="G2563" s="5"/>
      <c r="H2563" s="5"/>
      <c r="I2563" s="4"/>
      <c r="J2563" s="4"/>
      <c r="K2563" s="5"/>
      <c r="Q2563" t="e">
        <f>VLOOKUP(A2563,'גיליון דאטה להכל'!A:E,5,0)</f>
        <v>#N/A</v>
      </c>
      <c r="R2563" t="e">
        <f>VLOOKUP(A2563,'לעדכן בסינתזה דאטה אריזה 42+24'!$A:$C,3,0)</f>
        <v>#N/A</v>
      </c>
      <c r="S2563" t="e">
        <f>VLOOKUP(#REF!,'מלאי לא תקין'!A:N,17,0)</f>
        <v>#REF!</v>
      </c>
      <c r="T2563" t="e">
        <f t="shared" si="85"/>
        <v>#REF!</v>
      </c>
      <c r="U2563" t="e">
        <f t="shared" si="86"/>
        <v>#REF!</v>
      </c>
    </row>
    <row r="2564" spans="4:21" x14ac:dyDescent="0.2">
      <c r="D2564" s="4"/>
      <c r="G2564" s="5"/>
      <c r="H2564" s="5"/>
      <c r="I2564" s="4"/>
      <c r="J2564" s="4"/>
      <c r="K2564" s="5"/>
      <c r="Q2564" t="e">
        <f>VLOOKUP(A2564,'גיליון דאטה להכל'!A:E,5,0)</f>
        <v>#N/A</v>
      </c>
      <c r="R2564" t="e">
        <f>VLOOKUP(A2564,'לעדכן בסינתזה דאטה אריזה 42+24'!$A:$C,3,0)</f>
        <v>#N/A</v>
      </c>
      <c r="S2564" t="e">
        <f>VLOOKUP(#REF!,'מלאי לא תקין'!A:N,17,0)</f>
        <v>#REF!</v>
      </c>
      <c r="T2564" t="e">
        <f t="shared" si="85"/>
        <v>#REF!</v>
      </c>
      <c r="U2564" t="e">
        <f t="shared" si="86"/>
        <v>#REF!</v>
      </c>
    </row>
    <row r="2565" spans="4:21" x14ac:dyDescent="0.2">
      <c r="D2565" s="4"/>
      <c r="G2565" s="5"/>
      <c r="H2565" s="7"/>
      <c r="I2565" s="4"/>
      <c r="J2565" s="4"/>
      <c r="K2565" s="5"/>
      <c r="Q2565" t="e">
        <f>VLOOKUP(A2565,'גיליון דאטה להכל'!A:E,5,0)</f>
        <v>#N/A</v>
      </c>
      <c r="R2565" t="e">
        <f>VLOOKUP(A2565,'לעדכן בסינתזה דאטה אריזה 42+24'!$A:$C,3,0)</f>
        <v>#N/A</v>
      </c>
      <c r="S2565" t="e">
        <f>VLOOKUP(#REF!,'מלאי לא תקין'!A:N,17,0)</f>
        <v>#REF!</v>
      </c>
      <c r="T2565" t="e">
        <f t="shared" si="85"/>
        <v>#REF!</v>
      </c>
      <c r="U2565" t="e">
        <f t="shared" si="86"/>
        <v>#REF!</v>
      </c>
    </row>
    <row r="2566" spans="4:21" x14ac:dyDescent="0.2">
      <c r="D2566" s="4"/>
      <c r="G2566" s="5"/>
      <c r="H2566" s="5"/>
      <c r="I2566" s="4"/>
      <c r="J2566" s="4"/>
      <c r="K2566" s="5"/>
      <c r="Q2566" t="e">
        <f>VLOOKUP(A2566,'גיליון דאטה להכל'!A:E,5,0)</f>
        <v>#N/A</v>
      </c>
      <c r="R2566" t="e">
        <f>VLOOKUP(A2566,'לעדכן בסינתזה דאטה אריזה 42+24'!$A:$C,3,0)</f>
        <v>#N/A</v>
      </c>
      <c r="S2566" t="e">
        <f>VLOOKUP(#REF!,'מלאי לא תקין'!A:N,17,0)</f>
        <v>#REF!</v>
      </c>
      <c r="T2566" t="e">
        <f t="shared" si="85"/>
        <v>#REF!</v>
      </c>
      <c r="U2566" t="e">
        <f t="shared" si="86"/>
        <v>#REF!</v>
      </c>
    </row>
    <row r="2567" spans="4:21" x14ac:dyDescent="0.2">
      <c r="D2567" s="4"/>
      <c r="G2567" s="5"/>
      <c r="H2567" s="5"/>
      <c r="I2567" s="4"/>
      <c r="J2567" s="4"/>
      <c r="K2567" s="5"/>
      <c r="Q2567" t="e">
        <f>VLOOKUP(A2567,'גיליון דאטה להכל'!A:E,5,0)</f>
        <v>#N/A</v>
      </c>
      <c r="R2567" t="e">
        <f>VLOOKUP(A2567,'לעדכן בסינתזה דאטה אריזה 42+24'!$A:$C,3,0)</f>
        <v>#N/A</v>
      </c>
      <c r="S2567" t="e">
        <f>VLOOKUP(#REF!,'מלאי לא תקין'!A:N,17,0)</f>
        <v>#REF!</v>
      </c>
      <c r="T2567" t="e">
        <f t="shared" si="85"/>
        <v>#REF!</v>
      </c>
      <c r="U2567" t="e">
        <f t="shared" si="86"/>
        <v>#REF!</v>
      </c>
    </row>
    <row r="2568" spans="4:21" x14ac:dyDescent="0.2">
      <c r="D2568" s="4"/>
      <c r="G2568" s="5"/>
      <c r="H2568" s="5"/>
      <c r="I2568" s="4"/>
      <c r="J2568" s="4"/>
      <c r="K2568" s="5"/>
      <c r="Q2568" t="e">
        <f>VLOOKUP(A2568,'גיליון דאטה להכל'!A:E,5,0)</f>
        <v>#N/A</v>
      </c>
      <c r="R2568" t="e">
        <f>VLOOKUP(A2568,'לעדכן בסינתזה דאטה אריזה 42+24'!$A:$C,3,0)</f>
        <v>#N/A</v>
      </c>
      <c r="S2568" t="e">
        <f>VLOOKUP(#REF!,'מלאי לא תקין'!A:N,17,0)</f>
        <v>#REF!</v>
      </c>
      <c r="T2568" t="e">
        <f t="shared" si="85"/>
        <v>#REF!</v>
      </c>
      <c r="U2568" t="e">
        <f t="shared" si="86"/>
        <v>#REF!</v>
      </c>
    </row>
    <row r="2569" spans="4:21" x14ac:dyDescent="0.2">
      <c r="D2569" s="4"/>
      <c r="G2569" s="5"/>
      <c r="H2569" s="5"/>
      <c r="I2569" s="4"/>
      <c r="J2569" s="4"/>
      <c r="K2569" s="5"/>
      <c r="Q2569" t="e">
        <f>VLOOKUP(A2569,'גיליון דאטה להכל'!A:E,5,0)</f>
        <v>#N/A</v>
      </c>
      <c r="R2569" t="e">
        <f>VLOOKUP(A2569,'לעדכן בסינתזה דאטה אריזה 42+24'!$A:$C,3,0)</f>
        <v>#N/A</v>
      </c>
      <c r="S2569" t="e">
        <f>VLOOKUP(#REF!,'מלאי לא תקין'!A:N,17,0)</f>
        <v>#REF!</v>
      </c>
      <c r="T2569" t="e">
        <f t="shared" si="85"/>
        <v>#REF!</v>
      </c>
      <c r="U2569" t="e">
        <f t="shared" si="86"/>
        <v>#REF!</v>
      </c>
    </row>
    <row r="2570" spans="4:21" x14ac:dyDescent="0.2">
      <c r="D2570" s="4"/>
      <c r="G2570" s="5"/>
      <c r="H2570" s="7"/>
      <c r="I2570" s="4"/>
      <c r="J2570" s="4"/>
      <c r="K2570" s="5"/>
      <c r="Q2570" t="e">
        <f>VLOOKUP(A2570,'גיליון דאטה להכל'!A:E,5,0)</f>
        <v>#N/A</v>
      </c>
      <c r="R2570" t="e">
        <f>VLOOKUP(A2570,'לעדכן בסינתזה דאטה אריזה 42+24'!$A:$C,3,0)</f>
        <v>#N/A</v>
      </c>
      <c r="S2570" t="e">
        <f>VLOOKUP(#REF!,'מלאי לא תקין'!A:N,17,0)</f>
        <v>#REF!</v>
      </c>
      <c r="T2570" t="e">
        <f t="shared" si="85"/>
        <v>#REF!</v>
      </c>
      <c r="U2570" t="e">
        <f t="shared" si="86"/>
        <v>#REF!</v>
      </c>
    </row>
    <row r="2571" spans="4:21" x14ac:dyDescent="0.2">
      <c r="D2571" s="4"/>
      <c r="G2571" s="5"/>
      <c r="H2571" s="5"/>
      <c r="I2571" s="4"/>
      <c r="J2571" s="4"/>
      <c r="K2571" s="5"/>
      <c r="Q2571" t="e">
        <f>VLOOKUP(A2571,'גיליון דאטה להכל'!A:E,5,0)</f>
        <v>#N/A</v>
      </c>
      <c r="R2571" t="e">
        <f>VLOOKUP(A2571,'לעדכן בסינתזה דאטה אריזה 42+24'!$A:$C,3,0)</f>
        <v>#N/A</v>
      </c>
      <c r="S2571" t="e">
        <f>VLOOKUP(#REF!,'מלאי לא תקין'!A:N,17,0)</f>
        <v>#REF!</v>
      </c>
      <c r="T2571" t="e">
        <f t="shared" si="85"/>
        <v>#REF!</v>
      </c>
      <c r="U2571" t="e">
        <f t="shared" si="86"/>
        <v>#REF!</v>
      </c>
    </row>
    <row r="2572" spans="4:21" x14ac:dyDescent="0.2">
      <c r="D2572" s="4"/>
      <c r="G2572" s="5"/>
      <c r="H2572" s="5"/>
      <c r="I2572" s="4"/>
      <c r="J2572" s="4"/>
      <c r="K2572" s="5"/>
      <c r="Q2572" t="e">
        <f>VLOOKUP(A2572,'גיליון דאטה להכל'!A:E,5,0)</f>
        <v>#N/A</v>
      </c>
      <c r="R2572" t="e">
        <f>VLOOKUP(A2572,'לעדכן בסינתזה דאטה אריזה 42+24'!$A:$C,3,0)</f>
        <v>#N/A</v>
      </c>
      <c r="S2572" t="e">
        <f>VLOOKUP(#REF!,'מלאי לא תקין'!A:N,17,0)</f>
        <v>#REF!</v>
      </c>
      <c r="T2572" t="e">
        <f t="shared" si="85"/>
        <v>#REF!</v>
      </c>
      <c r="U2572" t="e">
        <f t="shared" si="86"/>
        <v>#REF!</v>
      </c>
    </row>
    <row r="2573" spans="4:21" x14ac:dyDescent="0.2">
      <c r="D2573" s="4"/>
      <c r="G2573" s="5"/>
      <c r="H2573" s="5"/>
      <c r="I2573" s="4"/>
      <c r="J2573" s="4"/>
      <c r="K2573" s="5"/>
      <c r="Q2573" t="e">
        <f>VLOOKUP(A2573,'גיליון דאטה להכל'!A:E,5,0)</f>
        <v>#N/A</v>
      </c>
      <c r="R2573" t="e">
        <f>VLOOKUP(A2573,'לעדכן בסינתזה דאטה אריזה 42+24'!$A:$C,3,0)</f>
        <v>#N/A</v>
      </c>
      <c r="S2573" t="e">
        <f>VLOOKUP(#REF!,'מלאי לא תקין'!A:N,17,0)</f>
        <v>#REF!</v>
      </c>
      <c r="T2573" t="e">
        <f t="shared" si="85"/>
        <v>#REF!</v>
      </c>
      <c r="U2573" t="e">
        <f t="shared" si="86"/>
        <v>#REF!</v>
      </c>
    </row>
    <row r="2574" spans="4:21" x14ac:dyDescent="0.2">
      <c r="D2574" s="4"/>
      <c r="G2574" s="5"/>
      <c r="H2574" s="5"/>
      <c r="I2574" s="4"/>
      <c r="J2574" s="4"/>
      <c r="K2574" s="5"/>
      <c r="Q2574" t="e">
        <f>VLOOKUP(A2574,'גיליון דאטה להכל'!A:E,5,0)</f>
        <v>#N/A</v>
      </c>
      <c r="R2574" t="e">
        <f>VLOOKUP(A2574,'לעדכן בסינתזה דאטה אריזה 42+24'!$A:$C,3,0)</f>
        <v>#N/A</v>
      </c>
      <c r="S2574" t="e">
        <f>VLOOKUP(#REF!,'מלאי לא תקין'!A:N,17,0)</f>
        <v>#REF!</v>
      </c>
      <c r="T2574" t="e">
        <f t="shared" si="85"/>
        <v>#REF!</v>
      </c>
      <c r="U2574" t="e">
        <f t="shared" si="86"/>
        <v>#REF!</v>
      </c>
    </row>
    <row r="2575" spans="4:21" x14ac:dyDescent="0.2">
      <c r="D2575" s="4"/>
      <c r="G2575" s="5"/>
      <c r="H2575" s="7"/>
      <c r="I2575" s="4"/>
      <c r="J2575" s="4"/>
      <c r="K2575" s="5"/>
      <c r="Q2575" t="e">
        <f>VLOOKUP(A2575,'גיליון דאטה להכל'!A:E,5,0)</f>
        <v>#N/A</v>
      </c>
      <c r="R2575" t="e">
        <f>VLOOKUP(A2575,'לעדכן בסינתזה דאטה אריזה 42+24'!$A:$C,3,0)</f>
        <v>#N/A</v>
      </c>
      <c r="S2575" t="e">
        <f>VLOOKUP(#REF!,'מלאי לא תקין'!A:N,17,0)</f>
        <v>#REF!</v>
      </c>
      <c r="T2575" t="e">
        <f t="shared" si="85"/>
        <v>#REF!</v>
      </c>
      <c r="U2575" t="e">
        <f t="shared" si="86"/>
        <v>#REF!</v>
      </c>
    </row>
    <row r="2576" spans="4:21" x14ac:dyDescent="0.2">
      <c r="D2576" s="4"/>
      <c r="G2576" s="5"/>
      <c r="H2576" s="5"/>
      <c r="I2576" s="4"/>
      <c r="J2576" s="4"/>
      <c r="K2576" s="5"/>
      <c r="Q2576" t="e">
        <f>VLOOKUP(A2576,'גיליון דאטה להכל'!A:E,5,0)</f>
        <v>#N/A</v>
      </c>
      <c r="R2576" t="e">
        <f>VLOOKUP(A2576,'לעדכן בסינתזה דאטה אריזה 42+24'!$A:$C,3,0)</f>
        <v>#N/A</v>
      </c>
      <c r="S2576" t="e">
        <f>VLOOKUP(#REF!,'מלאי לא תקין'!A:N,17,0)</f>
        <v>#REF!</v>
      </c>
      <c r="T2576" t="e">
        <f t="shared" si="85"/>
        <v>#REF!</v>
      </c>
      <c r="U2576" t="e">
        <f t="shared" si="86"/>
        <v>#REF!</v>
      </c>
    </row>
    <row r="2577" spans="4:21" x14ac:dyDescent="0.2">
      <c r="D2577" s="4"/>
      <c r="G2577" s="5"/>
      <c r="H2577" s="5"/>
      <c r="I2577" s="4"/>
      <c r="J2577" s="4"/>
      <c r="K2577" s="5"/>
      <c r="Q2577" t="e">
        <f>VLOOKUP(A2577,'גיליון דאטה להכל'!A:E,5,0)</f>
        <v>#N/A</v>
      </c>
      <c r="R2577" t="e">
        <f>VLOOKUP(A2577,'לעדכן בסינתזה דאטה אריזה 42+24'!$A:$C,3,0)</f>
        <v>#N/A</v>
      </c>
      <c r="S2577" t="e">
        <f>VLOOKUP(#REF!,'מלאי לא תקין'!A:N,17,0)</f>
        <v>#REF!</v>
      </c>
      <c r="T2577" t="e">
        <f t="shared" si="85"/>
        <v>#REF!</v>
      </c>
      <c r="U2577" t="e">
        <f t="shared" si="86"/>
        <v>#REF!</v>
      </c>
    </row>
    <row r="2578" spans="4:21" x14ac:dyDescent="0.2">
      <c r="D2578" s="4"/>
      <c r="G2578" s="5"/>
      <c r="H2578" s="5"/>
      <c r="I2578" s="4"/>
      <c r="J2578" s="4"/>
      <c r="K2578" s="5"/>
      <c r="Q2578" t="e">
        <f>VLOOKUP(A2578,'גיליון דאטה להכל'!A:E,5,0)</f>
        <v>#N/A</v>
      </c>
      <c r="R2578" t="e">
        <f>VLOOKUP(A2578,'לעדכן בסינתזה דאטה אריזה 42+24'!$A:$C,3,0)</f>
        <v>#N/A</v>
      </c>
      <c r="S2578" t="e">
        <f>VLOOKUP(#REF!,'מלאי לא תקין'!A:N,17,0)</f>
        <v>#REF!</v>
      </c>
      <c r="T2578" t="e">
        <f t="shared" si="85"/>
        <v>#REF!</v>
      </c>
      <c r="U2578" t="e">
        <f t="shared" si="86"/>
        <v>#REF!</v>
      </c>
    </row>
    <row r="2579" spans="4:21" x14ac:dyDescent="0.2">
      <c r="D2579" s="4"/>
      <c r="G2579" s="5"/>
      <c r="H2579" s="5"/>
      <c r="I2579" s="4"/>
      <c r="J2579" s="4"/>
      <c r="K2579" s="5"/>
      <c r="Q2579" t="e">
        <f>VLOOKUP(A2579,'גיליון דאטה להכל'!A:E,5,0)</f>
        <v>#N/A</v>
      </c>
      <c r="R2579" t="e">
        <f>VLOOKUP(A2579,'לעדכן בסינתזה דאטה אריזה 42+24'!$A:$C,3,0)</f>
        <v>#N/A</v>
      </c>
      <c r="S2579" t="e">
        <f>VLOOKUP(#REF!,'מלאי לא תקין'!A:N,17,0)</f>
        <v>#REF!</v>
      </c>
      <c r="T2579" t="e">
        <f t="shared" si="85"/>
        <v>#REF!</v>
      </c>
      <c r="U2579" t="e">
        <f t="shared" si="86"/>
        <v>#REF!</v>
      </c>
    </row>
    <row r="2580" spans="4:21" x14ac:dyDescent="0.2">
      <c r="D2580" s="4"/>
      <c r="G2580" s="5"/>
      <c r="H2580" s="7"/>
      <c r="I2580" s="4"/>
      <c r="J2580" s="4"/>
      <c r="K2580" s="5"/>
      <c r="Q2580" t="e">
        <f>VLOOKUP(A2580,'גיליון דאטה להכל'!A:E,5,0)</f>
        <v>#N/A</v>
      </c>
      <c r="R2580" t="e">
        <f>VLOOKUP(A2580,'לעדכן בסינתזה דאטה אריזה 42+24'!$A:$C,3,0)</f>
        <v>#N/A</v>
      </c>
      <c r="S2580" t="e">
        <f>VLOOKUP(#REF!,'מלאי לא תקין'!A:N,17,0)</f>
        <v>#REF!</v>
      </c>
      <c r="T2580" t="e">
        <f t="shared" si="85"/>
        <v>#REF!</v>
      </c>
      <c r="U2580" t="e">
        <f t="shared" si="86"/>
        <v>#REF!</v>
      </c>
    </row>
    <row r="2581" spans="4:21" x14ac:dyDescent="0.2">
      <c r="D2581" s="4"/>
      <c r="G2581" s="5"/>
      <c r="H2581" s="5"/>
      <c r="I2581" s="4"/>
      <c r="J2581" s="4"/>
      <c r="K2581" s="5"/>
      <c r="Q2581" t="e">
        <f>VLOOKUP(A2581,'גיליון דאטה להכל'!A:E,5,0)</f>
        <v>#N/A</v>
      </c>
      <c r="R2581" t="e">
        <f>VLOOKUP(A2581,'לעדכן בסינתזה דאטה אריזה 42+24'!$A:$C,3,0)</f>
        <v>#N/A</v>
      </c>
      <c r="S2581" t="e">
        <f>VLOOKUP(#REF!,'מלאי לא תקין'!A:N,17,0)</f>
        <v>#REF!</v>
      </c>
      <c r="T2581" t="e">
        <f t="shared" si="85"/>
        <v>#REF!</v>
      </c>
      <c r="U2581" t="e">
        <f t="shared" si="86"/>
        <v>#REF!</v>
      </c>
    </row>
    <row r="2582" spans="4:21" x14ac:dyDescent="0.2">
      <c r="D2582" s="4"/>
      <c r="G2582" s="5"/>
      <c r="H2582" s="5"/>
      <c r="I2582" s="4"/>
      <c r="J2582" s="4"/>
      <c r="K2582" s="5"/>
      <c r="Q2582" t="e">
        <f>VLOOKUP(A2582,'גיליון דאטה להכל'!A:E,5,0)</f>
        <v>#N/A</v>
      </c>
      <c r="R2582" t="e">
        <f>VLOOKUP(A2582,'לעדכן בסינתזה דאטה אריזה 42+24'!$A:$C,3,0)</f>
        <v>#N/A</v>
      </c>
      <c r="S2582" t="e">
        <f>VLOOKUP(#REF!,'מלאי לא תקין'!A:N,17,0)</f>
        <v>#REF!</v>
      </c>
      <c r="T2582" t="e">
        <f t="shared" si="85"/>
        <v>#REF!</v>
      </c>
      <c r="U2582" t="e">
        <f t="shared" si="86"/>
        <v>#REF!</v>
      </c>
    </row>
    <row r="2583" spans="4:21" x14ac:dyDescent="0.2">
      <c r="D2583" s="4"/>
      <c r="G2583" s="5"/>
      <c r="H2583" s="5"/>
      <c r="I2583" s="4"/>
      <c r="J2583" s="4"/>
      <c r="K2583" s="5"/>
      <c r="Q2583" t="e">
        <f>VLOOKUP(A2583,'גיליון דאטה להכל'!A:E,5,0)</f>
        <v>#N/A</v>
      </c>
      <c r="R2583" t="e">
        <f>VLOOKUP(A2583,'לעדכן בסינתזה דאטה אריזה 42+24'!$A:$C,3,0)</f>
        <v>#N/A</v>
      </c>
      <c r="S2583" t="e">
        <f>VLOOKUP(#REF!,'מלאי לא תקין'!A:N,17,0)</f>
        <v>#REF!</v>
      </c>
      <c r="T2583" t="e">
        <f t="shared" si="85"/>
        <v>#REF!</v>
      </c>
      <c r="U2583" t="e">
        <f t="shared" si="86"/>
        <v>#REF!</v>
      </c>
    </row>
    <row r="2584" spans="4:21" x14ac:dyDescent="0.2">
      <c r="D2584" s="4"/>
      <c r="G2584" s="5"/>
      <c r="H2584" s="5"/>
      <c r="I2584" s="4"/>
      <c r="J2584" s="4"/>
      <c r="K2584" s="5"/>
      <c r="Q2584" t="e">
        <f>VLOOKUP(A2584,'גיליון דאטה להכל'!A:E,5,0)</f>
        <v>#N/A</v>
      </c>
      <c r="R2584" t="e">
        <f>VLOOKUP(A2584,'לעדכן בסינתזה דאטה אריזה 42+24'!$A:$C,3,0)</f>
        <v>#N/A</v>
      </c>
      <c r="S2584" t="e">
        <f>VLOOKUP(#REF!,'מלאי לא תקין'!A:N,17,0)</f>
        <v>#REF!</v>
      </c>
      <c r="T2584" t="e">
        <f t="shared" si="85"/>
        <v>#REF!</v>
      </c>
      <c r="U2584" t="e">
        <f t="shared" si="86"/>
        <v>#REF!</v>
      </c>
    </row>
    <row r="2585" spans="4:21" x14ac:dyDescent="0.2">
      <c r="D2585" s="4"/>
      <c r="G2585" s="5"/>
      <c r="H2585" s="7"/>
      <c r="I2585" s="4"/>
      <c r="J2585" s="4"/>
      <c r="K2585" s="5"/>
      <c r="Q2585" t="e">
        <f>VLOOKUP(A2585,'גיליון דאטה להכל'!A:E,5,0)</f>
        <v>#N/A</v>
      </c>
      <c r="R2585" t="e">
        <f>VLOOKUP(A2585,'לעדכן בסינתזה דאטה אריזה 42+24'!$A:$C,3,0)</f>
        <v>#N/A</v>
      </c>
      <c r="S2585" t="e">
        <f>VLOOKUP(#REF!,'מלאי לא תקין'!A:N,17,0)</f>
        <v>#REF!</v>
      </c>
      <c r="T2585" t="e">
        <f t="shared" si="85"/>
        <v>#REF!</v>
      </c>
      <c r="U2585" t="e">
        <f t="shared" si="86"/>
        <v>#REF!</v>
      </c>
    </row>
    <row r="2586" spans="4:21" x14ac:dyDescent="0.2">
      <c r="D2586" s="4"/>
      <c r="G2586" s="5"/>
      <c r="H2586" s="5"/>
      <c r="I2586" s="4"/>
      <c r="J2586" s="4"/>
      <c r="K2586" s="5"/>
      <c r="Q2586" t="e">
        <f>VLOOKUP(A2586,'גיליון דאטה להכל'!A:E,5,0)</f>
        <v>#N/A</v>
      </c>
      <c r="R2586" t="e">
        <f>VLOOKUP(A2586,'לעדכן בסינתזה דאטה אריזה 42+24'!$A:$C,3,0)</f>
        <v>#N/A</v>
      </c>
      <c r="S2586" t="e">
        <f>VLOOKUP(#REF!,'מלאי לא תקין'!A:N,17,0)</f>
        <v>#REF!</v>
      </c>
      <c r="T2586" t="e">
        <f t="shared" si="85"/>
        <v>#REF!</v>
      </c>
      <c r="U2586" t="e">
        <f t="shared" si="86"/>
        <v>#REF!</v>
      </c>
    </row>
    <row r="2587" spans="4:21" x14ac:dyDescent="0.2">
      <c r="D2587" s="4"/>
      <c r="G2587" s="5"/>
      <c r="H2587" s="5"/>
      <c r="I2587" s="4"/>
      <c r="J2587" s="4"/>
      <c r="K2587" s="5"/>
      <c r="Q2587" t="e">
        <f>VLOOKUP(A2587,'גיליון דאטה להכל'!A:E,5,0)</f>
        <v>#N/A</v>
      </c>
      <c r="R2587" t="e">
        <f>VLOOKUP(A2587,'לעדכן בסינתזה דאטה אריזה 42+24'!$A:$C,3,0)</f>
        <v>#N/A</v>
      </c>
      <c r="S2587" t="e">
        <f>VLOOKUP(#REF!,'מלאי לא תקין'!A:N,17,0)</f>
        <v>#REF!</v>
      </c>
      <c r="T2587" t="e">
        <f t="shared" si="85"/>
        <v>#REF!</v>
      </c>
      <c r="U2587" t="e">
        <f t="shared" si="86"/>
        <v>#REF!</v>
      </c>
    </row>
    <row r="2588" spans="4:21" x14ac:dyDescent="0.2">
      <c r="D2588" s="4"/>
      <c r="G2588" s="5"/>
      <c r="H2588" s="5"/>
      <c r="I2588" s="4"/>
      <c r="J2588" s="4"/>
      <c r="K2588" s="5"/>
      <c r="Q2588" t="e">
        <f>VLOOKUP(A2588,'גיליון דאטה להכל'!A:E,5,0)</f>
        <v>#N/A</v>
      </c>
      <c r="R2588" t="e">
        <f>VLOOKUP(A2588,'לעדכן בסינתזה דאטה אריזה 42+24'!$A:$C,3,0)</f>
        <v>#N/A</v>
      </c>
      <c r="S2588" t="e">
        <f>VLOOKUP(#REF!,'מלאי לא תקין'!A:N,17,0)</f>
        <v>#REF!</v>
      </c>
      <c r="T2588" t="e">
        <f t="shared" si="85"/>
        <v>#REF!</v>
      </c>
      <c r="U2588" t="e">
        <f t="shared" si="86"/>
        <v>#REF!</v>
      </c>
    </row>
    <row r="2589" spans="4:21" x14ac:dyDescent="0.2">
      <c r="D2589" s="4"/>
      <c r="G2589" s="5"/>
      <c r="H2589" s="5"/>
      <c r="I2589" s="4"/>
      <c r="J2589" s="4"/>
      <c r="K2589" s="5"/>
      <c r="Q2589" t="e">
        <f>VLOOKUP(A2589,'גיליון דאטה להכל'!A:E,5,0)</f>
        <v>#N/A</v>
      </c>
      <c r="R2589" t="e">
        <f>VLOOKUP(A2589,'לעדכן בסינתזה דאטה אריזה 42+24'!$A:$C,3,0)</f>
        <v>#N/A</v>
      </c>
      <c r="S2589" t="e">
        <f>VLOOKUP(#REF!,'מלאי לא תקין'!A:N,17,0)</f>
        <v>#REF!</v>
      </c>
      <c r="T2589" t="e">
        <f t="shared" si="85"/>
        <v>#REF!</v>
      </c>
      <c r="U2589" t="e">
        <f t="shared" si="86"/>
        <v>#REF!</v>
      </c>
    </row>
    <row r="2590" spans="4:21" x14ac:dyDescent="0.2">
      <c r="D2590" s="4"/>
      <c r="G2590" s="5"/>
      <c r="H2590" s="7"/>
      <c r="I2590" s="4"/>
      <c r="J2590" s="4"/>
      <c r="K2590" s="5"/>
      <c r="Q2590" t="e">
        <f>VLOOKUP(A2590,'גיליון דאטה להכל'!A:E,5,0)</f>
        <v>#N/A</v>
      </c>
      <c r="R2590" t="e">
        <f>VLOOKUP(A2590,'לעדכן בסינתזה דאטה אריזה 42+24'!$A:$C,3,0)</f>
        <v>#N/A</v>
      </c>
      <c r="S2590" t="e">
        <f>VLOOKUP(#REF!,'מלאי לא תקין'!A:N,17,0)</f>
        <v>#REF!</v>
      </c>
      <c r="T2590" t="e">
        <f t="shared" si="85"/>
        <v>#REF!</v>
      </c>
      <c r="U2590" t="e">
        <f t="shared" si="86"/>
        <v>#REF!</v>
      </c>
    </row>
    <row r="2591" spans="4:21" x14ac:dyDescent="0.2">
      <c r="D2591" s="4"/>
      <c r="G2591" s="5"/>
      <c r="H2591" s="5"/>
      <c r="I2591" s="4"/>
      <c r="J2591" s="4"/>
      <c r="K2591" s="5"/>
      <c r="Q2591" t="e">
        <f>VLOOKUP(A2591,'גיליון דאטה להכל'!A:E,5,0)</f>
        <v>#N/A</v>
      </c>
      <c r="R2591" t="e">
        <f>VLOOKUP(A2591,'לעדכן בסינתזה דאטה אריזה 42+24'!$A:$C,3,0)</f>
        <v>#N/A</v>
      </c>
      <c r="S2591" t="e">
        <f>VLOOKUP(#REF!,'מלאי לא תקין'!A:N,17,0)</f>
        <v>#REF!</v>
      </c>
      <c r="T2591" t="e">
        <f t="shared" si="85"/>
        <v>#REF!</v>
      </c>
      <c r="U2591" t="e">
        <f t="shared" si="86"/>
        <v>#REF!</v>
      </c>
    </row>
    <row r="2592" spans="4:21" x14ac:dyDescent="0.2">
      <c r="D2592" s="4"/>
      <c r="G2592" s="5"/>
      <c r="H2592" s="5"/>
      <c r="I2592" s="4"/>
      <c r="J2592" s="4"/>
      <c r="K2592" s="5"/>
      <c r="Q2592" t="e">
        <f>VLOOKUP(A2592,'גיליון דאטה להכל'!A:E,5,0)</f>
        <v>#N/A</v>
      </c>
      <c r="R2592" t="e">
        <f>VLOOKUP(A2592,'לעדכן בסינתזה דאטה אריזה 42+24'!$A:$C,3,0)</f>
        <v>#N/A</v>
      </c>
      <c r="S2592" t="e">
        <f>VLOOKUP(#REF!,'מלאי לא תקין'!A:N,17,0)</f>
        <v>#REF!</v>
      </c>
      <c r="T2592" t="e">
        <f t="shared" si="85"/>
        <v>#REF!</v>
      </c>
      <c r="U2592" t="e">
        <f t="shared" si="86"/>
        <v>#REF!</v>
      </c>
    </row>
    <row r="2593" spans="4:21" x14ac:dyDescent="0.2">
      <c r="D2593" s="4"/>
      <c r="G2593" s="5"/>
      <c r="H2593" s="5"/>
      <c r="I2593" s="4"/>
      <c r="J2593" s="4"/>
      <c r="K2593" s="5"/>
      <c r="Q2593" t="e">
        <f>VLOOKUP(A2593,'גיליון דאטה להכל'!A:E,5,0)</f>
        <v>#N/A</v>
      </c>
      <c r="R2593" t="e">
        <f>VLOOKUP(A2593,'לעדכן בסינתזה דאטה אריזה 42+24'!$A:$C,3,0)</f>
        <v>#N/A</v>
      </c>
      <c r="S2593" t="e">
        <f>VLOOKUP(#REF!,'מלאי לא תקין'!A:N,17,0)</f>
        <v>#REF!</v>
      </c>
      <c r="T2593" t="e">
        <f t="shared" si="85"/>
        <v>#REF!</v>
      </c>
      <c r="U2593" t="e">
        <f t="shared" si="86"/>
        <v>#REF!</v>
      </c>
    </row>
    <row r="2594" spans="4:21" x14ac:dyDescent="0.2">
      <c r="D2594" s="4"/>
      <c r="G2594" s="5"/>
      <c r="H2594" s="5"/>
      <c r="I2594" s="4"/>
      <c r="J2594" s="4"/>
      <c r="K2594" s="5"/>
      <c r="Q2594" t="e">
        <f>VLOOKUP(A2594,'גיליון דאטה להכל'!A:E,5,0)</f>
        <v>#N/A</v>
      </c>
      <c r="R2594" t="e">
        <f>VLOOKUP(A2594,'לעדכן בסינתזה דאטה אריזה 42+24'!$A:$C,3,0)</f>
        <v>#N/A</v>
      </c>
      <c r="S2594" t="e">
        <f>VLOOKUP(#REF!,'מלאי לא תקין'!A:N,17,0)</f>
        <v>#REF!</v>
      </c>
      <c r="T2594" t="e">
        <f t="shared" si="85"/>
        <v>#REF!</v>
      </c>
      <c r="U2594" t="e">
        <f t="shared" si="86"/>
        <v>#REF!</v>
      </c>
    </row>
    <row r="2595" spans="4:21" x14ac:dyDescent="0.2">
      <c r="D2595" s="4"/>
      <c r="G2595" s="5"/>
      <c r="H2595" s="7"/>
      <c r="I2595" s="4"/>
      <c r="J2595" s="4"/>
      <c r="K2595" s="5"/>
      <c r="Q2595" t="e">
        <f>VLOOKUP(A2595,'גיליון דאטה להכל'!A:E,5,0)</f>
        <v>#N/A</v>
      </c>
      <c r="R2595" t="e">
        <f>VLOOKUP(A2595,'לעדכן בסינתזה דאטה אריזה 42+24'!$A:$C,3,0)</f>
        <v>#N/A</v>
      </c>
      <c r="S2595" t="e">
        <f>VLOOKUP(#REF!,'מלאי לא תקין'!A:N,17,0)</f>
        <v>#REF!</v>
      </c>
      <c r="T2595" t="e">
        <f t="shared" si="85"/>
        <v>#REF!</v>
      </c>
      <c r="U2595" t="e">
        <f t="shared" si="86"/>
        <v>#REF!</v>
      </c>
    </row>
    <row r="2596" spans="4:21" x14ac:dyDescent="0.2">
      <c r="D2596" s="4"/>
      <c r="G2596" s="5"/>
      <c r="H2596" s="5"/>
      <c r="I2596" s="4"/>
      <c r="J2596" s="4"/>
      <c r="K2596" s="5"/>
      <c r="Q2596" t="e">
        <f>VLOOKUP(A2596,'גיליון דאטה להכל'!A:E,5,0)</f>
        <v>#N/A</v>
      </c>
      <c r="R2596" t="e">
        <f>VLOOKUP(A2596,'לעדכן בסינתזה דאטה אריזה 42+24'!$A:$C,3,0)</f>
        <v>#N/A</v>
      </c>
      <c r="S2596" t="e">
        <f>VLOOKUP(#REF!,'מלאי לא תקין'!A:N,17,0)</f>
        <v>#REF!</v>
      </c>
      <c r="T2596" t="e">
        <f t="shared" si="85"/>
        <v>#REF!</v>
      </c>
      <c r="U2596" t="e">
        <f t="shared" si="86"/>
        <v>#REF!</v>
      </c>
    </row>
    <row r="2597" spans="4:21" x14ac:dyDescent="0.2">
      <c r="D2597" s="4"/>
      <c r="G2597" s="5"/>
      <c r="H2597" s="5"/>
      <c r="I2597" s="4"/>
      <c r="J2597" s="4"/>
      <c r="K2597" s="5"/>
      <c r="Q2597" t="e">
        <f>VLOOKUP(A2597,'גיליון דאטה להכל'!A:E,5,0)</f>
        <v>#N/A</v>
      </c>
      <c r="R2597" t="e">
        <f>VLOOKUP(A2597,'לעדכן בסינתזה דאטה אריזה 42+24'!$A:$C,3,0)</f>
        <v>#N/A</v>
      </c>
      <c r="S2597" t="e">
        <f>VLOOKUP(#REF!,'מלאי לא תקין'!A:N,17,0)</f>
        <v>#REF!</v>
      </c>
      <c r="T2597" t="e">
        <f t="shared" si="85"/>
        <v>#REF!</v>
      </c>
      <c r="U2597" t="e">
        <f t="shared" si="86"/>
        <v>#REF!</v>
      </c>
    </row>
    <row r="2598" spans="4:21" x14ac:dyDescent="0.2">
      <c r="D2598" s="4"/>
      <c r="G2598" s="5"/>
      <c r="H2598" s="5"/>
      <c r="I2598" s="4"/>
      <c r="J2598" s="4"/>
      <c r="K2598" s="5"/>
      <c r="Q2598" t="e">
        <f>VLOOKUP(A2598,'גיליון דאטה להכל'!A:E,5,0)</f>
        <v>#N/A</v>
      </c>
      <c r="R2598" t="e">
        <f>VLOOKUP(A2598,'לעדכן בסינתזה דאטה אריזה 42+24'!$A:$C,3,0)</f>
        <v>#N/A</v>
      </c>
      <c r="S2598" t="e">
        <f>VLOOKUP(#REF!,'מלאי לא תקין'!A:N,17,0)</f>
        <v>#REF!</v>
      </c>
      <c r="T2598" t="e">
        <f t="shared" si="85"/>
        <v>#REF!</v>
      </c>
      <c r="U2598" t="e">
        <f t="shared" si="86"/>
        <v>#REF!</v>
      </c>
    </row>
    <row r="2599" spans="4:21" x14ac:dyDescent="0.2">
      <c r="D2599" s="4"/>
      <c r="G2599" s="5"/>
      <c r="H2599" s="5"/>
      <c r="I2599" s="4"/>
      <c r="J2599" s="4"/>
      <c r="K2599" s="5"/>
      <c r="Q2599" t="e">
        <f>VLOOKUP(A2599,'גיליון דאטה להכל'!A:E,5,0)</f>
        <v>#N/A</v>
      </c>
      <c r="R2599" t="e">
        <f>VLOOKUP(A2599,'לעדכן בסינתזה דאטה אריזה 42+24'!$A:$C,3,0)</f>
        <v>#N/A</v>
      </c>
      <c r="S2599" t="e">
        <f>VLOOKUP(#REF!,'מלאי לא תקין'!A:N,17,0)</f>
        <v>#REF!</v>
      </c>
      <c r="T2599" t="e">
        <f t="shared" si="85"/>
        <v>#REF!</v>
      </c>
      <c r="U2599" t="e">
        <f t="shared" si="86"/>
        <v>#REF!</v>
      </c>
    </row>
    <row r="2600" spans="4:21" x14ac:dyDescent="0.2">
      <c r="D2600" s="4"/>
      <c r="G2600" s="5"/>
      <c r="H2600" s="7"/>
      <c r="I2600" s="4"/>
      <c r="J2600" s="4"/>
      <c r="K2600" s="5"/>
      <c r="Q2600" t="e">
        <f>VLOOKUP(A2600,'גיליון דאטה להכל'!A:E,5,0)</f>
        <v>#N/A</v>
      </c>
      <c r="R2600" t="e">
        <f>VLOOKUP(A2600,'לעדכן בסינתזה דאטה אריזה 42+24'!$A:$C,3,0)</f>
        <v>#N/A</v>
      </c>
      <c r="S2600" t="e">
        <f>VLOOKUP(#REF!,'מלאי לא תקין'!A:N,17,0)</f>
        <v>#REF!</v>
      </c>
      <c r="T2600" t="e">
        <f t="shared" si="85"/>
        <v>#REF!</v>
      </c>
      <c r="U2600" t="e">
        <f t="shared" si="86"/>
        <v>#REF!</v>
      </c>
    </row>
    <row r="2601" spans="4:21" x14ac:dyDescent="0.2">
      <c r="D2601" s="4"/>
      <c r="G2601" s="5"/>
      <c r="H2601" s="5"/>
      <c r="I2601" s="4"/>
      <c r="J2601" s="4"/>
      <c r="K2601" s="5"/>
      <c r="Q2601" t="e">
        <f>VLOOKUP(A2601,'גיליון דאטה להכל'!A:E,5,0)</f>
        <v>#N/A</v>
      </c>
      <c r="R2601" t="e">
        <f>VLOOKUP(A2601,'לעדכן בסינתזה דאטה אריזה 42+24'!$A:$C,3,0)</f>
        <v>#N/A</v>
      </c>
      <c r="S2601" t="e">
        <f>VLOOKUP(#REF!,'מלאי לא תקין'!A:N,17,0)</f>
        <v>#REF!</v>
      </c>
      <c r="T2601" t="e">
        <f t="shared" si="85"/>
        <v>#REF!</v>
      </c>
      <c r="U2601" t="e">
        <f t="shared" si="86"/>
        <v>#REF!</v>
      </c>
    </row>
    <row r="2602" spans="4:21" x14ac:dyDescent="0.2">
      <c r="D2602" s="4"/>
      <c r="G2602" s="5"/>
      <c r="H2602" s="5"/>
      <c r="I2602" s="4"/>
      <c r="J2602" s="4"/>
      <c r="K2602" s="5"/>
      <c r="Q2602" t="e">
        <f>VLOOKUP(A2602,'גיליון דאטה להכל'!A:E,5,0)</f>
        <v>#N/A</v>
      </c>
      <c r="R2602" t="e">
        <f>VLOOKUP(A2602,'לעדכן בסינתזה דאטה אריזה 42+24'!$A:$C,3,0)</f>
        <v>#N/A</v>
      </c>
      <c r="S2602" t="e">
        <f>VLOOKUP(#REF!,'מלאי לא תקין'!A:N,17,0)</f>
        <v>#REF!</v>
      </c>
      <c r="T2602" t="e">
        <f t="shared" si="85"/>
        <v>#REF!</v>
      </c>
      <c r="U2602" t="e">
        <f t="shared" si="86"/>
        <v>#REF!</v>
      </c>
    </row>
    <row r="2603" spans="4:21" x14ac:dyDescent="0.2">
      <c r="D2603" s="4"/>
      <c r="G2603" s="5"/>
      <c r="H2603" s="5"/>
      <c r="I2603" s="4"/>
      <c r="J2603" s="4"/>
      <c r="K2603" s="5"/>
      <c r="Q2603" t="e">
        <f>VLOOKUP(A2603,'גיליון דאטה להכל'!A:E,5,0)</f>
        <v>#N/A</v>
      </c>
      <c r="R2603" t="e">
        <f>VLOOKUP(A2603,'לעדכן בסינתזה דאטה אריזה 42+24'!$A:$C,3,0)</f>
        <v>#N/A</v>
      </c>
      <c r="S2603" t="e">
        <f>VLOOKUP(#REF!,'מלאי לא תקין'!A:N,17,0)</f>
        <v>#REF!</v>
      </c>
      <c r="T2603" t="e">
        <f t="shared" si="85"/>
        <v>#REF!</v>
      </c>
      <c r="U2603" t="e">
        <f t="shared" si="86"/>
        <v>#REF!</v>
      </c>
    </row>
    <row r="2604" spans="4:21" x14ac:dyDescent="0.2">
      <c r="D2604" s="4"/>
      <c r="G2604" s="5"/>
      <c r="H2604" s="5"/>
      <c r="I2604" s="4"/>
      <c r="J2604" s="4"/>
      <c r="K2604" s="5"/>
      <c r="Q2604" t="e">
        <f>VLOOKUP(A2604,'גיליון דאטה להכל'!A:E,5,0)</f>
        <v>#N/A</v>
      </c>
      <c r="R2604" t="e">
        <f>VLOOKUP(A2604,'לעדכן בסינתזה דאטה אריזה 42+24'!$A:$C,3,0)</f>
        <v>#N/A</v>
      </c>
      <c r="S2604" t="e">
        <f>VLOOKUP(#REF!,'מלאי לא תקין'!A:N,17,0)</f>
        <v>#REF!</v>
      </c>
      <c r="T2604" t="e">
        <f t="shared" si="85"/>
        <v>#REF!</v>
      </c>
      <c r="U2604" t="e">
        <f t="shared" si="86"/>
        <v>#REF!</v>
      </c>
    </row>
    <row r="2605" spans="4:21" x14ac:dyDescent="0.2">
      <c r="D2605" s="4"/>
      <c r="G2605" s="5"/>
      <c r="H2605" s="7"/>
      <c r="I2605" s="4"/>
      <c r="J2605" s="4"/>
      <c r="K2605" s="5"/>
      <c r="Q2605" t="e">
        <f>VLOOKUP(A2605,'גיליון דאטה להכל'!A:E,5,0)</f>
        <v>#N/A</v>
      </c>
      <c r="R2605" t="e">
        <f>VLOOKUP(A2605,'לעדכן בסינתזה דאטה אריזה 42+24'!$A:$C,3,0)</f>
        <v>#N/A</v>
      </c>
      <c r="S2605" t="e">
        <f>VLOOKUP(#REF!,'מלאי לא תקין'!A:N,17,0)</f>
        <v>#REF!</v>
      </c>
      <c r="T2605" t="e">
        <f t="shared" si="85"/>
        <v>#REF!</v>
      </c>
      <c r="U2605" t="e">
        <f t="shared" si="86"/>
        <v>#REF!</v>
      </c>
    </row>
    <row r="2606" spans="4:21" x14ac:dyDescent="0.2">
      <c r="D2606" s="4"/>
      <c r="G2606" s="5"/>
      <c r="H2606" s="5"/>
      <c r="I2606" s="4"/>
      <c r="J2606" s="4"/>
      <c r="K2606" s="5"/>
      <c r="Q2606" t="e">
        <f>VLOOKUP(A2606,'גיליון דאטה להכל'!A:E,5,0)</f>
        <v>#N/A</v>
      </c>
      <c r="R2606" t="e">
        <f>VLOOKUP(A2606,'לעדכן בסינתזה דאטה אריזה 42+24'!$A:$C,3,0)</f>
        <v>#N/A</v>
      </c>
      <c r="S2606" t="e">
        <f>VLOOKUP(#REF!,'מלאי לא תקין'!A:N,17,0)</f>
        <v>#REF!</v>
      </c>
      <c r="T2606" t="e">
        <f t="shared" si="85"/>
        <v>#REF!</v>
      </c>
      <c r="U2606" t="e">
        <f t="shared" si="86"/>
        <v>#REF!</v>
      </c>
    </row>
    <row r="2607" spans="4:21" x14ac:dyDescent="0.2">
      <c r="D2607" s="4"/>
      <c r="G2607" s="5"/>
      <c r="H2607" s="5"/>
      <c r="I2607" s="4"/>
      <c r="J2607" s="4"/>
      <c r="K2607" s="5"/>
      <c r="Q2607" t="e">
        <f>VLOOKUP(A2607,'גיליון דאטה להכל'!A:E,5,0)</f>
        <v>#N/A</v>
      </c>
      <c r="R2607" t="e">
        <f>VLOOKUP(A2607,'לעדכן בסינתזה דאטה אריזה 42+24'!$A:$C,3,0)</f>
        <v>#N/A</v>
      </c>
      <c r="S2607" t="e">
        <f>VLOOKUP(#REF!,'מלאי לא תקין'!A:N,17,0)</f>
        <v>#REF!</v>
      </c>
      <c r="T2607" t="e">
        <f t="shared" si="85"/>
        <v>#REF!</v>
      </c>
      <c r="U2607" t="e">
        <f t="shared" si="86"/>
        <v>#REF!</v>
      </c>
    </row>
    <row r="2608" spans="4:21" x14ac:dyDescent="0.2">
      <c r="D2608" s="4"/>
      <c r="G2608" s="5"/>
      <c r="H2608" s="5"/>
      <c r="I2608" s="4"/>
      <c r="J2608" s="4"/>
      <c r="K2608" s="5"/>
      <c r="Q2608" t="e">
        <f>VLOOKUP(A2608,'גיליון דאטה להכל'!A:E,5,0)</f>
        <v>#N/A</v>
      </c>
      <c r="R2608" t="e">
        <f>VLOOKUP(A2608,'לעדכן בסינתזה דאטה אריזה 42+24'!$A:$C,3,0)</f>
        <v>#N/A</v>
      </c>
      <c r="S2608" t="e">
        <f>VLOOKUP(#REF!,'מלאי לא תקין'!A:N,17,0)</f>
        <v>#REF!</v>
      </c>
      <c r="T2608" t="e">
        <f t="shared" si="85"/>
        <v>#REF!</v>
      </c>
      <c r="U2608" t="e">
        <f t="shared" si="86"/>
        <v>#REF!</v>
      </c>
    </row>
    <row r="2609" spans="4:21" x14ac:dyDescent="0.2">
      <c r="D2609" s="4"/>
      <c r="G2609" s="5"/>
      <c r="H2609" s="5"/>
      <c r="I2609" s="4"/>
      <c r="J2609" s="4"/>
      <c r="K2609" s="5"/>
      <c r="Q2609" t="e">
        <f>VLOOKUP(A2609,'גיליון דאטה להכל'!A:E,5,0)</f>
        <v>#N/A</v>
      </c>
      <c r="R2609" t="e">
        <f>VLOOKUP(A2609,'לעדכן בסינתזה דאטה אריזה 42+24'!$A:$C,3,0)</f>
        <v>#N/A</v>
      </c>
      <c r="S2609" t="e">
        <f>VLOOKUP(#REF!,'מלאי לא תקין'!A:N,17,0)</f>
        <v>#REF!</v>
      </c>
      <c r="T2609" t="e">
        <f t="shared" si="85"/>
        <v>#REF!</v>
      </c>
      <c r="U2609" t="e">
        <f t="shared" si="86"/>
        <v>#REF!</v>
      </c>
    </row>
    <row r="2610" spans="4:21" x14ac:dyDescent="0.2">
      <c r="D2610" s="4"/>
      <c r="G2610" s="5"/>
      <c r="H2610" s="7"/>
      <c r="I2610" s="4"/>
      <c r="J2610" s="4"/>
      <c r="K2610" s="5"/>
      <c r="Q2610" t="e">
        <f>VLOOKUP(A2610,'גיליון דאטה להכל'!A:E,5,0)</f>
        <v>#N/A</v>
      </c>
      <c r="R2610" t="e">
        <f>VLOOKUP(A2610,'לעדכן בסינתזה דאטה אריזה 42+24'!$A:$C,3,0)</f>
        <v>#N/A</v>
      </c>
      <c r="S2610" t="e">
        <f>VLOOKUP(#REF!,'מלאי לא תקין'!A:N,17,0)</f>
        <v>#REF!</v>
      </c>
      <c r="T2610" t="e">
        <f t="shared" si="85"/>
        <v>#REF!</v>
      </c>
      <c r="U2610" t="e">
        <f t="shared" si="86"/>
        <v>#REF!</v>
      </c>
    </row>
    <row r="2611" spans="4:21" x14ac:dyDescent="0.2">
      <c r="D2611" s="4"/>
      <c r="G2611" s="5"/>
      <c r="H2611" s="5"/>
      <c r="I2611" s="4"/>
      <c r="J2611" s="4"/>
      <c r="K2611" s="5"/>
      <c r="Q2611" t="e">
        <f>VLOOKUP(A2611,'גיליון דאטה להכל'!A:E,5,0)</f>
        <v>#N/A</v>
      </c>
      <c r="R2611" t="e">
        <f>VLOOKUP(A2611,'לעדכן בסינתזה דאטה אריזה 42+24'!$A:$C,3,0)</f>
        <v>#N/A</v>
      </c>
      <c r="S2611" t="e">
        <f>VLOOKUP(#REF!,'מלאי לא תקין'!A:N,17,0)</f>
        <v>#REF!</v>
      </c>
      <c r="T2611" t="e">
        <f t="shared" si="85"/>
        <v>#REF!</v>
      </c>
      <c r="U2611" t="e">
        <f t="shared" si="86"/>
        <v>#REF!</v>
      </c>
    </row>
    <row r="2612" spans="4:21" x14ac:dyDescent="0.2">
      <c r="D2612" s="4"/>
      <c r="G2612" s="5"/>
      <c r="H2612" s="5"/>
      <c r="I2612" s="4"/>
      <c r="J2612" s="4"/>
      <c r="K2612" s="5"/>
      <c r="Q2612" t="e">
        <f>VLOOKUP(A2612,'גיליון דאטה להכל'!A:E,5,0)</f>
        <v>#N/A</v>
      </c>
      <c r="R2612" t="e">
        <f>VLOOKUP(A2612,'לעדכן בסינתזה דאטה אריזה 42+24'!$A:$C,3,0)</f>
        <v>#N/A</v>
      </c>
      <c r="S2612" t="e">
        <f>VLOOKUP(#REF!,'מלאי לא תקין'!A:N,17,0)</f>
        <v>#REF!</v>
      </c>
      <c r="T2612" t="e">
        <f t="shared" si="85"/>
        <v>#REF!</v>
      </c>
      <c r="U2612" t="e">
        <f t="shared" si="86"/>
        <v>#REF!</v>
      </c>
    </row>
    <row r="2613" spans="4:21" x14ac:dyDescent="0.2">
      <c r="D2613" s="4"/>
      <c r="G2613" s="5"/>
      <c r="H2613" s="5"/>
      <c r="I2613" s="4"/>
      <c r="J2613" s="4"/>
      <c r="K2613" s="5"/>
      <c r="Q2613" t="e">
        <f>VLOOKUP(A2613,'גיליון דאטה להכל'!A:E,5,0)</f>
        <v>#N/A</v>
      </c>
      <c r="R2613" t="e">
        <f>VLOOKUP(A2613,'לעדכן בסינתזה דאטה אריזה 42+24'!$A:$C,3,0)</f>
        <v>#N/A</v>
      </c>
      <c r="S2613" t="e">
        <f>VLOOKUP(#REF!,'מלאי לא תקין'!A:N,17,0)</f>
        <v>#REF!</v>
      </c>
      <c r="T2613" t="e">
        <f t="shared" si="85"/>
        <v>#REF!</v>
      </c>
      <c r="U2613" t="e">
        <f t="shared" si="86"/>
        <v>#REF!</v>
      </c>
    </row>
    <row r="2614" spans="4:21" x14ac:dyDescent="0.2">
      <c r="D2614" s="4"/>
      <c r="G2614" s="5"/>
      <c r="H2614" s="5"/>
      <c r="I2614" s="4"/>
      <c r="J2614" s="4"/>
      <c r="K2614" s="5"/>
      <c r="Q2614" t="e">
        <f>VLOOKUP(A2614,'גיליון דאטה להכל'!A:E,5,0)</f>
        <v>#N/A</v>
      </c>
      <c r="R2614" t="e">
        <f>VLOOKUP(A2614,'לעדכן בסינתזה דאטה אריזה 42+24'!$A:$C,3,0)</f>
        <v>#N/A</v>
      </c>
      <c r="S2614" t="e">
        <f>VLOOKUP(#REF!,'מלאי לא תקין'!A:N,17,0)</f>
        <v>#REF!</v>
      </c>
      <c r="T2614" t="e">
        <f t="shared" si="85"/>
        <v>#REF!</v>
      </c>
      <c r="U2614" t="e">
        <f t="shared" si="86"/>
        <v>#REF!</v>
      </c>
    </row>
    <row r="2615" spans="4:21" x14ac:dyDescent="0.2">
      <c r="D2615" s="4"/>
      <c r="G2615" s="5"/>
      <c r="H2615" s="7"/>
      <c r="I2615" s="4"/>
      <c r="J2615" s="4"/>
      <c r="K2615" s="5"/>
      <c r="Q2615" t="e">
        <f>VLOOKUP(A2615,'גיליון דאטה להכל'!A:E,5,0)</f>
        <v>#N/A</v>
      </c>
      <c r="R2615" t="e">
        <f>VLOOKUP(A2615,'לעדכן בסינתזה דאטה אריזה 42+24'!$A:$C,3,0)</f>
        <v>#N/A</v>
      </c>
      <c r="S2615" t="e">
        <f>VLOOKUP(#REF!,'מלאי לא תקין'!A:N,17,0)</f>
        <v>#REF!</v>
      </c>
      <c r="T2615" t="e">
        <f t="shared" si="85"/>
        <v>#REF!</v>
      </c>
      <c r="U2615" t="e">
        <f t="shared" si="86"/>
        <v>#REF!</v>
      </c>
    </row>
    <row r="2616" spans="4:21" x14ac:dyDescent="0.2">
      <c r="D2616" s="4"/>
      <c r="G2616" s="5"/>
      <c r="H2616" s="5"/>
      <c r="I2616" s="4"/>
      <c r="J2616" s="4"/>
      <c r="K2616" s="5"/>
      <c r="Q2616" t="e">
        <f>VLOOKUP(A2616,'גיליון דאטה להכל'!A:E,5,0)</f>
        <v>#N/A</v>
      </c>
      <c r="R2616" t="e">
        <f>VLOOKUP(A2616,'לעדכן בסינתזה דאטה אריזה 42+24'!$A:$C,3,0)</f>
        <v>#N/A</v>
      </c>
      <c r="S2616" t="e">
        <f>VLOOKUP(#REF!,'מלאי לא תקין'!A:N,17,0)</f>
        <v>#REF!</v>
      </c>
      <c r="T2616" t="e">
        <f t="shared" si="85"/>
        <v>#REF!</v>
      </c>
      <c r="U2616" t="e">
        <f t="shared" si="86"/>
        <v>#REF!</v>
      </c>
    </row>
    <row r="2617" spans="4:21" x14ac:dyDescent="0.2">
      <c r="D2617" s="4"/>
      <c r="G2617" s="5"/>
      <c r="H2617" s="5"/>
      <c r="I2617" s="4"/>
      <c r="J2617" s="4"/>
      <c r="K2617" s="5"/>
      <c r="Q2617" t="e">
        <f>VLOOKUP(A2617,'גיליון דאטה להכל'!A:E,5,0)</f>
        <v>#N/A</v>
      </c>
      <c r="R2617" t="e">
        <f>VLOOKUP(A2617,'לעדכן בסינתזה דאטה אריזה 42+24'!$A:$C,3,0)</f>
        <v>#N/A</v>
      </c>
      <c r="S2617" t="e">
        <f>VLOOKUP(#REF!,'מלאי לא תקין'!A:N,17,0)</f>
        <v>#REF!</v>
      </c>
      <c r="T2617" t="e">
        <f t="shared" si="85"/>
        <v>#REF!</v>
      </c>
      <c r="U2617" t="e">
        <f t="shared" si="86"/>
        <v>#REF!</v>
      </c>
    </row>
    <row r="2618" spans="4:21" x14ac:dyDescent="0.2">
      <c r="D2618" s="4"/>
      <c r="G2618" s="5"/>
      <c r="H2618" s="5"/>
      <c r="I2618" s="4"/>
      <c r="J2618" s="4"/>
      <c r="K2618" s="5"/>
      <c r="Q2618" t="e">
        <f>VLOOKUP(A2618,'גיליון דאטה להכל'!A:E,5,0)</f>
        <v>#N/A</v>
      </c>
      <c r="R2618" t="e">
        <f>VLOOKUP(A2618,'לעדכן בסינתזה דאטה אריזה 42+24'!$A:$C,3,0)</f>
        <v>#N/A</v>
      </c>
      <c r="S2618" t="e">
        <f>VLOOKUP(#REF!,'מלאי לא תקין'!A:N,17,0)</f>
        <v>#REF!</v>
      </c>
      <c r="T2618" t="e">
        <f t="shared" si="85"/>
        <v>#REF!</v>
      </c>
      <c r="U2618" t="e">
        <f t="shared" si="86"/>
        <v>#REF!</v>
      </c>
    </row>
    <row r="2619" spans="4:21" x14ac:dyDescent="0.2">
      <c r="D2619" s="4"/>
      <c r="G2619" s="5"/>
      <c r="H2619" s="5"/>
      <c r="I2619" s="4"/>
      <c r="J2619" s="4"/>
      <c r="K2619" s="5"/>
      <c r="Q2619" t="e">
        <f>VLOOKUP(A2619,'גיליון דאטה להכל'!A:E,5,0)</f>
        <v>#N/A</v>
      </c>
      <c r="R2619" t="e">
        <f>VLOOKUP(A2619,'לעדכן בסינתזה דאטה אריזה 42+24'!$A:$C,3,0)</f>
        <v>#N/A</v>
      </c>
      <c r="S2619" t="e">
        <f>VLOOKUP(#REF!,'מלאי לא תקין'!A:N,17,0)</f>
        <v>#REF!</v>
      </c>
      <c r="T2619" t="e">
        <f t="shared" si="85"/>
        <v>#REF!</v>
      </c>
      <c r="U2619" t="e">
        <f t="shared" si="86"/>
        <v>#REF!</v>
      </c>
    </row>
    <row r="2620" spans="4:21" x14ac:dyDescent="0.2">
      <c r="D2620" s="4"/>
      <c r="G2620" s="5"/>
      <c r="H2620" s="7"/>
      <c r="I2620" s="4"/>
      <c r="J2620" s="4"/>
      <c r="K2620" s="5"/>
      <c r="Q2620" t="e">
        <f>VLOOKUP(A2620,'גיליון דאטה להכל'!A:E,5,0)</f>
        <v>#N/A</v>
      </c>
      <c r="R2620" t="e">
        <f>VLOOKUP(A2620,'לעדכן בסינתזה דאטה אריזה 42+24'!$A:$C,3,0)</f>
        <v>#N/A</v>
      </c>
      <c r="S2620" t="e">
        <f>VLOOKUP(#REF!,'מלאי לא תקין'!A:N,17,0)</f>
        <v>#REF!</v>
      </c>
      <c r="T2620" t="e">
        <f t="shared" si="85"/>
        <v>#REF!</v>
      </c>
      <c r="U2620" t="e">
        <f t="shared" si="86"/>
        <v>#REF!</v>
      </c>
    </row>
    <row r="2621" spans="4:21" x14ac:dyDescent="0.2">
      <c r="D2621" s="4"/>
      <c r="G2621" s="5"/>
      <c r="H2621" s="5"/>
      <c r="I2621" s="4"/>
      <c r="J2621" s="4"/>
      <c r="K2621" s="5"/>
      <c r="Q2621" t="e">
        <f>VLOOKUP(A2621,'גיליון דאטה להכל'!A:E,5,0)</f>
        <v>#N/A</v>
      </c>
      <c r="R2621" t="e">
        <f>VLOOKUP(A2621,'לעדכן בסינתזה דאטה אריזה 42+24'!$A:$C,3,0)</f>
        <v>#N/A</v>
      </c>
      <c r="S2621" t="e">
        <f>VLOOKUP(#REF!,'מלאי לא תקין'!A:N,17,0)</f>
        <v>#REF!</v>
      </c>
      <c r="T2621" t="e">
        <f t="shared" si="85"/>
        <v>#REF!</v>
      </c>
      <c r="U2621" t="e">
        <f t="shared" si="86"/>
        <v>#REF!</v>
      </c>
    </row>
    <row r="2622" spans="4:21" x14ac:dyDescent="0.2">
      <c r="D2622" s="4"/>
      <c r="G2622" s="5"/>
      <c r="H2622" s="5"/>
      <c r="I2622" s="4"/>
      <c r="J2622" s="4"/>
      <c r="K2622" s="5"/>
      <c r="Q2622" t="e">
        <f>VLOOKUP(A2622,'גיליון דאטה להכל'!A:E,5,0)</f>
        <v>#N/A</v>
      </c>
      <c r="R2622" t="e">
        <f>VLOOKUP(A2622,'לעדכן בסינתזה דאטה אריזה 42+24'!$A:$C,3,0)</f>
        <v>#N/A</v>
      </c>
      <c r="S2622" t="e">
        <f>VLOOKUP(#REF!,'מלאי לא תקין'!A:N,17,0)</f>
        <v>#REF!</v>
      </c>
      <c r="T2622" t="e">
        <f t="shared" ref="T2622:T2685" si="87">_xlfn.CONCAT(S2622,Q2622)</f>
        <v>#REF!</v>
      </c>
      <c r="U2622" t="e">
        <f t="shared" ref="U2622:U2685" si="88">_xlfn.CONCAT(S2622,O2622)</f>
        <v>#REF!</v>
      </c>
    </row>
    <row r="2623" spans="4:21" x14ac:dyDescent="0.2">
      <c r="D2623" s="4"/>
      <c r="G2623" s="5"/>
      <c r="H2623" s="5"/>
      <c r="I2623" s="4"/>
      <c r="J2623" s="4"/>
      <c r="K2623" s="5"/>
      <c r="Q2623" t="e">
        <f>VLOOKUP(A2623,'גיליון דאטה להכל'!A:E,5,0)</f>
        <v>#N/A</v>
      </c>
      <c r="R2623" t="e">
        <f>VLOOKUP(A2623,'לעדכן בסינתזה דאטה אריזה 42+24'!$A:$C,3,0)</f>
        <v>#N/A</v>
      </c>
      <c r="S2623" t="e">
        <f>VLOOKUP(#REF!,'מלאי לא תקין'!A:N,17,0)</f>
        <v>#REF!</v>
      </c>
      <c r="T2623" t="e">
        <f t="shared" si="87"/>
        <v>#REF!</v>
      </c>
      <c r="U2623" t="e">
        <f t="shared" si="88"/>
        <v>#REF!</v>
      </c>
    </row>
    <row r="2624" spans="4:21" x14ac:dyDescent="0.2">
      <c r="D2624" s="4"/>
      <c r="G2624" s="5"/>
      <c r="H2624" s="5"/>
      <c r="I2624" s="4"/>
      <c r="J2624" s="4"/>
      <c r="K2624" s="5"/>
      <c r="Q2624" t="e">
        <f>VLOOKUP(A2624,'גיליון דאטה להכל'!A:E,5,0)</f>
        <v>#N/A</v>
      </c>
      <c r="R2624" t="e">
        <f>VLOOKUP(A2624,'לעדכן בסינתזה דאטה אריזה 42+24'!$A:$C,3,0)</f>
        <v>#N/A</v>
      </c>
      <c r="S2624" t="e">
        <f>VLOOKUP(#REF!,'מלאי לא תקין'!A:N,17,0)</f>
        <v>#REF!</v>
      </c>
      <c r="T2624" t="e">
        <f t="shared" si="87"/>
        <v>#REF!</v>
      </c>
      <c r="U2624" t="e">
        <f t="shared" si="88"/>
        <v>#REF!</v>
      </c>
    </row>
    <row r="2625" spans="4:21" x14ac:dyDescent="0.2">
      <c r="D2625" s="4"/>
      <c r="G2625" s="5"/>
      <c r="H2625" s="7"/>
      <c r="I2625" s="4"/>
      <c r="J2625" s="4"/>
      <c r="K2625" s="5"/>
      <c r="Q2625" t="e">
        <f>VLOOKUP(A2625,'גיליון דאטה להכל'!A:E,5,0)</f>
        <v>#N/A</v>
      </c>
      <c r="R2625" t="e">
        <f>VLOOKUP(A2625,'לעדכן בסינתזה דאטה אריזה 42+24'!$A:$C,3,0)</f>
        <v>#N/A</v>
      </c>
      <c r="S2625" t="e">
        <f>VLOOKUP(#REF!,'מלאי לא תקין'!A:N,17,0)</f>
        <v>#REF!</v>
      </c>
      <c r="T2625" t="e">
        <f t="shared" si="87"/>
        <v>#REF!</v>
      </c>
      <c r="U2625" t="e">
        <f t="shared" si="88"/>
        <v>#REF!</v>
      </c>
    </row>
    <row r="2626" spans="4:21" x14ac:dyDescent="0.2">
      <c r="D2626" s="4"/>
      <c r="G2626" s="5"/>
      <c r="H2626" s="5"/>
      <c r="I2626" s="4"/>
      <c r="J2626" s="4"/>
      <c r="K2626" s="5"/>
      <c r="Q2626" t="e">
        <f>VLOOKUP(A2626,'גיליון דאטה להכל'!A:E,5,0)</f>
        <v>#N/A</v>
      </c>
      <c r="R2626" t="e">
        <f>VLOOKUP(A2626,'לעדכן בסינתזה דאטה אריזה 42+24'!$A:$C,3,0)</f>
        <v>#N/A</v>
      </c>
      <c r="S2626" t="e">
        <f>VLOOKUP(#REF!,'מלאי לא תקין'!A:N,17,0)</f>
        <v>#REF!</v>
      </c>
      <c r="T2626" t="e">
        <f t="shared" si="87"/>
        <v>#REF!</v>
      </c>
      <c r="U2626" t="e">
        <f t="shared" si="88"/>
        <v>#REF!</v>
      </c>
    </row>
    <row r="2627" spans="4:21" x14ac:dyDescent="0.2">
      <c r="D2627" s="4"/>
      <c r="G2627" s="5"/>
      <c r="H2627" s="5"/>
      <c r="I2627" s="4"/>
      <c r="J2627" s="4"/>
      <c r="K2627" s="5"/>
      <c r="Q2627" t="e">
        <f>VLOOKUP(A2627,'גיליון דאטה להכל'!A:E,5,0)</f>
        <v>#N/A</v>
      </c>
      <c r="R2627" t="e">
        <f>VLOOKUP(A2627,'לעדכן בסינתזה דאטה אריזה 42+24'!$A:$C,3,0)</f>
        <v>#N/A</v>
      </c>
      <c r="S2627" t="e">
        <f>VLOOKUP(#REF!,'מלאי לא תקין'!A:N,17,0)</f>
        <v>#REF!</v>
      </c>
      <c r="T2627" t="e">
        <f t="shared" si="87"/>
        <v>#REF!</v>
      </c>
      <c r="U2627" t="e">
        <f t="shared" si="88"/>
        <v>#REF!</v>
      </c>
    </row>
    <row r="2628" spans="4:21" x14ac:dyDescent="0.2">
      <c r="D2628" s="4"/>
      <c r="G2628" s="5"/>
      <c r="H2628" s="5"/>
      <c r="I2628" s="4"/>
      <c r="J2628" s="4"/>
      <c r="K2628" s="5"/>
      <c r="Q2628" t="e">
        <f>VLOOKUP(A2628,'גיליון דאטה להכל'!A:E,5,0)</f>
        <v>#N/A</v>
      </c>
      <c r="R2628" t="e">
        <f>VLOOKUP(A2628,'לעדכן בסינתזה דאטה אריזה 42+24'!$A:$C,3,0)</f>
        <v>#N/A</v>
      </c>
      <c r="S2628" t="e">
        <f>VLOOKUP(#REF!,'מלאי לא תקין'!A:N,17,0)</f>
        <v>#REF!</v>
      </c>
      <c r="T2628" t="e">
        <f t="shared" si="87"/>
        <v>#REF!</v>
      </c>
      <c r="U2628" t="e">
        <f t="shared" si="88"/>
        <v>#REF!</v>
      </c>
    </row>
    <row r="2629" spans="4:21" x14ac:dyDescent="0.2">
      <c r="D2629" s="4"/>
      <c r="G2629" s="5"/>
      <c r="H2629" s="5"/>
      <c r="I2629" s="4"/>
      <c r="J2629" s="4"/>
      <c r="K2629" s="5"/>
      <c r="Q2629" t="e">
        <f>VLOOKUP(A2629,'גיליון דאטה להכל'!A:E,5,0)</f>
        <v>#N/A</v>
      </c>
      <c r="R2629" t="e">
        <f>VLOOKUP(A2629,'לעדכן בסינתזה דאטה אריזה 42+24'!$A:$C,3,0)</f>
        <v>#N/A</v>
      </c>
      <c r="S2629" t="e">
        <f>VLOOKUP(#REF!,'מלאי לא תקין'!A:N,17,0)</f>
        <v>#REF!</v>
      </c>
      <c r="T2629" t="e">
        <f t="shared" si="87"/>
        <v>#REF!</v>
      </c>
      <c r="U2629" t="e">
        <f t="shared" si="88"/>
        <v>#REF!</v>
      </c>
    </row>
    <row r="2630" spans="4:21" x14ac:dyDescent="0.2">
      <c r="D2630" s="4"/>
      <c r="G2630" s="5"/>
      <c r="H2630" s="7"/>
      <c r="I2630" s="4"/>
      <c r="J2630" s="4"/>
      <c r="K2630" s="5"/>
      <c r="Q2630" t="e">
        <f>VLOOKUP(A2630,'גיליון דאטה להכל'!A:E,5,0)</f>
        <v>#N/A</v>
      </c>
      <c r="R2630" t="e">
        <f>VLOOKUP(A2630,'לעדכן בסינתזה דאטה אריזה 42+24'!$A:$C,3,0)</f>
        <v>#N/A</v>
      </c>
      <c r="S2630" t="e">
        <f>VLOOKUP(#REF!,'מלאי לא תקין'!A:N,17,0)</f>
        <v>#REF!</v>
      </c>
      <c r="T2630" t="e">
        <f t="shared" si="87"/>
        <v>#REF!</v>
      </c>
      <c r="U2630" t="e">
        <f t="shared" si="88"/>
        <v>#REF!</v>
      </c>
    </row>
    <row r="2631" spans="4:21" x14ac:dyDescent="0.2">
      <c r="D2631" s="4"/>
      <c r="G2631" s="5"/>
      <c r="H2631" s="5"/>
      <c r="I2631" s="4"/>
      <c r="J2631" s="4"/>
      <c r="K2631" s="5"/>
      <c r="Q2631" t="e">
        <f>VLOOKUP(A2631,'גיליון דאטה להכל'!A:E,5,0)</f>
        <v>#N/A</v>
      </c>
      <c r="R2631" t="e">
        <f>VLOOKUP(A2631,'לעדכן בסינתזה דאטה אריזה 42+24'!$A:$C,3,0)</f>
        <v>#N/A</v>
      </c>
      <c r="S2631" t="e">
        <f>VLOOKUP(#REF!,'מלאי לא תקין'!A:N,17,0)</f>
        <v>#REF!</v>
      </c>
      <c r="T2631" t="e">
        <f t="shared" si="87"/>
        <v>#REF!</v>
      </c>
      <c r="U2631" t="e">
        <f t="shared" si="88"/>
        <v>#REF!</v>
      </c>
    </row>
    <row r="2632" spans="4:21" x14ac:dyDescent="0.2">
      <c r="D2632" s="4"/>
      <c r="G2632" s="5"/>
      <c r="H2632" s="5"/>
      <c r="I2632" s="4"/>
      <c r="J2632" s="4"/>
      <c r="K2632" s="5"/>
      <c r="Q2632" t="e">
        <f>VLOOKUP(A2632,'גיליון דאטה להכל'!A:E,5,0)</f>
        <v>#N/A</v>
      </c>
      <c r="R2632" t="e">
        <f>VLOOKUP(A2632,'לעדכן בסינתזה דאטה אריזה 42+24'!$A:$C,3,0)</f>
        <v>#N/A</v>
      </c>
      <c r="S2632" t="e">
        <f>VLOOKUP(#REF!,'מלאי לא תקין'!A:N,17,0)</f>
        <v>#REF!</v>
      </c>
      <c r="T2632" t="e">
        <f t="shared" si="87"/>
        <v>#REF!</v>
      </c>
      <c r="U2632" t="e">
        <f t="shared" si="88"/>
        <v>#REF!</v>
      </c>
    </row>
    <row r="2633" spans="4:21" x14ac:dyDescent="0.2">
      <c r="D2633" s="4"/>
      <c r="G2633" s="5"/>
      <c r="H2633" s="5"/>
      <c r="I2633" s="4"/>
      <c r="J2633" s="4"/>
      <c r="K2633" s="5"/>
      <c r="Q2633" t="e">
        <f>VLOOKUP(A2633,'גיליון דאטה להכל'!A:E,5,0)</f>
        <v>#N/A</v>
      </c>
      <c r="R2633" t="e">
        <f>VLOOKUP(A2633,'לעדכן בסינתזה דאטה אריזה 42+24'!$A:$C,3,0)</f>
        <v>#N/A</v>
      </c>
      <c r="S2633" t="e">
        <f>VLOOKUP(#REF!,'מלאי לא תקין'!A:N,17,0)</f>
        <v>#REF!</v>
      </c>
      <c r="T2633" t="e">
        <f t="shared" si="87"/>
        <v>#REF!</v>
      </c>
      <c r="U2633" t="e">
        <f t="shared" si="88"/>
        <v>#REF!</v>
      </c>
    </row>
    <row r="2634" spans="4:21" x14ac:dyDescent="0.2">
      <c r="D2634" s="4"/>
      <c r="G2634" s="5"/>
      <c r="H2634" s="5"/>
      <c r="I2634" s="4"/>
      <c r="J2634" s="4"/>
      <c r="K2634" s="5"/>
      <c r="Q2634" t="e">
        <f>VLOOKUP(A2634,'גיליון דאטה להכל'!A:E,5,0)</f>
        <v>#N/A</v>
      </c>
      <c r="R2634" t="e">
        <f>VLOOKUP(A2634,'לעדכן בסינתזה דאטה אריזה 42+24'!$A:$C,3,0)</f>
        <v>#N/A</v>
      </c>
      <c r="S2634" t="e">
        <f>VLOOKUP(#REF!,'מלאי לא תקין'!A:N,17,0)</f>
        <v>#REF!</v>
      </c>
      <c r="T2634" t="e">
        <f t="shared" si="87"/>
        <v>#REF!</v>
      </c>
      <c r="U2634" t="e">
        <f t="shared" si="88"/>
        <v>#REF!</v>
      </c>
    </row>
    <row r="2635" spans="4:21" x14ac:dyDescent="0.2">
      <c r="D2635" s="4"/>
      <c r="G2635" s="5"/>
      <c r="H2635" s="7"/>
      <c r="I2635" s="4"/>
      <c r="J2635" s="4"/>
      <c r="K2635" s="5"/>
      <c r="Q2635" t="e">
        <f>VLOOKUP(A2635,'גיליון דאטה להכל'!A:E,5,0)</f>
        <v>#N/A</v>
      </c>
      <c r="R2635" t="e">
        <f>VLOOKUP(A2635,'לעדכן בסינתזה דאטה אריזה 42+24'!$A:$C,3,0)</f>
        <v>#N/A</v>
      </c>
      <c r="S2635" t="e">
        <f>VLOOKUP(#REF!,'מלאי לא תקין'!A:N,17,0)</f>
        <v>#REF!</v>
      </c>
      <c r="T2635" t="e">
        <f t="shared" si="87"/>
        <v>#REF!</v>
      </c>
      <c r="U2635" t="e">
        <f t="shared" si="88"/>
        <v>#REF!</v>
      </c>
    </row>
    <row r="2636" spans="4:21" x14ac:dyDescent="0.2">
      <c r="D2636" s="4"/>
      <c r="G2636" s="5"/>
      <c r="H2636" s="5"/>
      <c r="I2636" s="4"/>
      <c r="J2636" s="4"/>
      <c r="K2636" s="5"/>
      <c r="Q2636" t="e">
        <f>VLOOKUP(A2636,'גיליון דאטה להכל'!A:E,5,0)</f>
        <v>#N/A</v>
      </c>
      <c r="R2636" t="e">
        <f>VLOOKUP(A2636,'לעדכן בסינתזה דאטה אריזה 42+24'!$A:$C,3,0)</f>
        <v>#N/A</v>
      </c>
      <c r="S2636" t="e">
        <f>VLOOKUP(#REF!,'מלאי לא תקין'!A:N,17,0)</f>
        <v>#REF!</v>
      </c>
      <c r="T2636" t="e">
        <f t="shared" si="87"/>
        <v>#REF!</v>
      </c>
      <c r="U2636" t="e">
        <f t="shared" si="88"/>
        <v>#REF!</v>
      </c>
    </row>
    <row r="2637" spans="4:21" x14ac:dyDescent="0.2">
      <c r="D2637" s="4"/>
      <c r="G2637" s="5"/>
      <c r="H2637" s="5"/>
      <c r="I2637" s="4"/>
      <c r="J2637" s="4"/>
      <c r="K2637" s="5"/>
      <c r="Q2637" t="e">
        <f>VLOOKUP(A2637,'גיליון דאטה להכל'!A:E,5,0)</f>
        <v>#N/A</v>
      </c>
      <c r="R2637" t="e">
        <f>VLOOKUP(A2637,'לעדכן בסינתזה דאטה אריזה 42+24'!$A:$C,3,0)</f>
        <v>#N/A</v>
      </c>
      <c r="S2637" t="e">
        <f>VLOOKUP(#REF!,'מלאי לא תקין'!A:N,17,0)</f>
        <v>#REF!</v>
      </c>
      <c r="T2637" t="e">
        <f t="shared" si="87"/>
        <v>#REF!</v>
      </c>
      <c r="U2637" t="e">
        <f t="shared" si="88"/>
        <v>#REF!</v>
      </c>
    </row>
    <row r="2638" spans="4:21" x14ac:dyDescent="0.2">
      <c r="D2638" s="4"/>
      <c r="G2638" s="5"/>
      <c r="H2638" s="5"/>
      <c r="I2638" s="4"/>
      <c r="J2638" s="4"/>
      <c r="K2638" s="5"/>
      <c r="Q2638" t="e">
        <f>VLOOKUP(A2638,'גיליון דאטה להכל'!A:E,5,0)</f>
        <v>#N/A</v>
      </c>
      <c r="R2638" t="e">
        <f>VLOOKUP(A2638,'לעדכן בסינתזה דאטה אריזה 42+24'!$A:$C,3,0)</f>
        <v>#N/A</v>
      </c>
      <c r="S2638" t="e">
        <f>VLOOKUP(#REF!,'מלאי לא תקין'!A:N,17,0)</f>
        <v>#REF!</v>
      </c>
      <c r="T2638" t="e">
        <f t="shared" si="87"/>
        <v>#REF!</v>
      </c>
      <c r="U2638" t="e">
        <f t="shared" si="88"/>
        <v>#REF!</v>
      </c>
    </row>
    <row r="2639" spans="4:21" x14ac:dyDescent="0.2">
      <c r="D2639" s="4"/>
      <c r="G2639" s="5"/>
      <c r="H2639" s="5"/>
      <c r="I2639" s="4"/>
      <c r="J2639" s="4"/>
      <c r="K2639" s="5"/>
      <c r="Q2639" t="e">
        <f>VLOOKUP(A2639,'גיליון דאטה להכל'!A:E,5,0)</f>
        <v>#N/A</v>
      </c>
      <c r="R2639" t="e">
        <f>VLOOKUP(A2639,'לעדכן בסינתזה דאטה אריזה 42+24'!$A:$C,3,0)</f>
        <v>#N/A</v>
      </c>
      <c r="S2639" t="e">
        <f>VLOOKUP(#REF!,'מלאי לא תקין'!A:N,17,0)</f>
        <v>#REF!</v>
      </c>
      <c r="T2639" t="e">
        <f t="shared" si="87"/>
        <v>#REF!</v>
      </c>
      <c r="U2639" t="e">
        <f t="shared" si="88"/>
        <v>#REF!</v>
      </c>
    </row>
    <row r="2640" spans="4:21" x14ac:dyDescent="0.2">
      <c r="D2640" s="4"/>
      <c r="G2640" s="5"/>
      <c r="H2640" s="7"/>
      <c r="I2640" s="4"/>
      <c r="J2640" s="4"/>
      <c r="K2640" s="5"/>
      <c r="Q2640" t="e">
        <f>VLOOKUP(A2640,'גיליון דאטה להכל'!A:E,5,0)</f>
        <v>#N/A</v>
      </c>
      <c r="R2640" t="e">
        <f>VLOOKUP(A2640,'לעדכן בסינתזה דאטה אריזה 42+24'!$A:$C,3,0)</f>
        <v>#N/A</v>
      </c>
      <c r="S2640" t="e">
        <f>VLOOKUP(#REF!,'מלאי לא תקין'!A:N,17,0)</f>
        <v>#REF!</v>
      </c>
      <c r="T2640" t="e">
        <f t="shared" si="87"/>
        <v>#REF!</v>
      </c>
      <c r="U2640" t="e">
        <f t="shared" si="88"/>
        <v>#REF!</v>
      </c>
    </row>
    <row r="2641" spans="4:21" x14ac:dyDescent="0.2">
      <c r="D2641" s="4"/>
      <c r="G2641" s="5"/>
      <c r="H2641" s="5"/>
      <c r="I2641" s="4"/>
      <c r="J2641" s="4"/>
      <c r="K2641" s="5"/>
      <c r="Q2641" t="e">
        <f>VLOOKUP(A2641,'גיליון דאטה להכל'!A:E,5,0)</f>
        <v>#N/A</v>
      </c>
      <c r="R2641" t="e">
        <f>VLOOKUP(A2641,'לעדכן בסינתזה דאטה אריזה 42+24'!$A:$C,3,0)</f>
        <v>#N/A</v>
      </c>
      <c r="S2641" t="e">
        <f>VLOOKUP(#REF!,'מלאי לא תקין'!A:N,17,0)</f>
        <v>#REF!</v>
      </c>
      <c r="T2641" t="e">
        <f t="shared" si="87"/>
        <v>#REF!</v>
      </c>
      <c r="U2641" t="e">
        <f t="shared" si="88"/>
        <v>#REF!</v>
      </c>
    </row>
    <row r="2642" spans="4:21" x14ac:dyDescent="0.2">
      <c r="D2642" s="4"/>
      <c r="G2642" s="5"/>
      <c r="H2642" s="5"/>
      <c r="I2642" s="4"/>
      <c r="J2642" s="4"/>
      <c r="K2642" s="5"/>
      <c r="Q2642" t="e">
        <f>VLOOKUP(A2642,'גיליון דאטה להכל'!A:E,5,0)</f>
        <v>#N/A</v>
      </c>
      <c r="R2642" t="e">
        <f>VLOOKUP(A2642,'לעדכן בסינתזה דאטה אריזה 42+24'!$A:$C,3,0)</f>
        <v>#N/A</v>
      </c>
      <c r="S2642" t="e">
        <f>VLOOKUP(#REF!,'מלאי לא תקין'!A:N,17,0)</f>
        <v>#REF!</v>
      </c>
      <c r="T2642" t="e">
        <f t="shared" si="87"/>
        <v>#REF!</v>
      </c>
      <c r="U2642" t="e">
        <f t="shared" si="88"/>
        <v>#REF!</v>
      </c>
    </row>
    <row r="2643" spans="4:21" x14ac:dyDescent="0.2">
      <c r="D2643" s="4"/>
      <c r="G2643" s="5"/>
      <c r="H2643" s="5"/>
      <c r="I2643" s="4"/>
      <c r="J2643" s="4"/>
      <c r="K2643" s="5"/>
      <c r="Q2643" t="e">
        <f>VLOOKUP(A2643,'גיליון דאטה להכל'!A:E,5,0)</f>
        <v>#N/A</v>
      </c>
      <c r="R2643" t="e">
        <f>VLOOKUP(A2643,'לעדכן בסינתזה דאטה אריזה 42+24'!$A:$C,3,0)</f>
        <v>#N/A</v>
      </c>
      <c r="S2643" t="e">
        <f>VLOOKUP(#REF!,'מלאי לא תקין'!A:N,17,0)</f>
        <v>#REF!</v>
      </c>
      <c r="T2643" t="e">
        <f t="shared" si="87"/>
        <v>#REF!</v>
      </c>
      <c r="U2643" t="e">
        <f t="shared" si="88"/>
        <v>#REF!</v>
      </c>
    </row>
    <row r="2644" spans="4:21" x14ac:dyDescent="0.2">
      <c r="D2644" s="4"/>
      <c r="G2644" s="5"/>
      <c r="H2644" s="5"/>
      <c r="I2644" s="4"/>
      <c r="J2644" s="4"/>
      <c r="K2644" s="5"/>
      <c r="Q2644" t="e">
        <f>VLOOKUP(A2644,'גיליון דאטה להכל'!A:E,5,0)</f>
        <v>#N/A</v>
      </c>
      <c r="R2644" t="e">
        <f>VLOOKUP(A2644,'לעדכן בסינתזה דאטה אריזה 42+24'!$A:$C,3,0)</f>
        <v>#N/A</v>
      </c>
      <c r="S2644" t="e">
        <f>VLOOKUP(#REF!,'מלאי לא תקין'!A:N,17,0)</f>
        <v>#REF!</v>
      </c>
      <c r="T2644" t="e">
        <f t="shared" si="87"/>
        <v>#REF!</v>
      </c>
      <c r="U2644" t="e">
        <f t="shared" si="88"/>
        <v>#REF!</v>
      </c>
    </row>
    <row r="2645" spans="4:21" x14ac:dyDescent="0.2">
      <c r="D2645" s="4"/>
      <c r="G2645" s="5"/>
      <c r="H2645" s="7"/>
      <c r="I2645" s="4"/>
      <c r="J2645" s="4"/>
      <c r="K2645" s="5"/>
      <c r="Q2645" t="e">
        <f>VLOOKUP(A2645,'גיליון דאטה להכל'!A:E,5,0)</f>
        <v>#N/A</v>
      </c>
      <c r="R2645" t="e">
        <f>VLOOKUP(A2645,'לעדכן בסינתזה דאטה אריזה 42+24'!$A:$C,3,0)</f>
        <v>#N/A</v>
      </c>
      <c r="S2645" t="e">
        <f>VLOOKUP(#REF!,'מלאי לא תקין'!A:N,17,0)</f>
        <v>#REF!</v>
      </c>
      <c r="T2645" t="e">
        <f t="shared" si="87"/>
        <v>#REF!</v>
      </c>
      <c r="U2645" t="e">
        <f t="shared" si="88"/>
        <v>#REF!</v>
      </c>
    </row>
    <row r="2646" spans="4:21" x14ac:dyDescent="0.2">
      <c r="D2646" s="4"/>
      <c r="G2646" s="5"/>
      <c r="H2646" s="5"/>
      <c r="I2646" s="4"/>
      <c r="J2646" s="4"/>
      <c r="K2646" s="5"/>
      <c r="Q2646" t="e">
        <f>VLOOKUP(A2646,'גיליון דאטה להכל'!A:E,5,0)</f>
        <v>#N/A</v>
      </c>
      <c r="R2646" t="e">
        <f>VLOOKUP(A2646,'לעדכן בסינתזה דאטה אריזה 42+24'!$A:$C,3,0)</f>
        <v>#N/A</v>
      </c>
      <c r="S2646" t="e">
        <f>VLOOKUP(#REF!,'מלאי לא תקין'!A:N,17,0)</f>
        <v>#REF!</v>
      </c>
      <c r="T2646" t="e">
        <f t="shared" si="87"/>
        <v>#REF!</v>
      </c>
      <c r="U2646" t="e">
        <f t="shared" si="88"/>
        <v>#REF!</v>
      </c>
    </row>
    <row r="2647" spans="4:21" x14ac:dyDescent="0.2">
      <c r="D2647" s="4"/>
      <c r="G2647" s="5"/>
      <c r="H2647" s="5"/>
      <c r="I2647" s="4"/>
      <c r="J2647" s="4"/>
      <c r="K2647" s="5"/>
      <c r="Q2647" t="e">
        <f>VLOOKUP(A2647,'גיליון דאטה להכל'!A:E,5,0)</f>
        <v>#N/A</v>
      </c>
      <c r="R2647" t="e">
        <f>VLOOKUP(A2647,'לעדכן בסינתזה דאטה אריזה 42+24'!$A:$C,3,0)</f>
        <v>#N/A</v>
      </c>
      <c r="S2647" t="e">
        <f>VLOOKUP(#REF!,'מלאי לא תקין'!A:N,17,0)</f>
        <v>#REF!</v>
      </c>
      <c r="T2647" t="e">
        <f t="shared" si="87"/>
        <v>#REF!</v>
      </c>
      <c r="U2647" t="e">
        <f t="shared" si="88"/>
        <v>#REF!</v>
      </c>
    </row>
    <row r="2648" spans="4:21" x14ac:dyDescent="0.2">
      <c r="D2648" s="4"/>
      <c r="G2648" s="5"/>
      <c r="H2648" s="5"/>
      <c r="I2648" s="4"/>
      <c r="J2648" s="4"/>
      <c r="K2648" s="5"/>
      <c r="Q2648" t="e">
        <f>VLOOKUP(A2648,'גיליון דאטה להכל'!A:E,5,0)</f>
        <v>#N/A</v>
      </c>
      <c r="R2648" t="e">
        <f>VLOOKUP(A2648,'לעדכן בסינתזה דאטה אריזה 42+24'!$A:$C,3,0)</f>
        <v>#N/A</v>
      </c>
      <c r="S2648" t="e">
        <f>VLOOKUP(#REF!,'מלאי לא תקין'!A:N,17,0)</f>
        <v>#REF!</v>
      </c>
      <c r="T2648" t="e">
        <f t="shared" si="87"/>
        <v>#REF!</v>
      </c>
      <c r="U2648" t="e">
        <f t="shared" si="88"/>
        <v>#REF!</v>
      </c>
    </row>
    <row r="2649" spans="4:21" x14ac:dyDescent="0.2">
      <c r="D2649" s="4"/>
      <c r="G2649" s="5"/>
      <c r="H2649" s="5"/>
      <c r="I2649" s="4"/>
      <c r="J2649" s="4"/>
      <c r="K2649" s="5"/>
      <c r="Q2649" t="e">
        <f>VLOOKUP(A2649,'גיליון דאטה להכל'!A:E,5,0)</f>
        <v>#N/A</v>
      </c>
      <c r="R2649" t="e">
        <f>VLOOKUP(A2649,'לעדכן בסינתזה דאטה אריזה 42+24'!$A:$C,3,0)</f>
        <v>#N/A</v>
      </c>
      <c r="S2649" t="e">
        <f>VLOOKUP(#REF!,'מלאי לא תקין'!A:N,17,0)</f>
        <v>#REF!</v>
      </c>
      <c r="T2649" t="e">
        <f t="shared" si="87"/>
        <v>#REF!</v>
      </c>
      <c r="U2649" t="e">
        <f t="shared" si="88"/>
        <v>#REF!</v>
      </c>
    </row>
    <row r="2650" spans="4:21" x14ac:dyDescent="0.2">
      <c r="D2650" s="4"/>
      <c r="G2650" s="5"/>
      <c r="H2650" s="7"/>
      <c r="I2650" s="4"/>
      <c r="J2650" s="4"/>
      <c r="K2650" s="5"/>
      <c r="Q2650" t="e">
        <f>VLOOKUP(A2650,'גיליון דאטה להכל'!A:E,5,0)</f>
        <v>#N/A</v>
      </c>
      <c r="R2650" t="e">
        <f>VLOOKUP(A2650,'לעדכן בסינתזה דאטה אריזה 42+24'!$A:$C,3,0)</f>
        <v>#N/A</v>
      </c>
      <c r="S2650" t="e">
        <f>VLOOKUP(#REF!,'מלאי לא תקין'!A:N,17,0)</f>
        <v>#REF!</v>
      </c>
      <c r="T2650" t="e">
        <f t="shared" si="87"/>
        <v>#REF!</v>
      </c>
      <c r="U2650" t="e">
        <f t="shared" si="88"/>
        <v>#REF!</v>
      </c>
    </row>
    <row r="2651" spans="4:21" x14ac:dyDescent="0.2">
      <c r="D2651" s="4"/>
      <c r="G2651" s="5"/>
      <c r="H2651" s="5"/>
      <c r="I2651" s="4"/>
      <c r="J2651" s="4"/>
      <c r="K2651" s="5"/>
      <c r="Q2651" t="e">
        <f>VLOOKUP(A2651,'גיליון דאטה להכל'!A:E,5,0)</f>
        <v>#N/A</v>
      </c>
      <c r="R2651" t="e">
        <f>VLOOKUP(A2651,'לעדכן בסינתזה דאטה אריזה 42+24'!$A:$C,3,0)</f>
        <v>#N/A</v>
      </c>
      <c r="S2651" t="e">
        <f>VLOOKUP(#REF!,'מלאי לא תקין'!A:N,17,0)</f>
        <v>#REF!</v>
      </c>
      <c r="T2651" t="e">
        <f t="shared" si="87"/>
        <v>#REF!</v>
      </c>
      <c r="U2651" t="e">
        <f t="shared" si="88"/>
        <v>#REF!</v>
      </c>
    </row>
    <row r="2652" spans="4:21" x14ac:dyDescent="0.2">
      <c r="D2652" s="4"/>
      <c r="G2652" s="5"/>
      <c r="H2652" s="5"/>
      <c r="I2652" s="4"/>
      <c r="J2652" s="4"/>
      <c r="K2652" s="5"/>
      <c r="Q2652" t="e">
        <f>VLOOKUP(A2652,'גיליון דאטה להכל'!A:E,5,0)</f>
        <v>#N/A</v>
      </c>
      <c r="R2652" t="e">
        <f>VLOOKUP(A2652,'לעדכן בסינתזה דאטה אריזה 42+24'!$A:$C,3,0)</f>
        <v>#N/A</v>
      </c>
      <c r="S2652" t="e">
        <f>VLOOKUP(#REF!,'מלאי לא תקין'!A:N,17,0)</f>
        <v>#REF!</v>
      </c>
      <c r="T2652" t="e">
        <f t="shared" si="87"/>
        <v>#REF!</v>
      </c>
      <c r="U2652" t="e">
        <f t="shared" si="88"/>
        <v>#REF!</v>
      </c>
    </row>
    <row r="2653" spans="4:21" x14ac:dyDescent="0.2">
      <c r="D2653" s="4"/>
      <c r="G2653" s="5"/>
      <c r="H2653" s="5"/>
      <c r="I2653" s="4"/>
      <c r="J2653" s="4"/>
      <c r="K2653" s="5"/>
      <c r="Q2653" t="e">
        <f>VLOOKUP(A2653,'גיליון דאטה להכל'!A:E,5,0)</f>
        <v>#N/A</v>
      </c>
      <c r="R2653" t="e">
        <f>VLOOKUP(A2653,'לעדכן בסינתזה דאטה אריזה 42+24'!$A:$C,3,0)</f>
        <v>#N/A</v>
      </c>
      <c r="S2653" t="e">
        <f>VLOOKUP(#REF!,'מלאי לא תקין'!A:N,17,0)</f>
        <v>#REF!</v>
      </c>
      <c r="T2653" t="e">
        <f t="shared" si="87"/>
        <v>#REF!</v>
      </c>
      <c r="U2653" t="e">
        <f t="shared" si="88"/>
        <v>#REF!</v>
      </c>
    </row>
    <row r="2654" spans="4:21" x14ac:dyDescent="0.2">
      <c r="D2654" s="4"/>
      <c r="G2654" s="5"/>
      <c r="H2654" s="5"/>
      <c r="I2654" s="4"/>
      <c r="J2654" s="4"/>
      <c r="K2654" s="5"/>
      <c r="Q2654" t="e">
        <f>VLOOKUP(A2654,'גיליון דאטה להכל'!A:E,5,0)</f>
        <v>#N/A</v>
      </c>
      <c r="R2654" t="e">
        <f>VLOOKUP(A2654,'לעדכן בסינתזה דאטה אריזה 42+24'!$A:$C,3,0)</f>
        <v>#N/A</v>
      </c>
      <c r="S2654" t="e">
        <f>VLOOKUP(#REF!,'מלאי לא תקין'!A:N,17,0)</f>
        <v>#REF!</v>
      </c>
      <c r="T2654" t="e">
        <f t="shared" si="87"/>
        <v>#REF!</v>
      </c>
      <c r="U2654" t="e">
        <f t="shared" si="88"/>
        <v>#REF!</v>
      </c>
    </row>
    <row r="2655" spans="4:21" x14ac:dyDescent="0.2">
      <c r="D2655" s="4"/>
      <c r="G2655" s="5"/>
      <c r="H2655" s="7"/>
      <c r="I2655" s="4"/>
      <c r="J2655" s="4"/>
      <c r="K2655" s="5"/>
      <c r="Q2655" t="e">
        <f>VLOOKUP(A2655,'גיליון דאטה להכל'!A:E,5,0)</f>
        <v>#N/A</v>
      </c>
      <c r="R2655" t="e">
        <f>VLOOKUP(A2655,'לעדכן בסינתזה דאטה אריזה 42+24'!$A:$C,3,0)</f>
        <v>#N/A</v>
      </c>
      <c r="S2655" t="e">
        <f>VLOOKUP(#REF!,'מלאי לא תקין'!A:N,17,0)</f>
        <v>#REF!</v>
      </c>
      <c r="T2655" t="e">
        <f t="shared" si="87"/>
        <v>#REF!</v>
      </c>
      <c r="U2655" t="e">
        <f t="shared" si="88"/>
        <v>#REF!</v>
      </c>
    </row>
    <row r="2656" spans="4:21" x14ac:dyDescent="0.2">
      <c r="D2656" s="4"/>
      <c r="G2656" s="5"/>
      <c r="H2656" s="5"/>
      <c r="I2656" s="4"/>
      <c r="J2656" s="4"/>
      <c r="K2656" s="5"/>
      <c r="Q2656" t="e">
        <f>VLOOKUP(A2656,'גיליון דאטה להכל'!A:E,5,0)</f>
        <v>#N/A</v>
      </c>
      <c r="R2656" t="e">
        <f>VLOOKUP(A2656,'לעדכן בסינתזה דאטה אריזה 42+24'!$A:$C,3,0)</f>
        <v>#N/A</v>
      </c>
      <c r="S2656" t="e">
        <f>VLOOKUP(#REF!,'מלאי לא תקין'!A:N,17,0)</f>
        <v>#REF!</v>
      </c>
      <c r="T2656" t="e">
        <f t="shared" si="87"/>
        <v>#REF!</v>
      </c>
      <c r="U2656" t="e">
        <f t="shared" si="88"/>
        <v>#REF!</v>
      </c>
    </row>
    <row r="2657" spans="4:21" x14ac:dyDescent="0.2">
      <c r="D2657" s="4"/>
      <c r="G2657" s="5"/>
      <c r="H2657" s="5"/>
      <c r="I2657" s="4"/>
      <c r="J2657" s="4"/>
      <c r="K2657" s="5"/>
      <c r="Q2657" t="e">
        <f>VLOOKUP(A2657,'גיליון דאטה להכל'!A:E,5,0)</f>
        <v>#N/A</v>
      </c>
      <c r="R2657" t="e">
        <f>VLOOKUP(A2657,'לעדכן בסינתזה דאטה אריזה 42+24'!$A:$C,3,0)</f>
        <v>#N/A</v>
      </c>
      <c r="S2657" t="e">
        <f>VLOOKUP(#REF!,'מלאי לא תקין'!A:N,17,0)</f>
        <v>#REF!</v>
      </c>
      <c r="T2657" t="e">
        <f t="shared" si="87"/>
        <v>#REF!</v>
      </c>
      <c r="U2657" t="e">
        <f t="shared" si="88"/>
        <v>#REF!</v>
      </c>
    </row>
    <row r="2658" spans="4:21" x14ac:dyDescent="0.2">
      <c r="D2658" s="4"/>
      <c r="G2658" s="5"/>
      <c r="H2658" s="5"/>
      <c r="I2658" s="4"/>
      <c r="J2658" s="4"/>
      <c r="K2658" s="5"/>
      <c r="Q2658" t="e">
        <f>VLOOKUP(A2658,'גיליון דאטה להכל'!A:E,5,0)</f>
        <v>#N/A</v>
      </c>
      <c r="R2658" t="e">
        <f>VLOOKUP(A2658,'לעדכן בסינתזה דאטה אריזה 42+24'!$A:$C,3,0)</f>
        <v>#N/A</v>
      </c>
      <c r="S2658" t="e">
        <f>VLOOKUP(#REF!,'מלאי לא תקין'!A:N,17,0)</f>
        <v>#REF!</v>
      </c>
      <c r="T2658" t="e">
        <f t="shared" si="87"/>
        <v>#REF!</v>
      </c>
      <c r="U2658" t="e">
        <f t="shared" si="88"/>
        <v>#REF!</v>
      </c>
    </row>
    <row r="2659" spans="4:21" x14ac:dyDescent="0.2">
      <c r="D2659" s="4"/>
      <c r="G2659" s="5"/>
      <c r="H2659" s="5"/>
      <c r="I2659" s="4"/>
      <c r="J2659" s="4"/>
      <c r="K2659" s="5"/>
      <c r="Q2659" t="e">
        <f>VLOOKUP(A2659,'גיליון דאטה להכל'!A:E,5,0)</f>
        <v>#N/A</v>
      </c>
      <c r="R2659" t="e">
        <f>VLOOKUP(A2659,'לעדכן בסינתזה דאטה אריזה 42+24'!$A:$C,3,0)</f>
        <v>#N/A</v>
      </c>
      <c r="S2659" t="e">
        <f>VLOOKUP(#REF!,'מלאי לא תקין'!A:N,17,0)</f>
        <v>#REF!</v>
      </c>
      <c r="T2659" t="e">
        <f t="shared" si="87"/>
        <v>#REF!</v>
      </c>
      <c r="U2659" t="e">
        <f t="shared" si="88"/>
        <v>#REF!</v>
      </c>
    </row>
    <row r="2660" spans="4:21" x14ac:dyDescent="0.2">
      <c r="D2660" s="4"/>
      <c r="G2660" s="5"/>
      <c r="H2660" s="7"/>
      <c r="I2660" s="4"/>
      <c r="J2660" s="4"/>
      <c r="K2660" s="5"/>
      <c r="Q2660" t="e">
        <f>VLOOKUP(A2660,'גיליון דאטה להכל'!A:E,5,0)</f>
        <v>#N/A</v>
      </c>
      <c r="R2660" t="e">
        <f>VLOOKUP(A2660,'לעדכן בסינתזה דאטה אריזה 42+24'!$A:$C,3,0)</f>
        <v>#N/A</v>
      </c>
      <c r="S2660" t="e">
        <f>VLOOKUP(#REF!,'מלאי לא תקין'!A:N,17,0)</f>
        <v>#REF!</v>
      </c>
      <c r="T2660" t="e">
        <f t="shared" si="87"/>
        <v>#REF!</v>
      </c>
      <c r="U2660" t="e">
        <f t="shared" si="88"/>
        <v>#REF!</v>
      </c>
    </row>
    <row r="2661" spans="4:21" x14ac:dyDescent="0.2">
      <c r="D2661" s="4"/>
      <c r="G2661" s="5"/>
      <c r="H2661" s="5"/>
      <c r="I2661" s="4"/>
      <c r="J2661" s="4"/>
      <c r="K2661" s="5"/>
      <c r="Q2661" t="e">
        <f>VLOOKUP(A2661,'גיליון דאטה להכל'!A:E,5,0)</f>
        <v>#N/A</v>
      </c>
      <c r="R2661" t="e">
        <f>VLOOKUP(A2661,'לעדכן בסינתזה דאטה אריזה 42+24'!$A:$C,3,0)</f>
        <v>#N/A</v>
      </c>
      <c r="S2661" t="e">
        <f>VLOOKUP(#REF!,'מלאי לא תקין'!A:N,17,0)</f>
        <v>#REF!</v>
      </c>
      <c r="T2661" t="e">
        <f t="shared" si="87"/>
        <v>#REF!</v>
      </c>
      <c r="U2661" t="e">
        <f t="shared" si="88"/>
        <v>#REF!</v>
      </c>
    </row>
    <row r="2662" spans="4:21" x14ac:dyDescent="0.2">
      <c r="D2662" s="4"/>
      <c r="G2662" s="5"/>
      <c r="H2662" s="5"/>
      <c r="I2662" s="4"/>
      <c r="J2662" s="4"/>
      <c r="K2662" s="5"/>
      <c r="Q2662" t="e">
        <f>VLOOKUP(A2662,'גיליון דאטה להכל'!A:E,5,0)</f>
        <v>#N/A</v>
      </c>
      <c r="R2662" t="e">
        <f>VLOOKUP(A2662,'לעדכן בסינתזה דאטה אריזה 42+24'!$A:$C,3,0)</f>
        <v>#N/A</v>
      </c>
      <c r="S2662" t="e">
        <f>VLOOKUP(#REF!,'מלאי לא תקין'!A:N,17,0)</f>
        <v>#REF!</v>
      </c>
      <c r="T2662" t="e">
        <f t="shared" si="87"/>
        <v>#REF!</v>
      </c>
      <c r="U2662" t="e">
        <f t="shared" si="88"/>
        <v>#REF!</v>
      </c>
    </row>
    <row r="2663" spans="4:21" x14ac:dyDescent="0.2">
      <c r="D2663" s="4"/>
      <c r="G2663" s="5"/>
      <c r="H2663" s="5"/>
      <c r="I2663" s="4"/>
      <c r="J2663" s="4"/>
      <c r="K2663" s="5"/>
      <c r="Q2663" t="e">
        <f>VLOOKUP(A2663,'גיליון דאטה להכל'!A:E,5,0)</f>
        <v>#N/A</v>
      </c>
      <c r="R2663" t="e">
        <f>VLOOKUP(A2663,'לעדכן בסינתזה דאטה אריזה 42+24'!$A:$C,3,0)</f>
        <v>#N/A</v>
      </c>
      <c r="S2663" t="e">
        <f>VLOOKUP(#REF!,'מלאי לא תקין'!A:N,17,0)</f>
        <v>#REF!</v>
      </c>
      <c r="T2663" t="e">
        <f t="shared" si="87"/>
        <v>#REF!</v>
      </c>
      <c r="U2663" t="e">
        <f t="shared" si="88"/>
        <v>#REF!</v>
      </c>
    </row>
    <row r="2664" spans="4:21" x14ac:dyDescent="0.2">
      <c r="D2664" s="4"/>
      <c r="G2664" s="5"/>
      <c r="H2664" s="5"/>
      <c r="I2664" s="4"/>
      <c r="J2664" s="4"/>
      <c r="K2664" s="5"/>
      <c r="Q2664" t="e">
        <f>VLOOKUP(A2664,'גיליון דאטה להכל'!A:E,5,0)</f>
        <v>#N/A</v>
      </c>
      <c r="R2664" t="e">
        <f>VLOOKUP(A2664,'לעדכן בסינתזה דאטה אריזה 42+24'!$A:$C,3,0)</f>
        <v>#N/A</v>
      </c>
      <c r="S2664" t="e">
        <f>VLOOKUP(#REF!,'מלאי לא תקין'!A:N,17,0)</f>
        <v>#REF!</v>
      </c>
      <c r="T2664" t="e">
        <f t="shared" si="87"/>
        <v>#REF!</v>
      </c>
      <c r="U2664" t="e">
        <f t="shared" si="88"/>
        <v>#REF!</v>
      </c>
    </row>
    <row r="2665" spans="4:21" x14ac:dyDescent="0.2">
      <c r="D2665" s="4"/>
      <c r="G2665" s="5"/>
      <c r="H2665" s="7"/>
      <c r="I2665" s="4"/>
      <c r="J2665" s="4"/>
      <c r="K2665" s="5"/>
      <c r="Q2665" t="e">
        <f>VLOOKUP(A2665,'גיליון דאטה להכל'!A:E,5,0)</f>
        <v>#N/A</v>
      </c>
      <c r="R2665" t="e">
        <f>VLOOKUP(A2665,'לעדכן בסינתזה דאטה אריזה 42+24'!$A:$C,3,0)</f>
        <v>#N/A</v>
      </c>
      <c r="S2665" t="e">
        <f>VLOOKUP(#REF!,'מלאי לא תקין'!A:N,17,0)</f>
        <v>#REF!</v>
      </c>
      <c r="T2665" t="e">
        <f t="shared" si="87"/>
        <v>#REF!</v>
      </c>
      <c r="U2665" t="e">
        <f t="shared" si="88"/>
        <v>#REF!</v>
      </c>
    </row>
    <row r="2666" spans="4:21" x14ac:dyDescent="0.2">
      <c r="D2666" s="4"/>
      <c r="G2666" s="5"/>
      <c r="H2666" s="5"/>
      <c r="I2666" s="4"/>
      <c r="J2666" s="4"/>
      <c r="K2666" s="5"/>
      <c r="Q2666" t="e">
        <f>VLOOKUP(A2666,'גיליון דאטה להכל'!A:E,5,0)</f>
        <v>#N/A</v>
      </c>
      <c r="R2666" t="e">
        <f>VLOOKUP(A2666,'לעדכן בסינתזה דאטה אריזה 42+24'!$A:$C,3,0)</f>
        <v>#N/A</v>
      </c>
      <c r="S2666" t="e">
        <f>VLOOKUP(#REF!,'מלאי לא תקין'!A:N,17,0)</f>
        <v>#REF!</v>
      </c>
      <c r="T2666" t="e">
        <f t="shared" si="87"/>
        <v>#REF!</v>
      </c>
      <c r="U2666" t="e">
        <f t="shared" si="88"/>
        <v>#REF!</v>
      </c>
    </row>
    <row r="2667" spans="4:21" x14ac:dyDescent="0.2">
      <c r="D2667" s="4"/>
      <c r="G2667" s="5"/>
      <c r="H2667" s="5"/>
      <c r="I2667" s="4"/>
      <c r="J2667" s="4"/>
      <c r="K2667" s="5"/>
      <c r="Q2667" t="e">
        <f>VLOOKUP(A2667,'גיליון דאטה להכל'!A:E,5,0)</f>
        <v>#N/A</v>
      </c>
      <c r="R2667" t="e">
        <f>VLOOKUP(A2667,'לעדכן בסינתזה דאטה אריזה 42+24'!$A:$C,3,0)</f>
        <v>#N/A</v>
      </c>
      <c r="S2667" t="e">
        <f>VLOOKUP(#REF!,'מלאי לא תקין'!A:N,17,0)</f>
        <v>#REF!</v>
      </c>
      <c r="T2667" t="e">
        <f t="shared" si="87"/>
        <v>#REF!</v>
      </c>
      <c r="U2667" t="e">
        <f t="shared" si="88"/>
        <v>#REF!</v>
      </c>
    </row>
    <row r="2668" spans="4:21" x14ac:dyDescent="0.2">
      <c r="D2668" s="4"/>
      <c r="G2668" s="5"/>
      <c r="H2668" s="5"/>
      <c r="I2668" s="4"/>
      <c r="J2668" s="4"/>
      <c r="K2668" s="5"/>
      <c r="Q2668" t="e">
        <f>VLOOKUP(A2668,'גיליון דאטה להכל'!A:E,5,0)</f>
        <v>#N/A</v>
      </c>
      <c r="R2668" t="e">
        <f>VLOOKUP(A2668,'לעדכן בסינתזה דאטה אריזה 42+24'!$A:$C,3,0)</f>
        <v>#N/A</v>
      </c>
      <c r="S2668" t="e">
        <f>VLOOKUP(#REF!,'מלאי לא תקין'!A:N,17,0)</f>
        <v>#REF!</v>
      </c>
      <c r="T2668" t="e">
        <f t="shared" si="87"/>
        <v>#REF!</v>
      </c>
      <c r="U2668" t="e">
        <f t="shared" si="88"/>
        <v>#REF!</v>
      </c>
    </row>
    <row r="2669" spans="4:21" x14ac:dyDescent="0.2">
      <c r="D2669" s="4"/>
      <c r="G2669" s="5"/>
      <c r="H2669" s="5"/>
      <c r="I2669" s="4"/>
      <c r="J2669" s="4"/>
      <c r="K2669" s="5"/>
      <c r="Q2669" t="e">
        <f>VLOOKUP(A2669,'גיליון דאטה להכל'!A:E,5,0)</f>
        <v>#N/A</v>
      </c>
      <c r="R2669" t="e">
        <f>VLOOKUP(A2669,'לעדכן בסינתזה דאטה אריזה 42+24'!$A:$C,3,0)</f>
        <v>#N/A</v>
      </c>
      <c r="S2669" t="e">
        <f>VLOOKUP(#REF!,'מלאי לא תקין'!A:N,17,0)</f>
        <v>#REF!</v>
      </c>
      <c r="T2669" t="e">
        <f t="shared" si="87"/>
        <v>#REF!</v>
      </c>
      <c r="U2669" t="e">
        <f t="shared" si="88"/>
        <v>#REF!</v>
      </c>
    </row>
    <row r="2670" spans="4:21" x14ac:dyDescent="0.2">
      <c r="D2670" s="4"/>
      <c r="G2670" s="5"/>
      <c r="H2670" s="7"/>
      <c r="I2670" s="4"/>
      <c r="J2670" s="4"/>
      <c r="K2670" s="5"/>
      <c r="Q2670" t="e">
        <f>VLOOKUP(A2670,'גיליון דאטה להכל'!A:E,5,0)</f>
        <v>#N/A</v>
      </c>
      <c r="R2670" t="e">
        <f>VLOOKUP(A2670,'לעדכן בסינתזה דאטה אריזה 42+24'!$A:$C,3,0)</f>
        <v>#N/A</v>
      </c>
      <c r="S2670" t="e">
        <f>VLOOKUP(#REF!,'מלאי לא תקין'!A:N,17,0)</f>
        <v>#REF!</v>
      </c>
      <c r="T2670" t="e">
        <f t="shared" si="87"/>
        <v>#REF!</v>
      </c>
      <c r="U2670" t="e">
        <f t="shared" si="88"/>
        <v>#REF!</v>
      </c>
    </row>
    <row r="2671" spans="4:21" x14ac:dyDescent="0.2">
      <c r="D2671" s="4"/>
      <c r="G2671" s="5"/>
      <c r="H2671" s="5"/>
      <c r="I2671" s="4"/>
      <c r="J2671" s="4"/>
      <c r="K2671" s="5"/>
      <c r="Q2671" t="e">
        <f>VLOOKUP(A2671,'גיליון דאטה להכל'!A:E,5,0)</f>
        <v>#N/A</v>
      </c>
      <c r="R2671" t="e">
        <f>VLOOKUP(A2671,'לעדכן בסינתזה דאטה אריזה 42+24'!$A:$C,3,0)</f>
        <v>#N/A</v>
      </c>
      <c r="S2671" t="e">
        <f>VLOOKUP(#REF!,'מלאי לא תקין'!A:N,17,0)</f>
        <v>#REF!</v>
      </c>
      <c r="T2671" t="e">
        <f t="shared" si="87"/>
        <v>#REF!</v>
      </c>
      <c r="U2671" t="e">
        <f t="shared" si="88"/>
        <v>#REF!</v>
      </c>
    </row>
    <row r="2672" spans="4:21" x14ac:dyDescent="0.2">
      <c r="D2672" s="4"/>
      <c r="G2672" s="5"/>
      <c r="H2672" s="5"/>
      <c r="I2672" s="4"/>
      <c r="J2672" s="4"/>
      <c r="K2672" s="5"/>
      <c r="Q2672" t="e">
        <f>VLOOKUP(A2672,'גיליון דאטה להכל'!A:E,5,0)</f>
        <v>#N/A</v>
      </c>
      <c r="R2672" t="e">
        <f>VLOOKUP(A2672,'לעדכן בסינתזה דאטה אריזה 42+24'!$A:$C,3,0)</f>
        <v>#N/A</v>
      </c>
      <c r="S2672" t="e">
        <f>VLOOKUP(#REF!,'מלאי לא תקין'!A:N,17,0)</f>
        <v>#REF!</v>
      </c>
      <c r="T2672" t="e">
        <f t="shared" si="87"/>
        <v>#REF!</v>
      </c>
      <c r="U2672" t="e">
        <f t="shared" si="88"/>
        <v>#REF!</v>
      </c>
    </row>
    <row r="2673" spans="4:21" x14ac:dyDescent="0.2">
      <c r="D2673" s="4"/>
      <c r="G2673" s="5"/>
      <c r="H2673" s="5"/>
      <c r="I2673" s="4"/>
      <c r="J2673" s="4"/>
      <c r="K2673" s="5"/>
      <c r="Q2673" t="e">
        <f>VLOOKUP(A2673,'גיליון דאטה להכל'!A:E,5,0)</f>
        <v>#N/A</v>
      </c>
      <c r="R2673" t="e">
        <f>VLOOKUP(A2673,'לעדכן בסינתזה דאטה אריזה 42+24'!$A:$C,3,0)</f>
        <v>#N/A</v>
      </c>
      <c r="S2673" t="e">
        <f>VLOOKUP(#REF!,'מלאי לא תקין'!A:N,17,0)</f>
        <v>#REF!</v>
      </c>
      <c r="T2673" t="e">
        <f t="shared" si="87"/>
        <v>#REF!</v>
      </c>
      <c r="U2673" t="e">
        <f t="shared" si="88"/>
        <v>#REF!</v>
      </c>
    </row>
    <row r="2674" spans="4:21" x14ac:dyDescent="0.2">
      <c r="D2674" s="4"/>
      <c r="G2674" s="5"/>
      <c r="H2674" s="5"/>
      <c r="I2674" s="4"/>
      <c r="J2674" s="4"/>
      <c r="K2674" s="5"/>
      <c r="Q2674" t="e">
        <f>VLOOKUP(A2674,'גיליון דאטה להכל'!A:E,5,0)</f>
        <v>#N/A</v>
      </c>
      <c r="R2674" t="e">
        <f>VLOOKUP(A2674,'לעדכן בסינתזה דאטה אריזה 42+24'!$A:$C,3,0)</f>
        <v>#N/A</v>
      </c>
      <c r="S2674" t="e">
        <f>VLOOKUP(#REF!,'מלאי לא תקין'!A:N,17,0)</f>
        <v>#REF!</v>
      </c>
      <c r="T2674" t="e">
        <f t="shared" si="87"/>
        <v>#REF!</v>
      </c>
      <c r="U2674" t="e">
        <f t="shared" si="88"/>
        <v>#REF!</v>
      </c>
    </row>
    <row r="2675" spans="4:21" x14ac:dyDescent="0.2">
      <c r="D2675" s="4"/>
      <c r="G2675" s="5"/>
      <c r="H2675" s="7"/>
      <c r="I2675" s="4"/>
      <c r="J2675" s="4"/>
      <c r="K2675" s="5"/>
      <c r="Q2675" t="e">
        <f>VLOOKUP(A2675,'גיליון דאטה להכל'!A:E,5,0)</f>
        <v>#N/A</v>
      </c>
      <c r="R2675" t="e">
        <f>VLOOKUP(A2675,'לעדכן בסינתזה דאטה אריזה 42+24'!$A:$C,3,0)</f>
        <v>#N/A</v>
      </c>
      <c r="S2675" t="e">
        <f>VLOOKUP(#REF!,'מלאי לא תקין'!A:N,17,0)</f>
        <v>#REF!</v>
      </c>
      <c r="T2675" t="e">
        <f t="shared" si="87"/>
        <v>#REF!</v>
      </c>
      <c r="U2675" t="e">
        <f t="shared" si="88"/>
        <v>#REF!</v>
      </c>
    </row>
    <row r="2676" spans="4:21" x14ac:dyDescent="0.2">
      <c r="D2676" s="4"/>
      <c r="G2676" s="5"/>
      <c r="H2676" s="5"/>
      <c r="I2676" s="4"/>
      <c r="J2676" s="4"/>
      <c r="K2676" s="5"/>
      <c r="Q2676" t="e">
        <f>VLOOKUP(A2676,'גיליון דאטה להכל'!A:E,5,0)</f>
        <v>#N/A</v>
      </c>
      <c r="R2676" t="e">
        <f>VLOOKUP(A2676,'לעדכן בסינתזה דאטה אריזה 42+24'!$A:$C,3,0)</f>
        <v>#N/A</v>
      </c>
      <c r="S2676" t="e">
        <f>VLOOKUP(#REF!,'מלאי לא תקין'!A:N,17,0)</f>
        <v>#REF!</v>
      </c>
      <c r="T2676" t="e">
        <f t="shared" si="87"/>
        <v>#REF!</v>
      </c>
      <c r="U2676" t="e">
        <f t="shared" si="88"/>
        <v>#REF!</v>
      </c>
    </row>
    <row r="2677" spans="4:21" x14ac:dyDescent="0.2">
      <c r="D2677" s="4"/>
      <c r="G2677" s="5"/>
      <c r="H2677" s="5"/>
      <c r="I2677" s="4"/>
      <c r="J2677" s="4"/>
      <c r="K2677" s="5"/>
      <c r="Q2677" t="e">
        <f>VLOOKUP(A2677,'גיליון דאטה להכל'!A:E,5,0)</f>
        <v>#N/A</v>
      </c>
      <c r="R2677" t="e">
        <f>VLOOKUP(A2677,'לעדכן בסינתזה דאטה אריזה 42+24'!$A:$C,3,0)</f>
        <v>#N/A</v>
      </c>
      <c r="S2677" t="e">
        <f>VLOOKUP(#REF!,'מלאי לא תקין'!A:N,17,0)</f>
        <v>#REF!</v>
      </c>
      <c r="T2677" t="e">
        <f t="shared" si="87"/>
        <v>#REF!</v>
      </c>
      <c r="U2677" t="e">
        <f t="shared" si="88"/>
        <v>#REF!</v>
      </c>
    </row>
    <row r="2678" spans="4:21" x14ac:dyDescent="0.2">
      <c r="D2678" s="4"/>
      <c r="G2678" s="5"/>
      <c r="H2678" s="5"/>
      <c r="I2678" s="4"/>
      <c r="J2678" s="4"/>
      <c r="K2678" s="5"/>
      <c r="Q2678" t="e">
        <f>VLOOKUP(A2678,'גיליון דאטה להכל'!A:E,5,0)</f>
        <v>#N/A</v>
      </c>
      <c r="R2678" t="e">
        <f>VLOOKUP(A2678,'לעדכן בסינתזה דאטה אריזה 42+24'!$A:$C,3,0)</f>
        <v>#N/A</v>
      </c>
      <c r="S2678" t="e">
        <f>VLOOKUP(#REF!,'מלאי לא תקין'!A:N,17,0)</f>
        <v>#REF!</v>
      </c>
      <c r="T2678" t="e">
        <f t="shared" si="87"/>
        <v>#REF!</v>
      </c>
      <c r="U2678" t="e">
        <f t="shared" si="88"/>
        <v>#REF!</v>
      </c>
    </row>
    <row r="2679" spans="4:21" x14ac:dyDescent="0.2">
      <c r="D2679" s="4"/>
      <c r="G2679" s="5"/>
      <c r="H2679" s="5"/>
      <c r="I2679" s="4"/>
      <c r="J2679" s="4"/>
      <c r="K2679" s="5"/>
      <c r="Q2679" t="e">
        <f>VLOOKUP(A2679,'גיליון דאטה להכל'!A:E,5,0)</f>
        <v>#N/A</v>
      </c>
      <c r="R2679" t="e">
        <f>VLOOKUP(A2679,'לעדכן בסינתזה דאטה אריזה 42+24'!$A:$C,3,0)</f>
        <v>#N/A</v>
      </c>
      <c r="S2679" t="e">
        <f>VLOOKUP(#REF!,'מלאי לא תקין'!A:N,17,0)</f>
        <v>#REF!</v>
      </c>
      <c r="T2679" t="e">
        <f t="shared" si="87"/>
        <v>#REF!</v>
      </c>
      <c r="U2679" t="e">
        <f t="shared" si="88"/>
        <v>#REF!</v>
      </c>
    </row>
    <row r="2680" spans="4:21" x14ac:dyDescent="0.2">
      <c r="D2680" s="4"/>
      <c r="G2680" s="5"/>
      <c r="H2680" s="7"/>
      <c r="I2680" s="4"/>
      <c r="J2680" s="4"/>
      <c r="K2680" s="5"/>
      <c r="Q2680" t="e">
        <f>VLOOKUP(A2680,'גיליון דאטה להכל'!A:E,5,0)</f>
        <v>#N/A</v>
      </c>
      <c r="R2680" t="e">
        <f>VLOOKUP(A2680,'לעדכן בסינתזה דאטה אריזה 42+24'!$A:$C,3,0)</f>
        <v>#N/A</v>
      </c>
      <c r="S2680" t="e">
        <f>VLOOKUP(#REF!,'מלאי לא תקין'!A:N,17,0)</f>
        <v>#REF!</v>
      </c>
      <c r="T2680" t="e">
        <f t="shared" si="87"/>
        <v>#REF!</v>
      </c>
      <c r="U2680" t="e">
        <f t="shared" si="88"/>
        <v>#REF!</v>
      </c>
    </row>
    <row r="2681" spans="4:21" x14ac:dyDescent="0.2">
      <c r="D2681" s="4"/>
      <c r="G2681" s="5"/>
      <c r="H2681" s="5"/>
      <c r="I2681" s="4"/>
      <c r="J2681" s="4"/>
      <c r="K2681" s="5"/>
      <c r="Q2681" t="e">
        <f>VLOOKUP(A2681,'גיליון דאטה להכל'!A:E,5,0)</f>
        <v>#N/A</v>
      </c>
      <c r="R2681" t="e">
        <f>VLOOKUP(A2681,'לעדכן בסינתזה דאטה אריזה 42+24'!$A:$C,3,0)</f>
        <v>#N/A</v>
      </c>
      <c r="S2681" t="e">
        <f>VLOOKUP(#REF!,'מלאי לא תקין'!A:N,17,0)</f>
        <v>#REF!</v>
      </c>
      <c r="T2681" t="e">
        <f t="shared" si="87"/>
        <v>#REF!</v>
      </c>
      <c r="U2681" t="e">
        <f t="shared" si="88"/>
        <v>#REF!</v>
      </c>
    </row>
    <row r="2682" spans="4:21" x14ac:dyDescent="0.2">
      <c r="D2682" s="4"/>
      <c r="G2682" s="5"/>
      <c r="H2682" s="5"/>
      <c r="I2682" s="4"/>
      <c r="J2682" s="4"/>
      <c r="K2682" s="5"/>
      <c r="Q2682" t="e">
        <f>VLOOKUP(A2682,'גיליון דאטה להכל'!A:E,5,0)</f>
        <v>#N/A</v>
      </c>
      <c r="R2682" t="e">
        <f>VLOOKUP(A2682,'לעדכן בסינתזה דאטה אריזה 42+24'!$A:$C,3,0)</f>
        <v>#N/A</v>
      </c>
      <c r="S2682" t="e">
        <f>VLOOKUP(#REF!,'מלאי לא תקין'!A:N,17,0)</f>
        <v>#REF!</v>
      </c>
      <c r="T2682" t="e">
        <f t="shared" si="87"/>
        <v>#REF!</v>
      </c>
      <c r="U2682" t="e">
        <f t="shared" si="88"/>
        <v>#REF!</v>
      </c>
    </row>
    <row r="2683" spans="4:21" x14ac:dyDescent="0.2">
      <c r="D2683" s="4"/>
      <c r="G2683" s="5"/>
      <c r="H2683" s="5"/>
      <c r="I2683" s="4"/>
      <c r="J2683" s="4"/>
      <c r="K2683" s="5"/>
      <c r="Q2683" t="e">
        <f>VLOOKUP(A2683,'גיליון דאטה להכל'!A:E,5,0)</f>
        <v>#N/A</v>
      </c>
      <c r="R2683" t="e">
        <f>VLOOKUP(A2683,'לעדכן בסינתזה דאטה אריזה 42+24'!$A:$C,3,0)</f>
        <v>#N/A</v>
      </c>
      <c r="S2683" t="e">
        <f>VLOOKUP(#REF!,'מלאי לא תקין'!A:N,17,0)</f>
        <v>#REF!</v>
      </c>
      <c r="T2683" t="e">
        <f t="shared" si="87"/>
        <v>#REF!</v>
      </c>
      <c r="U2683" t="e">
        <f t="shared" si="88"/>
        <v>#REF!</v>
      </c>
    </row>
    <row r="2684" spans="4:21" x14ac:dyDescent="0.2">
      <c r="D2684" s="4"/>
      <c r="G2684" s="5"/>
      <c r="H2684" s="5"/>
      <c r="I2684" s="4"/>
      <c r="J2684" s="4"/>
      <c r="K2684" s="5"/>
      <c r="Q2684" t="e">
        <f>VLOOKUP(A2684,'גיליון דאטה להכל'!A:E,5,0)</f>
        <v>#N/A</v>
      </c>
      <c r="R2684" t="e">
        <f>VLOOKUP(A2684,'לעדכן בסינתזה דאטה אריזה 42+24'!$A:$C,3,0)</f>
        <v>#N/A</v>
      </c>
      <c r="S2684" t="e">
        <f>VLOOKUP(#REF!,'מלאי לא תקין'!A:N,17,0)</f>
        <v>#REF!</v>
      </c>
      <c r="T2684" t="e">
        <f t="shared" si="87"/>
        <v>#REF!</v>
      </c>
      <c r="U2684" t="e">
        <f t="shared" si="88"/>
        <v>#REF!</v>
      </c>
    </row>
    <row r="2685" spans="4:21" x14ac:dyDescent="0.2">
      <c r="D2685" s="4"/>
      <c r="G2685" s="5"/>
      <c r="H2685" s="7"/>
      <c r="I2685" s="4"/>
      <c r="J2685" s="4"/>
      <c r="K2685" s="5"/>
      <c r="Q2685" t="e">
        <f>VLOOKUP(A2685,'גיליון דאטה להכל'!A:E,5,0)</f>
        <v>#N/A</v>
      </c>
      <c r="R2685" t="e">
        <f>VLOOKUP(A2685,'לעדכן בסינתזה דאטה אריזה 42+24'!$A:$C,3,0)</f>
        <v>#N/A</v>
      </c>
      <c r="S2685" t="e">
        <f>VLOOKUP(#REF!,'מלאי לא תקין'!A:N,17,0)</f>
        <v>#REF!</v>
      </c>
      <c r="T2685" t="e">
        <f t="shared" si="87"/>
        <v>#REF!</v>
      </c>
      <c r="U2685" t="e">
        <f t="shared" si="88"/>
        <v>#REF!</v>
      </c>
    </row>
    <row r="2686" spans="4:21" x14ac:dyDescent="0.2">
      <c r="D2686" s="4"/>
      <c r="G2686" s="5"/>
      <c r="H2686" s="5"/>
      <c r="I2686" s="4"/>
      <c r="J2686" s="4"/>
      <c r="K2686" s="5"/>
      <c r="Q2686" t="e">
        <f>VLOOKUP(A2686,'גיליון דאטה להכל'!A:E,5,0)</f>
        <v>#N/A</v>
      </c>
      <c r="R2686" t="e">
        <f>VLOOKUP(A2686,'לעדכן בסינתזה דאטה אריזה 42+24'!$A:$C,3,0)</f>
        <v>#N/A</v>
      </c>
      <c r="S2686" t="e">
        <f>VLOOKUP(#REF!,'מלאי לא תקין'!A:N,17,0)</f>
        <v>#REF!</v>
      </c>
      <c r="T2686" t="e">
        <f t="shared" ref="T2686:T2749" si="89">_xlfn.CONCAT(S2686,Q2686)</f>
        <v>#REF!</v>
      </c>
      <c r="U2686" t="e">
        <f t="shared" ref="U2686:U2749" si="90">_xlfn.CONCAT(S2686,O2686)</f>
        <v>#REF!</v>
      </c>
    </row>
    <row r="2687" spans="4:21" x14ac:dyDescent="0.2">
      <c r="D2687" s="4"/>
      <c r="G2687" s="5"/>
      <c r="H2687" s="5"/>
      <c r="I2687" s="4"/>
      <c r="J2687" s="4"/>
      <c r="K2687" s="5"/>
      <c r="Q2687" t="e">
        <f>VLOOKUP(A2687,'גיליון דאטה להכל'!A:E,5,0)</f>
        <v>#N/A</v>
      </c>
      <c r="R2687" t="e">
        <f>VLOOKUP(A2687,'לעדכן בסינתזה דאטה אריזה 42+24'!$A:$C,3,0)</f>
        <v>#N/A</v>
      </c>
      <c r="S2687" t="e">
        <f>VLOOKUP(#REF!,'מלאי לא תקין'!A:N,17,0)</f>
        <v>#REF!</v>
      </c>
      <c r="T2687" t="e">
        <f t="shared" si="89"/>
        <v>#REF!</v>
      </c>
      <c r="U2687" t="e">
        <f t="shared" si="90"/>
        <v>#REF!</v>
      </c>
    </row>
    <row r="2688" spans="4:21" x14ac:dyDescent="0.2">
      <c r="D2688" s="4"/>
      <c r="G2688" s="5"/>
      <c r="H2688" s="5"/>
      <c r="I2688" s="4"/>
      <c r="J2688" s="4"/>
      <c r="K2688" s="5"/>
      <c r="Q2688" t="e">
        <f>VLOOKUP(A2688,'גיליון דאטה להכל'!A:E,5,0)</f>
        <v>#N/A</v>
      </c>
      <c r="R2688" t="e">
        <f>VLOOKUP(A2688,'לעדכן בסינתזה דאטה אריזה 42+24'!$A:$C,3,0)</f>
        <v>#N/A</v>
      </c>
      <c r="S2688" t="e">
        <f>VLOOKUP(#REF!,'מלאי לא תקין'!A:N,17,0)</f>
        <v>#REF!</v>
      </c>
      <c r="T2688" t="e">
        <f t="shared" si="89"/>
        <v>#REF!</v>
      </c>
      <c r="U2688" t="e">
        <f t="shared" si="90"/>
        <v>#REF!</v>
      </c>
    </row>
    <row r="2689" spans="4:21" x14ac:dyDescent="0.2">
      <c r="D2689" s="4"/>
      <c r="G2689" s="5"/>
      <c r="H2689" s="5"/>
      <c r="I2689" s="4"/>
      <c r="J2689" s="4"/>
      <c r="K2689" s="5"/>
      <c r="Q2689" t="e">
        <f>VLOOKUP(A2689,'גיליון דאטה להכל'!A:E,5,0)</f>
        <v>#N/A</v>
      </c>
      <c r="R2689" t="e">
        <f>VLOOKUP(A2689,'לעדכן בסינתזה דאטה אריזה 42+24'!$A:$C,3,0)</f>
        <v>#N/A</v>
      </c>
      <c r="S2689" t="e">
        <f>VLOOKUP(#REF!,'מלאי לא תקין'!A:N,17,0)</f>
        <v>#REF!</v>
      </c>
      <c r="T2689" t="e">
        <f t="shared" si="89"/>
        <v>#REF!</v>
      </c>
      <c r="U2689" t="e">
        <f t="shared" si="90"/>
        <v>#REF!</v>
      </c>
    </row>
    <row r="2690" spans="4:21" x14ac:dyDescent="0.2">
      <c r="D2690" s="4"/>
      <c r="G2690" s="5"/>
      <c r="H2690" s="7"/>
      <c r="I2690" s="4"/>
      <c r="J2690" s="4"/>
      <c r="K2690" s="5"/>
      <c r="Q2690" t="e">
        <f>VLOOKUP(A2690,'גיליון דאטה להכל'!A:E,5,0)</f>
        <v>#N/A</v>
      </c>
      <c r="R2690" t="e">
        <f>VLOOKUP(A2690,'לעדכן בסינתזה דאטה אריזה 42+24'!$A:$C,3,0)</f>
        <v>#N/A</v>
      </c>
      <c r="S2690" t="e">
        <f>VLOOKUP(#REF!,'מלאי לא תקין'!A:N,17,0)</f>
        <v>#REF!</v>
      </c>
      <c r="T2690" t="e">
        <f t="shared" si="89"/>
        <v>#REF!</v>
      </c>
      <c r="U2690" t="e">
        <f t="shared" si="90"/>
        <v>#REF!</v>
      </c>
    </row>
    <row r="2691" spans="4:21" x14ac:dyDescent="0.2">
      <c r="D2691" s="4"/>
      <c r="G2691" s="5"/>
      <c r="H2691" s="5"/>
      <c r="I2691" s="4"/>
      <c r="J2691" s="4"/>
      <c r="K2691" s="5"/>
      <c r="Q2691" t="e">
        <f>VLOOKUP(A2691,'גיליון דאטה להכל'!A:E,5,0)</f>
        <v>#N/A</v>
      </c>
      <c r="R2691" t="e">
        <f>VLOOKUP(A2691,'לעדכן בסינתזה דאטה אריזה 42+24'!$A:$C,3,0)</f>
        <v>#N/A</v>
      </c>
      <c r="S2691" t="e">
        <f>VLOOKUP(#REF!,'מלאי לא תקין'!A:N,17,0)</f>
        <v>#REF!</v>
      </c>
      <c r="T2691" t="e">
        <f t="shared" si="89"/>
        <v>#REF!</v>
      </c>
      <c r="U2691" t="e">
        <f t="shared" si="90"/>
        <v>#REF!</v>
      </c>
    </row>
    <row r="2692" spans="4:21" x14ac:dyDescent="0.2">
      <c r="D2692" s="4"/>
      <c r="G2692" s="5"/>
      <c r="H2692" s="5"/>
      <c r="I2692" s="4"/>
      <c r="J2692" s="4"/>
      <c r="K2692" s="5"/>
      <c r="Q2692" t="e">
        <f>VLOOKUP(A2692,'גיליון דאטה להכל'!A:E,5,0)</f>
        <v>#N/A</v>
      </c>
      <c r="R2692" t="e">
        <f>VLOOKUP(A2692,'לעדכן בסינתזה דאטה אריזה 42+24'!$A:$C,3,0)</f>
        <v>#N/A</v>
      </c>
      <c r="S2692" t="e">
        <f>VLOOKUP(#REF!,'מלאי לא תקין'!A:N,17,0)</f>
        <v>#REF!</v>
      </c>
      <c r="T2692" t="e">
        <f t="shared" si="89"/>
        <v>#REF!</v>
      </c>
      <c r="U2692" t="e">
        <f t="shared" si="90"/>
        <v>#REF!</v>
      </c>
    </row>
    <row r="2693" spans="4:21" x14ac:dyDescent="0.2">
      <c r="D2693" s="4"/>
      <c r="G2693" s="5"/>
      <c r="H2693" s="5"/>
      <c r="I2693" s="4"/>
      <c r="J2693" s="4"/>
      <c r="K2693" s="5"/>
      <c r="Q2693" t="e">
        <f>VLOOKUP(A2693,'גיליון דאטה להכל'!A:E,5,0)</f>
        <v>#N/A</v>
      </c>
      <c r="R2693" t="e">
        <f>VLOOKUP(A2693,'לעדכן בסינתזה דאטה אריזה 42+24'!$A:$C,3,0)</f>
        <v>#N/A</v>
      </c>
      <c r="S2693" t="e">
        <f>VLOOKUP(#REF!,'מלאי לא תקין'!A:N,17,0)</f>
        <v>#REF!</v>
      </c>
      <c r="T2693" t="e">
        <f t="shared" si="89"/>
        <v>#REF!</v>
      </c>
      <c r="U2693" t="e">
        <f t="shared" si="90"/>
        <v>#REF!</v>
      </c>
    </row>
    <row r="2694" spans="4:21" x14ac:dyDescent="0.2">
      <c r="D2694" s="4"/>
      <c r="G2694" s="5"/>
      <c r="H2694" s="5"/>
      <c r="I2694" s="4"/>
      <c r="J2694" s="4"/>
      <c r="K2694" s="5"/>
      <c r="Q2694" t="e">
        <f>VLOOKUP(A2694,'גיליון דאטה להכל'!A:E,5,0)</f>
        <v>#N/A</v>
      </c>
      <c r="R2694" t="e">
        <f>VLOOKUP(A2694,'לעדכן בסינתזה דאטה אריזה 42+24'!$A:$C,3,0)</f>
        <v>#N/A</v>
      </c>
      <c r="S2694" t="e">
        <f>VLOOKUP(#REF!,'מלאי לא תקין'!A:N,17,0)</f>
        <v>#REF!</v>
      </c>
      <c r="T2694" t="e">
        <f t="shared" si="89"/>
        <v>#REF!</v>
      </c>
      <c r="U2694" t="e">
        <f t="shared" si="90"/>
        <v>#REF!</v>
      </c>
    </row>
    <row r="2695" spans="4:21" x14ac:dyDescent="0.2">
      <c r="D2695" s="4"/>
      <c r="G2695" s="5"/>
      <c r="H2695" s="7"/>
      <c r="I2695" s="4"/>
      <c r="J2695" s="4"/>
      <c r="K2695" s="5"/>
      <c r="Q2695" t="e">
        <f>VLOOKUP(A2695,'גיליון דאטה להכל'!A:E,5,0)</f>
        <v>#N/A</v>
      </c>
      <c r="R2695" t="e">
        <f>VLOOKUP(A2695,'לעדכן בסינתזה דאטה אריזה 42+24'!$A:$C,3,0)</f>
        <v>#N/A</v>
      </c>
      <c r="S2695" t="e">
        <f>VLOOKUP(#REF!,'מלאי לא תקין'!A:N,17,0)</f>
        <v>#REF!</v>
      </c>
      <c r="T2695" t="e">
        <f t="shared" si="89"/>
        <v>#REF!</v>
      </c>
      <c r="U2695" t="e">
        <f t="shared" si="90"/>
        <v>#REF!</v>
      </c>
    </row>
    <row r="2696" spans="4:21" x14ac:dyDescent="0.2">
      <c r="D2696" s="4"/>
      <c r="G2696" s="5"/>
      <c r="H2696" s="5"/>
      <c r="I2696" s="4"/>
      <c r="J2696" s="4"/>
      <c r="K2696" s="5"/>
      <c r="Q2696" t="e">
        <f>VLOOKUP(A2696,'גיליון דאטה להכל'!A:E,5,0)</f>
        <v>#N/A</v>
      </c>
      <c r="R2696" t="e">
        <f>VLOOKUP(A2696,'לעדכן בסינתזה דאטה אריזה 42+24'!$A:$C,3,0)</f>
        <v>#N/A</v>
      </c>
      <c r="S2696" t="e">
        <f>VLOOKUP(#REF!,'מלאי לא תקין'!A:N,17,0)</f>
        <v>#REF!</v>
      </c>
      <c r="T2696" t="e">
        <f t="shared" si="89"/>
        <v>#REF!</v>
      </c>
      <c r="U2696" t="e">
        <f t="shared" si="90"/>
        <v>#REF!</v>
      </c>
    </row>
    <row r="2697" spans="4:21" x14ac:dyDescent="0.2">
      <c r="D2697" s="4"/>
      <c r="G2697" s="5"/>
      <c r="H2697" s="5"/>
      <c r="I2697" s="4"/>
      <c r="J2697" s="4"/>
      <c r="K2697" s="5"/>
      <c r="Q2697" t="e">
        <f>VLOOKUP(A2697,'גיליון דאטה להכל'!A:E,5,0)</f>
        <v>#N/A</v>
      </c>
      <c r="R2697" t="e">
        <f>VLOOKUP(A2697,'לעדכן בסינתזה דאטה אריזה 42+24'!$A:$C,3,0)</f>
        <v>#N/A</v>
      </c>
      <c r="S2697" t="e">
        <f>VLOOKUP(#REF!,'מלאי לא תקין'!A:N,17,0)</f>
        <v>#REF!</v>
      </c>
      <c r="T2697" t="e">
        <f t="shared" si="89"/>
        <v>#REF!</v>
      </c>
      <c r="U2697" t="e">
        <f t="shared" si="90"/>
        <v>#REF!</v>
      </c>
    </row>
    <row r="2698" spans="4:21" x14ac:dyDescent="0.2">
      <c r="D2698" s="4"/>
      <c r="G2698" s="5"/>
      <c r="H2698" s="5"/>
      <c r="I2698" s="4"/>
      <c r="J2698" s="4"/>
      <c r="K2698" s="5"/>
      <c r="Q2698" t="e">
        <f>VLOOKUP(A2698,'גיליון דאטה להכל'!A:E,5,0)</f>
        <v>#N/A</v>
      </c>
      <c r="R2698" t="e">
        <f>VLOOKUP(A2698,'לעדכן בסינתזה דאטה אריזה 42+24'!$A:$C,3,0)</f>
        <v>#N/A</v>
      </c>
      <c r="S2698" t="e">
        <f>VLOOKUP(#REF!,'מלאי לא תקין'!A:N,17,0)</f>
        <v>#REF!</v>
      </c>
      <c r="T2698" t="e">
        <f t="shared" si="89"/>
        <v>#REF!</v>
      </c>
      <c r="U2698" t="e">
        <f t="shared" si="90"/>
        <v>#REF!</v>
      </c>
    </row>
    <row r="2699" spans="4:21" x14ac:dyDescent="0.2">
      <c r="D2699" s="4"/>
      <c r="G2699" s="5"/>
      <c r="H2699" s="5"/>
      <c r="I2699" s="4"/>
      <c r="J2699" s="4"/>
      <c r="K2699" s="5"/>
      <c r="Q2699" t="e">
        <f>VLOOKUP(A2699,'גיליון דאטה להכל'!A:E,5,0)</f>
        <v>#N/A</v>
      </c>
      <c r="R2699" t="e">
        <f>VLOOKUP(A2699,'לעדכן בסינתזה דאטה אריזה 42+24'!$A:$C,3,0)</f>
        <v>#N/A</v>
      </c>
      <c r="S2699" t="e">
        <f>VLOOKUP(#REF!,'מלאי לא תקין'!A:N,17,0)</f>
        <v>#REF!</v>
      </c>
      <c r="T2699" t="e">
        <f t="shared" si="89"/>
        <v>#REF!</v>
      </c>
      <c r="U2699" t="e">
        <f t="shared" si="90"/>
        <v>#REF!</v>
      </c>
    </row>
    <row r="2700" spans="4:21" x14ac:dyDescent="0.2">
      <c r="D2700" s="4"/>
      <c r="G2700" s="5"/>
      <c r="H2700" s="7"/>
      <c r="I2700" s="4"/>
      <c r="J2700" s="4"/>
      <c r="K2700" s="5"/>
      <c r="Q2700" t="e">
        <f>VLOOKUP(A2700,'גיליון דאטה להכל'!A:E,5,0)</f>
        <v>#N/A</v>
      </c>
      <c r="R2700" t="e">
        <f>VLOOKUP(A2700,'לעדכן בסינתזה דאטה אריזה 42+24'!$A:$C,3,0)</f>
        <v>#N/A</v>
      </c>
      <c r="S2700" t="e">
        <f>VLOOKUP(#REF!,'מלאי לא תקין'!A:N,17,0)</f>
        <v>#REF!</v>
      </c>
      <c r="T2700" t="e">
        <f t="shared" si="89"/>
        <v>#REF!</v>
      </c>
      <c r="U2700" t="e">
        <f t="shared" si="90"/>
        <v>#REF!</v>
      </c>
    </row>
    <row r="2701" spans="4:21" x14ac:dyDescent="0.2">
      <c r="D2701" s="4"/>
      <c r="G2701" s="5"/>
      <c r="H2701" s="5"/>
      <c r="I2701" s="4"/>
      <c r="J2701" s="4"/>
      <c r="K2701" s="5"/>
      <c r="Q2701" t="e">
        <f>VLOOKUP(A2701,'גיליון דאטה להכל'!A:E,5,0)</f>
        <v>#N/A</v>
      </c>
      <c r="R2701" t="e">
        <f>VLOOKUP(A2701,'לעדכן בסינתזה דאטה אריזה 42+24'!$A:$C,3,0)</f>
        <v>#N/A</v>
      </c>
      <c r="S2701" t="e">
        <f>VLOOKUP(#REF!,'מלאי לא תקין'!A:N,17,0)</f>
        <v>#REF!</v>
      </c>
      <c r="T2701" t="e">
        <f t="shared" si="89"/>
        <v>#REF!</v>
      </c>
      <c r="U2701" t="e">
        <f t="shared" si="90"/>
        <v>#REF!</v>
      </c>
    </row>
    <row r="2702" spans="4:21" x14ac:dyDescent="0.2">
      <c r="D2702" s="4"/>
      <c r="G2702" s="5"/>
      <c r="H2702" s="5"/>
      <c r="I2702" s="4"/>
      <c r="J2702" s="4"/>
      <c r="K2702" s="5"/>
      <c r="Q2702" t="e">
        <f>VLOOKUP(A2702,'גיליון דאטה להכל'!A:E,5,0)</f>
        <v>#N/A</v>
      </c>
      <c r="R2702" t="e">
        <f>VLOOKUP(A2702,'לעדכן בסינתזה דאטה אריזה 42+24'!$A:$C,3,0)</f>
        <v>#N/A</v>
      </c>
      <c r="S2702" t="e">
        <f>VLOOKUP(#REF!,'מלאי לא תקין'!A:N,17,0)</f>
        <v>#REF!</v>
      </c>
      <c r="T2702" t="e">
        <f t="shared" si="89"/>
        <v>#REF!</v>
      </c>
      <c r="U2702" t="e">
        <f t="shared" si="90"/>
        <v>#REF!</v>
      </c>
    </row>
    <row r="2703" spans="4:21" x14ac:dyDescent="0.2">
      <c r="D2703" s="4"/>
      <c r="G2703" s="5"/>
      <c r="H2703" s="5"/>
      <c r="I2703" s="4"/>
      <c r="J2703" s="4"/>
      <c r="K2703" s="5"/>
      <c r="Q2703" t="e">
        <f>VLOOKUP(A2703,'גיליון דאטה להכל'!A:E,5,0)</f>
        <v>#N/A</v>
      </c>
      <c r="R2703" t="e">
        <f>VLOOKUP(A2703,'לעדכן בסינתזה דאטה אריזה 42+24'!$A:$C,3,0)</f>
        <v>#N/A</v>
      </c>
      <c r="S2703" t="e">
        <f>VLOOKUP(#REF!,'מלאי לא תקין'!A:N,17,0)</f>
        <v>#REF!</v>
      </c>
      <c r="T2703" t="e">
        <f t="shared" si="89"/>
        <v>#REF!</v>
      </c>
      <c r="U2703" t="e">
        <f t="shared" si="90"/>
        <v>#REF!</v>
      </c>
    </row>
    <row r="2704" spans="4:21" x14ac:dyDescent="0.2">
      <c r="D2704" s="4"/>
      <c r="G2704" s="5"/>
      <c r="H2704" s="5"/>
      <c r="I2704" s="4"/>
      <c r="J2704" s="4"/>
      <c r="K2704" s="5"/>
      <c r="Q2704" t="e">
        <f>VLOOKUP(A2704,'גיליון דאטה להכל'!A:E,5,0)</f>
        <v>#N/A</v>
      </c>
      <c r="R2704" t="e">
        <f>VLOOKUP(A2704,'לעדכן בסינתזה דאטה אריזה 42+24'!$A:$C,3,0)</f>
        <v>#N/A</v>
      </c>
      <c r="S2704" t="e">
        <f>VLOOKUP(#REF!,'מלאי לא תקין'!A:N,17,0)</f>
        <v>#REF!</v>
      </c>
      <c r="T2704" t="e">
        <f t="shared" si="89"/>
        <v>#REF!</v>
      </c>
      <c r="U2704" t="e">
        <f t="shared" si="90"/>
        <v>#REF!</v>
      </c>
    </row>
    <row r="2705" spans="4:21" x14ac:dyDescent="0.2">
      <c r="D2705" s="4"/>
      <c r="G2705" s="5"/>
      <c r="H2705" s="7"/>
      <c r="I2705" s="4"/>
      <c r="J2705" s="4"/>
      <c r="K2705" s="5"/>
      <c r="Q2705" t="e">
        <f>VLOOKUP(A2705,'גיליון דאטה להכל'!A:E,5,0)</f>
        <v>#N/A</v>
      </c>
      <c r="R2705" t="e">
        <f>VLOOKUP(A2705,'לעדכן בסינתזה דאטה אריזה 42+24'!$A:$C,3,0)</f>
        <v>#N/A</v>
      </c>
      <c r="S2705" t="e">
        <f>VLOOKUP(#REF!,'מלאי לא תקין'!A:N,17,0)</f>
        <v>#REF!</v>
      </c>
      <c r="T2705" t="e">
        <f t="shared" si="89"/>
        <v>#REF!</v>
      </c>
      <c r="U2705" t="e">
        <f t="shared" si="90"/>
        <v>#REF!</v>
      </c>
    </row>
    <row r="2706" spans="4:21" x14ac:dyDescent="0.2">
      <c r="D2706" s="4"/>
      <c r="G2706" s="5"/>
      <c r="H2706" s="5"/>
      <c r="I2706" s="4"/>
      <c r="J2706" s="4"/>
      <c r="K2706" s="5"/>
      <c r="Q2706" t="e">
        <f>VLOOKUP(A2706,'גיליון דאטה להכל'!A:E,5,0)</f>
        <v>#N/A</v>
      </c>
      <c r="R2706" t="e">
        <f>VLOOKUP(A2706,'לעדכן בסינתזה דאטה אריזה 42+24'!$A:$C,3,0)</f>
        <v>#N/A</v>
      </c>
      <c r="S2706" t="e">
        <f>VLOOKUP(#REF!,'מלאי לא תקין'!A:N,17,0)</f>
        <v>#REF!</v>
      </c>
      <c r="T2706" t="e">
        <f t="shared" si="89"/>
        <v>#REF!</v>
      </c>
      <c r="U2706" t="e">
        <f t="shared" si="90"/>
        <v>#REF!</v>
      </c>
    </row>
    <row r="2707" spans="4:21" x14ac:dyDescent="0.2">
      <c r="D2707" s="4"/>
      <c r="G2707" s="5"/>
      <c r="H2707" s="5"/>
      <c r="I2707" s="4"/>
      <c r="J2707" s="4"/>
      <c r="K2707" s="5"/>
      <c r="Q2707" t="e">
        <f>VLOOKUP(A2707,'גיליון דאטה להכל'!A:E,5,0)</f>
        <v>#N/A</v>
      </c>
      <c r="R2707" t="e">
        <f>VLOOKUP(A2707,'לעדכן בסינתזה דאטה אריזה 42+24'!$A:$C,3,0)</f>
        <v>#N/A</v>
      </c>
      <c r="S2707" t="e">
        <f>VLOOKUP(#REF!,'מלאי לא תקין'!A:N,17,0)</f>
        <v>#REF!</v>
      </c>
      <c r="T2707" t="e">
        <f t="shared" si="89"/>
        <v>#REF!</v>
      </c>
      <c r="U2707" t="e">
        <f t="shared" si="90"/>
        <v>#REF!</v>
      </c>
    </row>
    <row r="2708" spans="4:21" x14ac:dyDescent="0.2">
      <c r="D2708" s="4"/>
      <c r="G2708" s="5"/>
      <c r="H2708" s="5"/>
      <c r="I2708" s="4"/>
      <c r="J2708" s="4"/>
      <c r="K2708" s="5"/>
      <c r="Q2708" t="e">
        <f>VLOOKUP(A2708,'גיליון דאטה להכל'!A:E,5,0)</f>
        <v>#N/A</v>
      </c>
      <c r="R2708" t="e">
        <f>VLOOKUP(A2708,'לעדכן בסינתזה דאטה אריזה 42+24'!$A:$C,3,0)</f>
        <v>#N/A</v>
      </c>
      <c r="S2708" t="e">
        <f>VLOOKUP(#REF!,'מלאי לא תקין'!A:N,17,0)</f>
        <v>#REF!</v>
      </c>
      <c r="T2708" t="e">
        <f t="shared" si="89"/>
        <v>#REF!</v>
      </c>
      <c r="U2708" t="e">
        <f t="shared" si="90"/>
        <v>#REF!</v>
      </c>
    </row>
    <row r="2709" spans="4:21" x14ac:dyDescent="0.2">
      <c r="D2709" s="4"/>
      <c r="G2709" s="5"/>
      <c r="H2709" s="5"/>
      <c r="I2709" s="4"/>
      <c r="J2709" s="4"/>
      <c r="K2709" s="5"/>
      <c r="Q2709" t="e">
        <f>VLOOKUP(A2709,'גיליון דאטה להכל'!A:E,5,0)</f>
        <v>#N/A</v>
      </c>
      <c r="R2709" t="e">
        <f>VLOOKUP(A2709,'לעדכן בסינתזה דאטה אריזה 42+24'!$A:$C,3,0)</f>
        <v>#N/A</v>
      </c>
      <c r="S2709" t="e">
        <f>VLOOKUP(#REF!,'מלאי לא תקין'!A:N,17,0)</f>
        <v>#REF!</v>
      </c>
      <c r="T2709" t="e">
        <f t="shared" si="89"/>
        <v>#REF!</v>
      </c>
      <c r="U2709" t="e">
        <f t="shared" si="90"/>
        <v>#REF!</v>
      </c>
    </row>
    <row r="2710" spans="4:21" x14ac:dyDescent="0.2">
      <c r="D2710" s="4"/>
      <c r="G2710" s="5"/>
      <c r="H2710" s="7"/>
      <c r="I2710" s="4"/>
      <c r="J2710" s="4"/>
      <c r="K2710" s="5"/>
      <c r="Q2710" t="e">
        <f>VLOOKUP(A2710,'גיליון דאטה להכל'!A:E,5,0)</f>
        <v>#N/A</v>
      </c>
      <c r="R2710" t="e">
        <f>VLOOKUP(A2710,'לעדכן בסינתזה דאטה אריזה 42+24'!$A:$C,3,0)</f>
        <v>#N/A</v>
      </c>
      <c r="S2710" t="e">
        <f>VLOOKUP(#REF!,'מלאי לא תקין'!A:N,17,0)</f>
        <v>#REF!</v>
      </c>
      <c r="T2710" t="e">
        <f t="shared" si="89"/>
        <v>#REF!</v>
      </c>
      <c r="U2710" t="e">
        <f t="shared" si="90"/>
        <v>#REF!</v>
      </c>
    </row>
    <row r="2711" spans="4:21" x14ac:dyDescent="0.2">
      <c r="D2711" s="4"/>
      <c r="G2711" s="5"/>
      <c r="H2711" s="5"/>
      <c r="I2711" s="4"/>
      <c r="J2711" s="4"/>
      <c r="K2711" s="5"/>
      <c r="Q2711" t="e">
        <f>VLOOKUP(A2711,'גיליון דאטה להכל'!A:E,5,0)</f>
        <v>#N/A</v>
      </c>
      <c r="R2711" t="e">
        <f>VLOOKUP(A2711,'לעדכן בסינתזה דאטה אריזה 42+24'!$A:$C,3,0)</f>
        <v>#N/A</v>
      </c>
      <c r="S2711" t="e">
        <f>VLOOKUP(#REF!,'מלאי לא תקין'!A:N,17,0)</f>
        <v>#REF!</v>
      </c>
      <c r="T2711" t="e">
        <f t="shared" si="89"/>
        <v>#REF!</v>
      </c>
      <c r="U2711" t="e">
        <f t="shared" si="90"/>
        <v>#REF!</v>
      </c>
    </row>
    <row r="2712" spans="4:21" x14ac:dyDescent="0.2">
      <c r="D2712" s="4"/>
      <c r="G2712" s="5"/>
      <c r="H2712" s="5"/>
      <c r="I2712" s="4"/>
      <c r="J2712" s="4"/>
      <c r="K2712" s="5"/>
      <c r="Q2712" t="e">
        <f>VLOOKUP(A2712,'גיליון דאטה להכל'!A:E,5,0)</f>
        <v>#N/A</v>
      </c>
      <c r="R2712" t="e">
        <f>VLOOKUP(A2712,'לעדכן בסינתזה דאטה אריזה 42+24'!$A:$C,3,0)</f>
        <v>#N/A</v>
      </c>
      <c r="S2712" t="e">
        <f>VLOOKUP(#REF!,'מלאי לא תקין'!A:N,17,0)</f>
        <v>#REF!</v>
      </c>
      <c r="T2712" t="e">
        <f t="shared" si="89"/>
        <v>#REF!</v>
      </c>
      <c r="U2712" t="e">
        <f t="shared" si="90"/>
        <v>#REF!</v>
      </c>
    </row>
    <row r="2713" spans="4:21" x14ac:dyDescent="0.2">
      <c r="D2713" s="4"/>
      <c r="G2713" s="5"/>
      <c r="H2713" s="5"/>
      <c r="I2713" s="4"/>
      <c r="J2713" s="4"/>
      <c r="K2713" s="5"/>
      <c r="Q2713" t="e">
        <f>VLOOKUP(A2713,'גיליון דאטה להכל'!A:E,5,0)</f>
        <v>#N/A</v>
      </c>
      <c r="R2713" t="e">
        <f>VLOOKUP(A2713,'לעדכן בסינתזה דאטה אריזה 42+24'!$A:$C,3,0)</f>
        <v>#N/A</v>
      </c>
      <c r="S2713" t="e">
        <f>VLOOKUP(#REF!,'מלאי לא תקין'!A:N,17,0)</f>
        <v>#REF!</v>
      </c>
      <c r="T2713" t="e">
        <f t="shared" si="89"/>
        <v>#REF!</v>
      </c>
      <c r="U2713" t="e">
        <f t="shared" si="90"/>
        <v>#REF!</v>
      </c>
    </row>
    <row r="2714" spans="4:21" x14ac:dyDescent="0.2">
      <c r="D2714" s="4"/>
      <c r="G2714" s="5"/>
      <c r="H2714" s="5"/>
      <c r="I2714" s="4"/>
      <c r="J2714" s="4"/>
      <c r="K2714" s="5"/>
      <c r="Q2714" t="e">
        <f>VLOOKUP(A2714,'גיליון דאטה להכל'!A:E,5,0)</f>
        <v>#N/A</v>
      </c>
      <c r="R2714" t="e">
        <f>VLOOKUP(A2714,'לעדכן בסינתזה דאטה אריזה 42+24'!$A:$C,3,0)</f>
        <v>#N/A</v>
      </c>
      <c r="S2714" t="e">
        <f>VLOOKUP(#REF!,'מלאי לא תקין'!A:N,17,0)</f>
        <v>#REF!</v>
      </c>
      <c r="T2714" t="e">
        <f t="shared" si="89"/>
        <v>#REF!</v>
      </c>
      <c r="U2714" t="e">
        <f t="shared" si="90"/>
        <v>#REF!</v>
      </c>
    </row>
    <row r="2715" spans="4:21" x14ac:dyDescent="0.2">
      <c r="D2715" s="4"/>
      <c r="G2715" s="5"/>
      <c r="H2715" s="7"/>
      <c r="I2715" s="4"/>
      <c r="J2715" s="4"/>
      <c r="K2715" s="5"/>
      <c r="Q2715" t="e">
        <f>VLOOKUP(A2715,'גיליון דאטה להכל'!A:E,5,0)</f>
        <v>#N/A</v>
      </c>
      <c r="R2715" t="e">
        <f>VLOOKUP(A2715,'לעדכן בסינתזה דאטה אריזה 42+24'!$A:$C,3,0)</f>
        <v>#N/A</v>
      </c>
      <c r="S2715" t="e">
        <f>VLOOKUP(#REF!,'מלאי לא תקין'!A:N,17,0)</f>
        <v>#REF!</v>
      </c>
      <c r="T2715" t="e">
        <f t="shared" si="89"/>
        <v>#REF!</v>
      </c>
      <c r="U2715" t="e">
        <f t="shared" si="90"/>
        <v>#REF!</v>
      </c>
    </row>
    <row r="2716" spans="4:21" x14ac:dyDescent="0.2">
      <c r="D2716" s="4"/>
      <c r="G2716" s="5"/>
      <c r="H2716" s="5"/>
      <c r="I2716" s="4"/>
      <c r="J2716" s="4"/>
      <c r="K2716" s="5"/>
      <c r="Q2716" t="e">
        <f>VLOOKUP(A2716,'גיליון דאטה להכל'!A:E,5,0)</f>
        <v>#N/A</v>
      </c>
      <c r="R2716" t="e">
        <f>VLOOKUP(A2716,'לעדכן בסינתזה דאטה אריזה 42+24'!$A:$C,3,0)</f>
        <v>#N/A</v>
      </c>
      <c r="S2716" t="e">
        <f>VLOOKUP(#REF!,'מלאי לא תקין'!A:N,17,0)</f>
        <v>#REF!</v>
      </c>
      <c r="T2716" t="e">
        <f t="shared" si="89"/>
        <v>#REF!</v>
      </c>
      <c r="U2716" t="e">
        <f t="shared" si="90"/>
        <v>#REF!</v>
      </c>
    </row>
    <row r="2717" spans="4:21" x14ac:dyDescent="0.2">
      <c r="D2717" s="4"/>
      <c r="G2717" s="5"/>
      <c r="H2717" s="5"/>
      <c r="I2717" s="4"/>
      <c r="J2717" s="4"/>
      <c r="K2717" s="5"/>
      <c r="Q2717" t="e">
        <f>VLOOKUP(A2717,'גיליון דאטה להכל'!A:E,5,0)</f>
        <v>#N/A</v>
      </c>
      <c r="R2717" t="e">
        <f>VLOOKUP(A2717,'לעדכן בסינתזה דאטה אריזה 42+24'!$A:$C,3,0)</f>
        <v>#N/A</v>
      </c>
      <c r="S2717" t="e">
        <f>VLOOKUP(#REF!,'מלאי לא תקין'!A:N,17,0)</f>
        <v>#REF!</v>
      </c>
      <c r="T2717" t="e">
        <f t="shared" si="89"/>
        <v>#REF!</v>
      </c>
      <c r="U2717" t="e">
        <f t="shared" si="90"/>
        <v>#REF!</v>
      </c>
    </row>
    <row r="2718" spans="4:21" x14ac:dyDescent="0.2">
      <c r="D2718" s="4"/>
      <c r="G2718" s="5"/>
      <c r="H2718" s="5"/>
      <c r="I2718" s="4"/>
      <c r="J2718" s="4"/>
      <c r="K2718" s="5"/>
      <c r="Q2718" t="e">
        <f>VLOOKUP(A2718,'גיליון דאטה להכל'!A:E,5,0)</f>
        <v>#N/A</v>
      </c>
      <c r="R2718" t="e">
        <f>VLOOKUP(A2718,'לעדכן בסינתזה דאטה אריזה 42+24'!$A:$C,3,0)</f>
        <v>#N/A</v>
      </c>
      <c r="S2718" t="e">
        <f>VLOOKUP(#REF!,'מלאי לא תקין'!A:N,17,0)</f>
        <v>#REF!</v>
      </c>
      <c r="T2718" t="e">
        <f t="shared" si="89"/>
        <v>#REF!</v>
      </c>
      <c r="U2718" t="e">
        <f t="shared" si="90"/>
        <v>#REF!</v>
      </c>
    </row>
    <row r="2719" spans="4:21" x14ac:dyDescent="0.2">
      <c r="D2719" s="4"/>
      <c r="G2719" s="5"/>
      <c r="H2719" s="5"/>
      <c r="I2719" s="4"/>
      <c r="J2719" s="4"/>
      <c r="K2719" s="5"/>
      <c r="Q2719" t="e">
        <f>VLOOKUP(A2719,'גיליון דאטה להכל'!A:E,5,0)</f>
        <v>#N/A</v>
      </c>
      <c r="R2719" t="e">
        <f>VLOOKUP(A2719,'לעדכן בסינתזה דאטה אריזה 42+24'!$A:$C,3,0)</f>
        <v>#N/A</v>
      </c>
      <c r="S2719" t="e">
        <f>VLOOKUP(#REF!,'מלאי לא תקין'!A:N,17,0)</f>
        <v>#REF!</v>
      </c>
      <c r="T2719" t="e">
        <f t="shared" si="89"/>
        <v>#REF!</v>
      </c>
      <c r="U2719" t="e">
        <f t="shared" si="90"/>
        <v>#REF!</v>
      </c>
    </row>
    <row r="2720" spans="4:21" x14ac:dyDescent="0.2">
      <c r="D2720" s="4"/>
      <c r="G2720" s="5"/>
      <c r="H2720" s="7"/>
      <c r="I2720" s="4"/>
      <c r="J2720" s="4"/>
      <c r="K2720" s="5"/>
      <c r="Q2720" t="e">
        <f>VLOOKUP(A2720,'גיליון דאטה להכל'!A:E,5,0)</f>
        <v>#N/A</v>
      </c>
      <c r="R2720" t="e">
        <f>VLOOKUP(A2720,'לעדכן בסינתזה דאטה אריזה 42+24'!$A:$C,3,0)</f>
        <v>#N/A</v>
      </c>
      <c r="S2720" t="e">
        <f>VLOOKUP(#REF!,'מלאי לא תקין'!A:N,17,0)</f>
        <v>#REF!</v>
      </c>
      <c r="T2720" t="e">
        <f t="shared" si="89"/>
        <v>#REF!</v>
      </c>
      <c r="U2720" t="e">
        <f t="shared" si="90"/>
        <v>#REF!</v>
      </c>
    </row>
    <row r="2721" spans="4:21" x14ac:dyDescent="0.2">
      <c r="D2721" s="4"/>
      <c r="G2721" s="5"/>
      <c r="H2721" s="5"/>
      <c r="I2721" s="4"/>
      <c r="J2721" s="4"/>
      <c r="K2721" s="5"/>
      <c r="Q2721" t="e">
        <f>VLOOKUP(A2721,'גיליון דאטה להכל'!A:E,5,0)</f>
        <v>#N/A</v>
      </c>
      <c r="R2721" t="e">
        <f>VLOOKUP(A2721,'לעדכן בסינתזה דאטה אריזה 42+24'!$A:$C,3,0)</f>
        <v>#N/A</v>
      </c>
      <c r="S2721" t="e">
        <f>VLOOKUP(#REF!,'מלאי לא תקין'!A:N,17,0)</f>
        <v>#REF!</v>
      </c>
      <c r="T2721" t="e">
        <f t="shared" si="89"/>
        <v>#REF!</v>
      </c>
      <c r="U2721" t="e">
        <f t="shared" si="90"/>
        <v>#REF!</v>
      </c>
    </row>
    <row r="2722" spans="4:21" x14ac:dyDescent="0.2">
      <c r="D2722" s="4"/>
      <c r="G2722" s="5"/>
      <c r="H2722" s="5"/>
      <c r="I2722" s="4"/>
      <c r="J2722" s="4"/>
      <c r="K2722" s="5"/>
      <c r="Q2722" t="e">
        <f>VLOOKUP(A2722,'גיליון דאטה להכל'!A:E,5,0)</f>
        <v>#N/A</v>
      </c>
      <c r="R2722" t="e">
        <f>VLOOKUP(A2722,'לעדכן בסינתזה דאטה אריזה 42+24'!$A:$C,3,0)</f>
        <v>#N/A</v>
      </c>
      <c r="S2722" t="e">
        <f>VLOOKUP(#REF!,'מלאי לא תקין'!A:N,17,0)</f>
        <v>#REF!</v>
      </c>
      <c r="T2722" t="e">
        <f t="shared" si="89"/>
        <v>#REF!</v>
      </c>
      <c r="U2722" t="e">
        <f t="shared" si="90"/>
        <v>#REF!</v>
      </c>
    </row>
    <row r="2723" spans="4:21" x14ac:dyDescent="0.2">
      <c r="D2723" s="4"/>
      <c r="G2723" s="5"/>
      <c r="H2723" s="5"/>
      <c r="I2723" s="4"/>
      <c r="J2723" s="4"/>
      <c r="K2723" s="5"/>
      <c r="Q2723" t="e">
        <f>VLOOKUP(A2723,'גיליון דאטה להכל'!A:E,5,0)</f>
        <v>#N/A</v>
      </c>
      <c r="R2723" t="e">
        <f>VLOOKUP(A2723,'לעדכן בסינתזה דאטה אריזה 42+24'!$A:$C,3,0)</f>
        <v>#N/A</v>
      </c>
      <c r="S2723" t="e">
        <f>VLOOKUP(#REF!,'מלאי לא תקין'!A:N,17,0)</f>
        <v>#REF!</v>
      </c>
      <c r="T2723" t="e">
        <f t="shared" si="89"/>
        <v>#REF!</v>
      </c>
      <c r="U2723" t="e">
        <f t="shared" si="90"/>
        <v>#REF!</v>
      </c>
    </row>
    <row r="2724" spans="4:21" x14ac:dyDescent="0.2">
      <c r="D2724" s="4"/>
      <c r="G2724" s="5"/>
      <c r="H2724" s="5"/>
      <c r="I2724" s="4"/>
      <c r="J2724" s="4"/>
      <c r="K2724" s="5"/>
      <c r="Q2724" t="e">
        <f>VLOOKUP(A2724,'גיליון דאטה להכל'!A:E,5,0)</f>
        <v>#N/A</v>
      </c>
      <c r="R2724" t="e">
        <f>VLOOKUP(A2724,'לעדכן בסינתזה דאטה אריזה 42+24'!$A:$C,3,0)</f>
        <v>#N/A</v>
      </c>
      <c r="S2724" t="e">
        <f>VLOOKUP(#REF!,'מלאי לא תקין'!A:N,17,0)</f>
        <v>#REF!</v>
      </c>
      <c r="T2724" t="e">
        <f t="shared" si="89"/>
        <v>#REF!</v>
      </c>
      <c r="U2724" t="e">
        <f t="shared" si="90"/>
        <v>#REF!</v>
      </c>
    </row>
    <row r="2725" spans="4:21" x14ac:dyDescent="0.2">
      <c r="D2725" s="4"/>
      <c r="G2725" s="5"/>
      <c r="H2725" s="7"/>
      <c r="I2725" s="4"/>
      <c r="J2725" s="4"/>
      <c r="K2725" s="5"/>
      <c r="Q2725" t="e">
        <f>VLOOKUP(A2725,'גיליון דאטה להכל'!A:E,5,0)</f>
        <v>#N/A</v>
      </c>
      <c r="R2725" t="e">
        <f>VLOOKUP(A2725,'לעדכן בסינתזה דאטה אריזה 42+24'!$A:$C,3,0)</f>
        <v>#N/A</v>
      </c>
      <c r="S2725" t="e">
        <f>VLOOKUP(#REF!,'מלאי לא תקין'!A:N,17,0)</f>
        <v>#REF!</v>
      </c>
      <c r="T2725" t="e">
        <f t="shared" si="89"/>
        <v>#REF!</v>
      </c>
      <c r="U2725" t="e">
        <f t="shared" si="90"/>
        <v>#REF!</v>
      </c>
    </row>
    <row r="2726" spans="4:21" x14ac:dyDescent="0.2">
      <c r="D2726" s="4"/>
      <c r="G2726" s="5"/>
      <c r="H2726" s="5"/>
      <c r="I2726" s="4"/>
      <c r="J2726" s="4"/>
      <c r="K2726" s="5"/>
      <c r="Q2726" t="e">
        <f>VLOOKUP(A2726,'גיליון דאטה להכל'!A:E,5,0)</f>
        <v>#N/A</v>
      </c>
      <c r="R2726" t="e">
        <f>VLOOKUP(A2726,'לעדכן בסינתזה דאטה אריזה 42+24'!$A:$C,3,0)</f>
        <v>#N/A</v>
      </c>
      <c r="S2726" t="e">
        <f>VLOOKUP(#REF!,'מלאי לא תקין'!A:N,17,0)</f>
        <v>#REF!</v>
      </c>
      <c r="T2726" t="e">
        <f t="shared" si="89"/>
        <v>#REF!</v>
      </c>
      <c r="U2726" t="e">
        <f t="shared" si="90"/>
        <v>#REF!</v>
      </c>
    </row>
    <row r="2727" spans="4:21" x14ac:dyDescent="0.2">
      <c r="D2727" s="4"/>
      <c r="G2727" s="5"/>
      <c r="H2727" s="5"/>
      <c r="I2727" s="4"/>
      <c r="J2727" s="4"/>
      <c r="K2727" s="5"/>
      <c r="Q2727" t="e">
        <f>VLOOKUP(A2727,'גיליון דאטה להכל'!A:E,5,0)</f>
        <v>#N/A</v>
      </c>
      <c r="R2727" t="e">
        <f>VLOOKUP(A2727,'לעדכן בסינתזה דאטה אריזה 42+24'!$A:$C,3,0)</f>
        <v>#N/A</v>
      </c>
      <c r="S2727" t="e">
        <f>VLOOKUP(#REF!,'מלאי לא תקין'!A:N,17,0)</f>
        <v>#REF!</v>
      </c>
      <c r="T2727" t="e">
        <f t="shared" si="89"/>
        <v>#REF!</v>
      </c>
      <c r="U2727" t="e">
        <f t="shared" si="90"/>
        <v>#REF!</v>
      </c>
    </row>
    <row r="2728" spans="4:21" x14ac:dyDescent="0.2">
      <c r="D2728" s="4"/>
      <c r="G2728" s="5"/>
      <c r="H2728" s="5"/>
      <c r="I2728" s="4"/>
      <c r="J2728" s="4"/>
      <c r="K2728" s="5"/>
      <c r="Q2728" t="e">
        <f>VLOOKUP(A2728,'גיליון דאטה להכל'!A:E,5,0)</f>
        <v>#N/A</v>
      </c>
      <c r="R2728" t="e">
        <f>VLOOKUP(A2728,'לעדכן בסינתזה דאטה אריזה 42+24'!$A:$C,3,0)</f>
        <v>#N/A</v>
      </c>
      <c r="S2728" t="e">
        <f>VLOOKUP(#REF!,'מלאי לא תקין'!A:N,17,0)</f>
        <v>#REF!</v>
      </c>
      <c r="T2728" t="e">
        <f t="shared" si="89"/>
        <v>#REF!</v>
      </c>
      <c r="U2728" t="e">
        <f t="shared" si="90"/>
        <v>#REF!</v>
      </c>
    </row>
    <row r="2729" spans="4:21" x14ac:dyDescent="0.2">
      <c r="D2729" s="4"/>
      <c r="G2729" s="5"/>
      <c r="H2729" s="5"/>
      <c r="I2729" s="4"/>
      <c r="J2729" s="4"/>
      <c r="K2729" s="5"/>
      <c r="Q2729" t="e">
        <f>VLOOKUP(A2729,'גיליון דאטה להכל'!A:E,5,0)</f>
        <v>#N/A</v>
      </c>
      <c r="R2729" t="e">
        <f>VLOOKUP(A2729,'לעדכן בסינתזה דאטה אריזה 42+24'!$A:$C,3,0)</f>
        <v>#N/A</v>
      </c>
      <c r="S2729" t="e">
        <f>VLOOKUP(#REF!,'מלאי לא תקין'!A:N,17,0)</f>
        <v>#REF!</v>
      </c>
      <c r="T2729" t="e">
        <f t="shared" si="89"/>
        <v>#REF!</v>
      </c>
      <c r="U2729" t="e">
        <f t="shared" si="90"/>
        <v>#REF!</v>
      </c>
    </row>
    <row r="2730" spans="4:21" x14ac:dyDescent="0.2">
      <c r="D2730" s="4"/>
      <c r="G2730" s="5"/>
      <c r="H2730" s="7"/>
      <c r="I2730" s="4"/>
      <c r="J2730" s="4"/>
      <c r="K2730" s="5"/>
      <c r="Q2730" t="e">
        <f>VLOOKUP(A2730,'גיליון דאטה להכל'!A:E,5,0)</f>
        <v>#N/A</v>
      </c>
      <c r="R2730" t="e">
        <f>VLOOKUP(A2730,'לעדכן בסינתזה דאטה אריזה 42+24'!$A:$C,3,0)</f>
        <v>#N/A</v>
      </c>
      <c r="S2730" t="e">
        <f>VLOOKUP(#REF!,'מלאי לא תקין'!A:N,17,0)</f>
        <v>#REF!</v>
      </c>
      <c r="T2730" t="e">
        <f t="shared" si="89"/>
        <v>#REF!</v>
      </c>
      <c r="U2730" t="e">
        <f t="shared" si="90"/>
        <v>#REF!</v>
      </c>
    </row>
    <row r="2731" spans="4:21" x14ac:dyDescent="0.2">
      <c r="D2731" s="4"/>
      <c r="G2731" s="5"/>
      <c r="H2731" s="5"/>
      <c r="I2731" s="4"/>
      <c r="J2731" s="4"/>
      <c r="K2731" s="5"/>
      <c r="Q2731" t="e">
        <f>VLOOKUP(A2731,'גיליון דאטה להכל'!A:E,5,0)</f>
        <v>#N/A</v>
      </c>
      <c r="R2731" t="e">
        <f>VLOOKUP(A2731,'לעדכן בסינתזה דאטה אריזה 42+24'!$A:$C,3,0)</f>
        <v>#N/A</v>
      </c>
      <c r="S2731" t="e">
        <f>VLOOKUP(#REF!,'מלאי לא תקין'!A:N,17,0)</f>
        <v>#REF!</v>
      </c>
      <c r="T2731" t="e">
        <f t="shared" si="89"/>
        <v>#REF!</v>
      </c>
      <c r="U2731" t="e">
        <f t="shared" si="90"/>
        <v>#REF!</v>
      </c>
    </row>
    <row r="2732" spans="4:21" x14ac:dyDescent="0.2">
      <c r="D2732" s="4"/>
      <c r="G2732" s="5"/>
      <c r="H2732" s="5"/>
      <c r="I2732" s="4"/>
      <c r="J2732" s="4"/>
      <c r="K2732" s="5"/>
      <c r="Q2732" t="e">
        <f>VLOOKUP(A2732,'גיליון דאטה להכל'!A:E,5,0)</f>
        <v>#N/A</v>
      </c>
      <c r="R2732" t="e">
        <f>VLOOKUP(A2732,'לעדכן בסינתזה דאטה אריזה 42+24'!$A:$C,3,0)</f>
        <v>#N/A</v>
      </c>
      <c r="S2732" t="e">
        <f>VLOOKUP(#REF!,'מלאי לא תקין'!A:N,17,0)</f>
        <v>#REF!</v>
      </c>
      <c r="T2732" t="e">
        <f t="shared" si="89"/>
        <v>#REF!</v>
      </c>
      <c r="U2732" t="e">
        <f t="shared" si="90"/>
        <v>#REF!</v>
      </c>
    </row>
    <row r="2733" spans="4:21" x14ac:dyDescent="0.2">
      <c r="D2733" s="4"/>
      <c r="G2733" s="5"/>
      <c r="H2733" s="5"/>
      <c r="I2733" s="4"/>
      <c r="J2733" s="4"/>
      <c r="K2733" s="5"/>
      <c r="Q2733" t="e">
        <f>VLOOKUP(A2733,'גיליון דאטה להכל'!A:E,5,0)</f>
        <v>#N/A</v>
      </c>
      <c r="R2733" t="e">
        <f>VLOOKUP(A2733,'לעדכן בסינתזה דאטה אריזה 42+24'!$A:$C,3,0)</f>
        <v>#N/A</v>
      </c>
      <c r="S2733" t="e">
        <f>VLOOKUP(#REF!,'מלאי לא תקין'!A:N,17,0)</f>
        <v>#REF!</v>
      </c>
      <c r="T2733" t="e">
        <f t="shared" si="89"/>
        <v>#REF!</v>
      </c>
      <c r="U2733" t="e">
        <f t="shared" si="90"/>
        <v>#REF!</v>
      </c>
    </row>
    <row r="2734" spans="4:21" x14ac:dyDescent="0.2">
      <c r="D2734" s="4"/>
      <c r="G2734" s="5"/>
      <c r="H2734" s="5"/>
      <c r="I2734" s="4"/>
      <c r="J2734" s="4"/>
      <c r="K2734" s="5"/>
      <c r="Q2734" t="e">
        <f>VLOOKUP(A2734,'גיליון דאטה להכל'!A:E,5,0)</f>
        <v>#N/A</v>
      </c>
      <c r="R2734" t="e">
        <f>VLOOKUP(A2734,'לעדכן בסינתזה דאטה אריזה 42+24'!$A:$C,3,0)</f>
        <v>#N/A</v>
      </c>
      <c r="S2734" t="e">
        <f>VLOOKUP(#REF!,'מלאי לא תקין'!A:N,17,0)</f>
        <v>#REF!</v>
      </c>
      <c r="T2734" t="e">
        <f t="shared" si="89"/>
        <v>#REF!</v>
      </c>
      <c r="U2734" t="e">
        <f t="shared" si="90"/>
        <v>#REF!</v>
      </c>
    </row>
    <row r="2735" spans="4:21" x14ac:dyDescent="0.2">
      <c r="D2735" s="4"/>
      <c r="G2735" s="5"/>
      <c r="H2735" s="7"/>
      <c r="I2735" s="4"/>
      <c r="J2735" s="4"/>
      <c r="K2735" s="5"/>
      <c r="Q2735" t="e">
        <f>VLOOKUP(A2735,'גיליון דאטה להכל'!A:E,5,0)</f>
        <v>#N/A</v>
      </c>
      <c r="R2735" t="e">
        <f>VLOOKUP(A2735,'לעדכן בסינתזה דאטה אריזה 42+24'!$A:$C,3,0)</f>
        <v>#N/A</v>
      </c>
      <c r="S2735" t="e">
        <f>VLOOKUP(#REF!,'מלאי לא תקין'!A:N,17,0)</f>
        <v>#REF!</v>
      </c>
      <c r="T2735" t="e">
        <f t="shared" si="89"/>
        <v>#REF!</v>
      </c>
      <c r="U2735" t="e">
        <f t="shared" si="90"/>
        <v>#REF!</v>
      </c>
    </row>
    <row r="2736" spans="4:21" x14ac:dyDescent="0.2">
      <c r="D2736" s="4"/>
      <c r="G2736" s="5"/>
      <c r="H2736" s="5"/>
      <c r="I2736" s="4"/>
      <c r="J2736" s="4"/>
      <c r="K2736" s="5"/>
      <c r="Q2736" t="e">
        <f>VLOOKUP(A2736,'גיליון דאטה להכל'!A:E,5,0)</f>
        <v>#N/A</v>
      </c>
      <c r="R2736" t="e">
        <f>VLOOKUP(A2736,'לעדכן בסינתזה דאטה אריזה 42+24'!$A:$C,3,0)</f>
        <v>#N/A</v>
      </c>
      <c r="S2736" t="e">
        <f>VLOOKUP(#REF!,'מלאי לא תקין'!A:N,17,0)</f>
        <v>#REF!</v>
      </c>
      <c r="T2736" t="e">
        <f t="shared" si="89"/>
        <v>#REF!</v>
      </c>
      <c r="U2736" t="e">
        <f t="shared" si="90"/>
        <v>#REF!</v>
      </c>
    </row>
    <row r="2737" spans="4:21" x14ac:dyDescent="0.2">
      <c r="D2737" s="4"/>
      <c r="G2737" s="5"/>
      <c r="H2737" s="5"/>
      <c r="I2737" s="4"/>
      <c r="J2737" s="4"/>
      <c r="K2737" s="5"/>
      <c r="Q2737" t="e">
        <f>VLOOKUP(A2737,'גיליון דאטה להכל'!A:E,5,0)</f>
        <v>#N/A</v>
      </c>
      <c r="R2737" t="e">
        <f>VLOOKUP(A2737,'לעדכן בסינתזה דאטה אריזה 42+24'!$A:$C,3,0)</f>
        <v>#N/A</v>
      </c>
      <c r="S2737" t="e">
        <f>VLOOKUP(#REF!,'מלאי לא תקין'!A:N,17,0)</f>
        <v>#REF!</v>
      </c>
      <c r="T2737" t="e">
        <f t="shared" si="89"/>
        <v>#REF!</v>
      </c>
      <c r="U2737" t="e">
        <f t="shared" si="90"/>
        <v>#REF!</v>
      </c>
    </row>
    <row r="2738" spans="4:21" x14ac:dyDescent="0.2">
      <c r="D2738" s="4"/>
      <c r="G2738" s="5"/>
      <c r="H2738" s="5"/>
      <c r="I2738" s="4"/>
      <c r="J2738" s="4"/>
      <c r="K2738" s="5"/>
      <c r="Q2738" t="e">
        <f>VLOOKUP(A2738,'גיליון דאטה להכל'!A:E,5,0)</f>
        <v>#N/A</v>
      </c>
      <c r="R2738" t="e">
        <f>VLOOKUP(A2738,'לעדכן בסינתזה דאטה אריזה 42+24'!$A:$C,3,0)</f>
        <v>#N/A</v>
      </c>
      <c r="S2738" t="e">
        <f>VLOOKUP(#REF!,'מלאי לא תקין'!A:N,17,0)</f>
        <v>#REF!</v>
      </c>
      <c r="T2738" t="e">
        <f t="shared" si="89"/>
        <v>#REF!</v>
      </c>
      <c r="U2738" t="e">
        <f t="shared" si="90"/>
        <v>#REF!</v>
      </c>
    </row>
    <row r="2739" spans="4:21" x14ac:dyDescent="0.2">
      <c r="D2739" s="4"/>
      <c r="G2739" s="5"/>
      <c r="H2739" s="5"/>
      <c r="I2739" s="4"/>
      <c r="J2739" s="4"/>
      <c r="K2739" s="5"/>
      <c r="Q2739" t="e">
        <f>VLOOKUP(A2739,'גיליון דאטה להכל'!A:E,5,0)</f>
        <v>#N/A</v>
      </c>
      <c r="R2739" t="e">
        <f>VLOOKUP(A2739,'לעדכן בסינתזה דאטה אריזה 42+24'!$A:$C,3,0)</f>
        <v>#N/A</v>
      </c>
      <c r="S2739" t="e">
        <f>VLOOKUP(#REF!,'מלאי לא תקין'!A:N,17,0)</f>
        <v>#REF!</v>
      </c>
      <c r="T2739" t="e">
        <f t="shared" si="89"/>
        <v>#REF!</v>
      </c>
      <c r="U2739" t="e">
        <f t="shared" si="90"/>
        <v>#REF!</v>
      </c>
    </row>
    <row r="2740" spans="4:21" x14ac:dyDescent="0.2">
      <c r="D2740" s="4"/>
      <c r="G2740" s="5"/>
      <c r="H2740" s="7"/>
      <c r="I2740" s="4"/>
      <c r="J2740" s="4"/>
      <c r="K2740" s="5"/>
      <c r="Q2740" t="e">
        <f>VLOOKUP(A2740,'גיליון דאטה להכל'!A:E,5,0)</f>
        <v>#N/A</v>
      </c>
      <c r="R2740" t="e">
        <f>VLOOKUP(A2740,'לעדכן בסינתזה דאטה אריזה 42+24'!$A:$C,3,0)</f>
        <v>#N/A</v>
      </c>
      <c r="S2740" t="e">
        <f>VLOOKUP(#REF!,'מלאי לא תקין'!A:N,17,0)</f>
        <v>#REF!</v>
      </c>
      <c r="T2740" t="e">
        <f t="shared" si="89"/>
        <v>#REF!</v>
      </c>
      <c r="U2740" t="e">
        <f t="shared" si="90"/>
        <v>#REF!</v>
      </c>
    </row>
    <row r="2741" spans="4:21" x14ac:dyDescent="0.2">
      <c r="D2741" s="4"/>
      <c r="G2741" s="5"/>
      <c r="H2741" s="5"/>
      <c r="I2741" s="4"/>
      <c r="J2741" s="4"/>
      <c r="K2741" s="5"/>
      <c r="Q2741" t="e">
        <f>VLOOKUP(A2741,'גיליון דאטה להכל'!A:E,5,0)</f>
        <v>#N/A</v>
      </c>
      <c r="R2741" t="e">
        <f>VLOOKUP(A2741,'לעדכן בסינתזה דאטה אריזה 42+24'!$A:$C,3,0)</f>
        <v>#N/A</v>
      </c>
      <c r="S2741" t="e">
        <f>VLOOKUP(#REF!,'מלאי לא תקין'!A:N,17,0)</f>
        <v>#REF!</v>
      </c>
      <c r="T2741" t="e">
        <f t="shared" si="89"/>
        <v>#REF!</v>
      </c>
      <c r="U2741" t="e">
        <f t="shared" si="90"/>
        <v>#REF!</v>
      </c>
    </row>
    <row r="2742" spans="4:21" x14ac:dyDescent="0.2">
      <c r="D2742" s="4"/>
      <c r="G2742" s="5"/>
      <c r="H2742" s="5"/>
      <c r="I2742" s="4"/>
      <c r="J2742" s="4"/>
      <c r="K2742" s="5"/>
      <c r="Q2742" t="e">
        <f>VLOOKUP(A2742,'גיליון דאטה להכל'!A:E,5,0)</f>
        <v>#N/A</v>
      </c>
      <c r="R2742" t="e">
        <f>VLOOKUP(A2742,'לעדכן בסינתזה דאטה אריזה 42+24'!$A:$C,3,0)</f>
        <v>#N/A</v>
      </c>
      <c r="S2742" t="e">
        <f>VLOOKUP(#REF!,'מלאי לא תקין'!A:N,17,0)</f>
        <v>#REF!</v>
      </c>
      <c r="T2742" t="e">
        <f t="shared" si="89"/>
        <v>#REF!</v>
      </c>
      <c r="U2742" t="e">
        <f t="shared" si="90"/>
        <v>#REF!</v>
      </c>
    </row>
    <row r="2743" spans="4:21" x14ac:dyDescent="0.2">
      <c r="D2743" s="4"/>
      <c r="G2743" s="5"/>
      <c r="H2743" s="5"/>
      <c r="I2743" s="4"/>
      <c r="J2743" s="4"/>
      <c r="K2743" s="5"/>
      <c r="Q2743" t="e">
        <f>VLOOKUP(A2743,'גיליון דאטה להכל'!A:E,5,0)</f>
        <v>#N/A</v>
      </c>
      <c r="R2743" t="e">
        <f>VLOOKUP(A2743,'לעדכן בסינתזה דאטה אריזה 42+24'!$A:$C,3,0)</f>
        <v>#N/A</v>
      </c>
      <c r="S2743" t="e">
        <f>VLOOKUP(#REF!,'מלאי לא תקין'!A:N,17,0)</f>
        <v>#REF!</v>
      </c>
      <c r="T2743" t="e">
        <f t="shared" si="89"/>
        <v>#REF!</v>
      </c>
      <c r="U2743" t="e">
        <f t="shared" si="90"/>
        <v>#REF!</v>
      </c>
    </row>
    <row r="2744" spans="4:21" x14ac:dyDescent="0.2">
      <c r="D2744" s="4"/>
      <c r="G2744" s="5"/>
      <c r="H2744" s="5"/>
      <c r="I2744" s="4"/>
      <c r="J2744" s="4"/>
      <c r="K2744" s="5"/>
      <c r="Q2744" t="e">
        <f>VLOOKUP(A2744,'גיליון דאטה להכל'!A:E,5,0)</f>
        <v>#N/A</v>
      </c>
      <c r="R2744" t="e">
        <f>VLOOKUP(A2744,'לעדכן בסינתזה דאטה אריזה 42+24'!$A:$C,3,0)</f>
        <v>#N/A</v>
      </c>
      <c r="S2744" t="e">
        <f>VLOOKUP(#REF!,'מלאי לא תקין'!A:N,17,0)</f>
        <v>#REF!</v>
      </c>
      <c r="T2744" t="e">
        <f t="shared" si="89"/>
        <v>#REF!</v>
      </c>
      <c r="U2744" t="e">
        <f t="shared" si="90"/>
        <v>#REF!</v>
      </c>
    </row>
    <row r="2745" spans="4:21" x14ac:dyDescent="0.2">
      <c r="D2745" s="4"/>
      <c r="G2745" s="5"/>
      <c r="H2745" s="7"/>
      <c r="I2745" s="4"/>
      <c r="J2745" s="4"/>
      <c r="K2745" s="5"/>
      <c r="Q2745" t="e">
        <f>VLOOKUP(A2745,'גיליון דאטה להכל'!A:E,5,0)</f>
        <v>#N/A</v>
      </c>
      <c r="R2745" t="e">
        <f>VLOOKUP(A2745,'לעדכן בסינתזה דאטה אריזה 42+24'!$A:$C,3,0)</f>
        <v>#N/A</v>
      </c>
      <c r="S2745" t="e">
        <f>VLOOKUP(#REF!,'מלאי לא תקין'!A:N,17,0)</f>
        <v>#REF!</v>
      </c>
      <c r="T2745" t="e">
        <f t="shared" si="89"/>
        <v>#REF!</v>
      </c>
      <c r="U2745" t="e">
        <f t="shared" si="90"/>
        <v>#REF!</v>
      </c>
    </row>
    <row r="2746" spans="4:21" x14ac:dyDescent="0.2">
      <c r="D2746" s="4"/>
      <c r="G2746" s="5"/>
      <c r="H2746" s="5"/>
      <c r="I2746" s="4"/>
      <c r="J2746" s="4"/>
      <c r="K2746" s="5"/>
      <c r="Q2746" t="e">
        <f>VLOOKUP(A2746,'גיליון דאטה להכל'!A:E,5,0)</f>
        <v>#N/A</v>
      </c>
      <c r="R2746" t="e">
        <f>VLOOKUP(A2746,'לעדכן בסינתזה דאטה אריזה 42+24'!$A:$C,3,0)</f>
        <v>#N/A</v>
      </c>
      <c r="S2746" t="e">
        <f>VLOOKUP(#REF!,'מלאי לא תקין'!A:N,17,0)</f>
        <v>#REF!</v>
      </c>
      <c r="T2746" t="e">
        <f t="shared" si="89"/>
        <v>#REF!</v>
      </c>
      <c r="U2746" t="e">
        <f t="shared" si="90"/>
        <v>#REF!</v>
      </c>
    </row>
    <row r="2747" spans="4:21" x14ac:dyDescent="0.2">
      <c r="D2747" s="4"/>
      <c r="G2747" s="5"/>
      <c r="H2747" s="5"/>
      <c r="I2747" s="4"/>
      <c r="J2747" s="4"/>
      <c r="K2747" s="5"/>
      <c r="Q2747" t="e">
        <f>VLOOKUP(A2747,'גיליון דאטה להכל'!A:E,5,0)</f>
        <v>#N/A</v>
      </c>
      <c r="R2747" t="e">
        <f>VLOOKUP(A2747,'לעדכן בסינתזה דאטה אריזה 42+24'!$A:$C,3,0)</f>
        <v>#N/A</v>
      </c>
      <c r="S2747" t="e">
        <f>VLOOKUP(#REF!,'מלאי לא תקין'!A:N,17,0)</f>
        <v>#REF!</v>
      </c>
      <c r="T2747" t="e">
        <f t="shared" si="89"/>
        <v>#REF!</v>
      </c>
      <c r="U2747" t="e">
        <f t="shared" si="90"/>
        <v>#REF!</v>
      </c>
    </row>
    <row r="2748" spans="4:21" x14ac:dyDescent="0.2">
      <c r="D2748" s="4"/>
      <c r="G2748" s="5"/>
      <c r="H2748" s="5"/>
      <c r="I2748" s="4"/>
      <c r="J2748" s="4"/>
      <c r="K2748" s="5"/>
      <c r="Q2748" t="e">
        <f>VLOOKUP(A2748,'גיליון דאטה להכל'!A:E,5,0)</f>
        <v>#N/A</v>
      </c>
      <c r="R2748" t="e">
        <f>VLOOKUP(A2748,'לעדכן בסינתזה דאטה אריזה 42+24'!$A:$C,3,0)</f>
        <v>#N/A</v>
      </c>
      <c r="S2748" t="e">
        <f>VLOOKUP(#REF!,'מלאי לא תקין'!A:N,17,0)</f>
        <v>#REF!</v>
      </c>
      <c r="T2748" t="e">
        <f t="shared" si="89"/>
        <v>#REF!</v>
      </c>
      <c r="U2748" t="e">
        <f t="shared" si="90"/>
        <v>#REF!</v>
      </c>
    </row>
    <row r="2749" spans="4:21" x14ac:dyDescent="0.2">
      <c r="D2749" s="4"/>
      <c r="G2749" s="5"/>
      <c r="H2749" s="5"/>
      <c r="I2749" s="4"/>
      <c r="J2749" s="4"/>
      <c r="K2749" s="5"/>
      <c r="Q2749" t="e">
        <f>VLOOKUP(A2749,'גיליון דאטה להכל'!A:E,5,0)</f>
        <v>#N/A</v>
      </c>
      <c r="R2749" t="e">
        <f>VLOOKUP(A2749,'לעדכן בסינתזה דאטה אריזה 42+24'!$A:$C,3,0)</f>
        <v>#N/A</v>
      </c>
      <c r="S2749" t="e">
        <f>VLOOKUP(#REF!,'מלאי לא תקין'!A:N,17,0)</f>
        <v>#REF!</v>
      </c>
      <c r="T2749" t="e">
        <f t="shared" si="89"/>
        <v>#REF!</v>
      </c>
      <c r="U2749" t="e">
        <f t="shared" si="90"/>
        <v>#REF!</v>
      </c>
    </row>
    <row r="2750" spans="4:21" x14ac:dyDescent="0.2">
      <c r="D2750" s="4"/>
      <c r="G2750" s="5"/>
      <c r="H2750" s="7"/>
      <c r="I2750" s="4"/>
      <c r="J2750" s="4"/>
      <c r="K2750" s="5"/>
      <c r="Q2750" t="e">
        <f>VLOOKUP(A2750,'גיליון דאטה להכל'!A:E,5,0)</f>
        <v>#N/A</v>
      </c>
      <c r="R2750" t="e">
        <f>VLOOKUP(A2750,'לעדכן בסינתזה דאטה אריזה 42+24'!$A:$C,3,0)</f>
        <v>#N/A</v>
      </c>
      <c r="S2750" t="e">
        <f>VLOOKUP(#REF!,'מלאי לא תקין'!A:N,17,0)</f>
        <v>#REF!</v>
      </c>
      <c r="T2750" t="e">
        <f t="shared" ref="T2750:T2813" si="91">_xlfn.CONCAT(S2750,Q2750)</f>
        <v>#REF!</v>
      </c>
      <c r="U2750" t="e">
        <f t="shared" ref="U2750:U2813" si="92">_xlfn.CONCAT(S2750,O2750)</f>
        <v>#REF!</v>
      </c>
    </row>
    <row r="2751" spans="4:21" x14ac:dyDescent="0.2">
      <c r="D2751" s="4"/>
      <c r="G2751" s="5"/>
      <c r="H2751" s="5"/>
      <c r="I2751" s="4"/>
      <c r="J2751" s="4"/>
      <c r="K2751" s="5"/>
      <c r="Q2751" t="e">
        <f>VLOOKUP(A2751,'גיליון דאטה להכל'!A:E,5,0)</f>
        <v>#N/A</v>
      </c>
      <c r="R2751" t="e">
        <f>VLOOKUP(A2751,'לעדכן בסינתזה דאטה אריזה 42+24'!$A:$C,3,0)</f>
        <v>#N/A</v>
      </c>
      <c r="S2751" t="e">
        <f>VLOOKUP(#REF!,'מלאי לא תקין'!A:N,17,0)</f>
        <v>#REF!</v>
      </c>
      <c r="T2751" t="e">
        <f t="shared" si="91"/>
        <v>#REF!</v>
      </c>
      <c r="U2751" t="e">
        <f t="shared" si="92"/>
        <v>#REF!</v>
      </c>
    </row>
    <row r="2752" spans="4:21" x14ac:dyDescent="0.2">
      <c r="D2752" s="4"/>
      <c r="G2752" s="5"/>
      <c r="H2752" s="5"/>
      <c r="I2752" s="4"/>
      <c r="J2752" s="4"/>
      <c r="K2752" s="5"/>
      <c r="Q2752" t="e">
        <f>VLOOKUP(A2752,'גיליון דאטה להכל'!A:E,5,0)</f>
        <v>#N/A</v>
      </c>
      <c r="R2752" t="e">
        <f>VLOOKUP(A2752,'לעדכן בסינתזה דאטה אריזה 42+24'!$A:$C,3,0)</f>
        <v>#N/A</v>
      </c>
      <c r="S2752" t="e">
        <f>VLOOKUP(#REF!,'מלאי לא תקין'!A:N,17,0)</f>
        <v>#REF!</v>
      </c>
      <c r="T2752" t="e">
        <f t="shared" si="91"/>
        <v>#REF!</v>
      </c>
      <c r="U2752" t="e">
        <f t="shared" si="92"/>
        <v>#REF!</v>
      </c>
    </row>
    <row r="2753" spans="4:21" x14ac:dyDescent="0.2">
      <c r="D2753" s="4"/>
      <c r="G2753" s="5"/>
      <c r="H2753" s="5"/>
      <c r="I2753" s="4"/>
      <c r="J2753" s="4"/>
      <c r="K2753" s="5"/>
      <c r="Q2753" t="e">
        <f>VLOOKUP(A2753,'גיליון דאטה להכל'!A:E,5,0)</f>
        <v>#N/A</v>
      </c>
      <c r="R2753" t="e">
        <f>VLOOKUP(A2753,'לעדכן בסינתזה דאטה אריזה 42+24'!$A:$C,3,0)</f>
        <v>#N/A</v>
      </c>
      <c r="S2753" t="e">
        <f>VLOOKUP(#REF!,'מלאי לא תקין'!A:N,17,0)</f>
        <v>#REF!</v>
      </c>
      <c r="T2753" t="e">
        <f t="shared" si="91"/>
        <v>#REF!</v>
      </c>
      <c r="U2753" t="e">
        <f t="shared" si="92"/>
        <v>#REF!</v>
      </c>
    </row>
    <row r="2754" spans="4:21" x14ac:dyDescent="0.2">
      <c r="D2754" s="4"/>
      <c r="G2754" s="5"/>
      <c r="H2754" s="5"/>
      <c r="I2754" s="4"/>
      <c r="J2754" s="4"/>
      <c r="K2754" s="5"/>
      <c r="Q2754" t="e">
        <f>VLOOKUP(A2754,'גיליון דאטה להכל'!A:E,5,0)</f>
        <v>#N/A</v>
      </c>
      <c r="R2754" t="e">
        <f>VLOOKUP(A2754,'לעדכן בסינתזה דאטה אריזה 42+24'!$A:$C,3,0)</f>
        <v>#N/A</v>
      </c>
      <c r="S2754" t="e">
        <f>VLOOKUP(#REF!,'מלאי לא תקין'!A:N,17,0)</f>
        <v>#REF!</v>
      </c>
      <c r="T2754" t="e">
        <f t="shared" si="91"/>
        <v>#REF!</v>
      </c>
      <c r="U2754" t="e">
        <f t="shared" si="92"/>
        <v>#REF!</v>
      </c>
    </row>
    <row r="2755" spans="4:21" x14ac:dyDescent="0.2">
      <c r="D2755" s="4"/>
      <c r="G2755" s="5"/>
      <c r="H2755" s="7"/>
      <c r="I2755" s="4"/>
      <c r="J2755" s="4"/>
      <c r="K2755" s="5"/>
      <c r="Q2755" t="e">
        <f>VLOOKUP(A2755,'גיליון דאטה להכל'!A:E,5,0)</f>
        <v>#N/A</v>
      </c>
      <c r="R2755" t="e">
        <f>VLOOKUP(A2755,'לעדכן בסינתזה דאטה אריזה 42+24'!$A:$C,3,0)</f>
        <v>#N/A</v>
      </c>
      <c r="S2755" t="e">
        <f>VLOOKUP(#REF!,'מלאי לא תקין'!A:N,17,0)</f>
        <v>#REF!</v>
      </c>
      <c r="T2755" t="e">
        <f t="shared" si="91"/>
        <v>#REF!</v>
      </c>
      <c r="U2755" t="e">
        <f t="shared" si="92"/>
        <v>#REF!</v>
      </c>
    </row>
    <row r="2756" spans="4:21" x14ac:dyDescent="0.2">
      <c r="D2756" s="4"/>
      <c r="G2756" s="5"/>
      <c r="H2756" s="5"/>
      <c r="I2756" s="4"/>
      <c r="J2756" s="4"/>
      <c r="K2756" s="5"/>
      <c r="Q2756" t="e">
        <f>VLOOKUP(A2756,'גיליון דאטה להכל'!A:E,5,0)</f>
        <v>#N/A</v>
      </c>
      <c r="R2756" t="e">
        <f>VLOOKUP(A2756,'לעדכן בסינתזה דאטה אריזה 42+24'!$A:$C,3,0)</f>
        <v>#N/A</v>
      </c>
      <c r="S2756" t="e">
        <f>VLOOKUP(#REF!,'מלאי לא תקין'!A:N,17,0)</f>
        <v>#REF!</v>
      </c>
      <c r="T2756" t="e">
        <f t="shared" si="91"/>
        <v>#REF!</v>
      </c>
      <c r="U2756" t="e">
        <f t="shared" si="92"/>
        <v>#REF!</v>
      </c>
    </row>
    <row r="2757" spans="4:21" x14ac:dyDescent="0.2">
      <c r="D2757" s="4"/>
      <c r="G2757" s="5"/>
      <c r="H2757" s="5"/>
      <c r="I2757" s="4"/>
      <c r="J2757" s="4"/>
      <c r="K2757" s="5"/>
      <c r="Q2757" t="e">
        <f>VLOOKUP(A2757,'גיליון דאטה להכל'!A:E,5,0)</f>
        <v>#N/A</v>
      </c>
      <c r="R2757" t="e">
        <f>VLOOKUP(A2757,'לעדכן בסינתזה דאטה אריזה 42+24'!$A:$C,3,0)</f>
        <v>#N/A</v>
      </c>
      <c r="S2757" t="e">
        <f>VLOOKUP(#REF!,'מלאי לא תקין'!A:N,17,0)</f>
        <v>#REF!</v>
      </c>
      <c r="T2757" t="e">
        <f t="shared" si="91"/>
        <v>#REF!</v>
      </c>
      <c r="U2757" t="e">
        <f t="shared" si="92"/>
        <v>#REF!</v>
      </c>
    </row>
    <row r="2758" spans="4:21" x14ac:dyDescent="0.2">
      <c r="D2758" s="4"/>
      <c r="G2758" s="5"/>
      <c r="H2758" s="5"/>
      <c r="I2758" s="4"/>
      <c r="J2758" s="4"/>
      <c r="K2758" s="5"/>
      <c r="Q2758" t="e">
        <f>VLOOKUP(A2758,'גיליון דאטה להכל'!A:E,5,0)</f>
        <v>#N/A</v>
      </c>
      <c r="R2758" t="e">
        <f>VLOOKUP(A2758,'לעדכן בסינתזה דאטה אריזה 42+24'!$A:$C,3,0)</f>
        <v>#N/A</v>
      </c>
      <c r="S2758" t="e">
        <f>VLOOKUP(#REF!,'מלאי לא תקין'!A:N,17,0)</f>
        <v>#REF!</v>
      </c>
      <c r="T2758" t="e">
        <f t="shared" si="91"/>
        <v>#REF!</v>
      </c>
      <c r="U2758" t="e">
        <f t="shared" si="92"/>
        <v>#REF!</v>
      </c>
    </row>
    <row r="2759" spans="4:21" x14ac:dyDescent="0.2">
      <c r="D2759" s="4"/>
      <c r="G2759" s="5"/>
      <c r="H2759" s="5"/>
      <c r="I2759" s="4"/>
      <c r="J2759" s="4"/>
      <c r="K2759" s="5"/>
      <c r="Q2759" t="e">
        <f>VLOOKUP(A2759,'גיליון דאטה להכל'!A:E,5,0)</f>
        <v>#N/A</v>
      </c>
      <c r="R2759" t="e">
        <f>VLOOKUP(A2759,'לעדכן בסינתזה דאטה אריזה 42+24'!$A:$C,3,0)</f>
        <v>#N/A</v>
      </c>
      <c r="S2759" t="e">
        <f>VLOOKUP(#REF!,'מלאי לא תקין'!A:N,17,0)</f>
        <v>#REF!</v>
      </c>
      <c r="T2759" t="e">
        <f t="shared" si="91"/>
        <v>#REF!</v>
      </c>
      <c r="U2759" t="e">
        <f t="shared" si="92"/>
        <v>#REF!</v>
      </c>
    </row>
    <row r="2760" spans="4:21" x14ac:dyDescent="0.2">
      <c r="D2760" s="4"/>
      <c r="G2760" s="5"/>
      <c r="H2760" s="7"/>
      <c r="I2760" s="4"/>
      <c r="J2760" s="4"/>
      <c r="K2760" s="5"/>
      <c r="Q2760" t="e">
        <f>VLOOKUP(A2760,'גיליון דאטה להכל'!A:E,5,0)</f>
        <v>#N/A</v>
      </c>
      <c r="R2760" t="e">
        <f>VLOOKUP(A2760,'לעדכן בסינתזה דאטה אריזה 42+24'!$A:$C,3,0)</f>
        <v>#N/A</v>
      </c>
      <c r="S2760" t="e">
        <f>VLOOKUP(#REF!,'מלאי לא תקין'!A:N,17,0)</f>
        <v>#REF!</v>
      </c>
      <c r="T2760" t="e">
        <f t="shared" si="91"/>
        <v>#REF!</v>
      </c>
      <c r="U2760" t="e">
        <f t="shared" si="92"/>
        <v>#REF!</v>
      </c>
    </row>
    <row r="2761" spans="4:21" x14ac:dyDescent="0.2">
      <c r="D2761" s="4"/>
      <c r="G2761" s="5"/>
      <c r="H2761" s="5"/>
      <c r="I2761" s="4"/>
      <c r="J2761" s="4"/>
      <c r="K2761" s="5"/>
      <c r="Q2761" t="e">
        <f>VLOOKUP(A2761,'גיליון דאטה להכל'!A:E,5,0)</f>
        <v>#N/A</v>
      </c>
      <c r="R2761" t="e">
        <f>VLOOKUP(A2761,'לעדכן בסינתזה דאטה אריזה 42+24'!$A:$C,3,0)</f>
        <v>#N/A</v>
      </c>
      <c r="S2761" t="e">
        <f>VLOOKUP(#REF!,'מלאי לא תקין'!A:N,17,0)</f>
        <v>#REF!</v>
      </c>
      <c r="T2761" t="e">
        <f t="shared" si="91"/>
        <v>#REF!</v>
      </c>
      <c r="U2761" t="e">
        <f t="shared" si="92"/>
        <v>#REF!</v>
      </c>
    </row>
    <row r="2762" spans="4:21" x14ac:dyDescent="0.2">
      <c r="D2762" s="4"/>
      <c r="G2762" s="5"/>
      <c r="H2762" s="5"/>
      <c r="I2762" s="4"/>
      <c r="J2762" s="4"/>
      <c r="K2762" s="5"/>
      <c r="Q2762" t="e">
        <f>VLOOKUP(A2762,'גיליון דאטה להכל'!A:E,5,0)</f>
        <v>#N/A</v>
      </c>
      <c r="R2762" t="e">
        <f>VLOOKUP(A2762,'לעדכן בסינתזה דאטה אריזה 42+24'!$A:$C,3,0)</f>
        <v>#N/A</v>
      </c>
      <c r="S2762" t="e">
        <f>VLOOKUP(#REF!,'מלאי לא תקין'!A:N,17,0)</f>
        <v>#REF!</v>
      </c>
      <c r="T2762" t="e">
        <f t="shared" si="91"/>
        <v>#REF!</v>
      </c>
      <c r="U2762" t="e">
        <f t="shared" si="92"/>
        <v>#REF!</v>
      </c>
    </row>
    <row r="2763" spans="4:21" x14ac:dyDescent="0.2">
      <c r="D2763" s="4"/>
      <c r="G2763" s="5"/>
      <c r="H2763" s="5"/>
      <c r="I2763" s="4"/>
      <c r="J2763" s="4"/>
      <c r="K2763" s="5"/>
      <c r="Q2763" t="e">
        <f>VLOOKUP(A2763,'גיליון דאטה להכל'!A:E,5,0)</f>
        <v>#N/A</v>
      </c>
      <c r="R2763" t="e">
        <f>VLOOKUP(A2763,'לעדכן בסינתזה דאטה אריזה 42+24'!$A:$C,3,0)</f>
        <v>#N/A</v>
      </c>
      <c r="S2763" t="e">
        <f>VLOOKUP(#REF!,'מלאי לא תקין'!A:N,17,0)</f>
        <v>#REF!</v>
      </c>
      <c r="T2763" t="e">
        <f t="shared" si="91"/>
        <v>#REF!</v>
      </c>
      <c r="U2763" t="e">
        <f t="shared" si="92"/>
        <v>#REF!</v>
      </c>
    </row>
    <row r="2764" spans="4:21" x14ac:dyDescent="0.2">
      <c r="D2764" s="4"/>
      <c r="G2764" s="5"/>
      <c r="H2764" s="5"/>
      <c r="I2764" s="4"/>
      <c r="J2764" s="4"/>
      <c r="K2764" s="5"/>
      <c r="Q2764" t="e">
        <f>VLOOKUP(A2764,'גיליון דאטה להכל'!A:E,5,0)</f>
        <v>#N/A</v>
      </c>
      <c r="R2764" t="e">
        <f>VLOOKUP(A2764,'לעדכן בסינתזה דאטה אריזה 42+24'!$A:$C,3,0)</f>
        <v>#N/A</v>
      </c>
      <c r="S2764" t="e">
        <f>VLOOKUP(#REF!,'מלאי לא תקין'!A:N,17,0)</f>
        <v>#REF!</v>
      </c>
      <c r="T2764" t="e">
        <f t="shared" si="91"/>
        <v>#REF!</v>
      </c>
      <c r="U2764" t="e">
        <f t="shared" si="92"/>
        <v>#REF!</v>
      </c>
    </row>
    <row r="2765" spans="4:21" x14ac:dyDescent="0.2">
      <c r="D2765" s="4"/>
      <c r="G2765" s="5"/>
      <c r="H2765" s="7"/>
      <c r="I2765" s="4"/>
      <c r="J2765" s="4"/>
      <c r="K2765" s="5"/>
      <c r="Q2765" t="e">
        <f>VLOOKUP(A2765,'גיליון דאטה להכל'!A:E,5,0)</f>
        <v>#N/A</v>
      </c>
      <c r="R2765" t="e">
        <f>VLOOKUP(A2765,'לעדכן בסינתזה דאטה אריזה 42+24'!$A:$C,3,0)</f>
        <v>#N/A</v>
      </c>
      <c r="S2765" t="e">
        <f>VLOOKUP(#REF!,'מלאי לא תקין'!A:N,17,0)</f>
        <v>#REF!</v>
      </c>
      <c r="T2765" t="e">
        <f t="shared" si="91"/>
        <v>#REF!</v>
      </c>
      <c r="U2765" t="e">
        <f t="shared" si="92"/>
        <v>#REF!</v>
      </c>
    </row>
    <row r="2766" spans="4:21" x14ac:dyDescent="0.2">
      <c r="D2766" s="4"/>
      <c r="G2766" s="5"/>
      <c r="H2766" s="5"/>
      <c r="I2766" s="4"/>
      <c r="J2766" s="4"/>
      <c r="K2766" s="5"/>
      <c r="Q2766" t="e">
        <f>VLOOKUP(A2766,'גיליון דאטה להכל'!A:E,5,0)</f>
        <v>#N/A</v>
      </c>
      <c r="R2766" t="e">
        <f>VLOOKUP(A2766,'לעדכן בסינתזה דאטה אריזה 42+24'!$A:$C,3,0)</f>
        <v>#N/A</v>
      </c>
      <c r="S2766" t="e">
        <f>VLOOKUP(#REF!,'מלאי לא תקין'!A:N,17,0)</f>
        <v>#REF!</v>
      </c>
      <c r="T2766" t="e">
        <f t="shared" si="91"/>
        <v>#REF!</v>
      </c>
      <c r="U2766" t="e">
        <f t="shared" si="92"/>
        <v>#REF!</v>
      </c>
    </row>
    <row r="2767" spans="4:21" x14ac:dyDescent="0.2">
      <c r="D2767" s="4"/>
      <c r="G2767" s="5"/>
      <c r="H2767" s="5"/>
      <c r="I2767" s="4"/>
      <c r="J2767" s="4"/>
      <c r="K2767" s="5"/>
      <c r="Q2767" t="e">
        <f>VLOOKUP(A2767,'גיליון דאטה להכל'!A:E,5,0)</f>
        <v>#N/A</v>
      </c>
      <c r="R2767" t="e">
        <f>VLOOKUP(A2767,'לעדכן בסינתזה דאטה אריזה 42+24'!$A:$C,3,0)</f>
        <v>#N/A</v>
      </c>
      <c r="S2767" t="e">
        <f>VLOOKUP(#REF!,'מלאי לא תקין'!A:N,17,0)</f>
        <v>#REF!</v>
      </c>
      <c r="T2767" t="e">
        <f t="shared" si="91"/>
        <v>#REF!</v>
      </c>
      <c r="U2767" t="e">
        <f t="shared" si="92"/>
        <v>#REF!</v>
      </c>
    </row>
    <row r="2768" spans="4:21" x14ac:dyDescent="0.2">
      <c r="D2768" s="4"/>
      <c r="G2768" s="5"/>
      <c r="H2768" s="5"/>
      <c r="I2768" s="4"/>
      <c r="J2768" s="4"/>
      <c r="K2768" s="5"/>
      <c r="Q2768" t="e">
        <f>VLOOKUP(A2768,'גיליון דאטה להכל'!A:E,5,0)</f>
        <v>#N/A</v>
      </c>
      <c r="R2768" t="e">
        <f>VLOOKUP(A2768,'לעדכן בסינתזה דאטה אריזה 42+24'!$A:$C,3,0)</f>
        <v>#N/A</v>
      </c>
      <c r="S2768" t="e">
        <f>VLOOKUP(#REF!,'מלאי לא תקין'!A:N,17,0)</f>
        <v>#REF!</v>
      </c>
      <c r="T2768" t="e">
        <f t="shared" si="91"/>
        <v>#REF!</v>
      </c>
      <c r="U2768" t="e">
        <f t="shared" si="92"/>
        <v>#REF!</v>
      </c>
    </row>
    <row r="2769" spans="4:21" x14ac:dyDescent="0.2">
      <c r="D2769" s="4"/>
      <c r="G2769" s="5"/>
      <c r="H2769" s="5"/>
      <c r="I2769" s="4"/>
      <c r="J2769" s="4"/>
      <c r="K2769" s="5"/>
      <c r="Q2769" t="e">
        <f>VLOOKUP(A2769,'גיליון דאטה להכל'!A:E,5,0)</f>
        <v>#N/A</v>
      </c>
      <c r="R2769" t="e">
        <f>VLOOKUP(A2769,'לעדכן בסינתזה דאטה אריזה 42+24'!$A:$C,3,0)</f>
        <v>#N/A</v>
      </c>
      <c r="S2769" t="e">
        <f>VLOOKUP(#REF!,'מלאי לא תקין'!A:N,17,0)</f>
        <v>#REF!</v>
      </c>
      <c r="T2769" t="e">
        <f t="shared" si="91"/>
        <v>#REF!</v>
      </c>
      <c r="U2769" t="e">
        <f t="shared" si="92"/>
        <v>#REF!</v>
      </c>
    </row>
    <row r="2770" spans="4:21" x14ac:dyDescent="0.2">
      <c r="D2770" s="4"/>
      <c r="G2770" s="5"/>
      <c r="H2770" s="7"/>
      <c r="I2770" s="4"/>
      <c r="J2770" s="4"/>
      <c r="K2770" s="5"/>
      <c r="Q2770" t="e">
        <f>VLOOKUP(A2770,'גיליון דאטה להכל'!A:E,5,0)</f>
        <v>#N/A</v>
      </c>
      <c r="R2770" t="e">
        <f>VLOOKUP(A2770,'לעדכן בסינתזה דאטה אריזה 42+24'!$A:$C,3,0)</f>
        <v>#N/A</v>
      </c>
      <c r="S2770" t="e">
        <f>VLOOKUP(#REF!,'מלאי לא תקין'!A:N,17,0)</f>
        <v>#REF!</v>
      </c>
      <c r="T2770" t="e">
        <f t="shared" si="91"/>
        <v>#REF!</v>
      </c>
      <c r="U2770" t="e">
        <f t="shared" si="92"/>
        <v>#REF!</v>
      </c>
    </row>
    <row r="2771" spans="4:21" x14ac:dyDescent="0.2">
      <c r="D2771" s="4"/>
      <c r="G2771" s="5"/>
      <c r="H2771" s="5"/>
      <c r="I2771" s="4"/>
      <c r="J2771" s="4"/>
      <c r="K2771" s="5"/>
      <c r="Q2771" t="e">
        <f>VLOOKUP(A2771,'גיליון דאטה להכל'!A:E,5,0)</f>
        <v>#N/A</v>
      </c>
      <c r="R2771" t="e">
        <f>VLOOKUP(A2771,'לעדכן בסינתזה דאטה אריזה 42+24'!$A:$C,3,0)</f>
        <v>#N/A</v>
      </c>
      <c r="S2771" t="e">
        <f>VLOOKUP(#REF!,'מלאי לא תקין'!A:N,17,0)</f>
        <v>#REF!</v>
      </c>
      <c r="T2771" t="e">
        <f t="shared" si="91"/>
        <v>#REF!</v>
      </c>
      <c r="U2771" t="e">
        <f t="shared" si="92"/>
        <v>#REF!</v>
      </c>
    </row>
    <row r="2772" spans="4:21" x14ac:dyDescent="0.2">
      <c r="D2772" s="4"/>
      <c r="G2772" s="5"/>
      <c r="H2772" s="5"/>
      <c r="I2772" s="4"/>
      <c r="J2772" s="4"/>
      <c r="K2772" s="5"/>
      <c r="Q2772" t="e">
        <f>VLOOKUP(A2772,'גיליון דאטה להכל'!A:E,5,0)</f>
        <v>#N/A</v>
      </c>
      <c r="R2772" t="e">
        <f>VLOOKUP(A2772,'לעדכן בסינתזה דאטה אריזה 42+24'!$A:$C,3,0)</f>
        <v>#N/A</v>
      </c>
      <c r="S2772" t="e">
        <f>VLOOKUP(#REF!,'מלאי לא תקין'!A:N,17,0)</f>
        <v>#REF!</v>
      </c>
      <c r="T2772" t="e">
        <f t="shared" si="91"/>
        <v>#REF!</v>
      </c>
      <c r="U2772" t="e">
        <f t="shared" si="92"/>
        <v>#REF!</v>
      </c>
    </row>
    <row r="2773" spans="4:21" x14ac:dyDescent="0.2">
      <c r="D2773" s="4"/>
      <c r="G2773" s="5"/>
      <c r="H2773" s="5"/>
      <c r="I2773" s="4"/>
      <c r="J2773" s="4"/>
      <c r="K2773" s="5"/>
      <c r="Q2773" t="e">
        <f>VLOOKUP(A2773,'גיליון דאטה להכל'!A:E,5,0)</f>
        <v>#N/A</v>
      </c>
      <c r="R2773" t="e">
        <f>VLOOKUP(A2773,'לעדכן בסינתזה דאטה אריזה 42+24'!$A:$C,3,0)</f>
        <v>#N/A</v>
      </c>
      <c r="S2773" t="e">
        <f>VLOOKUP(#REF!,'מלאי לא תקין'!A:N,17,0)</f>
        <v>#REF!</v>
      </c>
      <c r="T2773" t="e">
        <f t="shared" si="91"/>
        <v>#REF!</v>
      </c>
      <c r="U2773" t="e">
        <f t="shared" si="92"/>
        <v>#REF!</v>
      </c>
    </row>
    <row r="2774" spans="4:21" x14ac:dyDescent="0.2">
      <c r="D2774" s="4"/>
      <c r="G2774" s="5"/>
      <c r="H2774" s="5"/>
      <c r="I2774" s="4"/>
      <c r="J2774" s="4"/>
      <c r="K2774" s="5"/>
      <c r="Q2774" t="e">
        <f>VLOOKUP(A2774,'גיליון דאטה להכל'!A:E,5,0)</f>
        <v>#N/A</v>
      </c>
      <c r="R2774" t="e">
        <f>VLOOKUP(A2774,'לעדכן בסינתזה דאטה אריזה 42+24'!$A:$C,3,0)</f>
        <v>#N/A</v>
      </c>
      <c r="S2774" t="e">
        <f>VLOOKUP(#REF!,'מלאי לא תקין'!A:N,17,0)</f>
        <v>#REF!</v>
      </c>
      <c r="T2774" t="e">
        <f t="shared" si="91"/>
        <v>#REF!</v>
      </c>
      <c r="U2774" t="e">
        <f t="shared" si="92"/>
        <v>#REF!</v>
      </c>
    </row>
    <row r="2775" spans="4:21" x14ac:dyDescent="0.2">
      <c r="D2775" s="4"/>
      <c r="G2775" s="5"/>
      <c r="H2775" s="7"/>
      <c r="I2775" s="4"/>
      <c r="J2775" s="4"/>
      <c r="K2775" s="5"/>
      <c r="Q2775" t="e">
        <f>VLOOKUP(A2775,'גיליון דאטה להכל'!A:E,5,0)</f>
        <v>#N/A</v>
      </c>
      <c r="R2775" t="e">
        <f>VLOOKUP(A2775,'לעדכן בסינתזה דאטה אריזה 42+24'!$A:$C,3,0)</f>
        <v>#N/A</v>
      </c>
      <c r="S2775" t="e">
        <f>VLOOKUP(#REF!,'מלאי לא תקין'!A:N,17,0)</f>
        <v>#REF!</v>
      </c>
      <c r="T2775" t="e">
        <f t="shared" si="91"/>
        <v>#REF!</v>
      </c>
      <c r="U2775" t="e">
        <f t="shared" si="92"/>
        <v>#REF!</v>
      </c>
    </row>
    <row r="2776" spans="4:21" x14ac:dyDescent="0.2">
      <c r="D2776" s="4"/>
      <c r="G2776" s="5"/>
      <c r="H2776" s="5"/>
      <c r="I2776" s="4"/>
      <c r="J2776" s="4"/>
      <c r="K2776" s="5"/>
      <c r="Q2776" t="e">
        <f>VLOOKUP(A2776,'גיליון דאטה להכל'!A:E,5,0)</f>
        <v>#N/A</v>
      </c>
      <c r="R2776" t="e">
        <f>VLOOKUP(A2776,'לעדכן בסינתזה דאטה אריזה 42+24'!$A:$C,3,0)</f>
        <v>#N/A</v>
      </c>
      <c r="S2776" t="e">
        <f>VLOOKUP(#REF!,'מלאי לא תקין'!A:N,17,0)</f>
        <v>#REF!</v>
      </c>
      <c r="T2776" t="e">
        <f t="shared" si="91"/>
        <v>#REF!</v>
      </c>
      <c r="U2776" t="e">
        <f t="shared" si="92"/>
        <v>#REF!</v>
      </c>
    </row>
    <row r="2777" spans="4:21" x14ac:dyDescent="0.2">
      <c r="D2777" s="4"/>
      <c r="G2777" s="5"/>
      <c r="H2777" s="5"/>
      <c r="I2777" s="4"/>
      <c r="J2777" s="4"/>
      <c r="K2777" s="5"/>
      <c r="Q2777" t="e">
        <f>VLOOKUP(A2777,'גיליון דאטה להכל'!A:E,5,0)</f>
        <v>#N/A</v>
      </c>
      <c r="R2777" t="e">
        <f>VLOOKUP(A2777,'לעדכן בסינתזה דאטה אריזה 42+24'!$A:$C,3,0)</f>
        <v>#N/A</v>
      </c>
      <c r="S2777" t="e">
        <f>VLOOKUP(#REF!,'מלאי לא תקין'!A:N,17,0)</f>
        <v>#REF!</v>
      </c>
      <c r="T2777" t="e">
        <f t="shared" si="91"/>
        <v>#REF!</v>
      </c>
      <c r="U2777" t="e">
        <f t="shared" si="92"/>
        <v>#REF!</v>
      </c>
    </row>
    <row r="2778" spans="4:21" x14ac:dyDescent="0.2">
      <c r="D2778" s="4"/>
      <c r="G2778" s="5"/>
      <c r="H2778" s="5"/>
      <c r="I2778" s="4"/>
      <c r="J2778" s="4"/>
      <c r="K2778" s="5"/>
      <c r="Q2778" t="e">
        <f>VLOOKUP(A2778,'גיליון דאטה להכל'!A:E,5,0)</f>
        <v>#N/A</v>
      </c>
      <c r="R2778" t="e">
        <f>VLOOKUP(A2778,'לעדכן בסינתזה דאטה אריזה 42+24'!$A:$C,3,0)</f>
        <v>#N/A</v>
      </c>
      <c r="S2778" t="e">
        <f>VLOOKUP(#REF!,'מלאי לא תקין'!A:N,17,0)</f>
        <v>#REF!</v>
      </c>
      <c r="T2778" t="e">
        <f t="shared" si="91"/>
        <v>#REF!</v>
      </c>
      <c r="U2778" t="e">
        <f t="shared" si="92"/>
        <v>#REF!</v>
      </c>
    </row>
    <row r="2779" spans="4:21" x14ac:dyDescent="0.2">
      <c r="D2779" s="4"/>
      <c r="G2779" s="5"/>
      <c r="H2779" s="5"/>
      <c r="I2779" s="4"/>
      <c r="J2779" s="4"/>
      <c r="K2779" s="5"/>
      <c r="Q2779" t="e">
        <f>VLOOKUP(A2779,'גיליון דאטה להכל'!A:E,5,0)</f>
        <v>#N/A</v>
      </c>
      <c r="R2779" t="e">
        <f>VLOOKUP(A2779,'לעדכן בסינתזה דאטה אריזה 42+24'!$A:$C,3,0)</f>
        <v>#N/A</v>
      </c>
      <c r="S2779" t="e">
        <f>VLOOKUP(#REF!,'מלאי לא תקין'!A:N,17,0)</f>
        <v>#REF!</v>
      </c>
      <c r="T2779" t="e">
        <f t="shared" si="91"/>
        <v>#REF!</v>
      </c>
      <c r="U2779" t="e">
        <f t="shared" si="92"/>
        <v>#REF!</v>
      </c>
    </row>
    <row r="2780" spans="4:21" x14ac:dyDescent="0.2">
      <c r="D2780" s="4"/>
      <c r="G2780" s="5"/>
      <c r="H2780" s="7"/>
      <c r="I2780" s="4"/>
      <c r="J2780" s="4"/>
      <c r="K2780" s="5"/>
      <c r="Q2780" t="e">
        <f>VLOOKUP(A2780,'גיליון דאטה להכל'!A:E,5,0)</f>
        <v>#N/A</v>
      </c>
      <c r="R2780" t="e">
        <f>VLOOKUP(A2780,'לעדכן בסינתזה דאטה אריזה 42+24'!$A:$C,3,0)</f>
        <v>#N/A</v>
      </c>
      <c r="S2780" t="e">
        <f>VLOOKUP(#REF!,'מלאי לא תקין'!A:N,17,0)</f>
        <v>#REF!</v>
      </c>
      <c r="T2780" t="e">
        <f t="shared" si="91"/>
        <v>#REF!</v>
      </c>
      <c r="U2780" t="e">
        <f t="shared" si="92"/>
        <v>#REF!</v>
      </c>
    </row>
    <row r="2781" spans="4:21" x14ac:dyDescent="0.2">
      <c r="D2781" s="4"/>
      <c r="G2781" s="5"/>
      <c r="H2781" s="5"/>
      <c r="I2781" s="4"/>
      <c r="J2781" s="4"/>
      <c r="K2781" s="5"/>
      <c r="Q2781" t="e">
        <f>VLOOKUP(A2781,'גיליון דאטה להכל'!A:E,5,0)</f>
        <v>#N/A</v>
      </c>
      <c r="R2781" t="e">
        <f>VLOOKUP(A2781,'לעדכן בסינתזה דאטה אריזה 42+24'!$A:$C,3,0)</f>
        <v>#N/A</v>
      </c>
      <c r="S2781" t="e">
        <f>VLOOKUP(#REF!,'מלאי לא תקין'!A:N,17,0)</f>
        <v>#REF!</v>
      </c>
      <c r="T2781" t="e">
        <f t="shared" si="91"/>
        <v>#REF!</v>
      </c>
      <c r="U2781" t="e">
        <f t="shared" si="92"/>
        <v>#REF!</v>
      </c>
    </row>
    <row r="2782" spans="4:21" x14ac:dyDescent="0.2">
      <c r="D2782" s="4"/>
      <c r="G2782" s="5"/>
      <c r="H2782" s="5"/>
      <c r="I2782" s="4"/>
      <c r="J2782" s="4"/>
      <c r="K2782" s="5"/>
      <c r="Q2782" t="e">
        <f>VLOOKUP(A2782,'גיליון דאטה להכל'!A:E,5,0)</f>
        <v>#N/A</v>
      </c>
      <c r="R2782" t="e">
        <f>VLOOKUP(A2782,'לעדכן בסינתזה דאטה אריזה 42+24'!$A:$C,3,0)</f>
        <v>#N/A</v>
      </c>
      <c r="S2782" t="e">
        <f>VLOOKUP(#REF!,'מלאי לא תקין'!A:N,17,0)</f>
        <v>#REF!</v>
      </c>
      <c r="T2782" t="e">
        <f t="shared" si="91"/>
        <v>#REF!</v>
      </c>
      <c r="U2782" t="e">
        <f t="shared" si="92"/>
        <v>#REF!</v>
      </c>
    </row>
    <row r="2783" spans="4:21" x14ac:dyDescent="0.2">
      <c r="D2783" s="4"/>
      <c r="G2783" s="5"/>
      <c r="H2783" s="5"/>
      <c r="I2783" s="4"/>
      <c r="J2783" s="4"/>
      <c r="K2783" s="5"/>
      <c r="Q2783" t="e">
        <f>VLOOKUP(A2783,'גיליון דאטה להכל'!A:E,5,0)</f>
        <v>#N/A</v>
      </c>
      <c r="R2783" t="e">
        <f>VLOOKUP(A2783,'לעדכן בסינתזה דאטה אריזה 42+24'!$A:$C,3,0)</f>
        <v>#N/A</v>
      </c>
      <c r="S2783" t="e">
        <f>VLOOKUP(#REF!,'מלאי לא תקין'!A:N,17,0)</f>
        <v>#REF!</v>
      </c>
      <c r="T2783" t="e">
        <f t="shared" si="91"/>
        <v>#REF!</v>
      </c>
      <c r="U2783" t="e">
        <f t="shared" si="92"/>
        <v>#REF!</v>
      </c>
    </row>
    <row r="2784" spans="4:21" x14ac:dyDescent="0.2">
      <c r="D2784" s="4"/>
      <c r="G2784" s="5"/>
      <c r="H2784" s="5"/>
      <c r="I2784" s="4"/>
      <c r="J2784" s="4"/>
      <c r="K2784" s="5"/>
      <c r="Q2784" t="e">
        <f>VLOOKUP(A2784,'גיליון דאטה להכל'!A:E,5,0)</f>
        <v>#N/A</v>
      </c>
      <c r="R2784" t="e">
        <f>VLOOKUP(A2784,'לעדכן בסינתזה דאטה אריזה 42+24'!$A:$C,3,0)</f>
        <v>#N/A</v>
      </c>
      <c r="S2784" t="e">
        <f>VLOOKUP(#REF!,'מלאי לא תקין'!A:N,17,0)</f>
        <v>#REF!</v>
      </c>
      <c r="T2784" t="e">
        <f t="shared" si="91"/>
        <v>#REF!</v>
      </c>
      <c r="U2784" t="e">
        <f t="shared" si="92"/>
        <v>#REF!</v>
      </c>
    </row>
    <row r="2785" spans="4:21" x14ac:dyDescent="0.2">
      <c r="D2785" s="4"/>
      <c r="G2785" s="5"/>
      <c r="H2785" s="7"/>
      <c r="I2785" s="4"/>
      <c r="J2785" s="4"/>
      <c r="K2785" s="5"/>
      <c r="Q2785" t="e">
        <f>VLOOKUP(A2785,'גיליון דאטה להכל'!A:E,5,0)</f>
        <v>#N/A</v>
      </c>
      <c r="R2785" t="e">
        <f>VLOOKUP(A2785,'לעדכן בסינתזה דאטה אריזה 42+24'!$A:$C,3,0)</f>
        <v>#N/A</v>
      </c>
      <c r="S2785" t="e">
        <f>VLOOKUP(#REF!,'מלאי לא תקין'!A:N,17,0)</f>
        <v>#REF!</v>
      </c>
      <c r="T2785" t="e">
        <f t="shared" si="91"/>
        <v>#REF!</v>
      </c>
      <c r="U2785" t="e">
        <f t="shared" si="92"/>
        <v>#REF!</v>
      </c>
    </row>
    <row r="2786" spans="4:21" x14ac:dyDescent="0.2">
      <c r="D2786" s="4"/>
      <c r="G2786" s="5"/>
      <c r="H2786" s="5"/>
      <c r="I2786" s="4"/>
      <c r="J2786" s="4"/>
      <c r="K2786" s="5"/>
      <c r="Q2786" t="e">
        <f>VLOOKUP(A2786,'גיליון דאטה להכל'!A:E,5,0)</f>
        <v>#N/A</v>
      </c>
      <c r="R2786" t="e">
        <f>VLOOKUP(A2786,'לעדכן בסינתזה דאטה אריזה 42+24'!$A:$C,3,0)</f>
        <v>#N/A</v>
      </c>
      <c r="S2786" t="e">
        <f>VLOOKUP(#REF!,'מלאי לא תקין'!A:N,17,0)</f>
        <v>#REF!</v>
      </c>
      <c r="T2786" t="e">
        <f t="shared" si="91"/>
        <v>#REF!</v>
      </c>
      <c r="U2786" t="e">
        <f t="shared" si="92"/>
        <v>#REF!</v>
      </c>
    </row>
    <row r="2787" spans="4:21" x14ac:dyDescent="0.2">
      <c r="D2787" s="4"/>
      <c r="G2787" s="5"/>
      <c r="H2787" s="5"/>
      <c r="I2787" s="4"/>
      <c r="J2787" s="4"/>
      <c r="K2787" s="5"/>
      <c r="Q2787" t="e">
        <f>VLOOKUP(A2787,'גיליון דאטה להכל'!A:E,5,0)</f>
        <v>#N/A</v>
      </c>
      <c r="R2787" t="e">
        <f>VLOOKUP(A2787,'לעדכן בסינתזה דאטה אריזה 42+24'!$A:$C,3,0)</f>
        <v>#N/A</v>
      </c>
      <c r="S2787" t="e">
        <f>VLOOKUP(#REF!,'מלאי לא תקין'!A:N,17,0)</f>
        <v>#REF!</v>
      </c>
      <c r="T2787" t="e">
        <f t="shared" si="91"/>
        <v>#REF!</v>
      </c>
      <c r="U2787" t="e">
        <f t="shared" si="92"/>
        <v>#REF!</v>
      </c>
    </row>
    <row r="2788" spans="4:21" x14ac:dyDescent="0.2">
      <c r="D2788" s="4"/>
      <c r="G2788" s="5"/>
      <c r="H2788" s="5"/>
      <c r="I2788" s="4"/>
      <c r="J2788" s="4"/>
      <c r="K2788" s="5"/>
      <c r="Q2788" t="e">
        <f>VLOOKUP(A2788,'גיליון דאטה להכל'!A:E,5,0)</f>
        <v>#N/A</v>
      </c>
      <c r="R2788" t="e">
        <f>VLOOKUP(A2788,'לעדכן בסינתזה דאטה אריזה 42+24'!$A:$C,3,0)</f>
        <v>#N/A</v>
      </c>
      <c r="S2788" t="e">
        <f>VLOOKUP(#REF!,'מלאי לא תקין'!A:N,17,0)</f>
        <v>#REF!</v>
      </c>
      <c r="T2788" t="e">
        <f t="shared" si="91"/>
        <v>#REF!</v>
      </c>
      <c r="U2788" t="e">
        <f t="shared" si="92"/>
        <v>#REF!</v>
      </c>
    </row>
    <row r="2789" spans="4:21" x14ac:dyDescent="0.2">
      <c r="D2789" s="4"/>
      <c r="G2789" s="5"/>
      <c r="H2789" s="5"/>
      <c r="I2789" s="4"/>
      <c r="J2789" s="4"/>
      <c r="K2789" s="5"/>
      <c r="Q2789" t="e">
        <f>VLOOKUP(A2789,'גיליון דאטה להכל'!A:E,5,0)</f>
        <v>#N/A</v>
      </c>
      <c r="R2789" t="e">
        <f>VLOOKUP(A2789,'לעדכן בסינתזה דאטה אריזה 42+24'!$A:$C,3,0)</f>
        <v>#N/A</v>
      </c>
      <c r="S2789" t="e">
        <f>VLOOKUP(#REF!,'מלאי לא תקין'!A:N,17,0)</f>
        <v>#REF!</v>
      </c>
      <c r="T2789" t="e">
        <f t="shared" si="91"/>
        <v>#REF!</v>
      </c>
      <c r="U2789" t="e">
        <f t="shared" si="92"/>
        <v>#REF!</v>
      </c>
    </row>
    <row r="2790" spans="4:21" x14ac:dyDescent="0.2">
      <c r="D2790" s="4"/>
      <c r="G2790" s="5"/>
      <c r="H2790" s="7"/>
      <c r="I2790" s="4"/>
      <c r="J2790" s="4"/>
      <c r="K2790" s="5"/>
      <c r="Q2790" t="e">
        <f>VLOOKUP(A2790,'גיליון דאטה להכל'!A:E,5,0)</f>
        <v>#N/A</v>
      </c>
      <c r="R2790" t="e">
        <f>VLOOKUP(A2790,'לעדכן בסינתזה דאטה אריזה 42+24'!$A:$C,3,0)</f>
        <v>#N/A</v>
      </c>
      <c r="S2790" t="e">
        <f>VLOOKUP(#REF!,'מלאי לא תקין'!A:N,17,0)</f>
        <v>#REF!</v>
      </c>
      <c r="T2790" t="e">
        <f t="shared" si="91"/>
        <v>#REF!</v>
      </c>
      <c r="U2790" t="e">
        <f t="shared" si="92"/>
        <v>#REF!</v>
      </c>
    </row>
    <row r="2791" spans="4:21" x14ac:dyDescent="0.2">
      <c r="D2791" s="4"/>
      <c r="G2791" s="5"/>
      <c r="H2791" s="5"/>
      <c r="I2791" s="4"/>
      <c r="J2791" s="4"/>
      <c r="K2791" s="5"/>
      <c r="Q2791" t="e">
        <f>VLOOKUP(A2791,'גיליון דאטה להכל'!A:E,5,0)</f>
        <v>#N/A</v>
      </c>
      <c r="R2791" t="e">
        <f>VLOOKUP(A2791,'לעדכן בסינתזה דאטה אריזה 42+24'!$A:$C,3,0)</f>
        <v>#N/A</v>
      </c>
      <c r="S2791" t="e">
        <f>VLOOKUP(#REF!,'מלאי לא תקין'!A:N,17,0)</f>
        <v>#REF!</v>
      </c>
      <c r="T2791" t="e">
        <f t="shared" si="91"/>
        <v>#REF!</v>
      </c>
      <c r="U2791" t="e">
        <f t="shared" si="92"/>
        <v>#REF!</v>
      </c>
    </row>
    <row r="2792" spans="4:21" x14ac:dyDescent="0.2">
      <c r="D2792" s="4"/>
      <c r="G2792" s="5"/>
      <c r="H2792" s="5"/>
      <c r="I2792" s="4"/>
      <c r="J2792" s="4"/>
      <c r="K2792" s="5"/>
      <c r="Q2792" t="e">
        <f>VLOOKUP(A2792,'גיליון דאטה להכל'!A:E,5,0)</f>
        <v>#N/A</v>
      </c>
      <c r="R2792" t="e">
        <f>VLOOKUP(A2792,'לעדכן בסינתזה דאטה אריזה 42+24'!$A:$C,3,0)</f>
        <v>#N/A</v>
      </c>
      <c r="S2792" t="e">
        <f>VLOOKUP(#REF!,'מלאי לא תקין'!A:N,17,0)</f>
        <v>#REF!</v>
      </c>
      <c r="T2792" t="e">
        <f t="shared" si="91"/>
        <v>#REF!</v>
      </c>
      <c r="U2792" t="e">
        <f t="shared" si="92"/>
        <v>#REF!</v>
      </c>
    </row>
    <row r="2793" spans="4:21" x14ac:dyDescent="0.2">
      <c r="D2793" s="4"/>
      <c r="G2793" s="5"/>
      <c r="H2793" s="5"/>
      <c r="I2793" s="4"/>
      <c r="J2793" s="4"/>
      <c r="K2793" s="5"/>
      <c r="Q2793" t="e">
        <f>VLOOKUP(A2793,'גיליון דאטה להכל'!A:E,5,0)</f>
        <v>#N/A</v>
      </c>
      <c r="R2793" t="e">
        <f>VLOOKUP(A2793,'לעדכן בסינתזה דאטה אריזה 42+24'!$A:$C,3,0)</f>
        <v>#N/A</v>
      </c>
      <c r="S2793" t="e">
        <f>VLOOKUP(#REF!,'מלאי לא תקין'!A:N,17,0)</f>
        <v>#REF!</v>
      </c>
      <c r="T2793" t="e">
        <f t="shared" si="91"/>
        <v>#REF!</v>
      </c>
      <c r="U2793" t="e">
        <f t="shared" si="92"/>
        <v>#REF!</v>
      </c>
    </row>
    <row r="2794" spans="4:21" x14ac:dyDescent="0.2">
      <c r="D2794" s="4"/>
      <c r="G2794" s="5"/>
      <c r="H2794" s="5"/>
      <c r="I2794" s="4"/>
      <c r="J2794" s="4"/>
      <c r="K2794" s="5"/>
      <c r="Q2794" t="e">
        <f>VLOOKUP(A2794,'גיליון דאטה להכל'!A:E,5,0)</f>
        <v>#N/A</v>
      </c>
      <c r="R2794" t="e">
        <f>VLOOKUP(A2794,'לעדכן בסינתזה דאטה אריזה 42+24'!$A:$C,3,0)</f>
        <v>#N/A</v>
      </c>
      <c r="S2794" t="e">
        <f>VLOOKUP(#REF!,'מלאי לא תקין'!A:N,17,0)</f>
        <v>#REF!</v>
      </c>
      <c r="T2794" t="e">
        <f t="shared" si="91"/>
        <v>#REF!</v>
      </c>
      <c r="U2794" t="e">
        <f t="shared" si="92"/>
        <v>#REF!</v>
      </c>
    </row>
    <row r="2795" spans="4:21" x14ac:dyDescent="0.2">
      <c r="D2795" s="4"/>
      <c r="G2795" s="5"/>
      <c r="H2795" s="7"/>
      <c r="I2795" s="4"/>
      <c r="J2795" s="4"/>
      <c r="K2795" s="5"/>
      <c r="Q2795" t="e">
        <f>VLOOKUP(A2795,'גיליון דאטה להכל'!A:E,5,0)</f>
        <v>#N/A</v>
      </c>
      <c r="R2795" t="e">
        <f>VLOOKUP(A2795,'לעדכן בסינתזה דאטה אריזה 42+24'!$A:$C,3,0)</f>
        <v>#N/A</v>
      </c>
      <c r="S2795" t="e">
        <f>VLOOKUP(#REF!,'מלאי לא תקין'!A:N,17,0)</f>
        <v>#REF!</v>
      </c>
      <c r="T2795" t="e">
        <f t="shared" si="91"/>
        <v>#REF!</v>
      </c>
      <c r="U2795" t="e">
        <f t="shared" si="92"/>
        <v>#REF!</v>
      </c>
    </row>
    <row r="2796" spans="4:21" x14ac:dyDescent="0.2">
      <c r="D2796" s="4"/>
      <c r="G2796" s="5"/>
      <c r="H2796" s="5"/>
      <c r="I2796" s="4"/>
      <c r="J2796" s="4"/>
      <c r="K2796" s="5"/>
      <c r="Q2796" t="e">
        <f>VLOOKUP(A2796,'גיליון דאטה להכל'!A:E,5,0)</f>
        <v>#N/A</v>
      </c>
      <c r="R2796" t="e">
        <f>VLOOKUP(A2796,'לעדכן בסינתזה דאטה אריזה 42+24'!$A:$C,3,0)</f>
        <v>#N/A</v>
      </c>
      <c r="S2796" t="e">
        <f>VLOOKUP(#REF!,'מלאי לא תקין'!A:N,17,0)</f>
        <v>#REF!</v>
      </c>
      <c r="T2796" t="e">
        <f t="shared" si="91"/>
        <v>#REF!</v>
      </c>
      <c r="U2796" t="e">
        <f t="shared" si="92"/>
        <v>#REF!</v>
      </c>
    </row>
    <row r="2797" spans="4:21" x14ac:dyDescent="0.2">
      <c r="D2797" s="4"/>
      <c r="G2797" s="5"/>
      <c r="H2797" s="5"/>
      <c r="I2797" s="4"/>
      <c r="J2797" s="4"/>
      <c r="K2797" s="5"/>
      <c r="Q2797" t="e">
        <f>VLOOKUP(A2797,'גיליון דאטה להכל'!A:E,5,0)</f>
        <v>#N/A</v>
      </c>
      <c r="R2797" t="e">
        <f>VLOOKUP(A2797,'לעדכן בסינתזה דאטה אריזה 42+24'!$A:$C,3,0)</f>
        <v>#N/A</v>
      </c>
      <c r="S2797" t="e">
        <f>VLOOKUP(#REF!,'מלאי לא תקין'!A:N,17,0)</f>
        <v>#REF!</v>
      </c>
      <c r="T2797" t="e">
        <f t="shared" si="91"/>
        <v>#REF!</v>
      </c>
      <c r="U2797" t="e">
        <f t="shared" si="92"/>
        <v>#REF!</v>
      </c>
    </row>
    <row r="2798" spans="4:21" x14ac:dyDescent="0.2">
      <c r="D2798" s="4"/>
      <c r="G2798" s="5"/>
      <c r="H2798" s="5"/>
      <c r="I2798" s="4"/>
      <c r="J2798" s="4"/>
      <c r="K2798" s="5"/>
      <c r="Q2798" t="e">
        <f>VLOOKUP(A2798,'גיליון דאטה להכל'!A:E,5,0)</f>
        <v>#N/A</v>
      </c>
      <c r="R2798" t="e">
        <f>VLOOKUP(A2798,'לעדכן בסינתזה דאטה אריזה 42+24'!$A:$C,3,0)</f>
        <v>#N/A</v>
      </c>
      <c r="S2798" t="e">
        <f>VLOOKUP(#REF!,'מלאי לא תקין'!A:N,17,0)</f>
        <v>#REF!</v>
      </c>
      <c r="T2798" t="e">
        <f t="shared" si="91"/>
        <v>#REF!</v>
      </c>
      <c r="U2798" t="e">
        <f t="shared" si="92"/>
        <v>#REF!</v>
      </c>
    </row>
    <row r="2799" spans="4:21" x14ac:dyDescent="0.2">
      <c r="D2799" s="4"/>
      <c r="G2799" s="5"/>
      <c r="H2799" s="5"/>
      <c r="I2799" s="4"/>
      <c r="J2799" s="4"/>
      <c r="K2799" s="5"/>
      <c r="Q2799" t="e">
        <f>VLOOKUP(A2799,'גיליון דאטה להכל'!A:E,5,0)</f>
        <v>#N/A</v>
      </c>
      <c r="R2799" t="e">
        <f>VLOOKUP(A2799,'לעדכן בסינתזה דאטה אריזה 42+24'!$A:$C,3,0)</f>
        <v>#N/A</v>
      </c>
      <c r="S2799" t="e">
        <f>VLOOKUP(#REF!,'מלאי לא תקין'!A:N,17,0)</f>
        <v>#REF!</v>
      </c>
      <c r="T2799" t="e">
        <f t="shared" si="91"/>
        <v>#REF!</v>
      </c>
      <c r="U2799" t="e">
        <f t="shared" si="92"/>
        <v>#REF!</v>
      </c>
    </row>
    <row r="2800" spans="4:21" x14ac:dyDescent="0.2">
      <c r="D2800" s="4"/>
      <c r="G2800" s="5"/>
      <c r="H2800" s="7"/>
      <c r="I2800" s="4"/>
      <c r="J2800" s="4"/>
      <c r="K2800" s="5"/>
      <c r="Q2800" t="e">
        <f>VLOOKUP(A2800,'גיליון דאטה להכל'!A:E,5,0)</f>
        <v>#N/A</v>
      </c>
      <c r="R2800" t="e">
        <f>VLOOKUP(A2800,'לעדכן בסינתזה דאטה אריזה 42+24'!$A:$C,3,0)</f>
        <v>#N/A</v>
      </c>
      <c r="S2800" t="e">
        <f>VLOOKUP(#REF!,'מלאי לא תקין'!A:N,17,0)</f>
        <v>#REF!</v>
      </c>
      <c r="T2800" t="e">
        <f t="shared" si="91"/>
        <v>#REF!</v>
      </c>
      <c r="U2800" t="e">
        <f t="shared" si="92"/>
        <v>#REF!</v>
      </c>
    </row>
    <row r="2801" spans="4:21" x14ac:dyDescent="0.2">
      <c r="D2801" s="4"/>
      <c r="G2801" s="5"/>
      <c r="H2801" s="5"/>
      <c r="I2801" s="4"/>
      <c r="J2801" s="4"/>
      <c r="K2801" s="5"/>
      <c r="Q2801" t="e">
        <f>VLOOKUP(A2801,'גיליון דאטה להכל'!A:E,5,0)</f>
        <v>#N/A</v>
      </c>
      <c r="R2801" t="e">
        <f>VLOOKUP(A2801,'לעדכן בסינתזה דאטה אריזה 42+24'!$A:$C,3,0)</f>
        <v>#N/A</v>
      </c>
      <c r="S2801" t="e">
        <f>VLOOKUP(#REF!,'מלאי לא תקין'!A:N,17,0)</f>
        <v>#REF!</v>
      </c>
      <c r="T2801" t="e">
        <f t="shared" si="91"/>
        <v>#REF!</v>
      </c>
      <c r="U2801" t="e">
        <f t="shared" si="92"/>
        <v>#REF!</v>
      </c>
    </row>
    <row r="2802" spans="4:21" x14ac:dyDescent="0.2">
      <c r="D2802" s="4"/>
      <c r="G2802" s="5"/>
      <c r="H2802" s="5"/>
      <c r="I2802" s="4"/>
      <c r="J2802" s="4"/>
      <c r="K2802" s="5"/>
      <c r="Q2802" t="e">
        <f>VLOOKUP(A2802,'גיליון דאטה להכל'!A:E,5,0)</f>
        <v>#N/A</v>
      </c>
      <c r="R2802" t="e">
        <f>VLOOKUP(A2802,'לעדכן בסינתזה דאטה אריזה 42+24'!$A:$C,3,0)</f>
        <v>#N/A</v>
      </c>
      <c r="S2802" t="e">
        <f>VLOOKUP(#REF!,'מלאי לא תקין'!A:N,17,0)</f>
        <v>#REF!</v>
      </c>
      <c r="T2802" t="e">
        <f t="shared" si="91"/>
        <v>#REF!</v>
      </c>
      <c r="U2802" t="e">
        <f t="shared" si="92"/>
        <v>#REF!</v>
      </c>
    </row>
    <row r="2803" spans="4:21" x14ac:dyDescent="0.2">
      <c r="D2803" s="4"/>
      <c r="G2803" s="5"/>
      <c r="H2803" s="5"/>
      <c r="I2803" s="4"/>
      <c r="J2803" s="4"/>
      <c r="K2803" s="5"/>
      <c r="Q2803" t="e">
        <f>VLOOKUP(A2803,'גיליון דאטה להכל'!A:E,5,0)</f>
        <v>#N/A</v>
      </c>
      <c r="R2803" t="e">
        <f>VLOOKUP(A2803,'לעדכן בסינתזה דאטה אריזה 42+24'!$A:$C,3,0)</f>
        <v>#N/A</v>
      </c>
      <c r="S2803" t="e">
        <f>VLOOKUP(#REF!,'מלאי לא תקין'!A:N,17,0)</f>
        <v>#REF!</v>
      </c>
      <c r="T2803" t="e">
        <f t="shared" si="91"/>
        <v>#REF!</v>
      </c>
      <c r="U2803" t="e">
        <f t="shared" si="92"/>
        <v>#REF!</v>
      </c>
    </row>
    <row r="2804" spans="4:21" x14ac:dyDescent="0.2">
      <c r="D2804" s="4"/>
      <c r="G2804" s="5"/>
      <c r="H2804" s="5"/>
      <c r="I2804" s="4"/>
      <c r="J2804" s="4"/>
      <c r="K2804" s="5"/>
      <c r="Q2804" t="e">
        <f>VLOOKUP(A2804,'גיליון דאטה להכל'!A:E,5,0)</f>
        <v>#N/A</v>
      </c>
      <c r="R2804" t="e">
        <f>VLOOKUP(A2804,'לעדכן בסינתזה דאטה אריזה 42+24'!$A:$C,3,0)</f>
        <v>#N/A</v>
      </c>
      <c r="S2804" t="e">
        <f>VLOOKUP(#REF!,'מלאי לא תקין'!A:N,17,0)</f>
        <v>#REF!</v>
      </c>
      <c r="T2804" t="e">
        <f t="shared" si="91"/>
        <v>#REF!</v>
      </c>
      <c r="U2804" t="e">
        <f t="shared" si="92"/>
        <v>#REF!</v>
      </c>
    </row>
    <row r="2805" spans="4:21" x14ac:dyDescent="0.2">
      <c r="D2805" s="4"/>
      <c r="G2805" s="5"/>
      <c r="H2805" s="7"/>
      <c r="I2805" s="4"/>
      <c r="J2805" s="4"/>
      <c r="K2805" s="5"/>
      <c r="Q2805" t="e">
        <f>VLOOKUP(A2805,'גיליון דאטה להכל'!A:E,5,0)</f>
        <v>#N/A</v>
      </c>
      <c r="R2805" t="e">
        <f>VLOOKUP(A2805,'לעדכן בסינתזה דאטה אריזה 42+24'!$A:$C,3,0)</f>
        <v>#N/A</v>
      </c>
      <c r="S2805" t="e">
        <f>VLOOKUP(#REF!,'מלאי לא תקין'!A:N,17,0)</f>
        <v>#REF!</v>
      </c>
      <c r="T2805" t="e">
        <f t="shared" si="91"/>
        <v>#REF!</v>
      </c>
      <c r="U2805" t="e">
        <f t="shared" si="92"/>
        <v>#REF!</v>
      </c>
    </row>
    <row r="2806" spans="4:21" x14ac:dyDescent="0.2">
      <c r="D2806" s="4"/>
      <c r="G2806" s="5"/>
      <c r="H2806" s="5"/>
      <c r="I2806" s="4"/>
      <c r="J2806" s="4"/>
      <c r="K2806" s="5"/>
      <c r="Q2806" t="e">
        <f>VLOOKUP(A2806,'גיליון דאטה להכל'!A:E,5,0)</f>
        <v>#N/A</v>
      </c>
      <c r="R2806" t="e">
        <f>VLOOKUP(A2806,'לעדכן בסינתזה דאטה אריזה 42+24'!$A:$C,3,0)</f>
        <v>#N/A</v>
      </c>
      <c r="S2806" t="e">
        <f>VLOOKUP(#REF!,'מלאי לא תקין'!A:N,17,0)</f>
        <v>#REF!</v>
      </c>
      <c r="T2806" t="e">
        <f t="shared" si="91"/>
        <v>#REF!</v>
      </c>
      <c r="U2806" t="e">
        <f t="shared" si="92"/>
        <v>#REF!</v>
      </c>
    </row>
    <row r="2807" spans="4:21" x14ac:dyDescent="0.2">
      <c r="D2807" s="4"/>
      <c r="G2807" s="5"/>
      <c r="H2807" s="5"/>
      <c r="I2807" s="4"/>
      <c r="J2807" s="4"/>
      <c r="K2807" s="5"/>
      <c r="Q2807" t="e">
        <f>VLOOKUP(A2807,'גיליון דאטה להכל'!A:E,5,0)</f>
        <v>#N/A</v>
      </c>
      <c r="R2807" t="e">
        <f>VLOOKUP(A2807,'לעדכן בסינתזה דאטה אריזה 42+24'!$A:$C,3,0)</f>
        <v>#N/A</v>
      </c>
      <c r="S2807" t="e">
        <f>VLOOKUP(#REF!,'מלאי לא תקין'!A:N,17,0)</f>
        <v>#REF!</v>
      </c>
      <c r="T2807" t="e">
        <f t="shared" si="91"/>
        <v>#REF!</v>
      </c>
      <c r="U2807" t="e">
        <f t="shared" si="92"/>
        <v>#REF!</v>
      </c>
    </row>
    <row r="2808" spans="4:21" x14ac:dyDescent="0.2">
      <c r="D2808" s="4"/>
      <c r="G2808" s="5"/>
      <c r="H2808" s="5"/>
      <c r="I2808" s="4"/>
      <c r="J2808" s="4"/>
      <c r="K2808" s="5"/>
      <c r="Q2808" t="e">
        <f>VLOOKUP(A2808,'גיליון דאטה להכל'!A:E,5,0)</f>
        <v>#N/A</v>
      </c>
      <c r="R2808" t="e">
        <f>VLOOKUP(A2808,'לעדכן בסינתזה דאטה אריזה 42+24'!$A:$C,3,0)</f>
        <v>#N/A</v>
      </c>
      <c r="S2808" t="e">
        <f>VLOOKUP(#REF!,'מלאי לא תקין'!A:N,17,0)</f>
        <v>#REF!</v>
      </c>
      <c r="T2808" t="e">
        <f t="shared" si="91"/>
        <v>#REF!</v>
      </c>
      <c r="U2808" t="e">
        <f t="shared" si="92"/>
        <v>#REF!</v>
      </c>
    </row>
    <row r="2809" spans="4:21" x14ac:dyDescent="0.2">
      <c r="D2809" s="4"/>
      <c r="G2809" s="5"/>
      <c r="H2809" s="5"/>
      <c r="I2809" s="4"/>
      <c r="J2809" s="4"/>
      <c r="K2809" s="5"/>
      <c r="Q2809" t="e">
        <f>VLOOKUP(A2809,'גיליון דאטה להכל'!A:E,5,0)</f>
        <v>#N/A</v>
      </c>
      <c r="R2809" t="e">
        <f>VLOOKUP(A2809,'לעדכן בסינתזה דאטה אריזה 42+24'!$A:$C,3,0)</f>
        <v>#N/A</v>
      </c>
      <c r="S2809" t="e">
        <f>VLOOKUP(#REF!,'מלאי לא תקין'!A:N,17,0)</f>
        <v>#REF!</v>
      </c>
      <c r="T2809" t="e">
        <f t="shared" si="91"/>
        <v>#REF!</v>
      </c>
      <c r="U2809" t="e">
        <f t="shared" si="92"/>
        <v>#REF!</v>
      </c>
    </row>
    <row r="2810" spans="4:21" x14ac:dyDescent="0.2">
      <c r="D2810" s="4"/>
      <c r="G2810" s="5"/>
      <c r="H2810" s="7"/>
      <c r="I2810" s="4"/>
      <c r="J2810" s="4"/>
      <c r="K2810" s="5"/>
      <c r="Q2810" t="e">
        <f>VLOOKUP(A2810,'גיליון דאטה להכל'!A:E,5,0)</f>
        <v>#N/A</v>
      </c>
      <c r="R2810" t="e">
        <f>VLOOKUP(A2810,'לעדכן בסינתזה דאטה אריזה 42+24'!$A:$C,3,0)</f>
        <v>#N/A</v>
      </c>
      <c r="S2810" t="e">
        <f>VLOOKUP(#REF!,'מלאי לא תקין'!A:N,17,0)</f>
        <v>#REF!</v>
      </c>
      <c r="T2810" t="e">
        <f t="shared" si="91"/>
        <v>#REF!</v>
      </c>
      <c r="U2810" t="e">
        <f t="shared" si="92"/>
        <v>#REF!</v>
      </c>
    </row>
    <row r="2811" spans="4:21" x14ac:dyDescent="0.2">
      <c r="D2811" s="4"/>
      <c r="G2811" s="5"/>
      <c r="H2811" s="5"/>
      <c r="I2811" s="4"/>
      <c r="J2811" s="4"/>
      <c r="K2811" s="5"/>
      <c r="Q2811" t="e">
        <f>VLOOKUP(A2811,'גיליון דאטה להכל'!A:E,5,0)</f>
        <v>#N/A</v>
      </c>
      <c r="R2811" t="e">
        <f>VLOOKUP(A2811,'לעדכן בסינתזה דאטה אריזה 42+24'!$A:$C,3,0)</f>
        <v>#N/A</v>
      </c>
      <c r="S2811" t="e">
        <f>VLOOKUP(#REF!,'מלאי לא תקין'!A:N,17,0)</f>
        <v>#REF!</v>
      </c>
      <c r="T2811" t="e">
        <f t="shared" si="91"/>
        <v>#REF!</v>
      </c>
      <c r="U2811" t="e">
        <f t="shared" si="92"/>
        <v>#REF!</v>
      </c>
    </row>
    <row r="2812" spans="4:21" x14ac:dyDescent="0.2">
      <c r="D2812" s="4"/>
      <c r="G2812" s="5"/>
      <c r="H2812" s="5"/>
      <c r="I2812" s="4"/>
      <c r="J2812" s="4"/>
      <c r="K2812" s="5"/>
      <c r="Q2812" t="e">
        <f>VLOOKUP(A2812,'גיליון דאטה להכל'!A:E,5,0)</f>
        <v>#N/A</v>
      </c>
      <c r="R2812" t="e">
        <f>VLOOKUP(A2812,'לעדכן בסינתזה דאטה אריזה 42+24'!$A:$C,3,0)</f>
        <v>#N/A</v>
      </c>
      <c r="S2812" t="e">
        <f>VLOOKUP(#REF!,'מלאי לא תקין'!A:N,17,0)</f>
        <v>#REF!</v>
      </c>
      <c r="T2812" t="e">
        <f t="shared" si="91"/>
        <v>#REF!</v>
      </c>
      <c r="U2812" t="e">
        <f t="shared" si="92"/>
        <v>#REF!</v>
      </c>
    </row>
    <row r="2813" spans="4:21" x14ac:dyDescent="0.2">
      <c r="D2813" s="4"/>
      <c r="G2813" s="5"/>
      <c r="H2813" s="5"/>
      <c r="I2813" s="4"/>
      <c r="J2813" s="4"/>
      <c r="K2813" s="5"/>
      <c r="Q2813" t="e">
        <f>VLOOKUP(A2813,'גיליון דאטה להכל'!A:E,5,0)</f>
        <v>#N/A</v>
      </c>
      <c r="R2813" t="e">
        <f>VLOOKUP(A2813,'לעדכן בסינתזה דאטה אריזה 42+24'!$A:$C,3,0)</f>
        <v>#N/A</v>
      </c>
      <c r="S2813" t="e">
        <f>VLOOKUP(#REF!,'מלאי לא תקין'!A:N,17,0)</f>
        <v>#REF!</v>
      </c>
      <c r="T2813" t="e">
        <f t="shared" si="91"/>
        <v>#REF!</v>
      </c>
      <c r="U2813" t="e">
        <f t="shared" si="92"/>
        <v>#REF!</v>
      </c>
    </row>
    <row r="2814" spans="4:21" x14ac:dyDescent="0.2">
      <c r="D2814" s="4"/>
      <c r="G2814" s="5"/>
      <c r="H2814" s="5"/>
      <c r="I2814" s="4"/>
      <c r="J2814" s="4"/>
      <c r="K2814" s="5"/>
      <c r="Q2814" t="e">
        <f>VLOOKUP(A2814,'גיליון דאטה להכל'!A:E,5,0)</f>
        <v>#N/A</v>
      </c>
      <c r="R2814" t="e">
        <f>VLOOKUP(A2814,'לעדכן בסינתזה דאטה אריזה 42+24'!$A:$C,3,0)</f>
        <v>#N/A</v>
      </c>
      <c r="S2814" t="e">
        <f>VLOOKUP(#REF!,'מלאי לא תקין'!A:N,17,0)</f>
        <v>#REF!</v>
      </c>
      <c r="T2814" t="e">
        <f t="shared" ref="T2814:T2877" si="93">_xlfn.CONCAT(S2814,Q2814)</f>
        <v>#REF!</v>
      </c>
      <c r="U2814" t="e">
        <f t="shared" ref="U2814:U2877" si="94">_xlfn.CONCAT(S2814,O2814)</f>
        <v>#REF!</v>
      </c>
    </row>
    <row r="2815" spans="4:21" x14ac:dyDescent="0.2">
      <c r="D2815" s="4"/>
      <c r="G2815" s="5"/>
      <c r="H2815" s="7"/>
      <c r="I2815" s="4"/>
      <c r="J2815" s="4"/>
      <c r="K2815" s="5"/>
      <c r="Q2815" t="e">
        <f>VLOOKUP(A2815,'גיליון דאטה להכל'!A:E,5,0)</f>
        <v>#N/A</v>
      </c>
      <c r="R2815" t="e">
        <f>VLOOKUP(A2815,'לעדכן בסינתזה דאטה אריזה 42+24'!$A:$C,3,0)</f>
        <v>#N/A</v>
      </c>
      <c r="S2815" t="e">
        <f>VLOOKUP(#REF!,'מלאי לא תקין'!A:N,17,0)</f>
        <v>#REF!</v>
      </c>
      <c r="T2815" t="e">
        <f t="shared" si="93"/>
        <v>#REF!</v>
      </c>
      <c r="U2815" t="e">
        <f t="shared" si="94"/>
        <v>#REF!</v>
      </c>
    </row>
    <row r="2816" spans="4:21" x14ac:dyDescent="0.2">
      <c r="D2816" s="4"/>
      <c r="G2816" s="5"/>
      <c r="H2816" s="5"/>
      <c r="I2816" s="4"/>
      <c r="J2816" s="4"/>
      <c r="K2816" s="5"/>
      <c r="Q2816" t="e">
        <f>VLOOKUP(A2816,'גיליון דאטה להכל'!A:E,5,0)</f>
        <v>#N/A</v>
      </c>
      <c r="R2816" t="e">
        <f>VLOOKUP(A2816,'לעדכן בסינתזה דאטה אריזה 42+24'!$A:$C,3,0)</f>
        <v>#N/A</v>
      </c>
      <c r="S2816" t="e">
        <f>VLOOKUP(#REF!,'מלאי לא תקין'!A:N,17,0)</f>
        <v>#REF!</v>
      </c>
      <c r="T2816" t="e">
        <f t="shared" si="93"/>
        <v>#REF!</v>
      </c>
      <c r="U2816" t="e">
        <f t="shared" si="94"/>
        <v>#REF!</v>
      </c>
    </row>
    <row r="2817" spans="4:21" x14ac:dyDescent="0.2">
      <c r="D2817" s="4"/>
      <c r="G2817" s="5"/>
      <c r="H2817" s="5"/>
      <c r="I2817" s="4"/>
      <c r="J2817" s="4"/>
      <c r="K2817" s="5"/>
      <c r="Q2817" t="e">
        <f>VLOOKUP(A2817,'גיליון דאטה להכל'!A:E,5,0)</f>
        <v>#N/A</v>
      </c>
      <c r="R2817" t="e">
        <f>VLOOKUP(A2817,'לעדכן בסינתזה דאטה אריזה 42+24'!$A:$C,3,0)</f>
        <v>#N/A</v>
      </c>
      <c r="S2817" t="e">
        <f>VLOOKUP(#REF!,'מלאי לא תקין'!A:N,17,0)</f>
        <v>#REF!</v>
      </c>
      <c r="T2817" t="e">
        <f t="shared" si="93"/>
        <v>#REF!</v>
      </c>
      <c r="U2817" t="e">
        <f t="shared" si="94"/>
        <v>#REF!</v>
      </c>
    </row>
    <row r="2818" spans="4:21" x14ac:dyDescent="0.2">
      <c r="D2818" s="4"/>
      <c r="G2818" s="5"/>
      <c r="H2818" s="5"/>
      <c r="I2818" s="4"/>
      <c r="J2818" s="4"/>
      <c r="K2818" s="5"/>
      <c r="Q2818" t="e">
        <f>VLOOKUP(A2818,'גיליון דאטה להכל'!A:E,5,0)</f>
        <v>#N/A</v>
      </c>
      <c r="R2818" t="e">
        <f>VLOOKUP(A2818,'לעדכן בסינתזה דאטה אריזה 42+24'!$A:$C,3,0)</f>
        <v>#N/A</v>
      </c>
      <c r="S2818" t="e">
        <f>VLOOKUP(#REF!,'מלאי לא תקין'!A:N,17,0)</f>
        <v>#REF!</v>
      </c>
      <c r="T2818" t="e">
        <f t="shared" si="93"/>
        <v>#REF!</v>
      </c>
      <c r="U2818" t="e">
        <f t="shared" si="94"/>
        <v>#REF!</v>
      </c>
    </row>
    <row r="2819" spans="4:21" x14ac:dyDescent="0.2">
      <c r="D2819" s="4"/>
      <c r="G2819" s="5"/>
      <c r="H2819" s="5"/>
      <c r="I2819" s="4"/>
      <c r="J2819" s="4"/>
      <c r="K2819" s="5"/>
      <c r="Q2819" t="e">
        <f>VLOOKUP(A2819,'גיליון דאטה להכל'!A:E,5,0)</f>
        <v>#N/A</v>
      </c>
      <c r="R2819" t="e">
        <f>VLOOKUP(A2819,'לעדכן בסינתזה דאטה אריזה 42+24'!$A:$C,3,0)</f>
        <v>#N/A</v>
      </c>
      <c r="S2819" t="e">
        <f>VLOOKUP(#REF!,'מלאי לא תקין'!A:N,17,0)</f>
        <v>#REF!</v>
      </c>
      <c r="T2819" t="e">
        <f t="shared" si="93"/>
        <v>#REF!</v>
      </c>
      <c r="U2819" t="e">
        <f t="shared" si="94"/>
        <v>#REF!</v>
      </c>
    </row>
    <row r="2820" spans="4:21" x14ac:dyDescent="0.2">
      <c r="D2820" s="4"/>
      <c r="G2820" s="5"/>
      <c r="H2820" s="7"/>
      <c r="I2820" s="4"/>
      <c r="J2820" s="4"/>
      <c r="K2820" s="5"/>
      <c r="Q2820" t="e">
        <f>VLOOKUP(A2820,'גיליון דאטה להכל'!A:E,5,0)</f>
        <v>#N/A</v>
      </c>
      <c r="R2820" t="e">
        <f>VLOOKUP(A2820,'לעדכן בסינתזה דאטה אריזה 42+24'!$A:$C,3,0)</f>
        <v>#N/A</v>
      </c>
      <c r="S2820" t="e">
        <f>VLOOKUP(#REF!,'מלאי לא תקין'!A:N,17,0)</f>
        <v>#REF!</v>
      </c>
      <c r="T2820" t="e">
        <f t="shared" si="93"/>
        <v>#REF!</v>
      </c>
      <c r="U2820" t="e">
        <f t="shared" si="94"/>
        <v>#REF!</v>
      </c>
    </row>
    <row r="2821" spans="4:21" x14ac:dyDescent="0.2">
      <c r="D2821" s="4"/>
      <c r="G2821" s="5"/>
      <c r="H2821" s="5"/>
      <c r="I2821" s="4"/>
      <c r="J2821" s="4"/>
      <c r="K2821" s="5"/>
      <c r="Q2821" t="e">
        <f>VLOOKUP(A2821,'גיליון דאטה להכל'!A:E,5,0)</f>
        <v>#N/A</v>
      </c>
      <c r="R2821" t="e">
        <f>VLOOKUP(A2821,'לעדכן בסינתזה דאטה אריזה 42+24'!$A:$C,3,0)</f>
        <v>#N/A</v>
      </c>
      <c r="S2821" t="e">
        <f>VLOOKUP(#REF!,'מלאי לא תקין'!A:N,17,0)</f>
        <v>#REF!</v>
      </c>
      <c r="T2821" t="e">
        <f t="shared" si="93"/>
        <v>#REF!</v>
      </c>
      <c r="U2821" t="e">
        <f t="shared" si="94"/>
        <v>#REF!</v>
      </c>
    </row>
    <row r="2822" spans="4:21" x14ac:dyDescent="0.2">
      <c r="D2822" s="4"/>
      <c r="G2822" s="5"/>
      <c r="H2822" s="5"/>
      <c r="I2822" s="4"/>
      <c r="J2822" s="4"/>
      <c r="K2822" s="5"/>
      <c r="Q2822" t="e">
        <f>VLOOKUP(A2822,'גיליון דאטה להכל'!A:E,5,0)</f>
        <v>#N/A</v>
      </c>
      <c r="R2822" t="e">
        <f>VLOOKUP(A2822,'לעדכן בסינתזה דאטה אריזה 42+24'!$A:$C,3,0)</f>
        <v>#N/A</v>
      </c>
      <c r="S2822" t="e">
        <f>VLOOKUP(#REF!,'מלאי לא תקין'!A:N,17,0)</f>
        <v>#REF!</v>
      </c>
      <c r="T2822" t="e">
        <f t="shared" si="93"/>
        <v>#REF!</v>
      </c>
      <c r="U2822" t="e">
        <f t="shared" si="94"/>
        <v>#REF!</v>
      </c>
    </row>
    <row r="2823" spans="4:21" x14ac:dyDescent="0.2">
      <c r="D2823" s="4"/>
      <c r="G2823" s="5"/>
      <c r="H2823" s="5"/>
      <c r="I2823" s="4"/>
      <c r="J2823" s="4"/>
      <c r="K2823" s="5"/>
      <c r="Q2823" t="e">
        <f>VLOOKUP(A2823,'גיליון דאטה להכל'!A:E,5,0)</f>
        <v>#N/A</v>
      </c>
      <c r="R2823" t="e">
        <f>VLOOKUP(A2823,'לעדכן בסינתזה דאטה אריזה 42+24'!$A:$C,3,0)</f>
        <v>#N/A</v>
      </c>
      <c r="S2823" t="e">
        <f>VLOOKUP(#REF!,'מלאי לא תקין'!A:N,17,0)</f>
        <v>#REF!</v>
      </c>
      <c r="T2823" t="e">
        <f t="shared" si="93"/>
        <v>#REF!</v>
      </c>
      <c r="U2823" t="e">
        <f t="shared" si="94"/>
        <v>#REF!</v>
      </c>
    </row>
    <row r="2824" spans="4:21" x14ac:dyDescent="0.2">
      <c r="D2824" s="4"/>
      <c r="G2824" s="5"/>
      <c r="H2824" s="5"/>
      <c r="I2824" s="4"/>
      <c r="J2824" s="4"/>
      <c r="K2824" s="5"/>
      <c r="Q2824" t="e">
        <f>VLOOKUP(A2824,'גיליון דאטה להכל'!A:E,5,0)</f>
        <v>#N/A</v>
      </c>
      <c r="R2824" t="e">
        <f>VLOOKUP(A2824,'לעדכן בסינתזה דאטה אריזה 42+24'!$A:$C,3,0)</f>
        <v>#N/A</v>
      </c>
      <c r="S2824" t="e">
        <f>VLOOKUP(#REF!,'מלאי לא תקין'!A:N,17,0)</f>
        <v>#REF!</v>
      </c>
      <c r="T2824" t="e">
        <f t="shared" si="93"/>
        <v>#REF!</v>
      </c>
      <c r="U2824" t="e">
        <f t="shared" si="94"/>
        <v>#REF!</v>
      </c>
    </row>
    <row r="2825" spans="4:21" x14ac:dyDescent="0.2">
      <c r="D2825" s="4"/>
      <c r="G2825" s="5"/>
      <c r="H2825" s="7"/>
      <c r="I2825" s="4"/>
      <c r="J2825" s="4"/>
      <c r="K2825" s="5"/>
      <c r="Q2825" t="e">
        <f>VLOOKUP(A2825,'גיליון דאטה להכל'!A:E,5,0)</f>
        <v>#N/A</v>
      </c>
      <c r="R2825" t="e">
        <f>VLOOKUP(A2825,'לעדכן בסינתזה דאטה אריזה 42+24'!$A:$C,3,0)</f>
        <v>#N/A</v>
      </c>
      <c r="S2825" t="e">
        <f>VLOOKUP(#REF!,'מלאי לא תקין'!A:N,17,0)</f>
        <v>#REF!</v>
      </c>
      <c r="T2825" t="e">
        <f t="shared" si="93"/>
        <v>#REF!</v>
      </c>
      <c r="U2825" t="e">
        <f t="shared" si="94"/>
        <v>#REF!</v>
      </c>
    </row>
    <row r="2826" spans="4:21" x14ac:dyDescent="0.2">
      <c r="D2826" s="4"/>
      <c r="G2826" s="5"/>
      <c r="H2826" s="5"/>
      <c r="I2826" s="4"/>
      <c r="J2826" s="4"/>
      <c r="K2826" s="5"/>
      <c r="Q2826" t="e">
        <f>VLOOKUP(A2826,'גיליון דאטה להכל'!A:E,5,0)</f>
        <v>#N/A</v>
      </c>
      <c r="R2826" t="e">
        <f>VLOOKUP(A2826,'לעדכן בסינתזה דאטה אריזה 42+24'!$A:$C,3,0)</f>
        <v>#N/A</v>
      </c>
      <c r="S2826" t="e">
        <f>VLOOKUP(#REF!,'מלאי לא תקין'!A:N,17,0)</f>
        <v>#REF!</v>
      </c>
      <c r="T2826" t="e">
        <f t="shared" si="93"/>
        <v>#REF!</v>
      </c>
      <c r="U2826" t="e">
        <f t="shared" si="94"/>
        <v>#REF!</v>
      </c>
    </row>
    <row r="2827" spans="4:21" x14ac:dyDescent="0.2">
      <c r="D2827" s="4"/>
      <c r="G2827" s="5"/>
      <c r="H2827" s="5"/>
      <c r="I2827" s="4"/>
      <c r="J2827" s="4"/>
      <c r="K2827" s="5"/>
      <c r="Q2827" t="e">
        <f>VLOOKUP(A2827,'גיליון דאטה להכל'!A:E,5,0)</f>
        <v>#N/A</v>
      </c>
      <c r="R2827" t="e">
        <f>VLOOKUP(A2827,'לעדכן בסינתזה דאטה אריזה 42+24'!$A:$C,3,0)</f>
        <v>#N/A</v>
      </c>
      <c r="S2827" t="e">
        <f>VLOOKUP(#REF!,'מלאי לא תקין'!A:N,17,0)</f>
        <v>#REF!</v>
      </c>
      <c r="T2827" t="e">
        <f t="shared" si="93"/>
        <v>#REF!</v>
      </c>
      <c r="U2827" t="e">
        <f t="shared" si="94"/>
        <v>#REF!</v>
      </c>
    </row>
    <row r="2828" spans="4:21" x14ac:dyDescent="0.2">
      <c r="D2828" s="4"/>
      <c r="G2828" s="5"/>
      <c r="H2828" s="5"/>
      <c r="I2828" s="4"/>
      <c r="J2828" s="4"/>
      <c r="K2828" s="5"/>
      <c r="Q2828" t="e">
        <f>VLOOKUP(A2828,'גיליון דאטה להכל'!A:E,5,0)</f>
        <v>#N/A</v>
      </c>
      <c r="R2828" t="e">
        <f>VLOOKUP(A2828,'לעדכן בסינתזה דאטה אריזה 42+24'!$A:$C,3,0)</f>
        <v>#N/A</v>
      </c>
      <c r="S2828" t="e">
        <f>VLOOKUP(#REF!,'מלאי לא תקין'!A:N,17,0)</f>
        <v>#REF!</v>
      </c>
      <c r="T2828" t="e">
        <f t="shared" si="93"/>
        <v>#REF!</v>
      </c>
      <c r="U2828" t="e">
        <f t="shared" si="94"/>
        <v>#REF!</v>
      </c>
    </row>
    <row r="2829" spans="4:21" x14ac:dyDescent="0.2">
      <c r="D2829" s="4"/>
      <c r="G2829" s="5"/>
      <c r="H2829" s="5"/>
      <c r="I2829" s="4"/>
      <c r="J2829" s="4"/>
      <c r="K2829" s="5"/>
      <c r="Q2829" t="e">
        <f>VLOOKUP(A2829,'גיליון דאטה להכל'!A:E,5,0)</f>
        <v>#N/A</v>
      </c>
      <c r="R2829" t="e">
        <f>VLOOKUP(A2829,'לעדכן בסינתזה דאטה אריזה 42+24'!$A:$C,3,0)</f>
        <v>#N/A</v>
      </c>
      <c r="S2829" t="e">
        <f>VLOOKUP(#REF!,'מלאי לא תקין'!A:N,17,0)</f>
        <v>#REF!</v>
      </c>
      <c r="T2829" t="e">
        <f t="shared" si="93"/>
        <v>#REF!</v>
      </c>
      <c r="U2829" t="e">
        <f t="shared" si="94"/>
        <v>#REF!</v>
      </c>
    </row>
    <row r="2830" spans="4:21" x14ac:dyDescent="0.2">
      <c r="D2830" s="4"/>
      <c r="G2830" s="5"/>
      <c r="H2830" s="7"/>
      <c r="I2830" s="4"/>
      <c r="J2830" s="4"/>
      <c r="K2830" s="5"/>
      <c r="Q2830" t="e">
        <f>VLOOKUP(A2830,'גיליון דאטה להכל'!A:E,5,0)</f>
        <v>#N/A</v>
      </c>
      <c r="R2830" t="e">
        <f>VLOOKUP(A2830,'לעדכן בסינתזה דאטה אריזה 42+24'!$A:$C,3,0)</f>
        <v>#N/A</v>
      </c>
      <c r="S2830" t="e">
        <f>VLOOKUP(#REF!,'מלאי לא תקין'!A:N,17,0)</f>
        <v>#REF!</v>
      </c>
      <c r="T2830" t="e">
        <f t="shared" si="93"/>
        <v>#REF!</v>
      </c>
      <c r="U2830" t="e">
        <f t="shared" si="94"/>
        <v>#REF!</v>
      </c>
    </row>
    <row r="2831" spans="4:21" x14ac:dyDescent="0.2">
      <c r="D2831" s="4"/>
      <c r="G2831" s="5"/>
      <c r="H2831" s="5"/>
      <c r="I2831" s="4"/>
      <c r="J2831" s="4"/>
      <c r="K2831" s="5"/>
      <c r="Q2831" t="e">
        <f>VLOOKUP(A2831,'גיליון דאטה להכל'!A:E,5,0)</f>
        <v>#N/A</v>
      </c>
      <c r="R2831" t="e">
        <f>VLOOKUP(A2831,'לעדכן בסינתזה דאטה אריזה 42+24'!$A:$C,3,0)</f>
        <v>#N/A</v>
      </c>
      <c r="S2831" t="e">
        <f>VLOOKUP(#REF!,'מלאי לא תקין'!A:N,17,0)</f>
        <v>#REF!</v>
      </c>
      <c r="T2831" t="e">
        <f t="shared" si="93"/>
        <v>#REF!</v>
      </c>
      <c r="U2831" t="e">
        <f t="shared" si="94"/>
        <v>#REF!</v>
      </c>
    </row>
    <row r="2832" spans="4:21" x14ac:dyDescent="0.2">
      <c r="D2832" s="4"/>
      <c r="G2832" s="5"/>
      <c r="H2832" s="5"/>
      <c r="I2832" s="4"/>
      <c r="J2832" s="4"/>
      <c r="K2832" s="5"/>
      <c r="Q2832" t="e">
        <f>VLOOKUP(A2832,'גיליון דאטה להכל'!A:E,5,0)</f>
        <v>#N/A</v>
      </c>
      <c r="R2832" t="e">
        <f>VLOOKUP(A2832,'לעדכן בסינתזה דאטה אריזה 42+24'!$A:$C,3,0)</f>
        <v>#N/A</v>
      </c>
      <c r="S2832" t="e">
        <f>VLOOKUP(#REF!,'מלאי לא תקין'!A:N,17,0)</f>
        <v>#REF!</v>
      </c>
      <c r="T2832" t="e">
        <f t="shared" si="93"/>
        <v>#REF!</v>
      </c>
      <c r="U2832" t="e">
        <f t="shared" si="94"/>
        <v>#REF!</v>
      </c>
    </row>
    <row r="2833" spans="4:21" x14ac:dyDescent="0.2">
      <c r="D2833" s="4"/>
      <c r="G2833" s="5"/>
      <c r="H2833" s="5"/>
      <c r="I2833" s="4"/>
      <c r="J2833" s="4"/>
      <c r="K2833" s="5"/>
      <c r="Q2833" t="e">
        <f>VLOOKUP(A2833,'גיליון דאטה להכל'!A:E,5,0)</f>
        <v>#N/A</v>
      </c>
      <c r="R2833" t="e">
        <f>VLOOKUP(A2833,'לעדכן בסינתזה דאטה אריזה 42+24'!$A:$C,3,0)</f>
        <v>#N/A</v>
      </c>
      <c r="S2833" t="e">
        <f>VLOOKUP(#REF!,'מלאי לא תקין'!A:N,17,0)</f>
        <v>#REF!</v>
      </c>
      <c r="T2833" t="e">
        <f t="shared" si="93"/>
        <v>#REF!</v>
      </c>
      <c r="U2833" t="e">
        <f t="shared" si="94"/>
        <v>#REF!</v>
      </c>
    </row>
    <row r="2834" spans="4:21" x14ac:dyDescent="0.2">
      <c r="D2834" s="4"/>
      <c r="G2834" s="5"/>
      <c r="H2834" s="5"/>
      <c r="I2834" s="4"/>
      <c r="J2834" s="4"/>
      <c r="K2834" s="5"/>
      <c r="Q2834" t="e">
        <f>VLOOKUP(A2834,'גיליון דאטה להכל'!A:E,5,0)</f>
        <v>#N/A</v>
      </c>
      <c r="R2834" t="e">
        <f>VLOOKUP(A2834,'לעדכן בסינתזה דאטה אריזה 42+24'!$A:$C,3,0)</f>
        <v>#N/A</v>
      </c>
      <c r="S2834" t="e">
        <f>VLOOKUP(#REF!,'מלאי לא תקין'!A:N,17,0)</f>
        <v>#REF!</v>
      </c>
      <c r="T2834" t="e">
        <f t="shared" si="93"/>
        <v>#REF!</v>
      </c>
      <c r="U2834" t="e">
        <f t="shared" si="94"/>
        <v>#REF!</v>
      </c>
    </row>
    <row r="2835" spans="4:21" x14ac:dyDescent="0.2">
      <c r="D2835" s="4"/>
      <c r="G2835" s="5"/>
      <c r="H2835" s="7"/>
      <c r="I2835" s="4"/>
      <c r="J2835" s="4"/>
      <c r="K2835" s="5"/>
      <c r="Q2835" t="e">
        <f>VLOOKUP(A2835,'גיליון דאטה להכל'!A:E,5,0)</f>
        <v>#N/A</v>
      </c>
      <c r="R2835" t="e">
        <f>VLOOKUP(A2835,'לעדכן בסינתזה דאטה אריזה 42+24'!$A:$C,3,0)</f>
        <v>#N/A</v>
      </c>
      <c r="S2835" t="e">
        <f>VLOOKUP(#REF!,'מלאי לא תקין'!A:N,17,0)</f>
        <v>#REF!</v>
      </c>
      <c r="T2835" t="e">
        <f t="shared" si="93"/>
        <v>#REF!</v>
      </c>
      <c r="U2835" t="e">
        <f t="shared" si="94"/>
        <v>#REF!</v>
      </c>
    </row>
    <row r="2836" spans="4:21" x14ac:dyDescent="0.2">
      <c r="D2836" s="4"/>
      <c r="G2836" s="5"/>
      <c r="H2836" s="5"/>
      <c r="I2836" s="4"/>
      <c r="J2836" s="4"/>
      <c r="K2836" s="5"/>
      <c r="Q2836" t="e">
        <f>VLOOKUP(A2836,'גיליון דאטה להכל'!A:E,5,0)</f>
        <v>#N/A</v>
      </c>
      <c r="R2836" t="e">
        <f>VLOOKUP(A2836,'לעדכן בסינתזה דאטה אריזה 42+24'!$A:$C,3,0)</f>
        <v>#N/A</v>
      </c>
      <c r="S2836" t="e">
        <f>VLOOKUP(#REF!,'מלאי לא תקין'!A:N,17,0)</f>
        <v>#REF!</v>
      </c>
      <c r="T2836" t="e">
        <f t="shared" si="93"/>
        <v>#REF!</v>
      </c>
      <c r="U2836" t="e">
        <f t="shared" si="94"/>
        <v>#REF!</v>
      </c>
    </row>
    <row r="2837" spans="4:21" x14ac:dyDescent="0.2">
      <c r="D2837" s="4"/>
      <c r="G2837" s="5"/>
      <c r="H2837" s="5"/>
      <c r="I2837" s="4"/>
      <c r="J2837" s="4"/>
      <c r="K2837" s="5"/>
      <c r="Q2837" t="e">
        <f>VLOOKUP(A2837,'גיליון דאטה להכל'!A:E,5,0)</f>
        <v>#N/A</v>
      </c>
      <c r="R2837" t="e">
        <f>VLOOKUP(A2837,'לעדכן בסינתזה דאטה אריזה 42+24'!$A:$C,3,0)</f>
        <v>#N/A</v>
      </c>
      <c r="S2837" t="e">
        <f>VLOOKUP(#REF!,'מלאי לא תקין'!A:N,17,0)</f>
        <v>#REF!</v>
      </c>
      <c r="T2837" t="e">
        <f t="shared" si="93"/>
        <v>#REF!</v>
      </c>
      <c r="U2837" t="e">
        <f t="shared" si="94"/>
        <v>#REF!</v>
      </c>
    </row>
    <row r="2838" spans="4:21" x14ac:dyDescent="0.2">
      <c r="D2838" s="4"/>
      <c r="G2838" s="5"/>
      <c r="H2838" s="5"/>
      <c r="I2838" s="4"/>
      <c r="J2838" s="4"/>
      <c r="K2838" s="5"/>
      <c r="Q2838" t="e">
        <f>VLOOKUP(A2838,'גיליון דאטה להכל'!A:E,5,0)</f>
        <v>#N/A</v>
      </c>
      <c r="R2838" t="e">
        <f>VLOOKUP(A2838,'לעדכן בסינתזה דאטה אריזה 42+24'!$A:$C,3,0)</f>
        <v>#N/A</v>
      </c>
      <c r="S2838" t="e">
        <f>VLOOKUP(#REF!,'מלאי לא תקין'!A:N,17,0)</f>
        <v>#REF!</v>
      </c>
      <c r="T2838" t="e">
        <f t="shared" si="93"/>
        <v>#REF!</v>
      </c>
      <c r="U2838" t="e">
        <f t="shared" si="94"/>
        <v>#REF!</v>
      </c>
    </row>
    <row r="2839" spans="4:21" x14ac:dyDescent="0.2">
      <c r="D2839" s="4"/>
      <c r="G2839" s="5"/>
      <c r="H2839" s="5"/>
      <c r="I2839" s="4"/>
      <c r="J2839" s="4"/>
      <c r="K2839" s="5"/>
      <c r="Q2839" t="e">
        <f>VLOOKUP(A2839,'גיליון דאטה להכל'!A:E,5,0)</f>
        <v>#N/A</v>
      </c>
      <c r="R2839" t="e">
        <f>VLOOKUP(A2839,'לעדכן בסינתזה דאטה אריזה 42+24'!$A:$C,3,0)</f>
        <v>#N/A</v>
      </c>
      <c r="S2839" t="e">
        <f>VLOOKUP(#REF!,'מלאי לא תקין'!A:N,17,0)</f>
        <v>#REF!</v>
      </c>
      <c r="T2839" t="e">
        <f t="shared" si="93"/>
        <v>#REF!</v>
      </c>
      <c r="U2839" t="e">
        <f t="shared" si="94"/>
        <v>#REF!</v>
      </c>
    </row>
    <row r="2840" spans="4:21" x14ac:dyDescent="0.2">
      <c r="D2840" s="4"/>
      <c r="G2840" s="5"/>
      <c r="H2840" s="7"/>
      <c r="I2840" s="4"/>
      <c r="J2840" s="4"/>
      <c r="K2840" s="5"/>
      <c r="Q2840" t="e">
        <f>VLOOKUP(A2840,'גיליון דאטה להכל'!A:E,5,0)</f>
        <v>#N/A</v>
      </c>
      <c r="R2840" t="e">
        <f>VLOOKUP(A2840,'לעדכן בסינתזה דאטה אריזה 42+24'!$A:$C,3,0)</f>
        <v>#N/A</v>
      </c>
      <c r="S2840" t="e">
        <f>VLOOKUP(#REF!,'מלאי לא תקין'!A:N,17,0)</f>
        <v>#REF!</v>
      </c>
      <c r="T2840" t="e">
        <f t="shared" si="93"/>
        <v>#REF!</v>
      </c>
      <c r="U2840" t="e">
        <f t="shared" si="94"/>
        <v>#REF!</v>
      </c>
    </row>
    <row r="2841" spans="4:21" x14ac:dyDescent="0.2">
      <c r="D2841" s="4"/>
      <c r="G2841" s="5"/>
      <c r="H2841" s="5"/>
      <c r="I2841" s="4"/>
      <c r="J2841" s="4"/>
      <c r="K2841" s="5"/>
      <c r="Q2841" t="e">
        <f>VLOOKUP(A2841,'גיליון דאטה להכל'!A:E,5,0)</f>
        <v>#N/A</v>
      </c>
      <c r="R2841" t="e">
        <f>VLOOKUP(A2841,'לעדכן בסינתזה דאטה אריזה 42+24'!$A:$C,3,0)</f>
        <v>#N/A</v>
      </c>
      <c r="S2841" t="e">
        <f>VLOOKUP(#REF!,'מלאי לא תקין'!A:N,17,0)</f>
        <v>#REF!</v>
      </c>
      <c r="T2841" t="e">
        <f t="shared" si="93"/>
        <v>#REF!</v>
      </c>
      <c r="U2841" t="e">
        <f t="shared" si="94"/>
        <v>#REF!</v>
      </c>
    </row>
    <row r="2842" spans="4:21" x14ac:dyDescent="0.2">
      <c r="D2842" s="4"/>
      <c r="G2842" s="5"/>
      <c r="H2842" s="5"/>
      <c r="I2842" s="4"/>
      <c r="J2842" s="4"/>
      <c r="K2842" s="5"/>
      <c r="Q2842" t="e">
        <f>VLOOKUP(A2842,'גיליון דאטה להכל'!A:E,5,0)</f>
        <v>#N/A</v>
      </c>
      <c r="R2842" t="e">
        <f>VLOOKUP(A2842,'לעדכן בסינתזה דאטה אריזה 42+24'!$A:$C,3,0)</f>
        <v>#N/A</v>
      </c>
      <c r="S2842" t="e">
        <f>VLOOKUP(#REF!,'מלאי לא תקין'!A:N,17,0)</f>
        <v>#REF!</v>
      </c>
      <c r="T2842" t="e">
        <f t="shared" si="93"/>
        <v>#REF!</v>
      </c>
      <c r="U2842" t="e">
        <f t="shared" si="94"/>
        <v>#REF!</v>
      </c>
    </row>
    <row r="2843" spans="4:21" x14ac:dyDescent="0.2">
      <c r="D2843" s="4"/>
      <c r="G2843" s="5"/>
      <c r="H2843" s="5"/>
      <c r="I2843" s="4"/>
      <c r="J2843" s="4"/>
      <c r="K2843" s="5"/>
      <c r="Q2843" t="e">
        <f>VLOOKUP(A2843,'גיליון דאטה להכל'!A:E,5,0)</f>
        <v>#N/A</v>
      </c>
      <c r="R2843" t="e">
        <f>VLOOKUP(A2843,'לעדכן בסינתזה דאטה אריזה 42+24'!$A:$C,3,0)</f>
        <v>#N/A</v>
      </c>
      <c r="S2843" t="e">
        <f>VLOOKUP(#REF!,'מלאי לא תקין'!A:N,17,0)</f>
        <v>#REF!</v>
      </c>
      <c r="T2843" t="e">
        <f t="shared" si="93"/>
        <v>#REF!</v>
      </c>
      <c r="U2843" t="e">
        <f t="shared" si="94"/>
        <v>#REF!</v>
      </c>
    </row>
    <row r="2844" spans="4:21" x14ac:dyDescent="0.2">
      <c r="D2844" s="4"/>
      <c r="G2844" s="5"/>
      <c r="H2844" s="5"/>
      <c r="I2844" s="4"/>
      <c r="J2844" s="4"/>
      <c r="K2844" s="5"/>
      <c r="Q2844" t="e">
        <f>VLOOKUP(A2844,'גיליון דאטה להכל'!A:E,5,0)</f>
        <v>#N/A</v>
      </c>
      <c r="R2844" t="e">
        <f>VLOOKUP(A2844,'לעדכן בסינתזה דאטה אריזה 42+24'!$A:$C,3,0)</f>
        <v>#N/A</v>
      </c>
      <c r="S2844" t="e">
        <f>VLOOKUP(#REF!,'מלאי לא תקין'!A:N,17,0)</f>
        <v>#REF!</v>
      </c>
      <c r="T2844" t="e">
        <f t="shared" si="93"/>
        <v>#REF!</v>
      </c>
      <c r="U2844" t="e">
        <f t="shared" si="94"/>
        <v>#REF!</v>
      </c>
    </row>
    <row r="2845" spans="4:21" x14ac:dyDescent="0.2">
      <c r="D2845" s="4"/>
      <c r="G2845" s="5"/>
      <c r="H2845" s="7"/>
      <c r="I2845" s="4"/>
      <c r="J2845" s="4"/>
      <c r="K2845" s="5"/>
      <c r="Q2845" t="e">
        <f>VLOOKUP(A2845,'גיליון דאטה להכל'!A:E,5,0)</f>
        <v>#N/A</v>
      </c>
      <c r="R2845" t="e">
        <f>VLOOKUP(A2845,'לעדכן בסינתזה דאטה אריזה 42+24'!$A:$C,3,0)</f>
        <v>#N/A</v>
      </c>
      <c r="S2845" t="e">
        <f>VLOOKUP(#REF!,'מלאי לא תקין'!A:N,17,0)</f>
        <v>#REF!</v>
      </c>
      <c r="T2845" t="e">
        <f t="shared" si="93"/>
        <v>#REF!</v>
      </c>
      <c r="U2845" t="e">
        <f t="shared" si="94"/>
        <v>#REF!</v>
      </c>
    </row>
    <row r="2846" spans="4:21" x14ac:dyDescent="0.2">
      <c r="D2846" s="4"/>
      <c r="G2846" s="5"/>
      <c r="H2846" s="5"/>
      <c r="I2846" s="4"/>
      <c r="J2846" s="4"/>
      <c r="K2846" s="5"/>
      <c r="Q2846" t="e">
        <f>VLOOKUP(A2846,'גיליון דאטה להכל'!A:E,5,0)</f>
        <v>#N/A</v>
      </c>
      <c r="R2846" t="e">
        <f>VLOOKUP(A2846,'לעדכן בסינתזה דאטה אריזה 42+24'!$A:$C,3,0)</f>
        <v>#N/A</v>
      </c>
      <c r="S2846" t="e">
        <f>VLOOKUP(#REF!,'מלאי לא תקין'!A:N,17,0)</f>
        <v>#REF!</v>
      </c>
      <c r="T2846" t="e">
        <f t="shared" si="93"/>
        <v>#REF!</v>
      </c>
      <c r="U2846" t="e">
        <f t="shared" si="94"/>
        <v>#REF!</v>
      </c>
    </row>
    <row r="2847" spans="4:21" x14ac:dyDescent="0.2">
      <c r="D2847" s="4"/>
      <c r="G2847" s="5"/>
      <c r="H2847" s="5"/>
      <c r="I2847" s="4"/>
      <c r="J2847" s="4"/>
      <c r="K2847" s="5"/>
      <c r="Q2847" t="e">
        <f>VLOOKUP(A2847,'גיליון דאטה להכל'!A:E,5,0)</f>
        <v>#N/A</v>
      </c>
      <c r="R2847" t="e">
        <f>VLOOKUP(A2847,'לעדכן בסינתזה דאטה אריזה 42+24'!$A:$C,3,0)</f>
        <v>#N/A</v>
      </c>
      <c r="S2847" t="e">
        <f>VLOOKUP(#REF!,'מלאי לא תקין'!A:N,17,0)</f>
        <v>#REF!</v>
      </c>
      <c r="T2847" t="e">
        <f t="shared" si="93"/>
        <v>#REF!</v>
      </c>
      <c r="U2847" t="e">
        <f t="shared" si="94"/>
        <v>#REF!</v>
      </c>
    </row>
    <row r="2848" spans="4:21" x14ac:dyDescent="0.2">
      <c r="D2848" s="4"/>
      <c r="G2848" s="5"/>
      <c r="H2848" s="5"/>
      <c r="I2848" s="4"/>
      <c r="J2848" s="4"/>
      <c r="K2848" s="5"/>
      <c r="Q2848" t="e">
        <f>VLOOKUP(A2848,'גיליון דאטה להכל'!A:E,5,0)</f>
        <v>#N/A</v>
      </c>
      <c r="R2848" t="e">
        <f>VLOOKUP(A2848,'לעדכן בסינתזה דאטה אריזה 42+24'!$A:$C,3,0)</f>
        <v>#N/A</v>
      </c>
      <c r="S2848" t="e">
        <f>VLOOKUP(#REF!,'מלאי לא תקין'!A:N,17,0)</f>
        <v>#REF!</v>
      </c>
      <c r="T2848" t="e">
        <f t="shared" si="93"/>
        <v>#REF!</v>
      </c>
      <c r="U2848" t="e">
        <f t="shared" si="94"/>
        <v>#REF!</v>
      </c>
    </row>
    <row r="2849" spans="4:21" x14ac:dyDescent="0.2">
      <c r="D2849" s="4"/>
      <c r="G2849" s="5"/>
      <c r="H2849" s="5"/>
      <c r="I2849" s="4"/>
      <c r="J2849" s="4"/>
      <c r="K2849" s="5"/>
      <c r="Q2849" t="e">
        <f>VLOOKUP(A2849,'גיליון דאטה להכל'!A:E,5,0)</f>
        <v>#N/A</v>
      </c>
      <c r="R2849" t="e">
        <f>VLOOKUP(A2849,'לעדכן בסינתזה דאטה אריזה 42+24'!$A:$C,3,0)</f>
        <v>#N/A</v>
      </c>
      <c r="S2849" t="e">
        <f>VLOOKUP(#REF!,'מלאי לא תקין'!A:N,17,0)</f>
        <v>#REF!</v>
      </c>
      <c r="T2849" t="e">
        <f t="shared" si="93"/>
        <v>#REF!</v>
      </c>
      <c r="U2849" t="e">
        <f t="shared" si="94"/>
        <v>#REF!</v>
      </c>
    </row>
    <row r="2850" spans="4:21" x14ac:dyDescent="0.2">
      <c r="D2850" s="4"/>
      <c r="G2850" s="5"/>
      <c r="H2850" s="7"/>
      <c r="I2850" s="4"/>
      <c r="J2850" s="4"/>
      <c r="K2850" s="5"/>
      <c r="Q2850" t="e">
        <f>VLOOKUP(A2850,'גיליון דאטה להכל'!A:E,5,0)</f>
        <v>#N/A</v>
      </c>
      <c r="R2850" t="e">
        <f>VLOOKUP(A2850,'לעדכן בסינתזה דאטה אריזה 42+24'!$A:$C,3,0)</f>
        <v>#N/A</v>
      </c>
      <c r="S2850" t="e">
        <f>VLOOKUP(#REF!,'מלאי לא תקין'!A:N,17,0)</f>
        <v>#REF!</v>
      </c>
      <c r="T2850" t="e">
        <f t="shared" si="93"/>
        <v>#REF!</v>
      </c>
      <c r="U2850" t="e">
        <f t="shared" si="94"/>
        <v>#REF!</v>
      </c>
    </row>
    <row r="2851" spans="4:21" x14ac:dyDescent="0.2">
      <c r="D2851" s="4"/>
      <c r="G2851" s="5"/>
      <c r="H2851" s="5"/>
      <c r="I2851" s="4"/>
      <c r="J2851" s="4"/>
      <c r="K2851" s="5"/>
      <c r="Q2851" t="e">
        <f>VLOOKUP(A2851,'גיליון דאטה להכל'!A:E,5,0)</f>
        <v>#N/A</v>
      </c>
      <c r="R2851" t="e">
        <f>VLOOKUP(A2851,'לעדכן בסינתזה דאטה אריזה 42+24'!$A:$C,3,0)</f>
        <v>#N/A</v>
      </c>
      <c r="S2851" t="e">
        <f>VLOOKUP(#REF!,'מלאי לא תקין'!A:N,17,0)</f>
        <v>#REF!</v>
      </c>
      <c r="T2851" t="e">
        <f t="shared" si="93"/>
        <v>#REF!</v>
      </c>
      <c r="U2851" t="e">
        <f t="shared" si="94"/>
        <v>#REF!</v>
      </c>
    </row>
    <row r="2852" spans="4:21" x14ac:dyDescent="0.2">
      <c r="D2852" s="4"/>
      <c r="G2852" s="5"/>
      <c r="H2852" s="5"/>
      <c r="I2852" s="4"/>
      <c r="J2852" s="4"/>
      <c r="K2852" s="5"/>
      <c r="Q2852" t="e">
        <f>VLOOKUP(A2852,'גיליון דאטה להכל'!A:E,5,0)</f>
        <v>#N/A</v>
      </c>
      <c r="R2852" t="e">
        <f>VLOOKUP(A2852,'לעדכן בסינתזה דאטה אריזה 42+24'!$A:$C,3,0)</f>
        <v>#N/A</v>
      </c>
      <c r="S2852" t="e">
        <f>VLOOKUP(#REF!,'מלאי לא תקין'!A:N,17,0)</f>
        <v>#REF!</v>
      </c>
      <c r="T2852" t="e">
        <f t="shared" si="93"/>
        <v>#REF!</v>
      </c>
      <c r="U2852" t="e">
        <f t="shared" si="94"/>
        <v>#REF!</v>
      </c>
    </row>
    <row r="2853" spans="4:21" x14ac:dyDescent="0.2">
      <c r="D2853" s="4"/>
      <c r="G2853" s="5"/>
      <c r="H2853" s="5"/>
      <c r="I2853" s="4"/>
      <c r="J2853" s="4"/>
      <c r="K2853" s="5"/>
      <c r="Q2853" t="e">
        <f>VLOOKUP(A2853,'גיליון דאטה להכל'!A:E,5,0)</f>
        <v>#N/A</v>
      </c>
      <c r="R2853" t="e">
        <f>VLOOKUP(A2853,'לעדכן בסינתזה דאטה אריזה 42+24'!$A:$C,3,0)</f>
        <v>#N/A</v>
      </c>
      <c r="S2853" t="e">
        <f>VLOOKUP(#REF!,'מלאי לא תקין'!A:N,17,0)</f>
        <v>#REF!</v>
      </c>
      <c r="T2853" t="e">
        <f t="shared" si="93"/>
        <v>#REF!</v>
      </c>
      <c r="U2853" t="e">
        <f t="shared" si="94"/>
        <v>#REF!</v>
      </c>
    </row>
    <row r="2854" spans="4:21" x14ac:dyDescent="0.2">
      <c r="D2854" s="4"/>
      <c r="G2854" s="5"/>
      <c r="H2854" s="5"/>
      <c r="I2854" s="4"/>
      <c r="J2854" s="4"/>
      <c r="K2854" s="5"/>
      <c r="Q2854" t="e">
        <f>VLOOKUP(A2854,'גיליון דאטה להכל'!A:E,5,0)</f>
        <v>#N/A</v>
      </c>
      <c r="R2854" t="e">
        <f>VLOOKUP(A2854,'לעדכן בסינתזה דאטה אריזה 42+24'!$A:$C,3,0)</f>
        <v>#N/A</v>
      </c>
      <c r="S2854" t="e">
        <f>VLOOKUP(#REF!,'מלאי לא תקין'!A:N,17,0)</f>
        <v>#REF!</v>
      </c>
      <c r="T2854" t="e">
        <f t="shared" si="93"/>
        <v>#REF!</v>
      </c>
      <c r="U2854" t="e">
        <f t="shared" si="94"/>
        <v>#REF!</v>
      </c>
    </row>
    <row r="2855" spans="4:21" x14ac:dyDescent="0.2">
      <c r="D2855" s="4"/>
      <c r="G2855" s="5"/>
      <c r="H2855" s="7"/>
      <c r="I2855" s="4"/>
      <c r="J2855" s="4"/>
      <c r="K2855" s="5"/>
      <c r="Q2855" t="e">
        <f>VLOOKUP(A2855,'גיליון דאטה להכל'!A:E,5,0)</f>
        <v>#N/A</v>
      </c>
      <c r="R2855" t="e">
        <f>VLOOKUP(A2855,'לעדכן בסינתזה דאטה אריזה 42+24'!$A:$C,3,0)</f>
        <v>#N/A</v>
      </c>
      <c r="S2855" t="e">
        <f>VLOOKUP(#REF!,'מלאי לא תקין'!A:N,17,0)</f>
        <v>#REF!</v>
      </c>
      <c r="T2855" t="e">
        <f t="shared" si="93"/>
        <v>#REF!</v>
      </c>
      <c r="U2855" t="e">
        <f t="shared" si="94"/>
        <v>#REF!</v>
      </c>
    </row>
    <row r="2856" spans="4:21" x14ac:dyDescent="0.2">
      <c r="D2856" s="4"/>
      <c r="G2856" s="5"/>
      <c r="H2856" s="5"/>
      <c r="I2856" s="4"/>
      <c r="J2856" s="4"/>
      <c r="K2856" s="5"/>
      <c r="Q2856" t="e">
        <f>VLOOKUP(A2856,'גיליון דאטה להכל'!A:E,5,0)</f>
        <v>#N/A</v>
      </c>
      <c r="R2856" t="e">
        <f>VLOOKUP(A2856,'לעדכן בסינתזה דאטה אריזה 42+24'!$A:$C,3,0)</f>
        <v>#N/A</v>
      </c>
      <c r="S2856" t="e">
        <f>VLOOKUP(#REF!,'מלאי לא תקין'!A:N,17,0)</f>
        <v>#REF!</v>
      </c>
      <c r="T2856" t="e">
        <f t="shared" si="93"/>
        <v>#REF!</v>
      </c>
      <c r="U2856" t="e">
        <f t="shared" si="94"/>
        <v>#REF!</v>
      </c>
    </row>
    <row r="2857" spans="4:21" x14ac:dyDescent="0.2">
      <c r="D2857" s="4"/>
      <c r="G2857" s="5"/>
      <c r="H2857" s="5"/>
      <c r="I2857" s="4"/>
      <c r="J2857" s="4"/>
      <c r="K2857" s="5"/>
      <c r="Q2857" t="e">
        <f>VLOOKUP(A2857,'גיליון דאטה להכל'!A:E,5,0)</f>
        <v>#N/A</v>
      </c>
      <c r="R2857" t="e">
        <f>VLOOKUP(A2857,'לעדכן בסינתזה דאטה אריזה 42+24'!$A:$C,3,0)</f>
        <v>#N/A</v>
      </c>
      <c r="S2857" t="e">
        <f>VLOOKUP(#REF!,'מלאי לא תקין'!A:N,17,0)</f>
        <v>#REF!</v>
      </c>
      <c r="T2857" t="e">
        <f t="shared" si="93"/>
        <v>#REF!</v>
      </c>
      <c r="U2857" t="e">
        <f t="shared" si="94"/>
        <v>#REF!</v>
      </c>
    </row>
    <row r="2858" spans="4:21" x14ac:dyDescent="0.2">
      <c r="D2858" s="4"/>
      <c r="G2858" s="5"/>
      <c r="H2858" s="5"/>
      <c r="I2858" s="4"/>
      <c r="J2858" s="4"/>
      <c r="K2858" s="5"/>
      <c r="Q2858" t="e">
        <f>VLOOKUP(A2858,'גיליון דאטה להכל'!A:E,5,0)</f>
        <v>#N/A</v>
      </c>
      <c r="R2858" t="e">
        <f>VLOOKUP(A2858,'לעדכן בסינתזה דאטה אריזה 42+24'!$A:$C,3,0)</f>
        <v>#N/A</v>
      </c>
      <c r="S2858" t="e">
        <f>VLOOKUP(#REF!,'מלאי לא תקין'!A:N,17,0)</f>
        <v>#REF!</v>
      </c>
      <c r="T2858" t="e">
        <f t="shared" si="93"/>
        <v>#REF!</v>
      </c>
      <c r="U2858" t="e">
        <f t="shared" si="94"/>
        <v>#REF!</v>
      </c>
    </row>
    <row r="2859" spans="4:21" x14ac:dyDescent="0.2">
      <c r="D2859" s="4"/>
      <c r="G2859" s="5"/>
      <c r="H2859" s="5"/>
      <c r="I2859" s="4"/>
      <c r="J2859" s="4"/>
      <c r="K2859" s="5"/>
      <c r="Q2859" t="e">
        <f>VLOOKUP(A2859,'גיליון דאטה להכל'!A:E,5,0)</f>
        <v>#N/A</v>
      </c>
      <c r="R2859" t="e">
        <f>VLOOKUP(A2859,'לעדכן בסינתזה דאטה אריזה 42+24'!$A:$C,3,0)</f>
        <v>#N/A</v>
      </c>
      <c r="S2859" t="e">
        <f>VLOOKUP(#REF!,'מלאי לא תקין'!A:N,17,0)</f>
        <v>#REF!</v>
      </c>
      <c r="T2859" t="e">
        <f t="shared" si="93"/>
        <v>#REF!</v>
      </c>
      <c r="U2859" t="e">
        <f t="shared" si="94"/>
        <v>#REF!</v>
      </c>
    </row>
    <row r="2860" spans="4:21" x14ac:dyDescent="0.2">
      <c r="D2860" s="4"/>
      <c r="G2860" s="5"/>
      <c r="H2860" s="7"/>
      <c r="I2860" s="4"/>
      <c r="J2860" s="4"/>
      <c r="K2860" s="5"/>
      <c r="Q2860" t="e">
        <f>VLOOKUP(A2860,'גיליון דאטה להכל'!A:E,5,0)</f>
        <v>#N/A</v>
      </c>
      <c r="R2860" t="e">
        <f>VLOOKUP(A2860,'לעדכן בסינתזה דאטה אריזה 42+24'!$A:$C,3,0)</f>
        <v>#N/A</v>
      </c>
      <c r="S2860" t="e">
        <f>VLOOKUP(#REF!,'מלאי לא תקין'!A:N,17,0)</f>
        <v>#REF!</v>
      </c>
      <c r="T2860" t="e">
        <f t="shared" si="93"/>
        <v>#REF!</v>
      </c>
      <c r="U2860" t="e">
        <f t="shared" si="94"/>
        <v>#REF!</v>
      </c>
    </row>
    <row r="2861" spans="4:21" x14ac:dyDescent="0.2">
      <c r="D2861" s="4"/>
      <c r="G2861" s="5"/>
      <c r="H2861" s="5"/>
      <c r="I2861" s="4"/>
      <c r="J2861" s="4"/>
      <c r="K2861" s="5"/>
      <c r="Q2861" t="e">
        <f>VLOOKUP(A2861,'גיליון דאטה להכל'!A:E,5,0)</f>
        <v>#N/A</v>
      </c>
      <c r="R2861" t="e">
        <f>VLOOKUP(A2861,'לעדכן בסינתזה דאטה אריזה 42+24'!$A:$C,3,0)</f>
        <v>#N/A</v>
      </c>
      <c r="S2861" t="e">
        <f>VLOOKUP(#REF!,'מלאי לא תקין'!A:N,17,0)</f>
        <v>#REF!</v>
      </c>
      <c r="T2861" t="e">
        <f t="shared" si="93"/>
        <v>#REF!</v>
      </c>
      <c r="U2861" t="e">
        <f t="shared" si="94"/>
        <v>#REF!</v>
      </c>
    </row>
    <row r="2862" spans="4:21" x14ac:dyDescent="0.2">
      <c r="D2862" s="4"/>
      <c r="G2862" s="5"/>
      <c r="H2862" s="5"/>
      <c r="I2862" s="4"/>
      <c r="J2862" s="4"/>
      <c r="K2862" s="5"/>
      <c r="Q2862" t="e">
        <f>VLOOKUP(A2862,'גיליון דאטה להכל'!A:E,5,0)</f>
        <v>#N/A</v>
      </c>
      <c r="R2862" t="e">
        <f>VLOOKUP(A2862,'לעדכן בסינתזה דאטה אריזה 42+24'!$A:$C,3,0)</f>
        <v>#N/A</v>
      </c>
      <c r="S2862" t="e">
        <f>VLOOKUP(#REF!,'מלאי לא תקין'!A:N,17,0)</f>
        <v>#REF!</v>
      </c>
      <c r="T2862" t="e">
        <f t="shared" si="93"/>
        <v>#REF!</v>
      </c>
      <c r="U2862" t="e">
        <f t="shared" si="94"/>
        <v>#REF!</v>
      </c>
    </row>
    <row r="2863" spans="4:21" x14ac:dyDescent="0.2">
      <c r="D2863" s="4"/>
      <c r="G2863" s="5"/>
      <c r="H2863" s="5"/>
      <c r="I2863" s="4"/>
      <c r="J2863" s="4"/>
      <c r="K2863" s="5"/>
      <c r="Q2863" t="e">
        <f>VLOOKUP(A2863,'גיליון דאטה להכל'!A:E,5,0)</f>
        <v>#N/A</v>
      </c>
      <c r="R2863" t="e">
        <f>VLOOKUP(A2863,'לעדכן בסינתזה דאטה אריזה 42+24'!$A:$C,3,0)</f>
        <v>#N/A</v>
      </c>
      <c r="S2863" t="e">
        <f>VLOOKUP(#REF!,'מלאי לא תקין'!A:N,17,0)</f>
        <v>#REF!</v>
      </c>
      <c r="T2863" t="e">
        <f t="shared" si="93"/>
        <v>#REF!</v>
      </c>
      <c r="U2863" t="e">
        <f t="shared" si="94"/>
        <v>#REF!</v>
      </c>
    </row>
    <row r="2864" spans="4:21" x14ac:dyDescent="0.2">
      <c r="D2864" s="4"/>
      <c r="G2864" s="5"/>
      <c r="H2864" s="5"/>
      <c r="I2864" s="4"/>
      <c r="J2864" s="4"/>
      <c r="K2864" s="5"/>
      <c r="Q2864" t="e">
        <f>VLOOKUP(A2864,'גיליון דאטה להכל'!A:E,5,0)</f>
        <v>#N/A</v>
      </c>
      <c r="R2864" t="e">
        <f>VLOOKUP(A2864,'לעדכן בסינתזה דאטה אריזה 42+24'!$A:$C,3,0)</f>
        <v>#N/A</v>
      </c>
      <c r="S2864" t="e">
        <f>VLOOKUP(#REF!,'מלאי לא תקין'!A:N,17,0)</f>
        <v>#REF!</v>
      </c>
      <c r="T2864" t="e">
        <f t="shared" si="93"/>
        <v>#REF!</v>
      </c>
      <c r="U2864" t="e">
        <f t="shared" si="94"/>
        <v>#REF!</v>
      </c>
    </row>
    <row r="2865" spans="4:21" x14ac:dyDescent="0.2">
      <c r="D2865" s="4"/>
      <c r="G2865" s="5"/>
      <c r="H2865" s="7"/>
      <c r="I2865" s="4"/>
      <c r="J2865" s="4"/>
      <c r="K2865" s="5"/>
      <c r="Q2865" t="e">
        <f>VLOOKUP(A2865,'גיליון דאטה להכל'!A:E,5,0)</f>
        <v>#N/A</v>
      </c>
      <c r="R2865" t="e">
        <f>VLOOKUP(A2865,'לעדכן בסינתזה דאטה אריזה 42+24'!$A:$C,3,0)</f>
        <v>#N/A</v>
      </c>
      <c r="S2865" t="e">
        <f>VLOOKUP(#REF!,'מלאי לא תקין'!A:N,17,0)</f>
        <v>#REF!</v>
      </c>
      <c r="T2865" t="e">
        <f t="shared" si="93"/>
        <v>#REF!</v>
      </c>
      <c r="U2865" t="e">
        <f t="shared" si="94"/>
        <v>#REF!</v>
      </c>
    </row>
    <row r="2866" spans="4:21" x14ac:dyDescent="0.2">
      <c r="D2866" s="4"/>
      <c r="G2866" s="5"/>
      <c r="H2866" s="5"/>
      <c r="I2866" s="4"/>
      <c r="J2866" s="4"/>
      <c r="K2866" s="5"/>
      <c r="Q2866" t="e">
        <f>VLOOKUP(A2866,'גיליון דאטה להכל'!A:E,5,0)</f>
        <v>#N/A</v>
      </c>
      <c r="R2866" t="e">
        <f>VLOOKUP(A2866,'לעדכן בסינתזה דאטה אריזה 42+24'!$A:$C,3,0)</f>
        <v>#N/A</v>
      </c>
      <c r="S2866" t="e">
        <f>VLOOKUP(#REF!,'מלאי לא תקין'!A:N,17,0)</f>
        <v>#REF!</v>
      </c>
      <c r="T2866" t="e">
        <f t="shared" si="93"/>
        <v>#REF!</v>
      </c>
      <c r="U2866" t="e">
        <f t="shared" si="94"/>
        <v>#REF!</v>
      </c>
    </row>
    <row r="2867" spans="4:21" x14ac:dyDescent="0.2">
      <c r="D2867" s="4"/>
      <c r="G2867" s="5"/>
      <c r="H2867" s="5"/>
      <c r="I2867" s="4"/>
      <c r="J2867" s="4"/>
      <c r="K2867" s="5"/>
      <c r="Q2867" t="e">
        <f>VLOOKUP(A2867,'גיליון דאטה להכל'!A:E,5,0)</f>
        <v>#N/A</v>
      </c>
      <c r="R2867" t="e">
        <f>VLOOKUP(A2867,'לעדכן בסינתזה דאטה אריזה 42+24'!$A:$C,3,0)</f>
        <v>#N/A</v>
      </c>
      <c r="S2867" t="e">
        <f>VLOOKUP(#REF!,'מלאי לא תקין'!A:N,17,0)</f>
        <v>#REF!</v>
      </c>
      <c r="T2867" t="e">
        <f t="shared" si="93"/>
        <v>#REF!</v>
      </c>
      <c r="U2867" t="e">
        <f t="shared" si="94"/>
        <v>#REF!</v>
      </c>
    </row>
    <row r="2868" spans="4:21" x14ac:dyDescent="0.2">
      <c r="D2868" s="4"/>
      <c r="G2868" s="5"/>
      <c r="H2868" s="5"/>
      <c r="I2868" s="4"/>
      <c r="J2868" s="4"/>
      <c r="K2868" s="5"/>
      <c r="Q2868" t="e">
        <f>VLOOKUP(A2868,'גיליון דאטה להכל'!A:E,5,0)</f>
        <v>#N/A</v>
      </c>
      <c r="R2868" t="e">
        <f>VLOOKUP(A2868,'לעדכן בסינתזה דאטה אריזה 42+24'!$A:$C,3,0)</f>
        <v>#N/A</v>
      </c>
      <c r="S2868" t="e">
        <f>VLOOKUP(#REF!,'מלאי לא תקין'!A:N,17,0)</f>
        <v>#REF!</v>
      </c>
      <c r="T2868" t="e">
        <f t="shared" si="93"/>
        <v>#REF!</v>
      </c>
      <c r="U2868" t="e">
        <f t="shared" si="94"/>
        <v>#REF!</v>
      </c>
    </row>
    <row r="2869" spans="4:21" x14ac:dyDescent="0.2">
      <c r="D2869" s="4"/>
      <c r="G2869" s="5"/>
      <c r="H2869" s="5"/>
      <c r="I2869" s="4"/>
      <c r="J2869" s="4"/>
      <c r="K2869" s="5"/>
      <c r="Q2869" t="e">
        <f>VLOOKUP(A2869,'גיליון דאטה להכל'!A:E,5,0)</f>
        <v>#N/A</v>
      </c>
      <c r="R2869" t="e">
        <f>VLOOKUP(A2869,'לעדכן בסינתזה דאטה אריזה 42+24'!$A:$C,3,0)</f>
        <v>#N/A</v>
      </c>
      <c r="S2869" t="e">
        <f>VLOOKUP(#REF!,'מלאי לא תקין'!A:N,17,0)</f>
        <v>#REF!</v>
      </c>
      <c r="T2869" t="e">
        <f t="shared" si="93"/>
        <v>#REF!</v>
      </c>
      <c r="U2869" t="e">
        <f t="shared" si="94"/>
        <v>#REF!</v>
      </c>
    </row>
    <row r="2870" spans="4:21" x14ac:dyDescent="0.2">
      <c r="D2870" s="4"/>
      <c r="G2870" s="5"/>
      <c r="H2870" s="7"/>
      <c r="I2870" s="4"/>
      <c r="J2870" s="4"/>
      <c r="K2870" s="5"/>
      <c r="Q2870" t="e">
        <f>VLOOKUP(A2870,'גיליון דאטה להכל'!A:E,5,0)</f>
        <v>#N/A</v>
      </c>
      <c r="R2870" t="e">
        <f>VLOOKUP(A2870,'לעדכן בסינתזה דאטה אריזה 42+24'!$A:$C,3,0)</f>
        <v>#N/A</v>
      </c>
      <c r="S2870" t="e">
        <f>VLOOKUP(#REF!,'מלאי לא תקין'!A:N,17,0)</f>
        <v>#REF!</v>
      </c>
      <c r="T2870" t="e">
        <f t="shared" si="93"/>
        <v>#REF!</v>
      </c>
      <c r="U2870" t="e">
        <f t="shared" si="94"/>
        <v>#REF!</v>
      </c>
    </row>
    <row r="2871" spans="4:21" x14ac:dyDescent="0.2">
      <c r="D2871" s="4"/>
      <c r="G2871" s="5"/>
      <c r="H2871" s="5"/>
      <c r="I2871" s="4"/>
      <c r="J2871" s="4"/>
      <c r="K2871" s="5"/>
      <c r="Q2871" t="e">
        <f>VLOOKUP(A2871,'גיליון דאטה להכל'!A:E,5,0)</f>
        <v>#N/A</v>
      </c>
      <c r="R2871" t="e">
        <f>VLOOKUP(A2871,'לעדכן בסינתזה דאטה אריזה 42+24'!$A:$C,3,0)</f>
        <v>#N/A</v>
      </c>
      <c r="S2871" t="e">
        <f>VLOOKUP(#REF!,'מלאי לא תקין'!A:N,17,0)</f>
        <v>#REF!</v>
      </c>
      <c r="T2871" t="e">
        <f t="shared" si="93"/>
        <v>#REF!</v>
      </c>
      <c r="U2871" t="e">
        <f t="shared" si="94"/>
        <v>#REF!</v>
      </c>
    </row>
    <row r="2872" spans="4:21" x14ac:dyDescent="0.2">
      <c r="D2872" s="4"/>
      <c r="G2872" s="5"/>
      <c r="H2872" s="5"/>
      <c r="I2872" s="4"/>
      <c r="J2872" s="4"/>
      <c r="K2872" s="5"/>
      <c r="Q2872" t="e">
        <f>VLOOKUP(A2872,'גיליון דאטה להכל'!A:E,5,0)</f>
        <v>#N/A</v>
      </c>
      <c r="R2872" t="e">
        <f>VLOOKUP(A2872,'לעדכן בסינתזה דאטה אריזה 42+24'!$A:$C,3,0)</f>
        <v>#N/A</v>
      </c>
      <c r="S2872" t="e">
        <f>VLOOKUP(#REF!,'מלאי לא תקין'!A:N,17,0)</f>
        <v>#REF!</v>
      </c>
      <c r="T2872" t="e">
        <f t="shared" si="93"/>
        <v>#REF!</v>
      </c>
      <c r="U2872" t="e">
        <f t="shared" si="94"/>
        <v>#REF!</v>
      </c>
    </row>
    <row r="2873" spans="4:21" x14ac:dyDescent="0.2">
      <c r="D2873" s="4"/>
      <c r="G2873" s="5"/>
      <c r="H2873" s="5"/>
      <c r="I2873" s="4"/>
      <c r="J2873" s="4"/>
      <c r="K2873" s="5"/>
      <c r="Q2873" t="e">
        <f>VLOOKUP(A2873,'גיליון דאטה להכל'!A:E,5,0)</f>
        <v>#N/A</v>
      </c>
      <c r="R2873" t="e">
        <f>VLOOKUP(A2873,'לעדכן בסינתזה דאטה אריזה 42+24'!$A:$C,3,0)</f>
        <v>#N/A</v>
      </c>
      <c r="S2873" t="e">
        <f>VLOOKUP(#REF!,'מלאי לא תקין'!A:N,17,0)</f>
        <v>#REF!</v>
      </c>
      <c r="T2873" t="e">
        <f t="shared" si="93"/>
        <v>#REF!</v>
      </c>
      <c r="U2873" t="e">
        <f t="shared" si="94"/>
        <v>#REF!</v>
      </c>
    </row>
    <row r="2874" spans="4:21" x14ac:dyDescent="0.2">
      <c r="D2874" s="4"/>
      <c r="G2874" s="5"/>
      <c r="H2874" s="5"/>
      <c r="I2874" s="4"/>
      <c r="J2874" s="4"/>
      <c r="K2874" s="5"/>
      <c r="Q2874" t="e">
        <f>VLOOKUP(A2874,'גיליון דאטה להכל'!A:E,5,0)</f>
        <v>#N/A</v>
      </c>
      <c r="R2874" t="e">
        <f>VLOOKUP(A2874,'לעדכן בסינתזה דאטה אריזה 42+24'!$A:$C,3,0)</f>
        <v>#N/A</v>
      </c>
      <c r="S2874" t="e">
        <f>VLOOKUP(#REF!,'מלאי לא תקין'!A:N,17,0)</f>
        <v>#REF!</v>
      </c>
      <c r="T2874" t="e">
        <f t="shared" si="93"/>
        <v>#REF!</v>
      </c>
      <c r="U2874" t="e">
        <f t="shared" si="94"/>
        <v>#REF!</v>
      </c>
    </row>
    <row r="2875" spans="4:21" x14ac:dyDescent="0.2">
      <c r="D2875" s="4"/>
      <c r="G2875" s="5"/>
      <c r="H2875" s="7"/>
      <c r="I2875" s="4"/>
      <c r="J2875" s="4"/>
      <c r="K2875" s="5"/>
      <c r="Q2875" t="e">
        <f>VLOOKUP(A2875,'גיליון דאטה להכל'!A:E,5,0)</f>
        <v>#N/A</v>
      </c>
      <c r="R2875" t="e">
        <f>VLOOKUP(A2875,'לעדכן בסינתזה דאטה אריזה 42+24'!$A:$C,3,0)</f>
        <v>#N/A</v>
      </c>
      <c r="S2875" t="e">
        <f>VLOOKUP(#REF!,'מלאי לא תקין'!A:N,17,0)</f>
        <v>#REF!</v>
      </c>
      <c r="T2875" t="e">
        <f t="shared" si="93"/>
        <v>#REF!</v>
      </c>
      <c r="U2875" t="e">
        <f t="shared" si="94"/>
        <v>#REF!</v>
      </c>
    </row>
    <row r="2876" spans="4:21" x14ac:dyDescent="0.2">
      <c r="D2876" s="4"/>
      <c r="G2876" s="5"/>
      <c r="H2876" s="5"/>
      <c r="I2876" s="4"/>
      <c r="J2876" s="4"/>
      <c r="K2876" s="5"/>
      <c r="Q2876" t="e">
        <f>VLOOKUP(A2876,'גיליון דאטה להכל'!A:E,5,0)</f>
        <v>#N/A</v>
      </c>
      <c r="R2876" t="e">
        <f>VLOOKUP(A2876,'לעדכן בסינתזה דאטה אריזה 42+24'!$A:$C,3,0)</f>
        <v>#N/A</v>
      </c>
      <c r="S2876" t="e">
        <f>VLOOKUP(#REF!,'מלאי לא תקין'!A:N,17,0)</f>
        <v>#REF!</v>
      </c>
      <c r="T2876" t="e">
        <f t="shared" si="93"/>
        <v>#REF!</v>
      </c>
      <c r="U2876" t="e">
        <f t="shared" si="94"/>
        <v>#REF!</v>
      </c>
    </row>
    <row r="2877" spans="4:21" x14ac:dyDescent="0.2">
      <c r="D2877" s="4"/>
      <c r="G2877" s="5"/>
      <c r="H2877" s="5"/>
      <c r="I2877" s="4"/>
      <c r="J2877" s="4"/>
      <c r="K2877" s="5"/>
      <c r="Q2877" t="e">
        <f>VLOOKUP(A2877,'גיליון דאטה להכל'!A:E,5,0)</f>
        <v>#N/A</v>
      </c>
      <c r="R2877" t="e">
        <f>VLOOKUP(A2877,'לעדכן בסינתזה דאטה אריזה 42+24'!$A:$C,3,0)</f>
        <v>#N/A</v>
      </c>
      <c r="S2877" t="e">
        <f>VLOOKUP(#REF!,'מלאי לא תקין'!A:N,17,0)</f>
        <v>#REF!</v>
      </c>
      <c r="T2877" t="e">
        <f t="shared" si="93"/>
        <v>#REF!</v>
      </c>
      <c r="U2877" t="e">
        <f t="shared" si="94"/>
        <v>#REF!</v>
      </c>
    </row>
    <row r="2878" spans="4:21" x14ac:dyDescent="0.2">
      <c r="D2878" s="4"/>
      <c r="G2878" s="5"/>
      <c r="H2878" s="5"/>
      <c r="I2878" s="4"/>
      <c r="J2878" s="4"/>
      <c r="K2878" s="5"/>
      <c r="Q2878" t="e">
        <f>VLOOKUP(A2878,'גיליון דאטה להכל'!A:E,5,0)</f>
        <v>#N/A</v>
      </c>
      <c r="R2878" t="e">
        <f>VLOOKUP(A2878,'לעדכן בסינתזה דאטה אריזה 42+24'!$A:$C,3,0)</f>
        <v>#N/A</v>
      </c>
      <c r="S2878" t="e">
        <f>VLOOKUP(#REF!,'מלאי לא תקין'!A:N,17,0)</f>
        <v>#REF!</v>
      </c>
      <c r="T2878" t="e">
        <f t="shared" ref="T2878:T2897" si="95">_xlfn.CONCAT(S2878,Q2878)</f>
        <v>#REF!</v>
      </c>
      <c r="U2878" t="e">
        <f t="shared" ref="U2878:U2897" si="96">_xlfn.CONCAT(S2878,O2878)</f>
        <v>#REF!</v>
      </c>
    </row>
    <row r="2879" spans="4:21" x14ac:dyDescent="0.2">
      <c r="D2879" s="4"/>
      <c r="G2879" s="5"/>
      <c r="H2879" s="5"/>
      <c r="I2879" s="4"/>
      <c r="J2879" s="4"/>
      <c r="K2879" s="5"/>
      <c r="Q2879" t="e">
        <f>VLOOKUP(A2879,'גיליון דאטה להכל'!A:E,5,0)</f>
        <v>#N/A</v>
      </c>
      <c r="R2879" t="e">
        <f>VLOOKUP(A2879,'לעדכן בסינתזה דאטה אריזה 42+24'!$A:$C,3,0)</f>
        <v>#N/A</v>
      </c>
      <c r="S2879" t="e">
        <f>VLOOKUP(#REF!,'מלאי לא תקין'!A:N,17,0)</f>
        <v>#REF!</v>
      </c>
      <c r="T2879" t="e">
        <f t="shared" si="95"/>
        <v>#REF!</v>
      </c>
      <c r="U2879" t="e">
        <f t="shared" si="96"/>
        <v>#REF!</v>
      </c>
    </row>
    <row r="2880" spans="4:21" x14ac:dyDescent="0.2">
      <c r="D2880" s="4"/>
      <c r="G2880" s="5"/>
      <c r="H2880" s="7"/>
      <c r="I2880" s="4"/>
      <c r="J2880" s="4"/>
      <c r="K2880" s="5"/>
      <c r="Q2880" t="e">
        <f>VLOOKUP(A2880,'גיליון דאטה להכל'!A:E,5,0)</f>
        <v>#N/A</v>
      </c>
      <c r="R2880" t="e">
        <f>VLOOKUP(A2880,'לעדכן בסינתזה דאטה אריזה 42+24'!$A:$C,3,0)</f>
        <v>#N/A</v>
      </c>
      <c r="S2880" t="e">
        <f>VLOOKUP(#REF!,'מלאי לא תקין'!A:N,17,0)</f>
        <v>#REF!</v>
      </c>
      <c r="T2880" t="e">
        <f t="shared" si="95"/>
        <v>#REF!</v>
      </c>
      <c r="U2880" t="e">
        <f t="shared" si="96"/>
        <v>#REF!</v>
      </c>
    </row>
    <row r="2881" spans="4:21" x14ac:dyDescent="0.2">
      <c r="D2881" s="4"/>
      <c r="G2881" s="5"/>
      <c r="H2881" s="5"/>
      <c r="I2881" s="4"/>
      <c r="J2881" s="4"/>
      <c r="K2881" s="5"/>
      <c r="Q2881" t="e">
        <f>VLOOKUP(A2881,'גיליון דאטה להכל'!A:E,5,0)</f>
        <v>#N/A</v>
      </c>
      <c r="R2881" t="e">
        <f>VLOOKUP(A2881,'לעדכן בסינתזה דאטה אריזה 42+24'!$A:$C,3,0)</f>
        <v>#N/A</v>
      </c>
      <c r="S2881" t="e">
        <f>VLOOKUP(#REF!,'מלאי לא תקין'!A:N,17,0)</f>
        <v>#REF!</v>
      </c>
      <c r="T2881" t="e">
        <f t="shared" si="95"/>
        <v>#REF!</v>
      </c>
      <c r="U2881" t="e">
        <f t="shared" si="96"/>
        <v>#REF!</v>
      </c>
    </row>
    <row r="2882" spans="4:21" x14ac:dyDescent="0.2">
      <c r="D2882" s="4"/>
      <c r="G2882" s="5"/>
      <c r="H2882" s="5"/>
      <c r="I2882" s="4"/>
      <c r="J2882" s="4"/>
      <c r="K2882" s="5"/>
      <c r="Q2882" t="e">
        <f>VLOOKUP(A2882,'גיליון דאטה להכל'!A:E,5,0)</f>
        <v>#N/A</v>
      </c>
      <c r="R2882" t="e">
        <f>VLOOKUP(A2882,'לעדכן בסינתזה דאטה אריזה 42+24'!$A:$C,3,0)</f>
        <v>#N/A</v>
      </c>
      <c r="S2882" t="e">
        <f>VLOOKUP(#REF!,'מלאי לא תקין'!A:N,17,0)</f>
        <v>#REF!</v>
      </c>
      <c r="T2882" t="e">
        <f t="shared" si="95"/>
        <v>#REF!</v>
      </c>
      <c r="U2882" t="e">
        <f t="shared" si="96"/>
        <v>#REF!</v>
      </c>
    </row>
    <row r="2883" spans="4:21" x14ac:dyDescent="0.2">
      <c r="D2883" s="4"/>
      <c r="G2883" s="5"/>
      <c r="H2883" s="5"/>
      <c r="I2883" s="4"/>
      <c r="J2883" s="4"/>
      <c r="K2883" s="5"/>
      <c r="Q2883" t="e">
        <f>VLOOKUP(A2883,'גיליון דאטה להכל'!A:E,5,0)</f>
        <v>#N/A</v>
      </c>
      <c r="R2883" t="e">
        <f>VLOOKUP(A2883,'לעדכן בסינתזה דאטה אריזה 42+24'!$A:$C,3,0)</f>
        <v>#N/A</v>
      </c>
      <c r="S2883" t="e">
        <f>VLOOKUP(#REF!,'מלאי לא תקין'!A:N,17,0)</f>
        <v>#REF!</v>
      </c>
      <c r="T2883" t="e">
        <f t="shared" si="95"/>
        <v>#REF!</v>
      </c>
      <c r="U2883" t="e">
        <f t="shared" si="96"/>
        <v>#REF!</v>
      </c>
    </row>
    <row r="2884" spans="4:21" x14ac:dyDescent="0.2">
      <c r="D2884" s="4"/>
      <c r="G2884" s="5"/>
      <c r="H2884" s="5"/>
      <c r="I2884" s="4"/>
      <c r="J2884" s="4"/>
      <c r="K2884" s="5"/>
      <c r="Q2884" t="e">
        <f>VLOOKUP(A2884,'גיליון דאטה להכל'!A:E,5,0)</f>
        <v>#N/A</v>
      </c>
      <c r="R2884" t="e">
        <f>VLOOKUP(A2884,'לעדכן בסינתזה דאטה אריזה 42+24'!$A:$C,3,0)</f>
        <v>#N/A</v>
      </c>
      <c r="S2884" t="e">
        <f>VLOOKUP(#REF!,'מלאי לא תקין'!A:N,17,0)</f>
        <v>#REF!</v>
      </c>
      <c r="T2884" t="e">
        <f t="shared" si="95"/>
        <v>#REF!</v>
      </c>
      <c r="U2884" t="e">
        <f t="shared" si="96"/>
        <v>#REF!</v>
      </c>
    </row>
    <row r="2885" spans="4:21" x14ac:dyDescent="0.2">
      <c r="D2885" s="4"/>
      <c r="G2885" s="5"/>
      <c r="H2885" s="7"/>
      <c r="I2885" s="4"/>
      <c r="J2885" s="4"/>
      <c r="K2885" s="5"/>
      <c r="Q2885" t="e">
        <f>VLOOKUP(A2885,'גיליון דאטה להכל'!A:E,5,0)</f>
        <v>#N/A</v>
      </c>
      <c r="R2885" t="e">
        <f>VLOOKUP(A2885,'לעדכן בסינתזה דאטה אריזה 42+24'!$A:$C,3,0)</f>
        <v>#N/A</v>
      </c>
      <c r="S2885" t="e">
        <f>VLOOKUP(#REF!,'מלאי לא תקין'!A:N,17,0)</f>
        <v>#REF!</v>
      </c>
      <c r="T2885" t="e">
        <f t="shared" si="95"/>
        <v>#REF!</v>
      </c>
      <c r="U2885" t="e">
        <f t="shared" si="96"/>
        <v>#REF!</v>
      </c>
    </row>
    <row r="2886" spans="4:21" x14ac:dyDescent="0.2">
      <c r="D2886" s="4"/>
      <c r="G2886" s="5"/>
      <c r="H2886" s="5"/>
      <c r="I2886" s="4"/>
      <c r="J2886" s="4"/>
      <c r="K2886" s="5"/>
      <c r="Q2886" t="e">
        <f>VLOOKUP(A2886,'גיליון דאטה להכל'!A:E,5,0)</f>
        <v>#N/A</v>
      </c>
      <c r="R2886" t="e">
        <f>VLOOKUP(A2886,'לעדכן בסינתזה דאטה אריזה 42+24'!$A:$C,3,0)</f>
        <v>#N/A</v>
      </c>
      <c r="S2886" t="e">
        <f>VLOOKUP(#REF!,'מלאי לא תקין'!A:N,17,0)</f>
        <v>#REF!</v>
      </c>
      <c r="T2886" t="e">
        <f t="shared" si="95"/>
        <v>#REF!</v>
      </c>
      <c r="U2886" t="e">
        <f t="shared" si="96"/>
        <v>#REF!</v>
      </c>
    </row>
    <row r="2887" spans="4:21" x14ac:dyDescent="0.2">
      <c r="D2887" s="4"/>
      <c r="G2887" s="5"/>
      <c r="H2887" s="5"/>
      <c r="I2887" s="4"/>
      <c r="J2887" s="4"/>
      <c r="K2887" s="5"/>
      <c r="Q2887" t="e">
        <f>VLOOKUP(A2887,'גיליון דאטה להכל'!A:E,5,0)</f>
        <v>#N/A</v>
      </c>
      <c r="R2887" t="e">
        <f>VLOOKUP(A2887,'לעדכן בסינתזה דאטה אריזה 42+24'!$A:$C,3,0)</f>
        <v>#N/A</v>
      </c>
      <c r="S2887" t="e">
        <f>VLOOKUP(#REF!,'מלאי לא תקין'!A:N,17,0)</f>
        <v>#REF!</v>
      </c>
      <c r="T2887" t="e">
        <f t="shared" si="95"/>
        <v>#REF!</v>
      </c>
      <c r="U2887" t="e">
        <f t="shared" si="96"/>
        <v>#REF!</v>
      </c>
    </row>
    <row r="2888" spans="4:21" x14ac:dyDescent="0.2">
      <c r="D2888" s="4"/>
      <c r="G2888" s="5"/>
      <c r="H2888" s="5"/>
      <c r="I2888" s="4"/>
      <c r="J2888" s="4"/>
      <c r="K2888" s="5"/>
      <c r="Q2888" t="e">
        <f>VLOOKUP(A2888,'גיליון דאטה להכל'!A:E,5,0)</f>
        <v>#N/A</v>
      </c>
      <c r="R2888" t="e">
        <f>VLOOKUP(A2888,'לעדכן בסינתזה דאטה אריזה 42+24'!$A:$C,3,0)</f>
        <v>#N/A</v>
      </c>
      <c r="S2888" t="e">
        <f>VLOOKUP(#REF!,'מלאי לא תקין'!A:N,17,0)</f>
        <v>#REF!</v>
      </c>
      <c r="T2888" t="e">
        <f t="shared" si="95"/>
        <v>#REF!</v>
      </c>
      <c r="U2888" t="e">
        <f t="shared" si="96"/>
        <v>#REF!</v>
      </c>
    </row>
    <row r="2889" spans="4:21" x14ac:dyDescent="0.2">
      <c r="D2889" s="4"/>
      <c r="G2889" s="5"/>
      <c r="H2889" s="5"/>
      <c r="I2889" s="4"/>
      <c r="J2889" s="4"/>
      <c r="K2889" s="5"/>
      <c r="Q2889" t="e">
        <f>VLOOKUP(A2889,'גיליון דאטה להכל'!A:E,5,0)</f>
        <v>#N/A</v>
      </c>
      <c r="R2889" t="e">
        <f>VLOOKUP(A2889,'לעדכן בסינתזה דאטה אריזה 42+24'!$A:$C,3,0)</f>
        <v>#N/A</v>
      </c>
      <c r="S2889" t="e">
        <f>VLOOKUP(#REF!,'מלאי לא תקין'!A:N,17,0)</f>
        <v>#REF!</v>
      </c>
      <c r="T2889" t="e">
        <f t="shared" si="95"/>
        <v>#REF!</v>
      </c>
      <c r="U2889" t="e">
        <f t="shared" si="96"/>
        <v>#REF!</v>
      </c>
    </row>
    <row r="2890" spans="4:21" x14ac:dyDescent="0.2">
      <c r="D2890" s="4"/>
      <c r="G2890" s="5"/>
      <c r="H2890" s="7"/>
      <c r="I2890" s="4"/>
      <c r="J2890" s="4"/>
      <c r="K2890" s="5"/>
      <c r="Q2890" t="e">
        <f>VLOOKUP(A2890,'גיליון דאטה להכל'!A:E,5,0)</f>
        <v>#N/A</v>
      </c>
      <c r="R2890" t="e">
        <f>VLOOKUP(A2890,'לעדכן בסינתזה דאטה אריזה 42+24'!$A:$C,3,0)</f>
        <v>#N/A</v>
      </c>
      <c r="S2890" t="e">
        <f>VLOOKUP(#REF!,'מלאי לא תקין'!A:N,17,0)</f>
        <v>#REF!</v>
      </c>
      <c r="T2890" t="e">
        <f t="shared" si="95"/>
        <v>#REF!</v>
      </c>
      <c r="U2890" t="e">
        <f t="shared" si="96"/>
        <v>#REF!</v>
      </c>
    </row>
    <row r="2891" spans="4:21" x14ac:dyDescent="0.2">
      <c r="D2891" s="4"/>
      <c r="G2891" s="5"/>
      <c r="H2891" s="5"/>
      <c r="I2891" s="4"/>
      <c r="J2891" s="4"/>
      <c r="K2891" s="5"/>
      <c r="Q2891" t="e">
        <f>VLOOKUP(A2891,'גיליון דאטה להכל'!A:E,5,0)</f>
        <v>#N/A</v>
      </c>
      <c r="R2891" t="e">
        <f>VLOOKUP(A2891,'לעדכן בסינתזה דאטה אריזה 42+24'!$A:$C,3,0)</f>
        <v>#N/A</v>
      </c>
      <c r="S2891" t="e">
        <f>VLOOKUP(#REF!,'מלאי לא תקין'!A:N,17,0)</f>
        <v>#REF!</v>
      </c>
      <c r="T2891" t="e">
        <f t="shared" si="95"/>
        <v>#REF!</v>
      </c>
      <c r="U2891" t="e">
        <f t="shared" si="96"/>
        <v>#REF!</v>
      </c>
    </row>
    <row r="2892" spans="4:21" x14ac:dyDescent="0.2">
      <c r="D2892" s="4"/>
      <c r="G2892" s="5"/>
      <c r="H2892" s="5"/>
      <c r="I2892" s="4"/>
      <c r="J2892" s="4"/>
      <c r="K2892" s="5"/>
      <c r="Q2892" t="e">
        <f>VLOOKUP(A2892,'גיליון דאטה להכל'!A:E,5,0)</f>
        <v>#N/A</v>
      </c>
      <c r="R2892" t="e">
        <f>VLOOKUP(A2892,'לעדכן בסינתזה דאטה אריזה 42+24'!$A:$C,3,0)</f>
        <v>#N/A</v>
      </c>
      <c r="S2892" t="e">
        <f>VLOOKUP(#REF!,'מלאי לא תקין'!A:N,17,0)</f>
        <v>#REF!</v>
      </c>
      <c r="T2892" t="e">
        <f t="shared" si="95"/>
        <v>#REF!</v>
      </c>
      <c r="U2892" t="e">
        <f t="shared" si="96"/>
        <v>#REF!</v>
      </c>
    </row>
    <row r="2893" spans="4:21" x14ac:dyDescent="0.2">
      <c r="D2893" s="4"/>
      <c r="G2893" s="5"/>
      <c r="H2893" s="5"/>
      <c r="I2893" s="4"/>
      <c r="J2893" s="4"/>
      <c r="K2893" s="5"/>
      <c r="Q2893" t="e">
        <f>VLOOKUP(A2893,'גיליון דאטה להכל'!A:E,5,0)</f>
        <v>#N/A</v>
      </c>
      <c r="R2893" t="e">
        <f>VLOOKUP(A2893,'לעדכן בסינתזה דאטה אריזה 42+24'!$A:$C,3,0)</f>
        <v>#N/A</v>
      </c>
      <c r="S2893" t="e">
        <f>VLOOKUP(#REF!,'מלאי לא תקין'!A:N,17,0)</f>
        <v>#REF!</v>
      </c>
      <c r="T2893" t="e">
        <f t="shared" si="95"/>
        <v>#REF!</v>
      </c>
      <c r="U2893" t="e">
        <f t="shared" si="96"/>
        <v>#REF!</v>
      </c>
    </row>
    <row r="2894" spans="4:21" x14ac:dyDescent="0.2">
      <c r="Q2894" t="e">
        <f>VLOOKUP(A2894,'גיליון דאטה להכל'!A:E,5,0)</f>
        <v>#N/A</v>
      </c>
      <c r="R2894" t="e">
        <f>VLOOKUP(A2894,'לעדכן בסינתזה דאטה אריזה 42+24'!$A:$C,3,0)</f>
        <v>#N/A</v>
      </c>
      <c r="S2894" t="e">
        <f>VLOOKUP(#REF!,'מלאי לא תקין'!A:N,17,0)</f>
        <v>#REF!</v>
      </c>
      <c r="T2894" t="e">
        <f t="shared" si="95"/>
        <v>#REF!</v>
      </c>
      <c r="U2894" t="e">
        <f t="shared" si="96"/>
        <v>#REF!</v>
      </c>
    </row>
    <row r="2895" spans="4:21" x14ac:dyDescent="0.2">
      <c r="Q2895" t="e">
        <f>VLOOKUP(A2895,'גיליון דאטה להכל'!A:E,5,0)</f>
        <v>#N/A</v>
      </c>
      <c r="R2895" t="e">
        <f>VLOOKUP(A2895,'לעדכן בסינתזה דאטה אריזה 42+24'!$A:$C,3,0)</f>
        <v>#N/A</v>
      </c>
      <c r="S2895" t="e">
        <f>VLOOKUP(#REF!,'מלאי לא תקין'!A:N,17,0)</f>
        <v>#REF!</v>
      </c>
      <c r="T2895" t="e">
        <f t="shared" si="95"/>
        <v>#REF!</v>
      </c>
      <c r="U2895" t="e">
        <f t="shared" si="96"/>
        <v>#REF!</v>
      </c>
    </row>
    <row r="2896" spans="4:21" x14ac:dyDescent="0.2">
      <c r="Q2896" t="e">
        <f>VLOOKUP(A2896,'גיליון דאטה להכל'!A:E,5,0)</f>
        <v>#N/A</v>
      </c>
      <c r="R2896" t="e">
        <f>VLOOKUP(A2896,'לעדכן בסינתזה דאטה אריזה 42+24'!$A:$C,3,0)</f>
        <v>#N/A</v>
      </c>
      <c r="S2896" t="e">
        <f>VLOOKUP(#REF!,'מלאי לא תקין'!A:N,17,0)</f>
        <v>#REF!</v>
      </c>
      <c r="T2896" t="e">
        <f t="shared" si="95"/>
        <v>#REF!</v>
      </c>
      <c r="U2896" t="e">
        <f t="shared" si="96"/>
        <v>#REF!</v>
      </c>
    </row>
    <row r="2897" spans="17:21" x14ac:dyDescent="0.2">
      <c r="Q2897" t="e">
        <f>VLOOKUP(A2897,'גיליון דאטה להכל'!A:E,5,0)</f>
        <v>#N/A</v>
      </c>
      <c r="R2897" t="e">
        <f>VLOOKUP(A2897,'לעדכן בסינתזה דאטה אריזה 42+24'!$A:$C,3,0)</f>
        <v>#N/A</v>
      </c>
      <c r="S2897" t="e">
        <f>VLOOKUP(#REF!,'מלאי לא תקין'!A:N,17,0)</f>
        <v>#REF!</v>
      </c>
      <c r="T2897" t="e">
        <f t="shared" si="95"/>
        <v>#REF!</v>
      </c>
      <c r="U2897" t="e">
        <f t="shared" si="96"/>
        <v>#REF!</v>
      </c>
    </row>
    <row r="2898" spans="17:21" x14ac:dyDescent="0.2">
      <c r="Q2898" t="e">
        <f>VLOOKUP(A2898,'גיליון דאטה להכל'!A:E,5,0)</f>
        <v>#N/A</v>
      </c>
    </row>
  </sheetData>
  <autoFilter ref="A1:U2897" xr:uid="{9147B07F-C021-45D4-8D28-7DF3F4CFDFAE}">
    <sortState xmlns:xlrd2="http://schemas.microsoft.com/office/spreadsheetml/2017/richdata2" ref="A118:U1721">
      <sortCondition ref="A1:A2897"/>
    </sortState>
  </autoFilter>
  <sortState xmlns:xlrd2="http://schemas.microsoft.com/office/spreadsheetml/2017/richdata2" ref="A1092:U1886">
    <sortCondition ref="C1:C2898"/>
  </sortState>
  <pageMargins left="0.75" right="0.75" top="1" bottom="1" header="0.5" footer="0.5"/>
  <pageSetup paperSize="9" scale="1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5385-F69F-47F8-91D6-EBF8F01F654E}">
  <sheetPr codeName="גיליון1"/>
  <dimension ref="A1:H1680"/>
  <sheetViews>
    <sheetView rightToLeft="1" zoomScaleNormal="100" workbookViewId="0">
      <pane ySplit="1" topLeftCell="A1658" activePane="bottomLeft" state="frozen"/>
      <selection activeCell="D17" sqref="A17:R67"/>
      <selection pane="bottomLeft" activeCell="A1680" sqref="A1680:F1680"/>
    </sheetView>
  </sheetViews>
  <sheetFormatPr defaultColWidth="9.140625" defaultRowHeight="14.25" x14ac:dyDescent="0.2"/>
  <cols>
    <col min="1" max="1" width="15" style="69" bestFit="1" customWidth="1"/>
    <col min="2" max="2" width="4.85546875" style="69" bestFit="1" customWidth="1"/>
    <col min="3" max="3" width="7.7109375" style="69" bestFit="1" customWidth="1"/>
    <col min="4" max="4" width="54.85546875" style="69" bestFit="1" customWidth="1"/>
    <col min="5" max="5" width="40.28515625" style="69" bestFit="1" customWidth="1"/>
    <col min="6" max="6" width="53.7109375" style="69" bestFit="1" customWidth="1"/>
    <col min="7" max="7" width="9.140625" style="69"/>
    <col min="8" max="8" width="8.85546875" style="69" bestFit="1" customWidth="1"/>
    <col min="9" max="16384" width="9.140625" style="69"/>
  </cols>
  <sheetData>
    <row r="1" spans="1:8" x14ac:dyDescent="0.2">
      <c r="A1" s="94" t="s">
        <v>1231</v>
      </c>
      <c r="B1" s="69" t="s">
        <v>1232</v>
      </c>
      <c r="C1" s="69" t="s">
        <v>1233</v>
      </c>
      <c r="D1" s="88" t="s">
        <v>1234</v>
      </c>
      <c r="E1" s="124" t="s">
        <v>1235</v>
      </c>
      <c r="F1" s="69" t="s">
        <v>1236</v>
      </c>
      <c r="H1" s="69" t="s">
        <v>1237</v>
      </c>
    </row>
    <row r="2" spans="1:8" x14ac:dyDescent="0.2">
      <c r="A2" s="69">
        <v>30000000358</v>
      </c>
      <c r="B2" s="69" t="s">
        <v>336</v>
      </c>
      <c r="C2" s="69" t="s">
        <v>450</v>
      </c>
      <c r="D2" s="69" t="s">
        <v>1314</v>
      </c>
      <c r="E2" s="69" t="s">
        <v>1315</v>
      </c>
      <c r="F2" s="69" t="s">
        <v>1316</v>
      </c>
      <c r="H2" s="69" t="s">
        <v>1317</v>
      </c>
    </row>
    <row r="3" spans="1:8" x14ac:dyDescent="0.2">
      <c r="A3" s="69">
        <v>50000000099</v>
      </c>
      <c r="B3" s="69" t="s">
        <v>336</v>
      </c>
      <c r="C3" s="69" t="s">
        <v>450</v>
      </c>
      <c r="D3" s="69" t="s">
        <v>1314</v>
      </c>
      <c r="E3" s="69" t="s">
        <v>1315</v>
      </c>
      <c r="F3" s="69" t="s">
        <v>1318</v>
      </c>
      <c r="H3" s="69" t="s">
        <v>1319</v>
      </c>
    </row>
    <row r="4" spans="1:8" x14ac:dyDescent="0.2">
      <c r="A4" s="69">
        <v>50000000101</v>
      </c>
      <c r="B4" s="69" t="s">
        <v>336</v>
      </c>
      <c r="C4" s="69" t="s">
        <v>450</v>
      </c>
      <c r="D4" s="69" t="s">
        <v>1314</v>
      </c>
      <c r="E4" s="69" t="s">
        <v>1315</v>
      </c>
      <c r="F4" s="69" t="s">
        <v>1320</v>
      </c>
      <c r="H4" s="69" t="s">
        <v>1321</v>
      </c>
    </row>
    <row r="5" spans="1:8" x14ac:dyDescent="0.2">
      <c r="A5" s="69">
        <v>50000000102</v>
      </c>
      <c r="B5" s="69" t="s">
        <v>336</v>
      </c>
      <c r="C5" s="69" t="s">
        <v>450</v>
      </c>
      <c r="D5" s="69" t="s">
        <v>1314</v>
      </c>
      <c r="E5" s="69" t="s">
        <v>1315</v>
      </c>
      <c r="F5" s="69" t="s">
        <v>1322</v>
      </c>
      <c r="H5" s="69" t="s">
        <v>1321</v>
      </c>
    </row>
    <row r="6" spans="1:8" x14ac:dyDescent="0.2">
      <c r="A6" s="69">
        <v>50000000040</v>
      </c>
      <c r="B6" s="69">
        <v>25</v>
      </c>
      <c r="C6" s="69" t="s">
        <v>450</v>
      </c>
      <c r="D6" s="69" t="s">
        <v>1323</v>
      </c>
      <c r="E6" s="69" t="s">
        <v>68</v>
      </c>
      <c r="F6" s="69" t="s">
        <v>1324</v>
      </c>
    </row>
    <row r="7" spans="1:8" x14ac:dyDescent="0.2">
      <c r="A7" s="69">
        <v>30000000315</v>
      </c>
      <c r="B7" s="69" t="s">
        <v>336</v>
      </c>
      <c r="C7" s="69" t="s">
        <v>450</v>
      </c>
      <c r="D7" s="69" t="s">
        <v>1323</v>
      </c>
      <c r="E7" s="69" t="s">
        <v>68</v>
      </c>
      <c r="F7" s="69" t="s">
        <v>212</v>
      </c>
      <c r="H7" s="69" t="s">
        <v>1325</v>
      </c>
    </row>
    <row r="8" spans="1:8" x14ac:dyDescent="0.2">
      <c r="A8" s="69">
        <v>10000001567</v>
      </c>
      <c r="B8" s="69" t="s">
        <v>492</v>
      </c>
      <c r="D8" s="69" t="s">
        <v>76</v>
      </c>
      <c r="E8" s="69" t="s">
        <v>76</v>
      </c>
      <c r="F8" s="69" t="s">
        <v>161</v>
      </c>
      <c r="H8" s="69" t="s">
        <v>1326</v>
      </c>
    </row>
    <row r="9" spans="1:8" x14ac:dyDescent="0.2">
      <c r="A9" s="69">
        <v>10000001566</v>
      </c>
      <c r="B9" s="69" t="s">
        <v>492</v>
      </c>
      <c r="D9" s="69" t="s">
        <v>76</v>
      </c>
      <c r="E9" s="69" t="s">
        <v>76</v>
      </c>
      <c r="F9" s="69" t="s">
        <v>128</v>
      </c>
      <c r="H9" s="69" t="s">
        <v>1326</v>
      </c>
    </row>
    <row r="10" spans="1:8" x14ac:dyDescent="0.2">
      <c r="A10" s="69">
        <v>10000001248</v>
      </c>
      <c r="B10" s="69" t="s">
        <v>312</v>
      </c>
      <c r="C10" s="69" t="s">
        <v>75</v>
      </c>
      <c r="D10" s="69" t="s">
        <v>80</v>
      </c>
      <c r="E10" s="69" t="s">
        <v>75</v>
      </c>
      <c r="F10" s="69" t="s">
        <v>530</v>
      </c>
      <c r="H10" s="69" t="s">
        <v>1327</v>
      </c>
    </row>
    <row r="11" spans="1:8" x14ac:dyDescent="0.2">
      <c r="A11" s="69">
        <v>10000001251</v>
      </c>
      <c r="B11" s="69" t="s">
        <v>312</v>
      </c>
      <c r="C11" s="69" t="s">
        <v>75</v>
      </c>
      <c r="D11" s="69" t="s">
        <v>80</v>
      </c>
      <c r="E11" s="69" t="s">
        <v>75</v>
      </c>
      <c r="F11" s="69" t="s">
        <v>529</v>
      </c>
      <c r="H11" s="69" t="s">
        <v>1327</v>
      </c>
    </row>
    <row r="12" spans="1:8" x14ac:dyDescent="0.2">
      <c r="A12" s="69">
        <v>20000000900</v>
      </c>
      <c r="B12" s="69" t="s">
        <v>312</v>
      </c>
      <c r="C12" s="69" t="s">
        <v>75</v>
      </c>
      <c r="D12" s="69" t="s">
        <v>80</v>
      </c>
      <c r="E12" s="69" t="s">
        <v>75</v>
      </c>
      <c r="F12" s="69" t="s">
        <v>1328</v>
      </c>
      <c r="H12" s="69" t="s">
        <v>1327</v>
      </c>
    </row>
    <row r="13" spans="1:8" x14ac:dyDescent="0.2">
      <c r="A13" s="69">
        <v>30000000118</v>
      </c>
      <c r="B13" s="69" t="s">
        <v>312</v>
      </c>
      <c r="C13" s="69" t="s">
        <v>450</v>
      </c>
      <c r="D13" s="69" t="s">
        <v>80</v>
      </c>
      <c r="E13" s="69" t="s">
        <v>80</v>
      </c>
      <c r="F13" s="69" t="s">
        <v>1329</v>
      </c>
      <c r="H13" s="69" t="s">
        <v>1330</v>
      </c>
    </row>
    <row r="14" spans="1:8" x14ac:dyDescent="0.2">
      <c r="A14" s="69">
        <v>30000000119</v>
      </c>
      <c r="B14" s="69" t="s">
        <v>312</v>
      </c>
      <c r="C14" s="69" t="s">
        <v>450</v>
      </c>
      <c r="D14" s="69" t="s">
        <v>80</v>
      </c>
      <c r="E14" s="69" t="s">
        <v>80</v>
      </c>
      <c r="F14" s="69" t="s">
        <v>1331</v>
      </c>
      <c r="H14" s="69" t="s">
        <v>1330</v>
      </c>
    </row>
    <row r="15" spans="1:8" x14ac:dyDescent="0.2">
      <c r="A15" s="69">
        <v>30000000123</v>
      </c>
      <c r="B15" s="69" t="s">
        <v>312</v>
      </c>
      <c r="C15" s="69" t="s">
        <v>450</v>
      </c>
      <c r="D15" s="69" t="s">
        <v>80</v>
      </c>
      <c r="E15" s="69" t="s">
        <v>80</v>
      </c>
      <c r="F15" s="69" t="s">
        <v>1332</v>
      </c>
      <c r="H15" s="69" t="s">
        <v>1330</v>
      </c>
    </row>
    <row r="16" spans="1:8" x14ac:dyDescent="0.2">
      <c r="A16" s="69">
        <v>30000000124</v>
      </c>
      <c r="B16" s="69" t="s">
        <v>312</v>
      </c>
      <c r="C16" s="69" t="s">
        <v>450</v>
      </c>
      <c r="D16" s="69" t="s">
        <v>80</v>
      </c>
      <c r="E16" s="69" t="s">
        <v>80</v>
      </c>
      <c r="F16" s="69" t="s">
        <v>1333</v>
      </c>
      <c r="H16" s="69" t="s">
        <v>1330</v>
      </c>
    </row>
    <row r="17" spans="1:8" x14ac:dyDescent="0.2">
      <c r="A17" s="69">
        <v>30000005393</v>
      </c>
      <c r="B17" s="69" t="s">
        <v>312</v>
      </c>
      <c r="C17" s="69" t="s">
        <v>450</v>
      </c>
      <c r="D17" s="69" t="s">
        <v>80</v>
      </c>
      <c r="E17" s="69" t="s">
        <v>80</v>
      </c>
      <c r="F17" s="69" t="s">
        <v>1552</v>
      </c>
    </row>
    <row r="18" spans="1:8" x14ac:dyDescent="0.2">
      <c r="A18" s="69">
        <v>30000000125</v>
      </c>
      <c r="B18" s="69" t="s">
        <v>312</v>
      </c>
      <c r="C18" s="69" t="s">
        <v>450</v>
      </c>
      <c r="D18" s="69" t="s">
        <v>80</v>
      </c>
      <c r="E18" s="69" t="s">
        <v>80</v>
      </c>
      <c r="F18" s="69" t="s">
        <v>107</v>
      </c>
      <c r="H18" s="69" t="s">
        <v>1330</v>
      </c>
    </row>
    <row r="19" spans="1:8" x14ac:dyDescent="0.2">
      <c r="A19" s="69">
        <v>30000000113</v>
      </c>
      <c r="B19" s="69" t="s">
        <v>312</v>
      </c>
      <c r="C19" s="69" t="s">
        <v>450</v>
      </c>
      <c r="D19" s="69" t="s">
        <v>1334</v>
      </c>
      <c r="E19" s="69" t="s">
        <v>82</v>
      </c>
      <c r="F19" s="69" t="s">
        <v>1335</v>
      </c>
      <c r="H19" s="69" t="s">
        <v>1336</v>
      </c>
    </row>
    <row r="20" spans="1:8" x14ac:dyDescent="0.2">
      <c r="A20" s="69">
        <v>30000000114</v>
      </c>
      <c r="B20" s="69" t="s">
        <v>312</v>
      </c>
      <c r="C20" s="69" t="s">
        <v>450</v>
      </c>
      <c r="D20" s="69" t="s">
        <v>1334</v>
      </c>
      <c r="E20" s="69" t="s">
        <v>82</v>
      </c>
      <c r="F20" s="69" t="s">
        <v>1337</v>
      </c>
      <c r="H20" s="69" t="s">
        <v>1336</v>
      </c>
    </row>
    <row r="21" spans="1:8" x14ac:dyDescent="0.2">
      <c r="A21" s="69">
        <v>30000003588</v>
      </c>
      <c r="B21" s="69" t="s">
        <v>312</v>
      </c>
      <c r="C21" s="69" t="s">
        <v>450</v>
      </c>
      <c r="D21" s="69" t="s">
        <v>1334</v>
      </c>
      <c r="E21" s="69" t="s">
        <v>82</v>
      </c>
      <c r="F21" s="69" t="s">
        <v>113</v>
      </c>
      <c r="H21" s="69" t="s">
        <v>1336</v>
      </c>
    </row>
    <row r="22" spans="1:8" x14ac:dyDescent="0.2">
      <c r="A22" s="69">
        <v>30000000108</v>
      </c>
      <c r="B22" s="69" t="s">
        <v>312</v>
      </c>
      <c r="C22" s="69" t="s">
        <v>450</v>
      </c>
      <c r="D22" s="69" t="s">
        <v>1334</v>
      </c>
      <c r="E22" s="69" t="s">
        <v>82</v>
      </c>
      <c r="F22" s="69" t="s">
        <v>1338</v>
      </c>
      <c r="H22" s="69" t="s">
        <v>1336</v>
      </c>
    </row>
    <row r="23" spans="1:8" x14ac:dyDescent="0.2">
      <c r="A23" s="69">
        <v>30000005593</v>
      </c>
      <c r="B23" s="69" t="s">
        <v>312</v>
      </c>
      <c r="C23" s="69" t="s">
        <v>450</v>
      </c>
      <c r="D23" s="69" t="s">
        <v>1334</v>
      </c>
      <c r="E23" s="69" t="s">
        <v>82</v>
      </c>
      <c r="F23" s="69" t="s">
        <v>1568</v>
      </c>
      <c r="H23" s="69" t="s">
        <v>1336</v>
      </c>
    </row>
    <row r="24" spans="1:8" x14ac:dyDescent="0.2">
      <c r="A24" s="69">
        <v>30000000110</v>
      </c>
      <c r="B24" s="69" t="s">
        <v>312</v>
      </c>
      <c r="C24" s="69" t="s">
        <v>450</v>
      </c>
      <c r="D24" s="69" t="s">
        <v>1334</v>
      </c>
      <c r="E24" s="69" t="s">
        <v>82</v>
      </c>
      <c r="F24" s="69" t="s">
        <v>1339</v>
      </c>
      <c r="H24" s="69" t="s">
        <v>1336</v>
      </c>
    </row>
    <row r="25" spans="1:8" x14ac:dyDescent="0.2">
      <c r="A25" s="69">
        <v>10000001434</v>
      </c>
      <c r="B25" s="69" t="s">
        <v>492</v>
      </c>
      <c r="D25" s="69" t="s">
        <v>72</v>
      </c>
      <c r="E25" s="69" t="s">
        <v>72</v>
      </c>
      <c r="F25" s="69" t="s">
        <v>119</v>
      </c>
      <c r="H25" s="69" t="s">
        <v>1340</v>
      </c>
    </row>
    <row r="26" spans="1:8" x14ac:dyDescent="0.2">
      <c r="A26" s="69">
        <v>50000000049</v>
      </c>
      <c r="B26" s="69" t="s">
        <v>492</v>
      </c>
      <c r="D26" s="69" t="s">
        <v>72</v>
      </c>
      <c r="E26" s="69" t="s">
        <v>1341</v>
      </c>
      <c r="F26" s="69" t="s">
        <v>129</v>
      </c>
      <c r="H26" s="69" t="s">
        <v>1342</v>
      </c>
    </row>
    <row r="27" spans="1:8" x14ac:dyDescent="0.2">
      <c r="A27" s="69">
        <v>50000000053</v>
      </c>
      <c r="B27" s="69" t="s">
        <v>492</v>
      </c>
      <c r="D27" s="69" t="s">
        <v>72</v>
      </c>
      <c r="E27" s="69" t="s">
        <v>1341</v>
      </c>
      <c r="F27" s="69" t="s">
        <v>122</v>
      </c>
      <c r="H27" s="69" t="s">
        <v>1343</v>
      </c>
    </row>
    <row r="28" spans="1:8" x14ac:dyDescent="0.2">
      <c r="A28" s="69">
        <v>50000000056</v>
      </c>
      <c r="B28" s="69" t="s">
        <v>492</v>
      </c>
      <c r="D28" s="69" t="s">
        <v>72</v>
      </c>
      <c r="E28" s="69" t="s">
        <v>1341</v>
      </c>
      <c r="F28" s="69" t="s">
        <v>109</v>
      </c>
      <c r="H28" s="69" t="s">
        <v>1344</v>
      </c>
    </row>
    <row r="29" spans="1:8" x14ac:dyDescent="0.2">
      <c r="A29" s="69">
        <v>10000001433</v>
      </c>
      <c r="B29" s="69" t="s">
        <v>492</v>
      </c>
      <c r="D29" s="69" t="s">
        <v>72</v>
      </c>
      <c r="E29" s="69" t="s">
        <v>72</v>
      </c>
      <c r="F29" s="69" t="s">
        <v>518</v>
      </c>
      <c r="H29" s="69" t="s">
        <v>1340</v>
      </c>
    </row>
    <row r="30" spans="1:8" x14ac:dyDescent="0.2">
      <c r="A30" s="69">
        <v>50000000057</v>
      </c>
      <c r="B30" s="69" t="s">
        <v>492</v>
      </c>
      <c r="D30" s="69" t="s">
        <v>72</v>
      </c>
      <c r="E30" s="69" t="s">
        <v>1341</v>
      </c>
      <c r="F30" s="69" t="s">
        <v>1345</v>
      </c>
      <c r="H30" s="69" t="s">
        <v>1344</v>
      </c>
    </row>
    <row r="31" spans="1:8" x14ac:dyDescent="0.2">
      <c r="A31" s="69">
        <v>30000000070</v>
      </c>
      <c r="B31" s="69" t="s">
        <v>312</v>
      </c>
      <c r="C31" s="69" t="s">
        <v>450</v>
      </c>
      <c r="D31" s="69" t="s">
        <v>81</v>
      </c>
      <c r="E31" s="69" t="s">
        <v>81</v>
      </c>
      <c r="F31" s="69" t="s">
        <v>163</v>
      </c>
      <c r="H31" s="69" t="s">
        <v>1346</v>
      </c>
    </row>
    <row r="32" spans="1:8" x14ac:dyDescent="0.2">
      <c r="A32" s="69">
        <v>30000000071</v>
      </c>
      <c r="B32" s="69" t="s">
        <v>312</v>
      </c>
      <c r="C32" s="69" t="s">
        <v>450</v>
      </c>
      <c r="D32" s="69" t="s">
        <v>81</v>
      </c>
      <c r="E32" s="69" t="s">
        <v>81</v>
      </c>
      <c r="F32" s="69" t="s">
        <v>1347</v>
      </c>
      <c r="H32" s="69" t="s">
        <v>1346</v>
      </c>
    </row>
    <row r="33" spans="1:8" x14ac:dyDescent="0.2">
      <c r="A33" s="69">
        <v>30000000075</v>
      </c>
      <c r="B33" s="69" t="s">
        <v>312</v>
      </c>
      <c r="C33" s="69" t="s">
        <v>450</v>
      </c>
      <c r="D33" s="69" t="s">
        <v>81</v>
      </c>
      <c r="E33" s="69" t="s">
        <v>81</v>
      </c>
      <c r="F33" s="69" t="s">
        <v>1348</v>
      </c>
      <c r="H33" s="69" t="s">
        <v>1346</v>
      </c>
    </row>
    <row r="34" spans="1:8" x14ac:dyDescent="0.2">
      <c r="A34" s="69">
        <v>30000000076</v>
      </c>
      <c r="B34" s="69" t="s">
        <v>312</v>
      </c>
      <c r="C34" s="69" t="s">
        <v>450</v>
      </c>
      <c r="D34" s="69" t="s">
        <v>81</v>
      </c>
      <c r="E34" s="69" t="s">
        <v>81</v>
      </c>
      <c r="F34" s="69" t="s">
        <v>1349</v>
      </c>
      <c r="H34" s="69" t="s">
        <v>1346</v>
      </c>
    </row>
    <row r="35" spans="1:8" x14ac:dyDescent="0.2">
      <c r="A35" s="70">
        <v>30000000080</v>
      </c>
      <c r="B35" s="69">
        <v>40</v>
      </c>
      <c r="C35" s="69" t="s">
        <v>450</v>
      </c>
      <c r="D35" s="69" t="s">
        <v>81</v>
      </c>
      <c r="E35" s="69" t="s">
        <v>81</v>
      </c>
      <c r="F35" s="70" t="s">
        <v>1350</v>
      </c>
      <c r="H35" s="69" t="s">
        <v>1346</v>
      </c>
    </row>
    <row r="36" spans="1:8" x14ac:dyDescent="0.2">
      <c r="A36" s="69">
        <v>30000000077</v>
      </c>
      <c r="B36" s="69" t="s">
        <v>312</v>
      </c>
      <c r="C36" s="69" t="s">
        <v>450</v>
      </c>
      <c r="D36" s="69" t="s">
        <v>81</v>
      </c>
      <c r="E36" s="69" t="s">
        <v>81</v>
      </c>
      <c r="F36" s="69" t="s">
        <v>1351</v>
      </c>
      <c r="H36" s="69" t="s">
        <v>1346</v>
      </c>
    </row>
    <row r="37" spans="1:8" x14ac:dyDescent="0.2">
      <c r="A37" s="69">
        <v>10000000384</v>
      </c>
      <c r="B37" s="69" t="s">
        <v>312</v>
      </c>
      <c r="C37" s="69" t="s">
        <v>75</v>
      </c>
      <c r="D37" s="69" t="s">
        <v>81</v>
      </c>
      <c r="E37" s="69" t="s">
        <v>75</v>
      </c>
      <c r="F37" s="69" t="s">
        <v>1087</v>
      </c>
      <c r="H37" s="69" t="s">
        <v>1352</v>
      </c>
    </row>
    <row r="38" spans="1:8" x14ac:dyDescent="0.2">
      <c r="A38" s="69">
        <v>10000000385</v>
      </c>
      <c r="B38" s="69" t="s">
        <v>312</v>
      </c>
      <c r="C38" s="69" t="s">
        <v>75</v>
      </c>
      <c r="D38" s="69" t="s">
        <v>81</v>
      </c>
      <c r="E38" s="69" t="s">
        <v>75</v>
      </c>
      <c r="F38" s="69" t="s">
        <v>1086</v>
      </c>
      <c r="H38" s="69" t="s">
        <v>1352</v>
      </c>
    </row>
    <row r="39" spans="1:8" x14ac:dyDescent="0.2">
      <c r="A39" s="69">
        <v>10000000399</v>
      </c>
      <c r="B39" s="69" t="s">
        <v>312</v>
      </c>
      <c r="C39" s="69" t="s">
        <v>75</v>
      </c>
      <c r="D39" s="69" t="s">
        <v>81</v>
      </c>
      <c r="E39" s="69" t="s">
        <v>75</v>
      </c>
      <c r="F39" s="69" t="s">
        <v>1073</v>
      </c>
      <c r="H39" s="69" t="s">
        <v>1353</v>
      </c>
    </row>
    <row r="40" spans="1:8" x14ac:dyDescent="0.2">
      <c r="A40" s="69">
        <v>10000001451</v>
      </c>
      <c r="B40" s="69" t="s">
        <v>312</v>
      </c>
      <c r="C40" s="69" t="s">
        <v>75</v>
      </c>
      <c r="D40" s="69" t="s">
        <v>81</v>
      </c>
      <c r="E40" s="69" t="s">
        <v>75</v>
      </c>
      <c r="F40" s="69" t="s">
        <v>514</v>
      </c>
      <c r="H40" s="69" t="s">
        <v>1352</v>
      </c>
    </row>
    <row r="41" spans="1:8" x14ac:dyDescent="0.2">
      <c r="A41" s="69">
        <v>10000001455</v>
      </c>
      <c r="B41" s="69" t="s">
        <v>312</v>
      </c>
      <c r="C41" s="69" t="s">
        <v>75</v>
      </c>
      <c r="D41" s="69" t="s">
        <v>81</v>
      </c>
      <c r="E41" s="69" t="s">
        <v>75</v>
      </c>
      <c r="F41" s="69" t="s">
        <v>512</v>
      </c>
      <c r="H41" s="69" t="s">
        <v>1353</v>
      </c>
    </row>
    <row r="42" spans="1:8" x14ac:dyDescent="0.2">
      <c r="A42" s="69">
        <v>10000002179</v>
      </c>
      <c r="B42" s="69" t="s">
        <v>312</v>
      </c>
      <c r="C42" s="69" t="s">
        <v>75</v>
      </c>
      <c r="D42" s="69" t="s">
        <v>81</v>
      </c>
      <c r="E42" s="69" t="s">
        <v>75</v>
      </c>
      <c r="F42" s="69" t="s">
        <v>428</v>
      </c>
      <c r="H42" s="69" t="s">
        <v>1353</v>
      </c>
    </row>
    <row r="43" spans="1:8" x14ac:dyDescent="0.2">
      <c r="A43" s="69">
        <v>30000000060</v>
      </c>
      <c r="B43" s="69" t="s">
        <v>312</v>
      </c>
      <c r="C43" s="69" t="s">
        <v>450</v>
      </c>
      <c r="D43" s="69" t="s">
        <v>81</v>
      </c>
      <c r="E43" s="69" t="s">
        <v>81</v>
      </c>
      <c r="F43" s="69" t="s">
        <v>1354</v>
      </c>
      <c r="H43" s="69" t="s">
        <v>1346</v>
      </c>
    </row>
    <row r="44" spans="1:8" x14ac:dyDescent="0.2">
      <c r="A44" s="69">
        <v>30000000061</v>
      </c>
      <c r="B44" s="69" t="s">
        <v>312</v>
      </c>
      <c r="C44" s="69" t="s">
        <v>450</v>
      </c>
      <c r="D44" s="69" t="s">
        <v>81</v>
      </c>
      <c r="E44" s="69" t="s">
        <v>81</v>
      </c>
      <c r="F44" s="69" t="s">
        <v>1355</v>
      </c>
      <c r="H44" s="69" t="s">
        <v>1346</v>
      </c>
    </row>
    <row r="45" spans="1:8" x14ac:dyDescent="0.2">
      <c r="A45" s="69">
        <v>30000000069</v>
      </c>
      <c r="B45" s="69" t="s">
        <v>312</v>
      </c>
      <c r="C45" s="69" t="s">
        <v>450</v>
      </c>
      <c r="D45" s="69" t="s">
        <v>81</v>
      </c>
      <c r="E45" s="69" t="s">
        <v>81</v>
      </c>
      <c r="F45" s="69" t="s">
        <v>1356</v>
      </c>
      <c r="H45" s="69" t="s">
        <v>1346</v>
      </c>
    </row>
    <row r="46" spans="1:8" x14ac:dyDescent="0.2">
      <c r="A46" s="69">
        <v>30000000072</v>
      </c>
      <c r="B46" s="69" t="s">
        <v>312</v>
      </c>
      <c r="C46" s="69" t="s">
        <v>450</v>
      </c>
      <c r="D46" s="69" t="s">
        <v>81</v>
      </c>
      <c r="E46" s="69" t="s">
        <v>81</v>
      </c>
      <c r="F46" s="69" t="s">
        <v>1357</v>
      </c>
      <c r="H46" s="69" t="s">
        <v>1346</v>
      </c>
    </row>
    <row r="47" spans="1:8" x14ac:dyDescent="0.2">
      <c r="A47" s="69">
        <v>30000000078</v>
      </c>
      <c r="B47" s="69" t="s">
        <v>312</v>
      </c>
      <c r="C47" s="69" t="s">
        <v>450</v>
      </c>
      <c r="D47" s="69" t="s">
        <v>81</v>
      </c>
      <c r="E47" s="69" t="s">
        <v>81</v>
      </c>
      <c r="F47" s="69" t="s">
        <v>1358</v>
      </c>
      <c r="H47" s="69" t="s">
        <v>1346</v>
      </c>
    </row>
    <row r="48" spans="1:8" x14ac:dyDescent="0.2">
      <c r="A48" s="69">
        <v>30000000655</v>
      </c>
      <c r="B48" s="69" t="s">
        <v>312</v>
      </c>
      <c r="C48" s="69" t="s">
        <v>450</v>
      </c>
      <c r="D48" s="69" t="s">
        <v>81</v>
      </c>
      <c r="E48" s="69" t="s">
        <v>81</v>
      </c>
      <c r="F48" s="69" t="s">
        <v>1359</v>
      </c>
      <c r="H48" s="69" t="s">
        <v>1346</v>
      </c>
    </row>
    <row r="49" spans="1:8" x14ac:dyDescent="0.2">
      <c r="A49" s="69">
        <v>30000001153</v>
      </c>
      <c r="B49" s="69" t="s">
        <v>312</v>
      </c>
      <c r="C49" s="69" t="s">
        <v>450</v>
      </c>
      <c r="D49" s="69" t="s">
        <v>81</v>
      </c>
      <c r="E49" s="69" t="s">
        <v>81</v>
      </c>
      <c r="F49" s="69" t="s">
        <v>1360</v>
      </c>
      <c r="H49" s="69" t="s">
        <v>1346</v>
      </c>
    </row>
    <row r="50" spans="1:8" x14ac:dyDescent="0.2">
      <c r="A50" s="69">
        <v>30000001553</v>
      </c>
      <c r="B50" s="69" t="s">
        <v>312</v>
      </c>
      <c r="C50" s="69" t="s">
        <v>450</v>
      </c>
      <c r="D50" s="69" t="s">
        <v>81</v>
      </c>
      <c r="E50" s="69" t="s">
        <v>81</v>
      </c>
      <c r="F50" s="69" t="s">
        <v>1361</v>
      </c>
      <c r="H50" s="69" t="s">
        <v>1346</v>
      </c>
    </row>
    <row r="51" spans="1:8" x14ac:dyDescent="0.2">
      <c r="A51" s="69">
        <v>50000000072</v>
      </c>
      <c r="B51" s="69" t="s">
        <v>336</v>
      </c>
      <c r="D51" s="69" t="s">
        <v>1244</v>
      </c>
      <c r="E51" s="69" t="s">
        <v>1362</v>
      </c>
      <c r="F51" s="69" t="s">
        <v>106</v>
      </c>
      <c r="H51" s="69" t="s">
        <v>1363</v>
      </c>
    </row>
    <row r="52" spans="1:8" x14ac:dyDescent="0.2">
      <c r="A52" s="69">
        <v>30000000084</v>
      </c>
      <c r="B52" s="69" t="s">
        <v>312</v>
      </c>
      <c r="C52" s="69" t="s">
        <v>75</v>
      </c>
      <c r="D52" s="69" t="s">
        <v>1244</v>
      </c>
      <c r="E52" s="69" t="s">
        <v>79</v>
      </c>
      <c r="F52" s="69" t="s">
        <v>192</v>
      </c>
      <c r="H52" s="69" t="s">
        <v>1364</v>
      </c>
    </row>
    <row r="53" spans="1:8" x14ac:dyDescent="0.2">
      <c r="A53" s="69">
        <v>30000004203</v>
      </c>
      <c r="B53" s="69" t="s">
        <v>336</v>
      </c>
      <c r="C53" s="69" t="s">
        <v>450</v>
      </c>
      <c r="D53" s="69" t="s">
        <v>65</v>
      </c>
      <c r="E53" s="69" t="s">
        <v>65</v>
      </c>
      <c r="F53" s="69" t="s">
        <v>1365</v>
      </c>
      <c r="H53" s="69" t="s">
        <v>1366</v>
      </c>
    </row>
    <row r="54" spans="1:8" x14ac:dyDescent="0.2">
      <c r="A54" s="69">
        <v>30000000056</v>
      </c>
      <c r="B54" s="69" t="s">
        <v>312</v>
      </c>
      <c r="C54" s="69" t="s">
        <v>450</v>
      </c>
      <c r="D54" s="69" t="s">
        <v>90</v>
      </c>
      <c r="E54" s="69" t="s">
        <v>90</v>
      </c>
      <c r="F54" s="69" t="s">
        <v>1367</v>
      </c>
      <c r="H54" s="69" t="s">
        <v>1368</v>
      </c>
    </row>
    <row r="55" spans="1:8" x14ac:dyDescent="0.2">
      <c r="A55" s="69">
        <v>30000000058</v>
      </c>
      <c r="B55" s="69" t="s">
        <v>312</v>
      </c>
      <c r="C55" s="69" t="s">
        <v>450</v>
      </c>
      <c r="D55" s="69" t="s">
        <v>90</v>
      </c>
      <c r="E55" s="69" t="s">
        <v>90</v>
      </c>
      <c r="F55" s="69" t="s">
        <v>1369</v>
      </c>
      <c r="H55" s="69" t="s">
        <v>1368</v>
      </c>
    </row>
    <row r="56" spans="1:8" x14ac:dyDescent="0.2">
      <c r="A56" s="69">
        <v>30000000059</v>
      </c>
      <c r="B56" s="69" t="s">
        <v>312</v>
      </c>
      <c r="C56" s="69" t="s">
        <v>450</v>
      </c>
      <c r="D56" s="69" t="s">
        <v>90</v>
      </c>
      <c r="E56" s="69" t="s">
        <v>90</v>
      </c>
      <c r="F56" s="69" t="s">
        <v>1370</v>
      </c>
      <c r="H56" s="69" t="s">
        <v>1368</v>
      </c>
    </row>
    <row r="57" spans="1:8" x14ac:dyDescent="0.2">
      <c r="A57" s="69">
        <v>30000000455</v>
      </c>
      <c r="B57" s="69" t="s">
        <v>312</v>
      </c>
      <c r="C57" s="69" t="s">
        <v>450</v>
      </c>
      <c r="D57" s="69" t="s">
        <v>90</v>
      </c>
      <c r="E57" s="69" t="s">
        <v>90</v>
      </c>
      <c r="F57" s="69" t="s">
        <v>1371</v>
      </c>
      <c r="H57" s="69" t="s">
        <v>1368</v>
      </c>
    </row>
    <row r="58" spans="1:8" x14ac:dyDescent="0.2">
      <c r="A58" s="69">
        <v>30000001353</v>
      </c>
      <c r="B58" s="69" t="s">
        <v>312</v>
      </c>
      <c r="C58" s="69" t="s">
        <v>450</v>
      </c>
      <c r="D58" s="69" t="s">
        <v>90</v>
      </c>
      <c r="E58" s="69" t="s">
        <v>90</v>
      </c>
      <c r="F58" s="69" t="s">
        <v>1372</v>
      </c>
      <c r="H58" s="69" t="s">
        <v>1368</v>
      </c>
    </row>
    <row r="59" spans="1:8" x14ac:dyDescent="0.2">
      <c r="A59" s="69">
        <v>50000000064</v>
      </c>
      <c r="B59" s="69" t="s">
        <v>336</v>
      </c>
      <c r="C59" s="69" t="s">
        <v>450</v>
      </c>
      <c r="D59" s="69" t="s">
        <v>18</v>
      </c>
      <c r="E59" s="69" t="s">
        <v>18</v>
      </c>
      <c r="F59" s="69" t="s">
        <v>121</v>
      </c>
      <c r="H59" s="69" t="s">
        <v>1373</v>
      </c>
    </row>
    <row r="60" spans="1:8" x14ac:dyDescent="0.2">
      <c r="A60" s="69">
        <v>50000000077</v>
      </c>
      <c r="B60" s="69" t="s">
        <v>492</v>
      </c>
      <c r="C60" s="69" t="s">
        <v>450</v>
      </c>
      <c r="D60" s="69" t="s">
        <v>18</v>
      </c>
      <c r="E60" s="69" t="s">
        <v>1341</v>
      </c>
      <c r="F60" s="69" t="s">
        <v>1374</v>
      </c>
      <c r="H60" s="69" t="s">
        <v>1375</v>
      </c>
    </row>
    <row r="61" spans="1:8" x14ac:dyDescent="0.2">
      <c r="A61" s="69">
        <v>10000007514</v>
      </c>
      <c r="B61" s="69" t="s">
        <v>336</v>
      </c>
      <c r="C61" s="69" t="s">
        <v>74</v>
      </c>
      <c r="D61" s="69" t="s">
        <v>18</v>
      </c>
      <c r="E61" s="69" t="s">
        <v>74</v>
      </c>
      <c r="F61" s="69" t="s">
        <v>366</v>
      </c>
      <c r="H61" s="69" t="s">
        <v>1376</v>
      </c>
    </row>
    <row r="62" spans="1:8" x14ac:dyDescent="0.2">
      <c r="A62" s="69">
        <v>20000000364</v>
      </c>
      <c r="B62" s="69" t="s">
        <v>336</v>
      </c>
      <c r="C62" s="69" t="s">
        <v>74</v>
      </c>
      <c r="D62" s="69" t="s">
        <v>18</v>
      </c>
      <c r="E62" s="69" t="s">
        <v>74</v>
      </c>
      <c r="F62" s="69" t="s">
        <v>1377</v>
      </c>
      <c r="H62" s="69" t="s">
        <v>1376</v>
      </c>
    </row>
    <row r="63" spans="1:8" x14ac:dyDescent="0.2">
      <c r="A63" s="69">
        <v>20000000377</v>
      </c>
      <c r="B63" s="69" t="s">
        <v>336</v>
      </c>
      <c r="C63" s="69" t="s">
        <v>293</v>
      </c>
      <c r="D63" s="69" t="s">
        <v>18</v>
      </c>
      <c r="E63" s="69" t="s">
        <v>74</v>
      </c>
      <c r="F63" s="69" t="s">
        <v>1378</v>
      </c>
      <c r="H63" s="69" t="s">
        <v>1379</v>
      </c>
    </row>
    <row r="64" spans="1:8" x14ac:dyDescent="0.2">
      <c r="A64" s="69">
        <v>50000000080</v>
      </c>
      <c r="B64" s="69" t="s">
        <v>492</v>
      </c>
      <c r="C64" s="69" t="s">
        <v>450</v>
      </c>
      <c r="D64" s="69" t="s">
        <v>18</v>
      </c>
      <c r="E64" s="69" t="s">
        <v>83</v>
      </c>
      <c r="F64" s="69" t="s">
        <v>1380</v>
      </c>
      <c r="H64" s="69" t="s">
        <v>1381</v>
      </c>
    </row>
    <row r="65" spans="1:8" x14ac:dyDescent="0.2">
      <c r="A65" s="69">
        <v>20000001126</v>
      </c>
      <c r="B65" s="69" t="s">
        <v>336</v>
      </c>
      <c r="C65" s="69" t="s">
        <v>293</v>
      </c>
      <c r="D65" s="69" t="s">
        <v>18</v>
      </c>
      <c r="E65" s="69" t="s">
        <v>74</v>
      </c>
      <c r="F65" s="69" t="s">
        <v>1382</v>
      </c>
      <c r="H65" s="69" t="s">
        <v>1379</v>
      </c>
    </row>
    <row r="66" spans="1:8" x14ac:dyDescent="0.2">
      <c r="A66" s="69">
        <v>50000000063</v>
      </c>
      <c r="B66" s="69" t="s">
        <v>336</v>
      </c>
      <c r="C66" s="69" t="s">
        <v>450</v>
      </c>
      <c r="D66" s="69" t="s">
        <v>18</v>
      </c>
      <c r="E66" s="69" t="s">
        <v>18</v>
      </c>
      <c r="F66" s="69" t="s">
        <v>1383</v>
      </c>
      <c r="H66" s="69" t="s">
        <v>1384</v>
      </c>
    </row>
    <row r="67" spans="1:8" x14ac:dyDescent="0.2">
      <c r="A67" s="69">
        <v>50000000079</v>
      </c>
      <c r="B67" s="69" t="s">
        <v>492</v>
      </c>
      <c r="C67" s="69" t="s">
        <v>450</v>
      </c>
      <c r="D67" s="69" t="s">
        <v>18</v>
      </c>
      <c r="E67" s="69" t="s">
        <v>1341</v>
      </c>
      <c r="F67" s="69" t="s">
        <v>1385</v>
      </c>
      <c r="H67" s="69" t="s">
        <v>1375</v>
      </c>
    </row>
    <row r="68" spans="1:8" x14ac:dyDescent="0.2">
      <c r="A68" s="69">
        <v>50000000066</v>
      </c>
      <c r="B68" s="69" t="s">
        <v>492</v>
      </c>
      <c r="C68" s="69" t="s">
        <v>450</v>
      </c>
      <c r="D68" s="69" t="s">
        <v>1386</v>
      </c>
      <c r="E68" s="69" t="s">
        <v>1341</v>
      </c>
      <c r="F68" s="69" t="s">
        <v>139</v>
      </c>
      <c r="H68" s="69" t="s">
        <v>1387</v>
      </c>
    </row>
    <row r="69" spans="1:8" x14ac:dyDescent="0.2">
      <c r="A69" s="69">
        <v>50000000067</v>
      </c>
      <c r="B69" s="69" t="s">
        <v>492</v>
      </c>
      <c r="C69" s="69" t="s">
        <v>450</v>
      </c>
      <c r="D69" s="69" t="s">
        <v>1388</v>
      </c>
      <c r="E69" s="69" t="s">
        <v>78</v>
      </c>
      <c r="F69" s="69" t="s">
        <v>1389</v>
      </c>
      <c r="H69" s="69" t="s">
        <v>1390</v>
      </c>
    </row>
    <row r="70" spans="1:8" x14ac:dyDescent="0.2">
      <c r="A70" s="69">
        <v>30000000083</v>
      </c>
      <c r="B70" s="69" t="s">
        <v>312</v>
      </c>
      <c r="C70" s="69" t="s">
        <v>450</v>
      </c>
      <c r="D70" s="69" t="s">
        <v>73</v>
      </c>
      <c r="E70" s="69" t="s">
        <v>73</v>
      </c>
      <c r="F70" s="69" t="s">
        <v>1391</v>
      </c>
      <c r="H70" s="69" t="s">
        <v>1392</v>
      </c>
    </row>
    <row r="71" spans="1:8" x14ac:dyDescent="0.2">
      <c r="A71" s="69">
        <v>50000000062</v>
      </c>
      <c r="B71" s="69" t="s">
        <v>336</v>
      </c>
      <c r="D71" s="69" t="s">
        <v>1313</v>
      </c>
      <c r="E71" s="69" t="s">
        <v>1393</v>
      </c>
      <c r="F71" s="69" t="s">
        <v>1394</v>
      </c>
      <c r="H71" s="69" t="s">
        <v>1395</v>
      </c>
    </row>
    <row r="72" spans="1:8" x14ac:dyDescent="0.2">
      <c r="A72" s="69">
        <v>50000000114</v>
      </c>
      <c r="B72" s="69" t="s">
        <v>336</v>
      </c>
      <c r="D72" s="69" t="s">
        <v>1313</v>
      </c>
      <c r="E72" s="69" t="s">
        <v>1396</v>
      </c>
      <c r="F72" s="69" t="s">
        <v>136</v>
      </c>
      <c r="H72" s="69" t="s">
        <v>1397</v>
      </c>
    </row>
    <row r="73" spans="1:8" x14ac:dyDescent="0.2">
      <c r="A73" s="69">
        <v>50000000044</v>
      </c>
      <c r="B73" s="69" t="s">
        <v>336</v>
      </c>
      <c r="D73" s="69" t="s">
        <v>1313</v>
      </c>
      <c r="E73" s="69" t="s">
        <v>1398</v>
      </c>
      <c r="F73" s="69" t="s">
        <v>1399</v>
      </c>
      <c r="H73" s="69" t="s">
        <v>1400</v>
      </c>
    </row>
    <row r="74" spans="1:8" x14ac:dyDescent="0.2">
      <c r="A74" s="69">
        <v>50000000116</v>
      </c>
      <c r="B74" s="69" t="s">
        <v>336</v>
      </c>
      <c r="C74" s="69" t="s">
        <v>450</v>
      </c>
      <c r="D74" s="69" t="s">
        <v>1313</v>
      </c>
      <c r="E74" s="69" t="s">
        <v>1401</v>
      </c>
      <c r="F74" s="69" t="s">
        <v>108</v>
      </c>
      <c r="H74" s="69" t="s">
        <v>1402</v>
      </c>
    </row>
    <row r="75" spans="1:8" x14ac:dyDescent="0.2">
      <c r="A75" s="69">
        <v>10000000576</v>
      </c>
      <c r="B75" s="69" t="s">
        <v>312</v>
      </c>
      <c r="C75" s="69" t="s">
        <v>75</v>
      </c>
      <c r="D75" s="69" t="s">
        <v>77</v>
      </c>
      <c r="E75" s="69" t="s">
        <v>75</v>
      </c>
      <c r="F75" s="69" t="s">
        <v>140</v>
      </c>
      <c r="H75" s="69" t="s">
        <v>1451</v>
      </c>
    </row>
    <row r="76" spans="1:8" x14ac:dyDescent="0.2">
      <c r="A76" s="69">
        <v>30000000087</v>
      </c>
      <c r="B76" s="69" t="s">
        <v>312</v>
      </c>
      <c r="C76" s="69" t="s">
        <v>450</v>
      </c>
      <c r="D76" s="69" t="s">
        <v>77</v>
      </c>
      <c r="E76" s="69" t="s">
        <v>77</v>
      </c>
      <c r="F76" s="69" t="s">
        <v>1452</v>
      </c>
      <c r="H76" s="69" t="s">
        <v>1453</v>
      </c>
    </row>
    <row r="77" spans="1:8" x14ac:dyDescent="0.2">
      <c r="A77" s="69">
        <v>30000000095</v>
      </c>
      <c r="B77" s="69" t="s">
        <v>312</v>
      </c>
      <c r="C77" s="69" t="s">
        <v>450</v>
      </c>
      <c r="D77" s="69" t="s">
        <v>77</v>
      </c>
      <c r="E77" s="69" t="s">
        <v>77</v>
      </c>
      <c r="F77" s="69" t="s">
        <v>1454</v>
      </c>
      <c r="H77" s="69" t="s">
        <v>1455</v>
      </c>
    </row>
    <row r="78" spans="1:8" x14ac:dyDescent="0.2">
      <c r="A78" s="69">
        <v>10000000574</v>
      </c>
      <c r="B78" s="69" t="s">
        <v>312</v>
      </c>
      <c r="C78" s="69" t="s">
        <v>75</v>
      </c>
      <c r="D78" s="69" t="s">
        <v>77</v>
      </c>
      <c r="E78" s="69" t="s">
        <v>75</v>
      </c>
      <c r="F78" s="69" t="s">
        <v>988</v>
      </c>
      <c r="H78" s="69" t="s">
        <v>1451</v>
      </c>
    </row>
    <row r="79" spans="1:8" x14ac:dyDescent="0.2">
      <c r="A79" s="69">
        <v>10000000575</v>
      </c>
      <c r="B79" s="69" t="s">
        <v>312</v>
      </c>
      <c r="C79" s="69" t="s">
        <v>75</v>
      </c>
      <c r="D79" s="69" t="s">
        <v>77</v>
      </c>
      <c r="E79" s="69" t="s">
        <v>75</v>
      </c>
      <c r="F79" s="69" t="s">
        <v>987</v>
      </c>
      <c r="H79" s="69" t="s">
        <v>1451</v>
      </c>
    </row>
    <row r="80" spans="1:8" x14ac:dyDescent="0.2">
      <c r="A80" s="69">
        <v>10000000577</v>
      </c>
      <c r="B80" s="69" t="s">
        <v>312</v>
      </c>
      <c r="C80" s="69" t="s">
        <v>75</v>
      </c>
      <c r="D80" s="69" t="s">
        <v>77</v>
      </c>
      <c r="E80" s="69" t="s">
        <v>75</v>
      </c>
      <c r="F80" s="69" t="s">
        <v>986</v>
      </c>
      <c r="H80" s="69" t="s">
        <v>1456</v>
      </c>
    </row>
    <row r="81" spans="1:8" x14ac:dyDescent="0.2">
      <c r="A81" s="69">
        <v>10000000578</v>
      </c>
      <c r="B81" s="69" t="s">
        <v>312</v>
      </c>
      <c r="C81" s="69" t="s">
        <v>75</v>
      </c>
      <c r="D81" s="69" t="s">
        <v>77</v>
      </c>
      <c r="E81" s="69" t="s">
        <v>75</v>
      </c>
      <c r="F81" s="69" t="s">
        <v>985</v>
      </c>
      <c r="H81" s="69" t="s">
        <v>1456</v>
      </c>
    </row>
    <row r="82" spans="1:8" x14ac:dyDescent="0.2">
      <c r="A82" s="69">
        <v>10000000580</v>
      </c>
      <c r="B82" s="69" t="s">
        <v>312</v>
      </c>
      <c r="C82" s="69" t="s">
        <v>75</v>
      </c>
      <c r="D82" s="69" t="s">
        <v>77</v>
      </c>
      <c r="E82" s="69" t="s">
        <v>75</v>
      </c>
      <c r="F82" s="69" t="s">
        <v>984</v>
      </c>
      <c r="H82" s="69" t="s">
        <v>1456</v>
      </c>
    </row>
    <row r="83" spans="1:8" x14ac:dyDescent="0.2">
      <c r="A83" s="69">
        <v>10000002017</v>
      </c>
      <c r="B83" s="69" t="s">
        <v>312</v>
      </c>
      <c r="C83" s="69" t="s">
        <v>75</v>
      </c>
      <c r="D83" s="69" t="s">
        <v>77</v>
      </c>
      <c r="E83" s="69" t="s">
        <v>75</v>
      </c>
      <c r="F83" s="69" t="s">
        <v>447</v>
      </c>
      <c r="H83" s="69" t="s">
        <v>1456</v>
      </c>
    </row>
    <row r="84" spans="1:8" x14ac:dyDescent="0.2">
      <c r="A84" s="69">
        <v>20000000465</v>
      </c>
      <c r="B84" s="69" t="s">
        <v>312</v>
      </c>
      <c r="C84" s="69" t="s">
        <v>75</v>
      </c>
      <c r="D84" s="69" t="s">
        <v>77</v>
      </c>
      <c r="E84" s="69" t="s">
        <v>75</v>
      </c>
      <c r="F84" s="69" t="s">
        <v>184</v>
      </c>
      <c r="H84" s="69" t="s">
        <v>1451</v>
      </c>
    </row>
    <row r="85" spans="1:8" x14ac:dyDescent="0.2">
      <c r="A85" s="69">
        <v>20000000468</v>
      </c>
      <c r="B85" s="69" t="s">
        <v>312</v>
      </c>
      <c r="C85" s="69" t="s">
        <v>75</v>
      </c>
      <c r="D85" s="69" t="s">
        <v>77</v>
      </c>
      <c r="E85" s="69" t="s">
        <v>75</v>
      </c>
      <c r="F85" s="69" t="s">
        <v>1457</v>
      </c>
      <c r="H85" s="69" t="s">
        <v>1456</v>
      </c>
    </row>
    <row r="86" spans="1:8" x14ac:dyDescent="0.2">
      <c r="A86" s="69">
        <v>30000000097</v>
      </c>
      <c r="B86" s="69" t="s">
        <v>492</v>
      </c>
      <c r="C86" s="69" t="s">
        <v>450</v>
      </c>
      <c r="D86" s="69" t="s">
        <v>91</v>
      </c>
      <c r="E86" s="69" t="s">
        <v>91</v>
      </c>
      <c r="F86" s="69" t="s">
        <v>104</v>
      </c>
      <c r="H86" s="69" t="s">
        <v>1458</v>
      </c>
    </row>
    <row r="87" spans="1:8" x14ac:dyDescent="0.2">
      <c r="A87" s="69">
        <v>50000000113</v>
      </c>
      <c r="B87" s="69" t="s">
        <v>492</v>
      </c>
      <c r="D87" s="69" t="s">
        <v>91</v>
      </c>
      <c r="E87" s="69" t="s">
        <v>1341</v>
      </c>
      <c r="F87" s="69" t="s">
        <v>154</v>
      </c>
      <c r="H87" s="69" t="s">
        <v>1459</v>
      </c>
    </row>
    <row r="88" spans="1:8" x14ac:dyDescent="0.2">
      <c r="A88" s="69">
        <v>50000001340</v>
      </c>
      <c r="B88" s="69" t="s">
        <v>492</v>
      </c>
      <c r="D88" s="69" t="s">
        <v>91</v>
      </c>
      <c r="E88" s="69" t="s">
        <v>1341</v>
      </c>
      <c r="F88" s="69" t="s">
        <v>1460</v>
      </c>
      <c r="H88" s="69" t="s">
        <v>1459</v>
      </c>
    </row>
    <row r="89" spans="1:8" x14ac:dyDescent="0.2">
      <c r="A89" s="69">
        <v>10000000977</v>
      </c>
      <c r="B89" s="69" t="s">
        <v>336</v>
      </c>
      <c r="C89" s="69" t="s">
        <v>246</v>
      </c>
      <c r="D89" s="69" t="s">
        <v>1406</v>
      </c>
      <c r="E89" s="69" t="s">
        <v>71</v>
      </c>
      <c r="F89" s="69" t="s">
        <v>703</v>
      </c>
      <c r="H89" s="69" t="s">
        <v>1461</v>
      </c>
    </row>
    <row r="90" spans="1:8" x14ac:dyDescent="0.2">
      <c r="A90" s="69">
        <v>10000000978</v>
      </c>
      <c r="B90" s="69" t="s">
        <v>336</v>
      </c>
      <c r="C90" s="69" t="s">
        <v>246</v>
      </c>
      <c r="D90" s="69" t="s">
        <v>1406</v>
      </c>
      <c r="E90" s="69" t="s">
        <v>71</v>
      </c>
      <c r="F90" s="69" t="s">
        <v>702</v>
      </c>
      <c r="H90" s="69" t="s">
        <v>1461</v>
      </c>
    </row>
    <row r="91" spans="1:8" x14ac:dyDescent="0.2">
      <c r="A91" s="69">
        <v>10000000979</v>
      </c>
      <c r="B91" s="69" t="s">
        <v>336</v>
      </c>
      <c r="C91" s="69" t="s">
        <v>246</v>
      </c>
      <c r="D91" s="69" t="s">
        <v>1406</v>
      </c>
      <c r="E91" s="69" t="s">
        <v>71</v>
      </c>
      <c r="F91" s="69" t="s">
        <v>701</v>
      </c>
      <c r="H91" s="69" t="s">
        <v>1461</v>
      </c>
    </row>
    <row r="92" spans="1:8" x14ac:dyDescent="0.2">
      <c r="A92" s="69">
        <v>10000000980</v>
      </c>
      <c r="B92" s="69" t="s">
        <v>336</v>
      </c>
      <c r="C92" s="69" t="s">
        <v>246</v>
      </c>
      <c r="D92" s="69" t="s">
        <v>1406</v>
      </c>
      <c r="E92" s="69" t="s">
        <v>71</v>
      </c>
      <c r="F92" s="69" t="s">
        <v>700</v>
      </c>
      <c r="H92" s="69" t="s">
        <v>1461</v>
      </c>
    </row>
    <row r="93" spans="1:8" x14ac:dyDescent="0.2">
      <c r="A93" s="69">
        <v>10000000989</v>
      </c>
      <c r="B93" s="69" t="s">
        <v>336</v>
      </c>
      <c r="C93" s="69" t="s">
        <v>246</v>
      </c>
      <c r="D93" s="69" t="s">
        <v>1406</v>
      </c>
      <c r="E93" s="69" t="s">
        <v>71</v>
      </c>
      <c r="F93" s="69" t="s">
        <v>692</v>
      </c>
      <c r="H93" s="69" t="s">
        <v>1462</v>
      </c>
    </row>
    <row r="94" spans="1:8" x14ac:dyDescent="0.2">
      <c r="A94" s="69">
        <v>10000000994</v>
      </c>
      <c r="B94" s="69" t="s">
        <v>336</v>
      </c>
      <c r="C94" s="69" t="s">
        <v>246</v>
      </c>
      <c r="D94" s="69" t="s">
        <v>1406</v>
      </c>
      <c r="E94" s="69" t="s">
        <v>71</v>
      </c>
      <c r="F94" s="69" t="s">
        <v>239</v>
      </c>
      <c r="H94" s="69" t="s">
        <v>1463</v>
      </c>
    </row>
    <row r="95" spans="1:8" x14ac:dyDescent="0.2">
      <c r="A95" s="69">
        <v>10000000996</v>
      </c>
      <c r="B95" s="69" t="s">
        <v>336</v>
      </c>
      <c r="C95" s="69" t="s">
        <v>246</v>
      </c>
      <c r="D95" s="69" t="s">
        <v>1406</v>
      </c>
      <c r="E95" s="69" t="s">
        <v>71</v>
      </c>
      <c r="F95" s="69" t="s">
        <v>689</v>
      </c>
      <c r="H95" s="69" t="s">
        <v>1463</v>
      </c>
    </row>
    <row r="96" spans="1:8" x14ac:dyDescent="0.2">
      <c r="A96" s="69">
        <v>10000001996</v>
      </c>
      <c r="B96" s="69" t="s">
        <v>336</v>
      </c>
      <c r="C96" s="69" t="s">
        <v>246</v>
      </c>
      <c r="D96" s="69" t="s">
        <v>1406</v>
      </c>
      <c r="E96" s="69" t="s">
        <v>71</v>
      </c>
      <c r="F96" s="69" t="s">
        <v>451</v>
      </c>
      <c r="H96" s="69" t="s">
        <v>1461</v>
      </c>
    </row>
    <row r="97" spans="1:8" x14ac:dyDescent="0.2">
      <c r="A97" s="69">
        <v>10000002274</v>
      </c>
      <c r="B97" s="69" t="s">
        <v>336</v>
      </c>
      <c r="C97" s="69" t="s">
        <v>246</v>
      </c>
      <c r="D97" s="69" t="s">
        <v>1406</v>
      </c>
      <c r="E97" s="69" t="s">
        <v>71</v>
      </c>
      <c r="F97" s="69" t="s">
        <v>426</v>
      </c>
      <c r="H97" s="69" t="s">
        <v>1464</v>
      </c>
    </row>
    <row r="98" spans="1:8" x14ac:dyDescent="0.2">
      <c r="A98" s="69">
        <v>20000000669</v>
      </c>
      <c r="B98" s="69" t="s">
        <v>336</v>
      </c>
      <c r="C98" s="69" t="s">
        <v>246</v>
      </c>
      <c r="D98" s="69" t="s">
        <v>1406</v>
      </c>
      <c r="E98" s="69" t="s">
        <v>71</v>
      </c>
      <c r="F98" s="69" t="s">
        <v>1465</v>
      </c>
      <c r="H98" s="69" t="s">
        <v>1461</v>
      </c>
    </row>
    <row r="99" spans="1:8" x14ac:dyDescent="0.2">
      <c r="A99" s="69">
        <v>20000000676</v>
      </c>
      <c r="B99" s="69" t="s">
        <v>336</v>
      </c>
      <c r="C99" s="69" t="s">
        <v>246</v>
      </c>
      <c r="D99" s="69" t="s">
        <v>1406</v>
      </c>
      <c r="E99" s="69" t="s">
        <v>71</v>
      </c>
      <c r="F99" s="69" t="s">
        <v>1466</v>
      </c>
      <c r="H99" s="69" t="s">
        <v>1462</v>
      </c>
    </row>
    <row r="100" spans="1:8" x14ac:dyDescent="0.2">
      <c r="A100" s="69">
        <v>20000000683</v>
      </c>
      <c r="B100" s="69" t="s">
        <v>336</v>
      </c>
      <c r="C100" s="69" t="s">
        <v>246</v>
      </c>
      <c r="D100" s="69" t="s">
        <v>1406</v>
      </c>
      <c r="E100" s="69" t="s">
        <v>71</v>
      </c>
      <c r="F100" s="69" t="s">
        <v>181</v>
      </c>
      <c r="H100" s="69" t="s">
        <v>1463</v>
      </c>
    </row>
    <row r="101" spans="1:8" x14ac:dyDescent="0.2">
      <c r="A101" s="69">
        <v>20000000690</v>
      </c>
      <c r="B101" s="69" t="s">
        <v>336</v>
      </c>
      <c r="C101" s="69" t="s">
        <v>246</v>
      </c>
      <c r="D101" s="69" t="s">
        <v>1406</v>
      </c>
      <c r="E101" s="69" t="s">
        <v>71</v>
      </c>
      <c r="F101" s="69" t="s">
        <v>1467</v>
      </c>
      <c r="H101" s="69" t="s">
        <v>1468</v>
      </c>
    </row>
    <row r="102" spans="1:8" x14ac:dyDescent="0.2">
      <c r="A102" s="69">
        <v>20000000696</v>
      </c>
      <c r="B102" s="69" t="s">
        <v>336</v>
      </c>
      <c r="C102" s="69" t="s">
        <v>246</v>
      </c>
      <c r="D102" s="69" t="s">
        <v>1406</v>
      </c>
      <c r="E102" s="69" t="s">
        <v>71</v>
      </c>
      <c r="F102" s="69" t="s">
        <v>1469</v>
      </c>
      <c r="H102" s="69" t="s">
        <v>1470</v>
      </c>
    </row>
    <row r="103" spans="1:8" x14ac:dyDescent="0.2">
      <c r="A103" s="69">
        <v>10000000988</v>
      </c>
      <c r="B103" s="69" t="s">
        <v>336</v>
      </c>
      <c r="C103" s="69" t="s">
        <v>246</v>
      </c>
      <c r="D103" s="69" t="s">
        <v>1406</v>
      </c>
      <c r="E103" s="69" t="s">
        <v>71</v>
      </c>
      <c r="F103" s="69" t="s">
        <v>693</v>
      </c>
      <c r="H103" s="69" t="s">
        <v>1462</v>
      </c>
    </row>
    <row r="104" spans="1:8" x14ac:dyDescent="0.2">
      <c r="A104" s="69">
        <v>10000000998</v>
      </c>
      <c r="B104" s="69" t="s">
        <v>336</v>
      </c>
      <c r="C104" s="69" t="s">
        <v>246</v>
      </c>
      <c r="D104" s="69" t="s">
        <v>1406</v>
      </c>
      <c r="E104" s="69" t="s">
        <v>71</v>
      </c>
      <c r="F104" s="69" t="s">
        <v>688</v>
      </c>
      <c r="H104" s="69" t="s">
        <v>1463</v>
      </c>
    </row>
    <row r="105" spans="1:8" x14ac:dyDescent="0.2">
      <c r="A105" s="69">
        <v>10000002497</v>
      </c>
      <c r="B105" s="69" t="s">
        <v>336</v>
      </c>
      <c r="C105" s="69" t="s">
        <v>246</v>
      </c>
      <c r="D105" s="69" t="s">
        <v>1406</v>
      </c>
      <c r="E105" s="69" t="s">
        <v>71</v>
      </c>
      <c r="F105" s="69" t="s">
        <v>123</v>
      </c>
      <c r="H105" s="69" t="s">
        <v>1471</v>
      </c>
    </row>
    <row r="106" spans="1:8" x14ac:dyDescent="0.2">
      <c r="A106" s="69">
        <v>10000002499</v>
      </c>
      <c r="B106" s="69" t="s">
        <v>336</v>
      </c>
      <c r="C106" s="69" t="s">
        <v>246</v>
      </c>
      <c r="D106" s="69" t="s">
        <v>1406</v>
      </c>
      <c r="E106" s="69" t="s">
        <v>71</v>
      </c>
      <c r="F106" s="69" t="s">
        <v>203</v>
      </c>
      <c r="H106" s="69" t="s">
        <v>1471</v>
      </c>
    </row>
    <row r="107" spans="1:8" x14ac:dyDescent="0.2">
      <c r="A107" s="69">
        <v>20000000671</v>
      </c>
      <c r="B107" s="69" t="s">
        <v>336</v>
      </c>
      <c r="C107" s="69" t="s">
        <v>246</v>
      </c>
      <c r="D107" s="69" t="s">
        <v>1406</v>
      </c>
      <c r="E107" s="69" t="s">
        <v>71</v>
      </c>
      <c r="F107" s="69" t="s">
        <v>169</v>
      </c>
      <c r="H107" s="69" t="s">
        <v>1462</v>
      </c>
    </row>
    <row r="108" spans="1:8" x14ac:dyDescent="0.2">
      <c r="A108" s="69">
        <v>30000000099</v>
      </c>
      <c r="B108" s="69" t="s">
        <v>336</v>
      </c>
      <c r="C108" s="69" t="s">
        <v>450</v>
      </c>
      <c r="D108" s="69" t="s">
        <v>1406</v>
      </c>
      <c r="E108" s="69" t="s">
        <v>85</v>
      </c>
      <c r="F108" s="69" t="s">
        <v>102</v>
      </c>
      <c r="H108" s="69" t="s">
        <v>1472</v>
      </c>
    </row>
    <row r="109" spans="1:8" x14ac:dyDescent="0.2">
      <c r="A109" s="69">
        <v>30000000101</v>
      </c>
      <c r="B109" s="69" t="s">
        <v>312</v>
      </c>
      <c r="C109" s="69" t="s">
        <v>450</v>
      </c>
      <c r="D109" s="69" t="s">
        <v>1406</v>
      </c>
      <c r="F109" s="69" t="s">
        <v>1473</v>
      </c>
      <c r="H109" s="69" t="s">
        <v>1474</v>
      </c>
    </row>
    <row r="110" spans="1:8" x14ac:dyDescent="0.2">
      <c r="A110" s="69">
        <v>30000000102</v>
      </c>
      <c r="B110" s="69" t="s">
        <v>312</v>
      </c>
      <c r="C110" s="69" t="s">
        <v>450</v>
      </c>
      <c r="D110" s="69" t="s">
        <v>1406</v>
      </c>
      <c r="E110" s="69" t="s">
        <v>85</v>
      </c>
      <c r="F110" s="69" t="s">
        <v>1475</v>
      </c>
      <c r="H110" s="69" t="s">
        <v>1474</v>
      </c>
    </row>
    <row r="111" spans="1:8" x14ac:dyDescent="0.2">
      <c r="A111" s="69">
        <v>50000001239</v>
      </c>
      <c r="B111" s="69" t="s">
        <v>336</v>
      </c>
      <c r="C111" s="69" t="s">
        <v>408</v>
      </c>
      <c r="D111" s="69" t="s">
        <v>1267</v>
      </c>
      <c r="E111" s="69" t="s">
        <v>71</v>
      </c>
      <c r="F111" s="69" t="s">
        <v>1476</v>
      </c>
      <c r="H111" s="69" t="s">
        <v>1477</v>
      </c>
    </row>
    <row r="112" spans="1:8" x14ac:dyDescent="0.2">
      <c r="A112" s="69">
        <v>10000001682</v>
      </c>
      <c r="B112" s="69" t="s">
        <v>336</v>
      </c>
      <c r="C112" s="69" t="s">
        <v>74</v>
      </c>
      <c r="D112" s="69" t="s">
        <v>1268</v>
      </c>
      <c r="E112" s="69" t="s">
        <v>74</v>
      </c>
      <c r="F112" s="69" t="s">
        <v>111</v>
      </c>
      <c r="H112" s="69" t="s">
        <v>1478</v>
      </c>
    </row>
    <row r="113" spans="1:8" x14ac:dyDescent="0.2">
      <c r="A113" s="69">
        <v>10000009735</v>
      </c>
      <c r="B113" s="69" t="s">
        <v>336</v>
      </c>
      <c r="C113" s="69" t="s">
        <v>74</v>
      </c>
      <c r="D113" s="69" t="s">
        <v>1268</v>
      </c>
      <c r="E113" s="69" t="s">
        <v>74</v>
      </c>
      <c r="F113" s="69" t="s">
        <v>337</v>
      </c>
      <c r="H113" s="69" t="s">
        <v>1478</v>
      </c>
    </row>
    <row r="114" spans="1:8" x14ac:dyDescent="0.2">
      <c r="A114" s="69">
        <v>10000001049</v>
      </c>
      <c r="B114" s="69" t="s">
        <v>336</v>
      </c>
      <c r="C114" s="69" t="s">
        <v>74</v>
      </c>
      <c r="D114" s="69" t="s">
        <v>1268</v>
      </c>
      <c r="E114" s="69" t="s">
        <v>74</v>
      </c>
      <c r="F114" s="69" t="s">
        <v>164</v>
      </c>
      <c r="H114" s="69" t="s">
        <v>1478</v>
      </c>
    </row>
    <row r="115" spans="1:8" x14ac:dyDescent="0.2">
      <c r="A115" s="69">
        <v>20000000722</v>
      </c>
      <c r="B115" s="69" t="s">
        <v>336</v>
      </c>
      <c r="C115" s="69" t="s">
        <v>74</v>
      </c>
      <c r="D115" s="69" t="s">
        <v>1268</v>
      </c>
      <c r="E115" s="69" t="s">
        <v>74</v>
      </c>
      <c r="F115" s="69" t="s">
        <v>99</v>
      </c>
      <c r="H115" s="69" t="s">
        <v>1478</v>
      </c>
    </row>
    <row r="116" spans="1:8" x14ac:dyDescent="0.2">
      <c r="A116" s="69">
        <v>10000000864</v>
      </c>
      <c r="B116" s="69" t="s">
        <v>336</v>
      </c>
      <c r="C116" s="69" t="s">
        <v>246</v>
      </c>
      <c r="D116" s="69" t="s">
        <v>1479</v>
      </c>
      <c r="E116" s="69" t="s">
        <v>71</v>
      </c>
      <c r="F116" s="69" t="s">
        <v>776</v>
      </c>
      <c r="H116" s="69" t="s">
        <v>1480</v>
      </c>
    </row>
    <row r="117" spans="1:8" x14ac:dyDescent="0.2">
      <c r="A117" s="69">
        <v>20000006122</v>
      </c>
      <c r="B117" s="69" t="s">
        <v>336</v>
      </c>
      <c r="C117" s="69" t="s">
        <v>246</v>
      </c>
      <c r="D117" s="69" t="s">
        <v>1406</v>
      </c>
      <c r="E117" s="69" t="s">
        <v>71</v>
      </c>
      <c r="F117" s="69" t="s">
        <v>1606</v>
      </c>
    </row>
    <row r="118" spans="1:8" x14ac:dyDescent="0.2">
      <c r="A118" s="69">
        <v>10000010669</v>
      </c>
      <c r="B118" s="69" t="s">
        <v>336</v>
      </c>
      <c r="C118" s="69" t="s">
        <v>246</v>
      </c>
      <c r="D118" s="69" t="s">
        <v>1479</v>
      </c>
      <c r="E118" s="69" t="s">
        <v>71</v>
      </c>
      <c r="F118" s="69" t="s">
        <v>1618</v>
      </c>
    </row>
    <row r="119" spans="1:8" x14ac:dyDescent="0.2">
      <c r="A119" s="69">
        <v>10000000871</v>
      </c>
      <c r="B119" s="69" t="s">
        <v>336</v>
      </c>
      <c r="C119" s="69" t="s">
        <v>246</v>
      </c>
      <c r="D119" s="69" t="s">
        <v>1479</v>
      </c>
      <c r="E119" s="69" t="s">
        <v>71</v>
      </c>
      <c r="F119" s="69" t="s">
        <v>770</v>
      </c>
      <c r="H119" s="69" t="s">
        <v>1480</v>
      </c>
    </row>
    <row r="120" spans="1:8" x14ac:dyDescent="0.2">
      <c r="A120" s="69">
        <v>10000000921</v>
      </c>
      <c r="B120" s="69" t="s">
        <v>336</v>
      </c>
      <c r="C120" s="69" t="s">
        <v>246</v>
      </c>
      <c r="D120" s="69" t="s">
        <v>1479</v>
      </c>
      <c r="E120" s="69" t="s">
        <v>71</v>
      </c>
      <c r="F120" s="69" t="s">
        <v>204</v>
      </c>
      <c r="H120" s="69" t="s">
        <v>1481</v>
      </c>
    </row>
    <row r="121" spans="1:8" x14ac:dyDescent="0.2">
      <c r="A121" s="69">
        <v>10000000924</v>
      </c>
      <c r="B121" s="69" t="s">
        <v>336</v>
      </c>
      <c r="C121" s="69" t="s">
        <v>246</v>
      </c>
      <c r="D121" s="69" t="s">
        <v>1479</v>
      </c>
      <c r="E121" s="69" t="s">
        <v>71</v>
      </c>
      <c r="F121" s="69" t="s">
        <v>727</v>
      </c>
      <c r="H121" s="69" t="s">
        <v>1482</v>
      </c>
    </row>
    <row r="122" spans="1:8" x14ac:dyDescent="0.2">
      <c r="A122" s="69">
        <v>10000000926</v>
      </c>
      <c r="B122" s="69" t="s">
        <v>336</v>
      </c>
      <c r="C122" s="69" t="s">
        <v>246</v>
      </c>
      <c r="D122" s="69" t="s">
        <v>1479</v>
      </c>
      <c r="E122" s="69" t="s">
        <v>71</v>
      </c>
      <c r="F122" s="69" t="s">
        <v>725</v>
      </c>
      <c r="H122" s="69" t="s">
        <v>1482</v>
      </c>
    </row>
    <row r="123" spans="1:8" x14ac:dyDescent="0.2">
      <c r="A123" s="69">
        <v>20000000624</v>
      </c>
      <c r="B123" s="69" t="s">
        <v>336</v>
      </c>
      <c r="C123" s="69" t="s">
        <v>246</v>
      </c>
      <c r="D123" s="69" t="s">
        <v>1479</v>
      </c>
      <c r="E123" s="69" t="s">
        <v>71</v>
      </c>
      <c r="F123" s="69" t="s">
        <v>1483</v>
      </c>
      <c r="H123" s="69" t="s">
        <v>1484</v>
      </c>
    </row>
    <row r="124" spans="1:8" x14ac:dyDescent="0.2">
      <c r="A124" s="69">
        <v>20000000625</v>
      </c>
      <c r="B124" s="69" t="s">
        <v>336</v>
      </c>
      <c r="C124" s="69" t="s">
        <v>246</v>
      </c>
      <c r="D124" s="69" t="s">
        <v>1479</v>
      </c>
      <c r="E124" s="69" t="s">
        <v>71</v>
      </c>
      <c r="F124" s="69" t="s">
        <v>126</v>
      </c>
      <c r="H124" s="69" t="s">
        <v>1480</v>
      </c>
    </row>
    <row r="125" spans="1:8" x14ac:dyDescent="0.2">
      <c r="A125" s="69">
        <v>20000004323</v>
      </c>
      <c r="B125" s="69" t="s">
        <v>336</v>
      </c>
      <c r="C125" s="69" t="s">
        <v>246</v>
      </c>
      <c r="D125" s="69" t="s">
        <v>1479</v>
      </c>
      <c r="E125" s="69" t="s">
        <v>71</v>
      </c>
      <c r="F125" s="69" t="s">
        <v>1485</v>
      </c>
      <c r="H125" s="69" t="s">
        <v>1481</v>
      </c>
    </row>
    <row r="126" spans="1:8" ht="9" customHeight="1" x14ac:dyDescent="0.2">
      <c r="A126" s="69">
        <v>10000000865</v>
      </c>
      <c r="B126" s="69" t="s">
        <v>336</v>
      </c>
      <c r="C126" s="69" t="s">
        <v>246</v>
      </c>
      <c r="D126" s="69" t="s">
        <v>1479</v>
      </c>
      <c r="E126" s="69" t="s">
        <v>71</v>
      </c>
      <c r="F126" s="69" t="s">
        <v>775</v>
      </c>
      <c r="H126" s="69" t="s">
        <v>1480</v>
      </c>
    </row>
    <row r="127" spans="1:8" x14ac:dyDescent="0.2">
      <c r="A127" s="69">
        <v>10000000866</v>
      </c>
      <c r="B127" s="69" t="s">
        <v>336</v>
      </c>
      <c r="C127" s="69" t="s">
        <v>246</v>
      </c>
      <c r="D127" s="69" t="s">
        <v>1479</v>
      </c>
      <c r="E127" s="69" t="s">
        <v>71</v>
      </c>
      <c r="F127" s="69" t="s">
        <v>774</v>
      </c>
      <c r="H127" s="69" t="s">
        <v>1480</v>
      </c>
    </row>
    <row r="128" spans="1:8" x14ac:dyDescent="0.2">
      <c r="A128" s="69">
        <v>10000000867</v>
      </c>
      <c r="B128" s="69" t="s">
        <v>336</v>
      </c>
      <c r="C128" s="69" t="s">
        <v>246</v>
      </c>
      <c r="D128" s="69" t="s">
        <v>1479</v>
      </c>
      <c r="E128" s="69" t="s">
        <v>71</v>
      </c>
      <c r="F128" s="69" t="s">
        <v>125</v>
      </c>
      <c r="H128" s="69" t="s">
        <v>1480</v>
      </c>
    </row>
    <row r="129" spans="1:8" x14ac:dyDescent="0.2">
      <c r="A129" s="69">
        <v>10000000869</v>
      </c>
      <c r="B129" s="69" t="s">
        <v>336</v>
      </c>
      <c r="C129" s="69" t="s">
        <v>246</v>
      </c>
      <c r="D129" s="69" t="s">
        <v>1479</v>
      </c>
      <c r="E129" s="69" t="s">
        <v>71</v>
      </c>
      <c r="F129" s="69" t="s">
        <v>772</v>
      </c>
      <c r="H129" s="69" t="s">
        <v>1480</v>
      </c>
    </row>
    <row r="130" spans="1:8" x14ac:dyDescent="0.2">
      <c r="A130" s="69">
        <v>10000000870</v>
      </c>
      <c r="B130" s="69" t="s">
        <v>336</v>
      </c>
      <c r="C130" s="69" t="s">
        <v>246</v>
      </c>
      <c r="D130" s="69" t="s">
        <v>1479</v>
      </c>
      <c r="E130" s="69" t="s">
        <v>71</v>
      </c>
      <c r="F130" s="69" t="s">
        <v>771</v>
      </c>
      <c r="H130" s="69" t="s">
        <v>1480</v>
      </c>
    </row>
    <row r="131" spans="1:8" x14ac:dyDescent="0.2">
      <c r="A131" s="69">
        <v>10000000872</v>
      </c>
      <c r="B131" s="69" t="s">
        <v>336</v>
      </c>
      <c r="C131" s="69" t="s">
        <v>246</v>
      </c>
      <c r="D131" s="69" t="s">
        <v>1479</v>
      </c>
      <c r="E131" s="69" t="s">
        <v>71</v>
      </c>
      <c r="F131" s="69" t="s">
        <v>769</v>
      </c>
      <c r="H131" s="69" t="s">
        <v>1480</v>
      </c>
    </row>
    <row r="132" spans="1:8" x14ac:dyDescent="0.2">
      <c r="A132" s="69">
        <v>10000000923</v>
      </c>
      <c r="B132" s="69" t="s">
        <v>336</v>
      </c>
      <c r="C132" s="69" t="s">
        <v>246</v>
      </c>
      <c r="D132" s="69" t="s">
        <v>1479</v>
      </c>
      <c r="E132" s="69" t="s">
        <v>71</v>
      </c>
      <c r="F132" s="69" t="s">
        <v>135</v>
      </c>
      <c r="H132" s="69" t="s">
        <v>1481</v>
      </c>
    </row>
    <row r="133" spans="1:8" x14ac:dyDescent="0.2">
      <c r="A133" s="69">
        <v>10000001535</v>
      </c>
      <c r="B133" s="69" t="s">
        <v>313</v>
      </c>
      <c r="C133" s="69" t="s">
        <v>75</v>
      </c>
      <c r="D133" s="69" t="s">
        <v>77</v>
      </c>
      <c r="E133" s="69" t="s">
        <v>75</v>
      </c>
      <c r="F133" s="69" t="s">
        <v>502</v>
      </c>
      <c r="H133" s="69" t="s">
        <v>1456</v>
      </c>
    </row>
    <row r="134" spans="1:8" x14ac:dyDescent="0.2">
      <c r="A134" s="69">
        <v>10000000925</v>
      </c>
      <c r="B134" s="69" t="s">
        <v>336</v>
      </c>
      <c r="C134" s="69" t="s">
        <v>246</v>
      </c>
      <c r="D134" s="69" t="s">
        <v>1479</v>
      </c>
      <c r="E134" s="69" t="s">
        <v>71</v>
      </c>
      <c r="F134" s="69" t="s">
        <v>726</v>
      </c>
      <c r="H134" s="69" t="s">
        <v>1482</v>
      </c>
    </row>
    <row r="135" spans="1:8" x14ac:dyDescent="0.2">
      <c r="A135" s="69">
        <v>10000001623</v>
      </c>
      <c r="B135" s="69" t="s">
        <v>336</v>
      </c>
      <c r="C135" s="69" t="s">
        <v>246</v>
      </c>
      <c r="D135" s="69" t="s">
        <v>1479</v>
      </c>
      <c r="E135" s="69" t="s">
        <v>71</v>
      </c>
      <c r="F135" s="69" t="s">
        <v>483</v>
      </c>
      <c r="H135" s="69" t="s">
        <v>1481</v>
      </c>
    </row>
    <row r="136" spans="1:8" x14ac:dyDescent="0.2">
      <c r="A136" s="69">
        <v>10000001632</v>
      </c>
      <c r="B136" s="69" t="s">
        <v>336</v>
      </c>
      <c r="C136" s="69" t="s">
        <v>246</v>
      </c>
      <c r="D136" s="69" t="s">
        <v>1479</v>
      </c>
      <c r="E136" s="69" t="s">
        <v>71</v>
      </c>
      <c r="F136" s="69" t="s">
        <v>153</v>
      </c>
      <c r="H136" s="69" t="s">
        <v>1482</v>
      </c>
    </row>
    <row r="137" spans="1:8" x14ac:dyDescent="0.2">
      <c r="A137" s="69">
        <v>20000000632</v>
      </c>
      <c r="B137" s="69" t="s">
        <v>336</v>
      </c>
      <c r="C137" s="69" t="s">
        <v>246</v>
      </c>
      <c r="D137" s="69" t="s">
        <v>1479</v>
      </c>
      <c r="E137" s="69" t="s">
        <v>71</v>
      </c>
      <c r="F137" s="69" t="s">
        <v>127</v>
      </c>
      <c r="H137" s="69" t="s">
        <v>1481</v>
      </c>
    </row>
    <row r="138" spans="1:8" x14ac:dyDescent="0.2">
      <c r="A138" s="69">
        <v>50000000108</v>
      </c>
      <c r="B138" s="69" t="s">
        <v>336</v>
      </c>
      <c r="C138" s="69" t="s">
        <v>408</v>
      </c>
      <c r="D138" s="69" t="s">
        <v>1479</v>
      </c>
      <c r="E138" s="69" t="s">
        <v>87</v>
      </c>
      <c r="F138" s="69" t="s">
        <v>1486</v>
      </c>
      <c r="H138" s="69" t="s">
        <v>1477</v>
      </c>
    </row>
    <row r="139" spans="1:8" x14ac:dyDescent="0.2">
      <c r="A139" s="69">
        <v>50000000083</v>
      </c>
      <c r="B139" s="69" t="s">
        <v>492</v>
      </c>
      <c r="C139" s="69" t="s">
        <v>450</v>
      </c>
      <c r="D139" s="69" t="s">
        <v>1479</v>
      </c>
      <c r="E139" s="69" t="s">
        <v>1487</v>
      </c>
      <c r="F139" s="69" t="s">
        <v>114</v>
      </c>
      <c r="H139" s="69" t="s">
        <v>1488</v>
      </c>
    </row>
    <row r="140" spans="1:8" x14ac:dyDescent="0.2">
      <c r="A140" s="69">
        <v>50000000086</v>
      </c>
      <c r="B140" s="69" t="s">
        <v>492</v>
      </c>
      <c r="C140" s="69" t="s">
        <v>450</v>
      </c>
      <c r="D140" s="69" t="s">
        <v>1479</v>
      </c>
      <c r="E140" s="69" t="s">
        <v>1487</v>
      </c>
      <c r="F140" s="69" t="s">
        <v>132</v>
      </c>
      <c r="H140" s="69" t="s">
        <v>1489</v>
      </c>
    </row>
    <row r="141" spans="1:8" x14ac:dyDescent="0.2">
      <c r="A141" s="69">
        <v>50000000088</v>
      </c>
      <c r="B141" s="69" t="s">
        <v>492</v>
      </c>
      <c r="C141" s="69" t="s">
        <v>450</v>
      </c>
      <c r="D141" s="69" t="s">
        <v>1479</v>
      </c>
      <c r="E141" s="69" t="s">
        <v>1487</v>
      </c>
      <c r="F141" s="69" t="s">
        <v>143</v>
      </c>
      <c r="H141" s="69" t="s">
        <v>1490</v>
      </c>
    </row>
    <row r="142" spans="1:8" x14ac:dyDescent="0.2">
      <c r="A142" s="69">
        <v>50000000082</v>
      </c>
      <c r="B142" s="69" t="s">
        <v>492</v>
      </c>
      <c r="C142" s="69" t="s">
        <v>450</v>
      </c>
      <c r="D142" s="69" t="s">
        <v>18</v>
      </c>
      <c r="E142" s="69" t="s">
        <v>83</v>
      </c>
      <c r="F142" s="69" t="s">
        <v>1567</v>
      </c>
    </row>
    <row r="143" spans="1:8" x14ac:dyDescent="0.2">
      <c r="A143" s="69">
        <v>50000000092</v>
      </c>
      <c r="B143" s="69" t="s">
        <v>492</v>
      </c>
      <c r="C143" s="69" t="s">
        <v>450</v>
      </c>
      <c r="D143" s="69" t="s">
        <v>1479</v>
      </c>
      <c r="E143" s="69" t="s">
        <v>93</v>
      </c>
      <c r="F143" s="69" t="s">
        <v>165</v>
      </c>
      <c r="H143" s="69" t="s">
        <v>1491</v>
      </c>
    </row>
    <row r="144" spans="1:8" x14ac:dyDescent="0.2">
      <c r="A144" s="69">
        <v>50000000085</v>
      </c>
      <c r="B144" s="69" t="s">
        <v>492</v>
      </c>
      <c r="C144" s="69" t="s">
        <v>450</v>
      </c>
      <c r="D144" s="69" t="s">
        <v>1479</v>
      </c>
      <c r="E144" s="69" t="s">
        <v>1487</v>
      </c>
      <c r="F144" s="69" t="s">
        <v>1492</v>
      </c>
      <c r="H144" s="69" t="s">
        <v>1488</v>
      </c>
    </row>
    <row r="145" spans="1:8" x14ac:dyDescent="0.2">
      <c r="A145" s="69">
        <v>50000000087</v>
      </c>
      <c r="B145" s="69" t="s">
        <v>492</v>
      </c>
      <c r="C145" s="69" t="s">
        <v>450</v>
      </c>
      <c r="D145" s="69" t="s">
        <v>1479</v>
      </c>
      <c r="E145" s="69" t="s">
        <v>1487</v>
      </c>
      <c r="F145" s="69" t="s">
        <v>1493</v>
      </c>
      <c r="H145" s="69" t="s">
        <v>1489</v>
      </c>
    </row>
    <row r="146" spans="1:8" x14ac:dyDescent="0.2">
      <c r="A146" s="69">
        <v>50000000093</v>
      </c>
      <c r="B146" s="69" t="s">
        <v>492</v>
      </c>
      <c r="C146" s="69" t="s">
        <v>450</v>
      </c>
      <c r="D146" s="69" t="s">
        <v>1479</v>
      </c>
      <c r="E146" s="69" t="s">
        <v>93</v>
      </c>
      <c r="F146" s="69" t="s">
        <v>116</v>
      </c>
      <c r="H146" s="69" t="s">
        <v>1491</v>
      </c>
    </row>
    <row r="147" spans="1:8" x14ac:dyDescent="0.2">
      <c r="A147" s="69">
        <v>30000000553</v>
      </c>
      <c r="B147" s="69" t="s">
        <v>492</v>
      </c>
      <c r="C147" s="69" t="s">
        <v>450</v>
      </c>
      <c r="D147" s="69" t="s">
        <v>84</v>
      </c>
      <c r="E147" s="69" t="s">
        <v>84</v>
      </c>
      <c r="F147" s="69" t="s">
        <v>1494</v>
      </c>
      <c r="H147" s="69" t="s">
        <v>1495</v>
      </c>
    </row>
    <row r="148" spans="1:8" x14ac:dyDescent="0.2">
      <c r="A148" s="69">
        <v>30000004290</v>
      </c>
      <c r="B148" s="69" t="s">
        <v>492</v>
      </c>
      <c r="C148" s="69" t="s">
        <v>450</v>
      </c>
      <c r="D148" s="69" t="s">
        <v>84</v>
      </c>
      <c r="E148" s="69" t="s">
        <v>84</v>
      </c>
      <c r="F148" s="69" t="s">
        <v>1496</v>
      </c>
      <c r="H148" s="69" t="s">
        <v>1495</v>
      </c>
    </row>
    <row r="149" spans="1:8" x14ac:dyDescent="0.2">
      <c r="A149" s="69">
        <v>50000000110</v>
      </c>
      <c r="B149" s="69" t="s">
        <v>336</v>
      </c>
      <c r="C149" s="69" t="s">
        <v>450</v>
      </c>
      <c r="D149" s="69" t="s">
        <v>1269</v>
      </c>
      <c r="E149" s="69" t="s">
        <v>86</v>
      </c>
      <c r="F149" s="69" t="s">
        <v>1497</v>
      </c>
      <c r="H149" s="69" t="s">
        <v>1498</v>
      </c>
    </row>
    <row r="150" spans="1:8" x14ac:dyDescent="0.2">
      <c r="A150" s="69">
        <v>50000000111</v>
      </c>
      <c r="B150" s="69" t="s">
        <v>336</v>
      </c>
      <c r="D150" s="69" t="s">
        <v>1269</v>
      </c>
      <c r="E150" s="69" t="s">
        <v>86</v>
      </c>
      <c r="F150" s="69" t="s">
        <v>1499</v>
      </c>
      <c r="H150" s="69" t="s">
        <v>1500</v>
      </c>
    </row>
    <row r="151" spans="1:8" x14ac:dyDescent="0.2">
      <c r="A151" s="69">
        <v>50000000112</v>
      </c>
      <c r="B151" s="69" t="s">
        <v>336</v>
      </c>
      <c r="C151" s="69" t="s">
        <v>450</v>
      </c>
      <c r="D151" s="69" t="s">
        <v>1269</v>
      </c>
      <c r="E151" s="69" t="s">
        <v>86</v>
      </c>
      <c r="F151" s="69" t="s">
        <v>1501</v>
      </c>
      <c r="H151" s="69" t="s">
        <v>1502</v>
      </c>
    </row>
    <row r="152" spans="1:8" x14ac:dyDescent="0.2">
      <c r="A152" s="69">
        <v>50000000117</v>
      </c>
      <c r="B152" s="69" t="s">
        <v>336</v>
      </c>
      <c r="D152" s="69" t="s">
        <v>1278</v>
      </c>
      <c r="E152" s="69" t="s">
        <v>1487</v>
      </c>
      <c r="F152" s="69" t="s">
        <v>120</v>
      </c>
      <c r="H152" s="69" t="s">
        <v>1503</v>
      </c>
    </row>
    <row r="153" spans="1:8" x14ac:dyDescent="0.2">
      <c r="A153" s="69">
        <v>50000000046</v>
      </c>
      <c r="B153" s="69" t="s">
        <v>492</v>
      </c>
      <c r="D153" s="69" t="s">
        <v>1278</v>
      </c>
      <c r="E153" s="69" t="s">
        <v>1487</v>
      </c>
      <c r="F153" s="69" t="s">
        <v>1504</v>
      </c>
      <c r="H153" s="69" t="s">
        <v>1505</v>
      </c>
    </row>
    <row r="154" spans="1:8" x14ac:dyDescent="0.2">
      <c r="A154" s="69">
        <v>50000000048</v>
      </c>
      <c r="B154" s="69" t="s">
        <v>492</v>
      </c>
      <c r="D154" s="69" t="s">
        <v>1278</v>
      </c>
      <c r="E154" s="69" t="s">
        <v>1487</v>
      </c>
      <c r="F154" s="69" t="s">
        <v>1506</v>
      </c>
      <c r="H154" s="69" t="s">
        <v>1507</v>
      </c>
    </row>
    <row r="155" spans="1:8" x14ac:dyDescent="0.2">
      <c r="A155" s="69">
        <v>50000000052</v>
      </c>
      <c r="B155" s="69" t="s">
        <v>492</v>
      </c>
      <c r="D155" s="69" t="s">
        <v>1278</v>
      </c>
      <c r="E155" s="69" t="s">
        <v>1487</v>
      </c>
      <c r="F155" s="69" t="s">
        <v>1508</v>
      </c>
      <c r="H155" s="69" t="s">
        <v>1509</v>
      </c>
    </row>
    <row r="156" spans="1:8" x14ac:dyDescent="0.2">
      <c r="A156" s="69">
        <v>50000000076</v>
      </c>
      <c r="B156" s="69" t="s">
        <v>492</v>
      </c>
      <c r="D156" s="69" t="s">
        <v>1278</v>
      </c>
      <c r="E156" s="69" t="s">
        <v>1487</v>
      </c>
      <c r="F156" s="69" t="s">
        <v>1510</v>
      </c>
      <c r="H156" s="69" t="s">
        <v>1511</v>
      </c>
    </row>
    <row r="157" spans="1:8" x14ac:dyDescent="0.2">
      <c r="A157" s="69">
        <v>40000000055</v>
      </c>
      <c r="B157" s="69" t="s">
        <v>336</v>
      </c>
      <c r="D157" s="69" t="s">
        <v>1278</v>
      </c>
      <c r="E157" s="69" t="s">
        <v>1487</v>
      </c>
      <c r="F157" s="69" t="s">
        <v>1512</v>
      </c>
      <c r="H157" s="69" t="s">
        <v>1513</v>
      </c>
    </row>
    <row r="158" spans="1:8" x14ac:dyDescent="0.2">
      <c r="A158" s="69">
        <v>50000000071</v>
      </c>
      <c r="B158" s="69" t="s">
        <v>336</v>
      </c>
      <c r="D158" s="69" t="s">
        <v>1278</v>
      </c>
      <c r="E158" s="69" t="s">
        <v>1487</v>
      </c>
      <c r="F158" s="69" t="s">
        <v>131</v>
      </c>
      <c r="H158" s="69" t="s">
        <v>1514</v>
      </c>
    </row>
    <row r="159" spans="1:8" x14ac:dyDescent="0.2">
      <c r="A159" s="69">
        <v>50000000090</v>
      </c>
      <c r="B159" s="69" t="s">
        <v>336</v>
      </c>
      <c r="D159" s="69" t="s">
        <v>1278</v>
      </c>
      <c r="E159" s="69" t="s">
        <v>1487</v>
      </c>
      <c r="F159" s="69" t="s">
        <v>103</v>
      </c>
      <c r="H159" s="69" t="s">
        <v>1515</v>
      </c>
    </row>
    <row r="160" spans="1:8" x14ac:dyDescent="0.2">
      <c r="A160" s="69">
        <v>50000000091</v>
      </c>
      <c r="B160" s="69" t="s">
        <v>336</v>
      </c>
      <c r="D160" s="69" t="s">
        <v>1278</v>
      </c>
      <c r="E160" s="69" t="s">
        <v>1487</v>
      </c>
      <c r="F160" s="69" t="s">
        <v>115</v>
      </c>
      <c r="H160" s="69" t="s">
        <v>1516</v>
      </c>
    </row>
    <row r="161" spans="1:8" x14ac:dyDescent="0.2">
      <c r="A161" s="69">
        <v>50000000058</v>
      </c>
      <c r="B161" s="69" t="s">
        <v>492</v>
      </c>
      <c r="D161" s="69" t="s">
        <v>1278</v>
      </c>
      <c r="E161" s="69" t="s">
        <v>1487</v>
      </c>
      <c r="F161" s="69" t="s">
        <v>166</v>
      </c>
      <c r="H161" s="69" t="s">
        <v>1517</v>
      </c>
    </row>
    <row r="162" spans="1:8" x14ac:dyDescent="0.2">
      <c r="A162" s="69">
        <v>50000000075</v>
      </c>
      <c r="B162" s="69" t="s">
        <v>492</v>
      </c>
      <c r="D162" s="69" t="s">
        <v>1278</v>
      </c>
      <c r="E162" s="69" t="s">
        <v>1487</v>
      </c>
      <c r="F162" s="69" t="s">
        <v>1518</v>
      </c>
      <c r="H162" s="69" t="s">
        <v>1511</v>
      </c>
    </row>
    <row r="163" spans="1:8" x14ac:dyDescent="0.2">
      <c r="A163" s="69">
        <v>50000001343</v>
      </c>
      <c r="B163" s="69" t="s">
        <v>492</v>
      </c>
      <c r="D163" s="69" t="s">
        <v>1278</v>
      </c>
      <c r="E163" s="69" t="s">
        <v>1487</v>
      </c>
      <c r="F163" s="69" t="s">
        <v>1519</v>
      </c>
      <c r="H163" s="69" t="s">
        <v>1520</v>
      </c>
    </row>
    <row r="164" spans="1:8" x14ac:dyDescent="0.2">
      <c r="A164" s="69">
        <v>10000001432</v>
      </c>
      <c r="B164" s="69" t="s">
        <v>492</v>
      </c>
      <c r="D164" s="69" t="s">
        <v>72</v>
      </c>
      <c r="E164" s="69" t="s">
        <v>72</v>
      </c>
      <c r="F164" s="69" t="s">
        <v>519</v>
      </c>
      <c r="H164" s="69" t="s">
        <v>1521</v>
      </c>
    </row>
    <row r="165" spans="1:8" x14ac:dyDescent="0.2">
      <c r="A165" s="69">
        <v>10000010432</v>
      </c>
      <c r="B165" s="69" t="s">
        <v>492</v>
      </c>
      <c r="D165" s="69" t="s">
        <v>76</v>
      </c>
      <c r="E165" s="69" t="s">
        <v>76</v>
      </c>
      <c r="F165" s="69" t="s">
        <v>1522</v>
      </c>
      <c r="H165" s="69" t="s">
        <v>1326</v>
      </c>
    </row>
    <row r="166" spans="1:8" x14ac:dyDescent="0.2">
      <c r="A166" s="69">
        <v>10000010430</v>
      </c>
      <c r="B166" s="69" t="s">
        <v>492</v>
      </c>
      <c r="D166" s="69" t="s">
        <v>76</v>
      </c>
      <c r="E166" s="69" t="s">
        <v>76</v>
      </c>
      <c r="F166" s="69" t="s">
        <v>1523</v>
      </c>
      <c r="H166" s="69" t="s">
        <v>1326</v>
      </c>
    </row>
    <row r="167" spans="1:8" x14ac:dyDescent="0.2">
      <c r="A167" s="69">
        <v>50000001441</v>
      </c>
      <c r="B167" s="69" t="s">
        <v>492</v>
      </c>
      <c r="C167" s="69" t="s">
        <v>450</v>
      </c>
      <c r="D167" s="69" t="s">
        <v>1386</v>
      </c>
      <c r="E167" s="69" t="s">
        <v>1341</v>
      </c>
      <c r="F167" s="69" t="s">
        <v>1524</v>
      </c>
      <c r="H167" s="69" t="s">
        <v>1387</v>
      </c>
    </row>
    <row r="168" spans="1:8" x14ac:dyDescent="0.2">
      <c r="A168" s="69">
        <v>50000000081</v>
      </c>
      <c r="B168" s="69" t="s">
        <v>492</v>
      </c>
      <c r="C168" s="69" t="s">
        <v>450</v>
      </c>
      <c r="D168" s="69" t="s">
        <v>18</v>
      </c>
      <c r="E168" s="69" t="s">
        <v>83</v>
      </c>
      <c r="F168" s="69" t="s">
        <v>1380</v>
      </c>
      <c r="H168" s="69" t="s">
        <v>1381</v>
      </c>
    </row>
    <row r="169" spans="1:8" x14ac:dyDescent="0.2">
      <c r="A169" s="69">
        <v>10000000868</v>
      </c>
      <c r="B169" s="69">
        <v>25</v>
      </c>
      <c r="C169" s="69" t="s">
        <v>246</v>
      </c>
      <c r="D169" s="69" t="s">
        <v>1479</v>
      </c>
      <c r="E169" s="69" t="s">
        <v>71</v>
      </c>
      <c r="F169" s="69" t="s">
        <v>773</v>
      </c>
      <c r="H169" s="69" t="s">
        <v>1480</v>
      </c>
    </row>
    <row r="170" spans="1:8" x14ac:dyDescent="0.2">
      <c r="A170" s="69">
        <v>20000000640</v>
      </c>
      <c r="B170" s="69">
        <v>25</v>
      </c>
      <c r="C170" s="69" t="s">
        <v>246</v>
      </c>
      <c r="D170" s="69" t="s">
        <v>1479</v>
      </c>
      <c r="E170" s="69" t="s">
        <v>71</v>
      </c>
      <c r="F170" s="69" t="s">
        <v>1525</v>
      </c>
      <c r="H170" s="69" t="s">
        <v>1482</v>
      </c>
    </row>
    <row r="171" spans="1:8" x14ac:dyDescent="0.2">
      <c r="A171" s="69">
        <v>20000000297</v>
      </c>
      <c r="B171" s="69">
        <v>40</v>
      </c>
      <c r="C171" s="69" t="s">
        <v>75</v>
      </c>
      <c r="D171" s="69" t="s">
        <v>81</v>
      </c>
      <c r="E171" s="69" t="s">
        <v>75</v>
      </c>
      <c r="F171" s="69" t="s">
        <v>1526</v>
      </c>
      <c r="H171" s="69" t="s">
        <v>1352</v>
      </c>
    </row>
    <row r="172" spans="1:8" x14ac:dyDescent="0.2">
      <c r="A172" s="69">
        <v>20000000308</v>
      </c>
      <c r="B172" s="69" t="s">
        <v>312</v>
      </c>
      <c r="C172" s="69" t="s">
        <v>75</v>
      </c>
      <c r="D172" s="69" t="s">
        <v>81</v>
      </c>
      <c r="E172" s="69" t="s">
        <v>75</v>
      </c>
      <c r="F172" s="69" t="s">
        <v>1527</v>
      </c>
      <c r="H172" s="69" t="s">
        <v>1353</v>
      </c>
    </row>
    <row r="173" spans="1:8" x14ac:dyDescent="0.2">
      <c r="A173" s="69">
        <v>30000000096</v>
      </c>
      <c r="B173" s="69" t="s">
        <v>492</v>
      </c>
      <c r="C173" s="69" t="s">
        <v>450</v>
      </c>
      <c r="D173" s="69" t="s">
        <v>91</v>
      </c>
      <c r="E173" s="69" t="s">
        <v>91</v>
      </c>
      <c r="F173" s="69" t="s">
        <v>1528</v>
      </c>
      <c r="H173" s="69" t="s">
        <v>1458</v>
      </c>
    </row>
    <row r="174" spans="1:8" x14ac:dyDescent="0.2">
      <c r="A174" s="69">
        <v>30000005289</v>
      </c>
      <c r="B174" s="69" t="s">
        <v>336</v>
      </c>
      <c r="C174" s="69" t="s">
        <v>450</v>
      </c>
      <c r="D174" s="69" t="s">
        <v>92</v>
      </c>
      <c r="E174" s="69" t="s">
        <v>92</v>
      </c>
      <c r="F174" s="69" t="s">
        <v>1529</v>
      </c>
    </row>
    <row r="175" spans="1:8" x14ac:dyDescent="0.2">
      <c r="A175" s="69">
        <v>10000010933</v>
      </c>
      <c r="B175" s="69">
        <v>25</v>
      </c>
      <c r="D175" s="69" t="s">
        <v>92</v>
      </c>
      <c r="E175" s="69" t="s">
        <v>71</v>
      </c>
      <c r="F175" s="69" t="s">
        <v>1546</v>
      </c>
    </row>
    <row r="176" spans="1:8" x14ac:dyDescent="0.2">
      <c r="A176" s="69">
        <v>30000005495</v>
      </c>
      <c r="B176" s="69">
        <v>41</v>
      </c>
      <c r="C176" s="87" t="s">
        <v>450</v>
      </c>
      <c r="D176" s="86" t="s">
        <v>1579</v>
      </c>
      <c r="E176" s="69" t="s">
        <v>1581</v>
      </c>
      <c r="F176" s="69" t="s">
        <v>1577</v>
      </c>
      <c r="H176" s="87" t="s">
        <v>1580</v>
      </c>
    </row>
    <row r="177" spans="1:6" x14ac:dyDescent="0.2">
      <c r="A177" s="69">
        <v>30000005588</v>
      </c>
      <c r="B177" s="69" t="s">
        <v>312</v>
      </c>
      <c r="C177" s="69" t="s">
        <v>450</v>
      </c>
      <c r="D177" s="69" t="s">
        <v>81</v>
      </c>
      <c r="E177" s="69" t="s">
        <v>81</v>
      </c>
      <c r="F177" s="69" t="s">
        <v>1586</v>
      </c>
    </row>
    <row r="178" spans="1:6" x14ac:dyDescent="0.2">
      <c r="A178" s="69">
        <v>10000000160</v>
      </c>
      <c r="B178" s="69" t="s">
        <v>262</v>
      </c>
      <c r="D178" s="69" t="e">
        <v>#N/A</v>
      </c>
      <c r="E178" s="69">
        <v>20</v>
      </c>
      <c r="F178" s="69" t="s">
        <v>1220</v>
      </c>
    </row>
    <row r="179" spans="1:6" x14ac:dyDescent="0.2">
      <c r="A179" s="69">
        <v>10000000161</v>
      </c>
      <c r="B179" s="69" t="s">
        <v>262</v>
      </c>
      <c r="D179" s="69" t="e">
        <v>#N/A</v>
      </c>
      <c r="E179" s="69">
        <v>10</v>
      </c>
      <c r="F179" s="69" t="s">
        <v>1219</v>
      </c>
    </row>
    <row r="180" spans="1:6" x14ac:dyDescent="0.2">
      <c r="A180" s="69">
        <v>10000000162</v>
      </c>
      <c r="B180" s="69" t="s">
        <v>262</v>
      </c>
      <c r="D180" s="69" t="e">
        <v>#N/A</v>
      </c>
      <c r="E180" s="69">
        <v>20</v>
      </c>
      <c r="F180" s="69" t="s">
        <v>1218</v>
      </c>
    </row>
    <row r="181" spans="1:6" x14ac:dyDescent="0.2">
      <c r="A181" s="69">
        <v>10000000163</v>
      </c>
      <c r="B181" s="69" t="s">
        <v>262</v>
      </c>
      <c r="D181" s="69" t="e">
        <v>#N/A</v>
      </c>
      <c r="E181" s="69">
        <v>20</v>
      </c>
      <c r="F181" s="69" t="s">
        <v>1217</v>
      </c>
    </row>
    <row r="182" spans="1:6" x14ac:dyDescent="0.2">
      <c r="A182" s="69">
        <v>10000000164</v>
      </c>
      <c r="B182" s="69" t="s">
        <v>262</v>
      </c>
      <c r="D182" s="69" t="e">
        <v>#N/A</v>
      </c>
      <c r="E182" s="69">
        <v>20</v>
      </c>
      <c r="F182" s="69" t="s">
        <v>1216</v>
      </c>
    </row>
    <row r="183" spans="1:6" x14ac:dyDescent="0.2">
      <c r="A183" s="69">
        <v>10000000165</v>
      </c>
      <c r="E183" s="69">
        <v>23</v>
      </c>
      <c r="F183" s="69" t="s">
        <v>1215</v>
      </c>
    </row>
    <row r="184" spans="1:6" x14ac:dyDescent="0.2">
      <c r="A184" s="69">
        <v>10000000169</v>
      </c>
      <c r="B184" s="69">
        <v>10</v>
      </c>
      <c r="D184" s="69" t="e">
        <v>#N/A</v>
      </c>
      <c r="E184" s="69">
        <v>10</v>
      </c>
      <c r="F184" s="69" t="s">
        <v>1213</v>
      </c>
    </row>
    <row r="185" spans="1:6" x14ac:dyDescent="0.2">
      <c r="A185" s="69">
        <v>10000000170</v>
      </c>
      <c r="D185" s="69" t="e">
        <v>#N/A</v>
      </c>
      <c r="E185" s="69">
        <v>10</v>
      </c>
      <c r="F185" s="69" t="s">
        <v>100</v>
      </c>
    </row>
    <row r="186" spans="1:6" x14ac:dyDescent="0.2">
      <c r="A186" s="69">
        <v>10000000179</v>
      </c>
      <c r="B186" s="69" t="s">
        <v>262</v>
      </c>
      <c r="D186" s="69" t="s">
        <v>1238</v>
      </c>
      <c r="E186" s="69">
        <v>10</v>
      </c>
      <c r="F186" s="69" t="s">
        <v>1214</v>
      </c>
    </row>
    <row r="187" spans="1:6" x14ac:dyDescent="0.2">
      <c r="A187" s="69">
        <v>10000000180</v>
      </c>
      <c r="E187" s="69">
        <v>19</v>
      </c>
      <c r="F187" s="69" t="s">
        <v>1206</v>
      </c>
    </row>
    <row r="188" spans="1:6" x14ac:dyDescent="0.2">
      <c r="A188" s="69">
        <v>10000000181</v>
      </c>
      <c r="E188" s="69">
        <v>19</v>
      </c>
      <c r="F188" s="69" t="s">
        <v>1205</v>
      </c>
    </row>
    <row r="189" spans="1:6" x14ac:dyDescent="0.2">
      <c r="A189" s="69">
        <v>10000000182</v>
      </c>
      <c r="E189" s="69">
        <v>19</v>
      </c>
      <c r="F189" s="69" t="s">
        <v>1204</v>
      </c>
    </row>
    <row r="190" spans="1:6" x14ac:dyDescent="0.2">
      <c r="A190" s="69">
        <v>10000000185</v>
      </c>
      <c r="E190" s="69">
        <v>19</v>
      </c>
      <c r="F190" s="69" t="s">
        <v>1203</v>
      </c>
    </row>
    <row r="191" spans="1:6" x14ac:dyDescent="0.2">
      <c r="A191" s="69">
        <v>10000000186</v>
      </c>
      <c r="E191" s="69">
        <v>19</v>
      </c>
      <c r="F191" s="69" t="s">
        <v>1202</v>
      </c>
    </row>
    <row r="192" spans="1:6" x14ac:dyDescent="0.2">
      <c r="A192" s="69">
        <v>10000000191</v>
      </c>
      <c r="B192" s="69" t="s">
        <v>220</v>
      </c>
      <c r="D192" s="69" t="e">
        <v>#N/A</v>
      </c>
      <c r="E192" s="69" t="s">
        <v>220</v>
      </c>
      <c r="F192" s="69" t="s">
        <v>1212</v>
      </c>
    </row>
    <row r="193" spans="1:6" x14ac:dyDescent="0.2">
      <c r="A193" s="69">
        <v>10000000192</v>
      </c>
      <c r="B193" s="69" t="s">
        <v>262</v>
      </c>
      <c r="D193" s="69" t="e">
        <v>#N/A</v>
      </c>
      <c r="E193" s="69">
        <v>5</v>
      </c>
      <c r="F193" s="69" t="s">
        <v>1211</v>
      </c>
    </row>
    <row r="194" spans="1:6" x14ac:dyDescent="0.2">
      <c r="A194" s="69">
        <v>10000000193</v>
      </c>
      <c r="B194" s="69" t="s">
        <v>262</v>
      </c>
      <c r="D194" s="69" t="s">
        <v>1240</v>
      </c>
      <c r="E194" s="69">
        <v>20</v>
      </c>
      <c r="F194" s="69" t="s">
        <v>1210</v>
      </c>
    </row>
    <row r="195" spans="1:6" x14ac:dyDescent="0.2">
      <c r="A195" s="69">
        <v>10000000194</v>
      </c>
      <c r="B195" s="69" t="s">
        <v>262</v>
      </c>
      <c r="D195" s="69" t="e">
        <v>#N/A</v>
      </c>
      <c r="E195" s="69">
        <v>20</v>
      </c>
      <c r="F195" s="69" t="s">
        <v>1209</v>
      </c>
    </row>
    <row r="196" spans="1:6" x14ac:dyDescent="0.2">
      <c r="A196" s="69">
        <v>10000000195</v>
      </c>
      <c r="B196" s="69" t="s">
        <v>262</v>
      </c>
      <c r="D196" s="69" t="s">
        <v>1240</v>
      </c>
      <c r="E196" s="69">
        <v>20</v>
      </c>
      <c r="F196" s="69" t="s">
        <v>1208</v>
      </c>
    </row>
    <row r="197" spans="1:6" x14ac:dyDescent="0.2">
      <c r="A197" s="69">
        <v>10000000196</v>
      </c>
      <c r="B197" s="69" t="s">
        <v>262</v>
      </c>
      <c r="D197" s="69" t="e">
        <v>#N/A</v>
      </c>
      <c r="E197" s="69">
        <v>20</v>
      </c>
      <c r="F197" s="69" t="s">
        <v>1207</v>
      </c>
    </row>
    <row r="198" spans="1:6" x14ac:dyDescent="0.2">
      <c r="A198" s="69">
        <v>10000000213</v>
      </c>
      <c r="B198" s="69" t="s">
        <v>221</v>
      </c>
      <c r="D198" s="69" t="e">
        <v>#N/A</v>
      </c>
      <c r="E198" s="69">
        <v>1</v>
      </c>
      <c r="F198" s="69" t="s">
        <v>1201</v>
      </c>
    </row>
    <row r="199" spans="1:6" x14ac:dyDescent="0.2">
      <c r="A199" s="69">
        <v>10000000219</v>
      </c>
      <c r="B199" s="69" t="s">
        <v>221</v>
      </c>
      <c r="D199" s="69" t="e">
        <v>#N/A</v>
      </c>
      <c r="E199" s="69">
        <v>5</v>
      </c>
      <c r="F199" s="69" t="s">
        <v>1200</v>
      </c>
    </row>
    <row r="200" spans="1:6" x14ac:dyDescent="0.2">
      <c r="A200" s="69">
        <v>10000000229</v>
      </c>
      <c r="B200" s="69" t="s">
        <v>221</v>
      </c>
      <c r="E200" s="69">
        <v>5</v>
      </c>
      <c r="F200" s="69" t="s">
        <v>235</v>
      </c>
    </row>
    <row r="201" spans="1:6" x14ac:dyDescent="0.2">
      <c r="A201" s="69">
        <v>10000000245</v>
      </c>
      <c r="B201" s="69" t="s">
        <v>220</v>
      </c>
      <c r="D201" s="69" t="e">
        <v>#N/A</v>
      </c>
      <c r="E201" s="69">
        <v>1</v>
      </c>
      <c r="F201" s="69" t="s">
        <v>1199</v>
      </c>
    </row>
    <row r="202" spans="1:6" x14ac:dyDescent="0.2">
      <c r="A202" s="69">
        <v>10000000246</v>
      </c>
      <c r="B202" s="69" t="s">
        <v>220</v>
      </c>
      <c r="D202" s="69" t="e">
        <v>#N/A</v>
      </c>
      <c r="E202" s="69">
        <v>1</v>
      </c>
      <c r="F202" s="69" t="s">
        <v>1198</v>
      </c>
    </row>
    <row r="203" spans="1:6" x14ac:dyDescent="0.2">
      <c r="A203" s="69">
        <v>10000000247</v>
      </c>
      <c r="B203" s="69" t="s">
        <v>221</v>
      </c>
      <c r="D203" s="69" t="e">
        <v>#N/A</v>
      </c>
      <c r="E203" s="69" t="s">
        <v>221</v>
      </c>
      <c r="F203" s="69" t="s">
        <v>1197</v>
      </c>
    </row>
    <row r="204" spans="1:6" x14ac:dyDescent="0.2">
      <c r="A204" s="69">
        <v>10000000248</v>
      </c>
      <c r="B204" s="69" t="s">
        <v>221</v>
      </c>
      <c r="D204" s="69" t="e">
        <v>#N/A</v>
      </c>
      <c r="E204" s="69">
        <v>5</v>
      </c>
      <c r="F204" s="69" t="s">
        <v>1196</v>
      </c>
    </row>
    <row r="205" spans="1:6" x14ac:dyDescent="0.2">
      <c r="A205" s="69">
        <v>10000000249</v>
      </c>
      <c r="B205" s="69" t="s">
        <v>221</v>
      </c>
      <c r="D205" s="69" t="e">
        <v>#N/A</v>
      </c>
      <c r="E205" s="69">
        <v>5</v>
      </c>
      <c r="F205" s="69" t="s">
        <v>155</v>
      </c>
    </row>
    <row r="206" spans="1:6" x14ac:dyDescent="0.2">
      <c r="A206" s="69">
        <v>10000000250</v>
      </c>
      <c r="B206" s="69" t="s">
        <v>221</v>
      </c>
      <c r="D206" s="69" t="e">
        <v>#N/A</v>
      </c>
      <c r="E206" s="69" t="s">
        <v>221</v>
      </c>
      <c r="F206" s="69" t="s">
        <v>175</v>
      </c>
    </row>
    <row r="207" spans="1:6" x14ac:dyDescent="0.2">
      <c r="A207" s="69">
        <v>10000000251</v>
      </c>
      <c r="B207" s="69" t="s">
        <v>221</v>
      </c>
      <c r="D207" s="69" t="e">
        <v>#N/A</v>
      </c>
      <c r="E207" s="69">
        <v>5</v>
      </c>
      <c r="F207" s="69" t="s">
        <v>1195</v>
      </c>
    </row>
    <row r="208" spans="1:6" x14ac:dyDescent="0.2">
      <c r="A208" s="69">
        <v>10000000252</v>
      </c>
      <c r="B208" s="69" t="s">
        <v>221</v>
      </c>
      <c r="D208" s="69" t="e">
        <v>#N/A</v>
      </c>
      <c r="E208" s="69" t="s">
        <v>221</v>
      </c>
      <c r="F208" s="69" t="s">
        <v>172</v>
      </c>
    </row>
    <row r="209" spans="1:6" x14ac:dyDescent="0.2">
      <c r="A209" s="69">
        <v>10000000253</v>
      </c>
      <c r="E209" s="69">
        <v>23</v>
      </c>
      <c r="F209" s="69" t="s">
        <v>1177</v>
      </c>
    </row>
    <row r="210" spans="1:6" x14ac:dyDescent="0.2">
      <c r="A210" s="69">
        <v>10000000261</v>
      </c>
      <c r="B210" s="69" t="s">
        <v>262</v>
      </c>
      <c r="D210" s="69" t="e">
        <v>#N/A</v>
      </c>
      <c r="E210" s="69">
        <v>1</v>
      </c>
      <c r="F210" s="69" t="s">
        <v>1194</v>
      </c>
    </row>
    <row r="211" spans="1:6" x14ac:dyDescent="0.2">
      <c r="A211" s="69">
        <v>10000000262</v>
      </c>
      <c r="B211" s="69" t="s">
        <v>262</v>
      </c>
      <c r="D211" s="69" t="e">
        <v>#N/A</v>
      </c>
      <c r="E211" s="69">
        <v>1</v>
      </c>
      <c r="F211" s="69" t="s">
        <v>1193</v>
      </c>
    </row>
    <row r="212" spans="1:6" x14ac:dyDescent="0.2">
      <c r="A212" s="69">
        <v>10000000263</v>
      </c>
      <c r="B212" s="69" t="s">
        <v>221</v>
      </c>
      <c r="D212" s="69" t="e">
        <v>#N/A</v>
      </c>
      <c r="E212" s="69" t="s">
        <v>221</v>
      </c>
      <c r="F212" s="69" t="s">
        <v>1192</v>
      </c>
    </row>
    <row r="213" spans="1:6" x14ac:dyDescent="0.2">
      <c r="A213" s="69">
        <v>10000000270</v>
      </c>
      <c r="E213" s="69">
        <v>23</v>
      </c>
      <c r="F213" s="69" t="s">
        <v>1167</v>
      </c>
    </row>
    <row r="214" spans="1:6" x14ac:dyDescent="0.2">
      <c r="A214" s="69">
        <v>10000000271</v>
      </c>
      <c r="B214" s="69" t="s">
        <v>221</v>
      </c>
      <c r="D214" s="69" t="e">
        <v>#N/A</v>
      </c>
      <c r="E214" s="69" t="s">
        <v>221</v>
      </c>
      <c r="F214" s="69" t="s">
        <v>235</v>
      </c>
    </row>
    <row r="215" spans="1:6" x14ac:dyDescent="0.2">
      <c r="A215" s="69">
        <v>10000000272</v>
      </c>
      <c r="B215" s="69" t="s">
        <v>221</v>
      </c>
      <c r="D215" s="69" t="e">
        <v>#N/A</v>
      </c>
      <c r="E215" s="69" t="s">
        <v>221</v>
      </c>
      <c r="F215" s="69" t="s">
        <v>1191</v>
      </c>
    </row>
    <row r="216" spans="1:6" x14ac:dyDescent="0.2">
      <c r="A216" s="69">
        <v>10000000273</v>
      </c>
      <c r="B216" s="69" t="s">
        <v>221</v>
      </c>
      <c r="D216" s="69" t="e">
        <v>#N/A</v>
      </c>
      <c r="E216" s="69" t="s">
        <v>221</v>
      </c>
      <c r="F216" s="69" t="s">
        <v>1190</v>
      </c>
    </row>
    <row r="217" spans="1:6" x14ac:dyDescent="0.2">
      <c r="A217" s="69">
        <v>10000000274</v>
      </c>
      <c r="B217" s="69" t="s">
        <v>262</v>
      </c>
      <c r="D217" s="69" t="e">
        <v>#N/A</v>
      </c>
      <c r="E217" s="69">
        <v>20</v>
      </c>
      <c r="F217" s="69" t="s">
        <v>1189</v>
      </c>
    </row>
    <row r="218" spans="1:6" x14ac:dyDescent="0.2">
      <c r="A218" s="69">
        <v>10000000275</v>
      </c>
      <c r="B218" s="69" t="s">
        <v>262</v>
      </c>
      <c r="D218" s="69" t="e">
        <v>#N/A</v>
      </c>
      <c r="E218" s="69">
        <v>10</v>
      </c>
      <c r="F218" s="69" t="s">
        <v>1188</v>
      </c>
    </row>
    <row r="219" spans="1:6" x14ac:dyDescent="0.2">
      <c r="A219" s="69">
        <v>10000000276</v>
      </c>
      <c r="B219" s="69" t="s">
        <v>221</v>
      </c>
      <c r="D219" s="69" t="e">
        <v>#N/A</v>
      </c>
      <c r="E219" s="69" t="s">
        <v>221</v>
      </c>
      <c r="F219" s="69" t="s">
        <v>1187</v>
      </c>
    </row>
    <row r="220" spans="1:6" x14ac:dyDescent="0.2">
      <c r="A220" s="69">
        <v>10000000277</v>
      </c>
      <c r="B220" s="69" t="s">
        <v>262</v>
      </c>
      <c r="D220" s="69" t="e">
        <v>#N/A</v>
      </c>
      <c r="E220" s="69">
        <v>10</v>
      </c>
      <c r="F220" s="69" t="s">
        <v>1186</v>
      </c>
    </row>
    <row r="221" spans="1:6" x14ac:dyDescent="0.2">
      <c r="A221" s="69">
        <v>10000000278</v>
      </c>
      <c r="B221" s="69" t="s">
        <v>262</v>
      </c>
      <c r="D221" s="69" t="e">
        <v>#N/A</v>
      </c>
      <c r="E221" s="69">
        <v>5</v>
      </c>
      <c r="F221" s="69" t="s">
        <v>1185</v>
      </c>
    </row>
    <row r="222" spans="1:6" x14ac:dyDescent="0.2">
      <c r="A222" s="69">
        <v>10000000281</v>
      </c>
      <c r="B222" s="69">
        <v>10</v>
      </c>
      <c r="D222" s="69" t="e">
        <v>#N/A</v>
      </c>
      <c r="E222" s="69">
        <v>10</v>
      </c>
      <c r="F222" s="69" t="s">
        <v>1582</v>
      </c>
    </row>
    <row r="223" spans="1:6" x14ac:dyDescent="0.2">
      <c r="A223" s="69">
        <v>10000000284</v>
      </c>
      <c r="B223" s="69" t="s">
        <v>220</v>
      </c>
      <c r="D223" s="69" t="e">
        <v>#N/A</v>
      </c>
      <c r="E223" s="69">
        <v>5</v>
      </c>
      <c r="F223" s="69" t="s">
        <v>1184</v>
      </c>
    </row>
    <row r="224" spans="1:6" x14ac:dyDescent="0.2">
      <c r="A224" s="69">
        <v>10000000285</v>
      </c>
      <c r="E224" s="69">
        <v>23</v>
      </c>
      <c r="F224" s="69" t="s">
        <v>1153</v>
      </c>
    </row>
    <row r="225" spans="1:6" x14ac:dyDescent="0.2">
      <c r="A225" s="69">
        <v>10000000286</v>
      </c>
      <c r="B225" s="69" t="s">
        <v>220</v>
      </c>
      <c r="D225" s="69" t="e">
        <v>#N/A</v>
      </c>
      <c r="E225" s="69" t="s">
        <v>220</v>
      </c>
      <c r="F225" s="69" t="s">
        <v>1183</v>
      </c>
    </row>
    <row r="226" spans="1:6" x14ac:dyDescent="0.2">
      <c r="A226" s="69">
        <v>10000000287</v>
      </c>
      <c r="B226" s="69" t="s">
        <v>221</v>
      </c>
      <c r="D226" s="69" t="e">
        <v>#N/A</v>
      </c>
      <c r="E226" s="69">
        <v>5</v>
      </c>
      <c r="F226" s="69" t="s">
        <v>1182</v>
      </c>
    </row>
    <row r="227" spans="1:6" x14ac:dyDescent="0.2">
      <c r="A227" s="69">
        <v>10000000288</v>
      </c>
      <c r="E227" s="69">
        <v>23</v>
      </c>
      <c r="F227" s="69" t="s">
        <v>1264</v>
      </c>
    </row>
    <row r="228" spans="1:6" x14ac:dyDescent="0.2">
      <c r="A228" s="69">
        <v>10000000289</v>
      </c>
      <c r="B228" s="69" t="s">
        <v>221</v>
      </c>
      <c r="D228" s="69">
        <v>23</v>
      </c>
      <c r="E228" s="69">
        <v>23</v>
      </c>
      <c r="F228" t="s">
        <v>1984</v>
      </c>
    </row>
    <row r="229" spans="1:6" x14ac:dyDescent="0.2">
      <c r="A229" s="69">
        <v>10000000290</v>
      </c>
      <c r="B229" s="69" t="s">
        <v>221</v>
      </c>
      <c r="D229" s="69" t="e">
        <v>#N/A</v>
      </c>
      <c r="E229" s="69" t="s">
        <v>221</v>
      </c>
      <c r="F229" s="69" t="s">
        <v>1180</v>
      </c>
    </row>
    <row r="230" spans="1:6" x14ac:dyDescent="0.2">
      <c r="A230" s="69">
        <v>10000000291</v>
      </c>
      <c r="B230" s="69" t="s">
        <v>262</v>
      </c>
      <c r="D230" s="69" t="e">
        <v>#N/A</v>
      </c>
      <c r="E230" s="69">
        <v>5</v>
      </c>
      <c r="F230" s="69" t="s">
        <v>1179</v>
      </c>
    </row>
    <row r="231" spans="1:6" x14ac:dyDescent="0.2">
      <c r="A231" s="69">
        <v>10000000292</v>
      </c>
      <c r="B231" s="69" t="s">
        <v>262</v>
      </c>
      <c r="D231" s="69" t="e">
        <v>#N/A</v>
      </c>
      <c r="E231" s="69">
        <v>5</v>
      </c>
      <c r="F231" s="69" t="s">
        <v>1178</v>
      </c>
    </row>
    <row r="232" spans="1:6" x14ac:dyDescent="0.2">
      <c r="A232" s="69">
        <v>10000000323</v>
      </c>
      <c r="D232" s="69" t="e">
        <v>#N/A</v>
      </c>
      <c r="E232" s="69">
        <v>10</v>
      </c>
      <c r="F232" s="69" t="s">
        <v>1139</v>
      </c>
    </row>
    <row r="233" spans="1:6" x14ac:dyDescent="0.2">
      <c r="A233" s="69">
        <v>10000000324</v>
      </c>
      <c r="B233" s="69">
        <v>0.5</v>
      </c>
      <c r="D233" s="69" t="e">
        <v>#N/A</v>
      </c>
      <c r="E233" s="69">
        <v>10</v>
      </c>
      <c r="F233" s="69" t="s">
        <v>1138</v>
      </c>
    </row>
    <row r="234" spans="1:6" x14ac:dyDescent="0.2">
      <c r="A234" s="69">
        <v>10000000326</v>
      </c>
      <c r="D234" s="69" t="e">
        <v>#N/A</v>
      </c>
      <c r="E234" s="69">
        <v>20</v>
      </c>
      <c r="F234" s="69" t="s">
        <v>1137</v>
      </c>
    </row>
    <row r="235" spans="1:6" x14ac:dyDescent="0.2">
      <c r="A235" s="69">
        <v>10000000338</v>
      </c>
      <c r="B235" s="69" t="s">
        <v>220</v>
      </c>
      <c r="D235" s="69" t="e">
        <v>#N/A</v>
      </c>
      <c r="E235" s="69">
        <v>5</v>
      </c>
      <c r="F235" s="69" t="s">
        <v>1176</v>
      </c>
    </row>
    <row r="236" spans="1:6" x14ac:dyDescent="0.2">
      <c r="A236" s="69">
        <v>10000000339</v>
      </c>
      <c r="B236" s="69" t="s">
        <v>220</v>
      </c>
      <c r="D236" s="69" t="e">
        <v>#N/A</v>
      </c>
      <c r="E236" s="69">
        <v>5</v>
      </c>
      <c r="F236" s="69" t="s">
        <v>1175</v>
      </c>
    </row>
    <row r="237" spans="1:6" x14ac:dyDescent="0.2">
      <c r="A237" s="69">
        <v>10000000340</v>
      </c>
      <c r="B237" s="69" t="s">
        <v>220</v>
      </c>
      <c r="D237" s="69" t="e">
        <v>#N/A</v>
      </c>
      <c r="E237" s="69">
        <v>5</v>
      </c>
      <c r="F237" s="69" t="s">
        <v>1174</v>
      </c>
    </row>
    <row r="238" spans="1:6" x14ac:dyDescent="0.2">
      <c r="A238" s="69">
        <v>10000000341</v>
      </c>
      <c r="B238" s="69" t="s">
        <v>220</v>
      </c>
      <c r="D238" s="69" t="e">
        <v>#N/A</v>
      </c>
      <c r="E238" s="69">
        <v>5</v>
      </c>
      <c r="F238" s="69" t="s">
        <v>1173</v>
      </c>
    </row>
    <row r="239" spans="1:6" x14ac:dyDescent="0.2">
      <c r="A239" s="69">
        <v>10000000342</v>
      </c>
      <c r="B239" s="69">
        <v>10</v>
      </c>
      <c r="D239" s="69" t="e">
        <v>#N/A</v>
      </c>
      <c r="E239" s="69">
        <v>10</v>
      </c>
      <c r="F239" s="69" t="s">
        <v>1124</v>
      </c>
    </row>
    <row r="240" spans="1:6" x14ac:dyDescent="0.2">
      <c r="A240" s="69">
        <v>10000000343</v>
      </c>
      <c r="B240" s="69" t="s">
        <v>221</v>
      </c>
      <c r="D240" s="69" t="e">
        <v>#N/A</v>
      </c>
      <c r="E240" s="69">
        <v>5</v>
      </c>
      <c r="F240" t="s">
        <v>1123</v>
      </c>
    </row>
    <row r="241" spans="1:6" x14ac:dyDescent="0.2">
      <c r="A241" s="69">
        <v>10000000344</v>
      </c>
      <c r="B241" s="69" t="s">
        <v>221</v>
      </c>
      <c r="D241" s="69" t="e">
        <v>#N/A</v>
      </c>
      <c r="E241" s="69">
        <v>10</v>
      </c>
      <c r="F241" t="s">
        <v>1122</v>
      </c>
    </row>
    <row r="242" spans="1:6" x14ac:dyDescent="0.2">
      <c r="A242" s="69">
        <v>10000000345</v>
      </c>
      <c r="B242" s="69" t="s">
        <v>262</v>
      </c>
      <c r="D242" s="69" t="e">
        <v>#N/A</v>
      </c>
      <c r="E242" s="69">
        <v>10</v>
      </c>
      <c r="F242" s="69" t="s">
        <v>1170</v>
      </c>
    </row>
    <row r="243" spans="1:6" x14ac:dyDescent="0.2">
      <c r="A243" s="69">
        <v>10000000346</v>
      </c>
      <c r="B243" s="69" t="s">
        <v>262</v>
      </c>
      <c r="D243" s="69" t="e">
        <v>#N/A</v>
      </c>
      <c r="E243" s="69">
        <v>10</v>
      </c>
      <c r="F243" s="69" t="s">
        <v>1169</v>
      </c>
    </row>
    <row r="244" spans="1:6" x14ac:dyDescent="0.2">
      <c r="A244" s="69">
        <v>10000000347</v>
      </c>
      <c r="B244" s="69" t="s">
        <v>262</v>
      </c>
      <c r="D244" s="69" t="e">
        <v>#N/A</v>
      </c>
      <c r="E244" s="69">
        <v>10</v>
      </c>
      <c r="F244" s="69" t="s">
        <v>1168</v>
      </c>
    </row>
    <row r="245" spans="1:6" x14ac:dyDescent="0.2">
      <c r="A245" s="69">
        <v>10000000350</v>
      </c>
      <c r="E245" s="69">
        <v>28</v>
      </c>
      <c r="F245" s="69" t="s">
        <v>1116</v>
      </c>
    </row>
    <row r="246" spans="1:6" x14ac:dyDescent="0.2">
      <c r="A246" s="69">
        <v>10000000358</v>
      </c>
      <c r="D246" s="69" t="e">
        <v>#N/A</v>
      </c>
      <c r="E246" s="69">
        <v>10</v>
      </c>
      <c r="F246" s="69" t="s">
        <v>1109</v>
      </c>
    </row>
    <row r="247" spans="1:6" x14ac:dyDescent="0.2">
      <c r="A247" s="69">
        <v>10000000362</v>
      </c>
      <c r="B247" s="69" t="s">
        <v>220</v>
      </c>
      <c r="D247" s="69" t="e">
        <v>#N/A</v>
      </c>
      <c r="E247" s="69">
        <v>1</v>
      </c>
      <c r="F247" s="69" t="s">
        <v>1166</v>
      </c>
    </row>
    <row r="248" spans="1:6" x14ac:dyDescent="0.2">
      <c r="A248" s="69">
        <v>10000000363</v>
      </c>
      <c r="E248" s="69">
        <v>28</v>
      </c>
      <c r="F248" s="69" t="s">
        <v>1104</v>
      </c>
    </row>
    <row r="249" spans="1:6" x14ac:dyDescent="0.2">
      <c r="A249" s="69">
        <v>10000000364</v>
      </c>
      <c r="B249" s="69" t="s">
        <v>221</v>
      </c>
      <c r="D249" s="69" t="e">
        <v>#N/A</v>
      </c>
      <c r="E249" s="69" t="s">
        <v>221</v>
      </c>
      <c r="F249" s="69" t="s">
        <v>1165</v>
      </c>
    </row>
    <row r="250" spans="1:6" x14ac:dyDescent="0.2">
      <c r="A250" s="69">
        <v>10000000365</v>
      </c>
      <c r="B250" s="69" t="s">
        <v>221</v>
      </c>
      <c r="D250" s="69" t="e">
        <v>#N/A</v>
      </c>
      <c r="E250" s="69" t="s">
        <v>221</v>
      </c>
      <c r="F250" s="69" t="s">
        <v>1164</v>
      </c>
    </row>
    <row r="251" spans="1:6" x14ac:dyDescent="0.2">
      <c r="A251" s="69">
        <v>10000000366</v>
      </c>
      <c r="B251" s="69" t="s">
        <v>221</v>
      </c>
      <c r="D251" s="69" t="e">
        <v>#N/A</v>
      </c>
      <c r="E251" s="69" t="s">
        <v>221</v>
      </c>
      <c r="F251" s="69" t="s">
        <v>1163</v>
      </c>
    </row>
    <row r="252" spans="1:6" x14ac:dyDescent="0.2">
      <c r="A252" s="69">
        <v>10000000367</v>
      </c>
      <c r="B252" s="69" t="s">
        <v>221</v>
      </c>
      <c r="D252" s="69" t="e">
        <v>#N/A</v>
      </c>
      <c r="E252" s="69" t="s">
        <v>221</v>
      </c>
      <c r="F252" s="69" t="s">
        <v>1162</v>
      </c>
    </row>
    <row r="253" spans="1:6" x14ac:dyDescent="0.2">
      <c r="A253" s="69">
        <v>10000000368</v>
      </c>
      <c r="B253" s="69" t="s">
        <v>221</v>
      </c>
      <c r="D253" s="69" t="e">
        <v>#N/A</v>
      </c>
      <c r="E253" s="69">
        <v>5</v>
      </c>
      <c r="F253" s="69" t="s">
        <v>1161</v>
      </c>
    </row>
    <row r="254" spans="1:6" x14ac:dyDescent="0.2">
      <c r="A254" s="69">
        <v>10000000369</v>
      </c>
      <c r="B254" s="69" t="s">
        <v>221</v>
      </c>
      <c r="D254" s="69" t="e">
        <v>#N/A</v>
      </c>
      <c r="E254" s="69" t="s">
        <v>221</v>
      </c>
      <c r="F254" s="69" t="s">
        <v>1160</v>
      </c>
    </row>
    <row r="255" spans="1:6" x14ac:dyDescent="0.2">
      <c r="A255" s="69">
        <v>10000000370</v>
      </c>
      <c r="B255" s="69" t="s">
        <v>262</v>
      </c>
      <c r="D255" s="69" t="e">
        <v>#N/A</v>
      </c>
      <c r="E255" s="69">
        <v>1</v>
      </c>
      <c r="F255" s="69" t="s">
        <v>1159</v>
      </c>
    </row>
    <row r="256" spans="1:6" x14ac:dyDescent="0.2">
      <c r="A256" s="69">
        <v>10000000371</v>
      </c>
      <c r="B256" s="69" t="s">
        <v>262</v>
      </c>
      <c r="D256" s="69" t="e">
        <v>#N/A</v>
      </c>
      <c r="E256" s="69">
        <v>5</v>
      </c>
      <c r="F256" s="69" t="s">
        <v>1158</v>
      </c>
    </row>
    <row r="257" spans="1:6" x14ac:dyDescent="0.2">
      <c r="A257" s="69">
        <v>10000000372</v>
      </c>
      <c r="B257" s="69" t="s">
        <v>262</v>
      </c>
      <c r="D257" s="69" t="e">
        <v>#N/A</v>
      </c>
      <c r="E257" s="69">
        <v>5</v>
      </c>
      <c r="F257" s="69" t="s">
        <v>1157</v>
      </c>
    </row>
    <row r="258" spans="1:6" x14ac:dyDescent="0.2">
      <c r="A258" s="69">
        <v>10000000373</v>
      </c>
      <c r="B258" s="69" t="s">
        <v>220</v>
      </c>
      <c r="D258" s="69" t="e">
        <v>#N/A</v>
      </c>
      <c r="E258" s="69" t="s">
        <v>220</v>
      </c>
      <c r="F258" s="69" t="s">
        <v>1156</v>
      </c>
    </row>
    <row r="259" spans="1:6" x14ac:dyDescent="0.2">
      <c r="A259" s="69">
        <v>10000000374</v>
      </c>
      <c r="B259" s="69" t="s">
        <v>220</v>
      </c>
      <c r="D259" s="69" t="e">
        <v>#N/A</v>
      </c>
      <c r="E259" s="69" t="s">
        <v>220</v>
      </c>
      <c r="F259" s="69" t="s">
        <v>1155</v>
      </c>
    </row>
    <row r="260" spans="1:6" x14ac:dyDescent="0.2">
      <c r="A260" s="69">
        <v>10000000375</v>
      </c>
      <c r="B260" s="69" t="s">
        <v>221</v>
      </c>
      <c r="D260" s="69" t="e">
        <v>#N/A</v>
      </c>
      <c r="E260" s="69" t="s">
        <v>221</v>
      </c>
      <c r="F260" s="69" t="s">
        <v>1154</v>
      </c>
    </row>
    <row r="261" spans="1:6" x14ac:dyDescent="0.2">
      <c r="A261" s="69">
        <v>10000000377</v>
      </c>
      <c r="E261" s="69">
        <v>19</v>
      </c>
      <c r="F261" s="69" t="s">
        <v>1091</v>
      </c>
    </row>
    <row r="262" spans="1:6" x14ac:dyDescent="0.2">
      <c r="A262" s="69">
        <v>10000000378</v>
      </c>
      <c r="E262" s="69">
        <v>19</v>
      </c>
      <c r="F262" s="69" t="s">
        <v>1090</v>
      </c>
    </row>
    <row r="263" spans="1:6" x14ac:dyDescent="0.2">
      <c r="A263" s="69">
        <v>10000000379</v>
      </c>
      <c r="E263" s="69">
        <v>19</v>
      </c>
      <c r="F263" s="69" t="s">
        <v>1089</v>
      </c>
    </row>
    <row r="264" spans="1:6" x14ac:dyDescent="0.2">
      <c r="A264" s="69">
        <v>10000000381</v>
      </c>
      <c r="B264" s="69" t="s">
        <v>220</v>
      </c>
      <c r="D264" s="69" t="e">
        <v>#N/A</v>
      </c>
      <c r="E264" s="69" t="s">
        <v>220</v>
      </c>
      <c r="F264" s="69" t="s">
        <v>1152</v>
      </c>
    </row>
    <row r="265" spans="1:6" x14ac:dyDescent="0.2">
      <c r="A265" s="69">
        <v>10000000382</v>
      </c>
      <c r="B265" s="69" t="s">
        <v>221</v>
      </c>
      <c r="D265" s="69" t="e">
        <v>#N/A</v>
      </c>
      <c r="E265" s="69" t="s">
        <v>221</v>
      </c>
      <c r="F265" s="69" t="s">
        <v>1151</v>
      </c>
    </row>
    <row r="266" spans="1:6" x14ac:dyDescent="0.2">
      <c r="A266" s="69">
        <v>10000000391</v>
      </c>
      <c r="B266" s="69" t="s">
        <v>220</v>
      </c>
      <c r="D266" s="69" t="e">
        <v>#N/A</v>
      </c>
      <c r="E266" s="69" t="s">
        <v>220</v>
      </c>
      <c r="F266" s="69" t="s">
        <v>1150</v>
      </c>
    </row>
    <row r="267" spans="1:6" x14ac:dyDescent="0.2">
      <c r="A267" s="69">
        <v>10000000392</v>
      </c>
      <c r="B267" s="69" t="s">
        <v>221</v>
      </c>
      <c r="D267" s="69" t="e">
        <v>#N/A</v>
      </c>
      <c r="E267" s="69" t="s">
        <v>221</v>
      </c>
      <c r="F267" s="69" t="s">
        <v>1149</v>
      </c>
    </row>
    <row r="268" spans="1:6" x14ac:dyDescent="0.2">
      <c r="A268" s="69">
        <v>10000000393</v>
      </c>
      <c r="B268" s="69" t="s">
        <v>221</v>
      </c>
      <c r="D268" s="69" t="e">
        <v>#N/A</v>
      </c>
      <c r="E268" s="69">
        <v>5</v>
      </c>
      <c r="F268" s="69" t="s">
        <v>1148</v>
      </c>
    </row>
    <row r="269" spans="1:6" x14ac:dyDescent="0.2">
      <c r="A269" s="69">
        <v>10000000394</v>
      </c>
      <c r="B269" s="69" t="s">
        <v>262</v>
      </c>
      <c r="D269" s="69" t="e">
        <v>#N/A</v>
      </c>
      <c r="E269" s="69">
        <v>20</v>
      </c>
      <c r="F269" s="69" t="s">
        <v>1147</v>
      </c>
    </row>
    <row r="270" spans="1:6" x14ac:dyDescent="0.2">
      <c r="A270" s="69">
        <v>10000000395</v>
      </c>
      <c r="B270" s="69" t="s">
        <v>262</v>
      </c>
      <c r="D270" s="69" t="e">
        <v>#N/A</v>
      </c>
      <c r="E270" s="69">
        <v>20</v>
      </c>
      <c r="F270" s="69" t="s">
        <v>1146</v>
      </c>
    </row>
    <row r="271" spans="1:6" x14ac:dyDescent="0.2">
      <c r="A271" s="69">
        <v>10000000396</v>
      </c>
      <c r="B271" s="69" t="s">
        <v>220</v>
      </c>
      <c r="D271" s="69" t="e">
        <v>#N/A</v>
      </c>
      <c r="E271" s="69">
        <v>1</v>
      </c>
      <c r="F271" s="69" t="s">
        <v>1145</v>
      </c>
    </row>
    <row r="272" spans="1:6" x14ac:dyDescent="0.2">
      <c r="A272" s="69">
        <v>10000000397</v>
      </c>
      <c r="E272" s="69">
        <v>28</v>
      </c>
      <c r="F272" s="69" t="s">
        <v>1075</v>
      </c>
    </row>
    <row r="273" spans="1:6" x14ac:dyDescent="0.2">
      <c r="A273" s="69">
        <v>10000000398</v>
      </c>
      <c r="E273" s="69">
        <v>19</v>
      </c>
      <c r="F273" s="69" t="s">
        <v>1074</v>
      </c>
    </row>
    <row r="274" spans="1:6" x14ac:dyDescent="0.2">
      <c r="A274" s="69">
        <v>10000000400</v>
      </c>
      <c r="E274" s="69">
        <v>19</v>
      </c>
      <c r="F274" s="69" t="s">
        <v>1712</v>
      </c>
    </row>
    <row r="275" spans="1:6" x14ac:dyDescent="0.2">
      <c r="A275" s="69">
        <v>10000000401</v>
      </c>
      <c r="E275" s="69">
        <v>19</v>
      </c>
      <c r="F275" s="69" t="s">
        <v>1072</v>
      </c>
    </row>
    <row r="276" spans="1:6" x14ac:dyDescent="0.2">
      <c r="A276" s="69">
        <v>10000000402</v>
      </c>
      <c r="E276" s="69">
        <v>19</v>
      </c>
      <c r="F276" s="69" t="s">
        <v>1071</v>
      </c>
    </row>
    <row r="277" spans="1:6" x14ac:dyDescent="0.2">
      <c r="A277" s="69">
        <v>10000000403</v>
      </c>
      <c r="E277" s="69">
        <v>19</v>
      </c>
      <c r="F277" s="69" t="s">
        <v>1070</v>
      </c>
    </row>
    <row r="278" spans="1:6" x14ac:dyDescent="0.2">
      <c r="A278" s="69">
        <v>10000000404</v>
      </c>
      <c r="E278" s="69">
        <v>19</v>
      </c>
      <c r="F278" s="69" t="s">
        <v>1069</v>
      </c>
    </row>
    <row r="279" spans="1:6" x14ac:dyDescent="0.2">
      <c r="A279" s="69">
        <v>10000000405</v>
      </c>
      <c r="B279" s="69" t="s">
        <v>220</v>
      </c>
      <c r="D279" s="69" t="e">
        <v>#N/A</v>
      </c>
      <c r="E279" s="69" t="s">
        <v>220</v>
      </c>
      <c r="F279" s="69" t="s">
        <v>1144</v>
      </c>
    </row>
    <row r="280" spans="1:6" x14ac:dyDescent="0.2">
      <c r="A280" s="69">
        <v>10000000406</v>
      </c>
      <c r="E280" s="69">
        <v>19</v>
      </c>
      <c r="F280" s="69" t="s">
        <v>1068</v>
      </c>
    </row>
    <row r="281" spans="1:6" x14ac:dyDescent="0.2">
      <c r="A281" s="69">
        <v>10000000407</v>
      </c>
      <c r="B281" s="69" t="s">
        <v>220</v>
      </c>
      <c r="D281" s="69" t="e">
        <v>#N/A</v>
      </c>
      <c r="E281" s="69" t="s">
        <v>220</v>
      </c>
      <c r="F281" s="69" t="s">
        <v>1143</v>
      </c>
    </row>
    <row r="282" spans="1:6" x14ac:dyDescent="0.2">
      <c r="A282" s="69">
        <v>10000000408</v>
      </c>
      <c r="E282" s="69">
        <v>19</v>
      </c>
      <c r="F282" s="69" t="s">
        <v>1067</v>
      </c>
    </row>
    <row r="283" spans="1:6" x14ac:dyDescent="0.2">
      <c r="A283" s="69">
        <v>10000000409</v>
      </c>
      <c r="E283" s="69">
        <v>19</v>
      </c>
      <c r="F283" s="69" t="s">
        <v>1066</v>
      </c>
    </row>
    <row r="284" spans="1:6" x14ac:dyDescent="0.2">
      <c r="A284" s="69">
        <v>10000000410</v>
      </c>
      <c r="B284" s="69" t="s">
        <v>221</v>
      </c>
      <c r="D284" s="69" t="e">
        <v>#N/A</v>
      </c>
      <c r="E284" s="69" t="s">
        <v>221</v>
      </c>
      <c r="F284" s="69" t="s">
        <v>1142</v>
      </c>
    </row>
    <row r="285" spans="1:6" x14ac:dyDescent="0.2">
      <c r="A285" s="69">
        <v>10000000411</v>
      </c>
      <c r="E285" s="69">
        <v>19</v>
      </c>
      <c r="F285" s="69" t="s">
        <v>198</v>
      </c>
    </row>
    <row r="286" spans="1:6" x14ac:dyDescent="0.2">
      <c r="A286" s="69">
        <v>10000000412</v>
      </c>
      <c r="B286" s="69" t="s">
        <v>221</v>
      </c>
      <c r="D286" s="69" t="e">
        <v>#N/A</v>
      </c>
      <c r="E286" s="69" t="s">
        <v>221</v>
      </c>
      <c r="F286" s="69" t="s">
        <v>1141</v>
      </c>
    </row>
    <row r="287" spans="1:6" x14ac:dyDescent="0.2">
      <c r="A287" s="69">
        <v>10000000413</v>
      </c>
      <c r="E287" s="69">
        <v>19</v>
      </c>
      <c r="F287" s="69" t="s">
        <v>1065</v>
      </c>
    </row>
    <row r="288" spans="1:6" x14ac:dyDescent="0.2">
      <c r="A288" s="69">
        <v>10000000414</v>
      </c>
      <c r="E288" s="69">
        <v>19</v>
      </c>
      <c r="F288" s="69" t="s">
        <v>1064</v>
      </c>
    </row>
    <row r="289" spans="1:6" x14ac:dyDescent="0.2">
      <c r="A289" s="69">
        <v>10000000415</v>
      </c>
      <c r="E289" s="69">
        <v>19</v>
      </c>
      <c r="F289" s="69" t="s">
        <v>1063</v>
      </c>
    </row>
    <row r="290" spans="1:6" x14ac:dyDescent="0.2">
      <c r="A290" s="69">
        <v>10000000416</v>
      </c>
      <c r="E290" s="69">
        <v>19</v>
      </c>
      <c r="F290" s="69" t="s">
        <v>1062</v>
      </c>
    </row>
    <row r="291" spans="1:6" x14ac:dyDescent="0.2">
      <c r="A291" s="69">
        <v>10000000417</v>
      </c>
      <c r="E291" s="69">
        <v>19</v>
      </c>
      <c r="F291" s="69" t="s">
        <v>1061</v>
      </c>
    </row>
    <row r="292" spans="1:6" x14ac:dyDescent="0.2">
      <c r="A292" s="69">
        <v>10000000419</v>
      </c>
      <c r="E292" s="69">
        <v>19</v>
      </c>
      <c r="F292" s="69" t="s">
        <v>200</v>
      </c>
    </row>
    <row r="293" spans="1:6" x14ac:dyDescent="0.2">
      <c r="A293" s="69">
        <v>10000000420</v>
      </c>
      <c r="E293" s="69">
        <v>19</v>
      </c>
      <c r="F293" s="69" t="s">
        <v>1060</v>
      </c>
    </row>
    <row r="294" spans="1:6" x14ac:dyDescent="0.2">
      <c r="A294" s="69">
        <v>10000000421</v>
      </c>
      <c r="E294" s="69">
        <v>19</v>
      </c>
      <c r="F294" s="69" t="s">
        <v>1059</v>
      </c>
    </row>
    <row r="295" spans="1:6" x14ac:dyDescent="0.2">
      <c r="A295" s="69">
        <v>10000000422</v>
      </c>
      <c r="E295" s="69">
        <v>19</v>
      </c>
      <c r="F295" s="69" t="s">
        <v>142</v>
      </c>
    </row>
    <row r="296" spans="1:6" x14ac:dyDescent="0.2">
      <c r="A296" s="69">
        <v>10000000426</v>
      </c>
      <c r="E296" s="69">
        <v>19</v>
      </c>
      <c r="F296" s="69" t="s">
        <v>176</v>
      </c>
    </row>
    <row r="297" spans="1:6" x14ac:dyDescent="0.2">
      <c r="A297" s="69">
        <v>10000000430</v>
      </c>
      <c r="E297" s="69">
        <v>19</v>
      </c>
      <c r="F297" s="69" t="s">
        <v>130</v>
      </c>
    </row>
    <row r="298" spans="1:6" x14ac:dyDescent="0.2">
      <c r="A298" s="69">
        <v>10000000431</v>
      </c>
      <c r="B298" s="69" t="s">
        <v>221</v>
      </c>
      <c r="D298" s="69" t="e">
        <v>#N/A</v>
      </c>
      <c r="E298" s="69" t="s">
        <v>221</v>
      </c>
      <c r="F298" s="69" t="s">
        <v>1140</v>
      </c>
    </row>
    <row r="299" spans="1:6" x14ac:dyDescent="0.2">
      <c r="A299" s="69">
        <v>10000000432</v>
      </c>
      <c r="E299" s="69">
        <v>19</v>
      </c>
      <c r="F299" s="69" t="s">
        <v>1058</v>
      </c>
    </row>
    <row r="300" spans="1:6" x14ac:dyDescent="0.2">
      <c r="A300" s="69">
        <v>10000000433</v>
      </c>
      <c r="E300" s="69">
        <v>19</v>
      </c>
      <c r="F300" s="69" t="s">
        <v>1057</v>
      </c>
    </row>
    <row r="301" spans="1:6" x14ac:dyDescent="0.2">
      <c r="A301" s="69">
        <v>10000000434</v>
      </c>
      <c r="B301" s="69" t="s">
        <v>262</v>
      </c>
      <c r="D301" s="69" t="e">
        <v>#N/A</v>
      </c>
      <c r="E301" s="69">
        <v>10</v>
      </c>
      <c r="F301" s="69" t="s">
        <v>1138</v>
      </c>
    </row>
    <row r="302" spans="1:6" x14ac:dyDescent="0.2">
      <c r="A302" s="69">
        <v>10000000435</v>
      </c>
      <c r="E302" s="69">
        <v>19</v>
      </c>
      <c r="F302" s="69" t="s">
        <v>1056</v>
      </c>
    </row>
    <row r="303" spans="1:6" x14ac:dyDescent="0.2">
      <c r="A303" s="69">
        <v>10000000436</v>
      </c>
      <c r="B303" s="69" t="s">
        <v>262</v>
      </c>
      <c r="D303" s="69" t="e">
        <v>#N/A</v>
      </c>
      <c r="E303" s="69">
        <v>20</v>
      </c>
      <c r="F303" s="69" t="s">
        <v>1137</v>
      </c>
    </row>
    <row r="304" spans="1:6" x14ac:dyDescent="0.2">
      <c r="A304" s="69">
        <v>10000000437</v>
      </c>
      <c r="B304" s="69" t="s">
        <v>220</v>
      </c>
      <c r="D304" s="69" t="e">
        <v>#N/A</v>
      </c>
      <c r="E304" s="69">
        <v>5</v>
      </c>
      <c r="F304" s="69" t="s">
        <v>1136</v>
      </c>
    </row>
    <row r="305" spans="1:6" x14ac:dyDescent="0.2">
      <c r="A305" s="69">
        <v>10000000438</v>
      </c>
      <c r="B305" s="69" t="s">
        <v>220</v>
      </c>
      <c r="D305" s="69" t="s">
        <v>1244</v>
      </c>
      <c r="E305" s="124" t="s">
        <v>307</v>
      </c>
      <c r="F305" t="s">
        <v>2060</v>
      </c>
    </row>
    <row r="306" spans="1:6" x14ac:dyDescent="0.2">
      <c r="A306" s="69">
        <v>10000000439</v>
      </c>
      <c r="B306" s="69" t="s">
        <v>221</v>
      </c>
      <c r="D306" s="69" t="e">
        <v>#N/A</v>
      </c>
      <c r="E306" s="69" t="s">
        <v>221</v>
      </c>
      <c r="F306" s="69" t="s">
        <v>1134</v>
      </c>
    </row>
    <row r="307" spans="1:6" x14ac:dyDescent="0.2">
      <c r="A307" s="69">
        <v>10000000440</v>
      </c>
      <c r="B307" s="69" t="s">
        <v>221</v>
      </c>
      <c r="D307" s="69" t="e">
        <v>#N/A</v>
      </c>
      <c r="E307" s="69" t="s">
        <v>221</v>
      </c>
      <c r="F307" s="69" t="s">
        <v>1133</v>
      </c>
    </row>
    <row r="308" spans="1:6" x14ac:dyDescent="0.2">
      <c r="A308" s="69">
        <v>10000000441</v>
      </c>
      <c r="E308" s="69">
        <v>19</v>
      </c>
      <c r="F308" s="69" t="s">
        <v>1054</v>
      </c>
    </row>
    <row r="309" spans="1:6" x14ac:dyDescent="0.2">
      <c r="A309" s="69">
        <v>10000000442</v>
      </c>
      <c r="E309" s="69">
        <v>19</v>
      </c>
      <c r="F309" s="69" t="s">
        <v>1053</v>
      </c>
    </row>
    <row r="310" spans="1:6" x14ac:dyDescent="0.2">
      <c r="A310" s="69">
        <v>10000000443</v>
      </c>
      <c r="B310" s="69" t="s">
        <v>221</v>
      </c>
      <c r="D310" s="69" t="e">
        <v>#N/A</v>
      </c>
      <c r="E310" s="69" t="s">
        <v>221</v>
      </c>
      <c r="F310" s="69" t="s">
        <v>1132</v>
      </c>
    </row>
    <row r="311" spans="1:6" x14ac:dyDescent="0.2">
      <c r="A311" s="69">
        <v>10000000444</v>
      </c>
      <c r="B311" s="69" t="s">
        <v>221</v>
      </c>
      <c r="D311" s="69" t="e">
        <v>#N/A</v>
      </c>
      <c r="E311" s="69" t="s">
        <v>221</v>
      </c>
      <c r="F311" s="69" t="s">
        <v>1131</v>
      </c>
    </row>
    <row r="312" spans="1:6" x14ac:dyDescent="0.2">
      <c r="A312" s="69">
        <v>10000000445</v>
      </c>
      <c r="E312" s="69">
        <v>19</v>
      </c>
      <c r="F312" s="69" t="s">
        <v>149</v>
      </c>
    </row>
    <row r="313" spans="1:6" x14ac:dyDescent="0.2">
      <c r="A313" s="69">
        <v>10000000446</v>
      </c>
      <c r="B313" s="69" t="s">
        <v>221</v>
      </c>
      <c r="D313" s="69" t="e">
        <v>#N/A</v>
      </c>
      <c r="E313" s="69">
        <v>1</v>
      </c>
      <c r="F313" s="69" t="s">
        <v>1130</v>
      </c>
    </row>
    <row r="314" spans="1:6" x14ac:dyDescent="0.2">
      <c r="A314" s="69">
        <v>10000000447</v>
      </c>
      <c r="B314" s="69" t="s">
        <v>221</v>
      </c>
      <c r="D314" s="69" t="e">
        <v>#N/A</v>
      </c>
      <c r="E314" s="69">
        <v>5</v>
      </c>
      <c r="F314" s="69" t="s">
        <v>1129</v>
      </c>
    </row>
    <row r="315" spans="1:6" x14ac:dyDescent="0.2">
      <c r="A315" s="69">
        <v>10000000448</v>
      </c>
      <c r="B315" s="69" t="s">
        <v>221</v>
      </c>
      <c r="D315" s="69" t="e">
        <v>#N/A</v>
      </c>
      <c r="E315" s="69">
        <v>5</v>
      </c>
      <c r="F315" s="69" t="s">
        <v>1128</v>
      </c>
    </row>
    <row r="316" spans="1:6" x14ac:dyDescent="0.2">
      <c r="A316" s="69">
        <v>10000000449</v>
      </c>
      <c r="B316" s="69" t="s">
        <v>221</v>
      </c>
      <c r="D316" s="69" t="e">
        <v>#N/A</v>
      </c>
      <c r="E316" s="69">
        <v>1</v>
      </c>
      <c r="F316" s="69" t="s">
        <v>1127</v>
      </c>
    </row>
    <row r="317" spans="1:6" x14ac:dyDescent="0.2">
      <c r="A317" s="69">
        <v>10000000450</v>
      </c>
      <c r="B317" s="69" t="s">
        <v>221</v>
      </c>
      <c r="D317" s="69" t="e">
        <v>#N/A</v>
      </c>
      <c r="E317" s="69">
        <v>5</v>
      </c>
      <c r="F317" s="69" t="s">
        <v>1126</v>
      </c>
    </row>
    <row r="318" spans="1:6" x14ac:dyDescent="0.2">
      <c r="A318" s="69">
        <v>10000000451</v>
      </c>
      <c r="B318" s="69" t="s">
        <v>221</v>
      </c>
      <c r="D318" s="69" t="e">
        <v>#N/A</v>
      </c>
      <c r="E318" s="69">
        <v>5</v>
      </c>
      <c r="F318" s="69" t="s">
        <v>1125</v>
      </c>
    </row>
    <row r="319" spans="1:6" x14ac:dyDescent="0.2">
      <c r="A319" s="69">
        <v>10000000452</v>
      </c>
      <c r="B319" s="69" t="s">
        <v>262</v>
      </c>
      <c r="D319" s="69" t="e">
        <v>#N/A</v>
      </c>
      <c r="E319" s="69">
        <v>10</v>
      </c>
      <c r="F319" s="69" t="s">
        <v>1124</v>
      </c>
    </row>
    <row r="320" spans="1:6" x14ac:dyDescent="0.2">
      <c r="A320" s="69">
        <v>10000000453</v>
      </c>
      <c r="B320" s="69" t="s">
        <v>262</v>
      </c>
      <c r="D320" s="69" t="e">
        <v>#N/A</v>
      </c>
      <c r="E320" s="69">
        <v>10</v>
      </c>
      <c r="F320" s="69" t="s">
        <v>1123</v>
      </c>
    </row>
    <row r="321" spans="1:6" x14ac:dyDescent="0.2">
      <c r="A321" s="69">
        <v>10000000454</v>
      </c>
      <c r="B321" s="69" t="s">
        <v>262</v>
      </c>
      <c r="D321" s="69" t="e">
        <v>#N/A</v>
      </c>
      <c r="E321" s="69">
        <v>10</v>
      </c>
      <c r="F321" s="69" t="s">
        <v>1122</v>
      </c>
    </row>
    <row r="322" spans="1:6" x14ac:dyDescent="0.2">
      <c r="A322" s="69">
        <v>10000000455</v>
      </c>
      <c r="B322" s="69" t="s">
        <v>262</v>
      </c>
      <c r="D322" s="69" t="e">
        <v>#N/A</v>
      </c>
      <c r="E322" s="69">
        <v>10</v>
      </c>
      <c r="F322" s="69" t="s">
        <v>1121</v>
      </c>
    </row>
    <row r="323" spans="1:6" x14ac:dyDescent="0.2">
      <c r="A323" s="69">
        <v>10000000456</v>
      </c>
      <c r="B323" s="69" t="s">
        <v>262</v>
      </c>
      <c r="D323" s="69" t="e">
        <v>#N/A</v>
      </c>
      <c r="E323" s="69">
        <v>5</v>
      </c>
      <c r="F323" s="69" t="s">
        <v>1120</v>
      </c>
    </row>
    <row r="324" spans="1:6" x14ac:dyDescent="0.2">
      <c r="A324" s="69">
        <v>10000000457</v>
      </c>
      <c r="B324" s="69" t="s">
        <v>262</v>
      </c>
      <c r="D324" s="69" t="e">
        <v>#N/A</v>
      </c>
      <c r="E324" s="69">
        <v>10</v>
      </c>
      <c r="F324" s="69" t="s">
        <v>1119</v>
      </c>
    </row>
    <row r="325" spans="1:6" x14ac:dyDescent="0.2">
      <c r="A325" s="69">
        <v>10000000458</v>
      </c>
      <c r="B325" s="69" t="s">
        <v>262</v>
      </c>
      <c r="D325" s="69" t="e">
        <v>#N/A</v>
      </c>
      <c r="E325" s="69">
        <v>10</v>
      </c>
      <c r="F325" s="69" t="s">
        <v>1118</v>
      </c>
    </row>
    <row r="326" spans="1:6" x14ac:dyDescent="0.2">
      <c r="A326" s="69">
        <v>10000000459</v>
      </c>
      <c r="B326" s="69" t="s">
        <v>262</v>
      </c>
      <c r="D326" s="69" t="e">
        <v>#N/A</v>
      </c>
      <c r="E326" s="69">
        <v>10</v>
      </c>
      <c r="F326" s="69" t="s">
        <v>1117</v>
      </c>
    </row>
    <row r="327" spans="1:6" x14ac:dyDescent="0.2">
      <c r="A327" s="69">
        <v>10000000468</v>
      </c>
      <c r="B327" s="69" t="s">
        <v>221</v>
      </c>
      <c r="D327" s="69" t="e">
        <v>#N/A</v>
      </c>
      <c r="E327" s="69">
        <v>5</v>
      </c>
      <c r="F327" s="69" t="s">
        <v>1115</v>
      </c>
    </row>
    <row r="328" spans="1:6" x14ac:dyDescent="0.2">
      <c r="A328" s="69">
        <v>10000000469</v>
      </c>
      <c r="B328" s="69" t="s">
        <v>221</v>
      </c>
      <c r="D328" s="69" t="e">
        <v>#N/A</v>
      </c>
      <c r="E328" s="69">
        <v>5</v>
      </c>
      <c r="F328" s="69" t="s">
        <v>1114</v>
      </c>
    </row>
    <row r="329" spans="1:6" x14ac:dyDescent="0.2">
      <c r="A329" s="69">
        <v>10000000470</v>
      </c>
      <c r="B329" s="69" t="s">
        <v>221</v>
      </c>
      <c r="D329" s="69" t="e">
        <v>#N/A</v>
      </c>
      <c r="E329" s="69">
        <v>5</v>
      </c>
      <c r="F329" s="69" t="s">
        <v>1113</v>
      </c>
    </row>
    <row r="330" spans="1:6" x14ac:dyDescent="0.2">
      <c r="A330" s="69">
        <v>10000000471</v>
      </c>
      <c r="B330" s="69" t="s">
        <v>221</v>
      </c>
      <c r="D330" s="69" t="e">
        <v>#N/A</v>
      </c>
      <c r="E330" s="69">
        <v>5</v>
      </c>
      <c r="F330" s="69" t="s">
        <v>1112</v>
      </c>
    </row>
    <row r="331" spans="1:6" x14ac:dyDescent="0.2">
      <c r="A331" s="69">
        <v>10000000472</v>
      </c>
      <c r="B331" s="69" t="s">
        <v>221</v>
      </c>
      <c r="D331" s="69" t="e">
        <v>#N/A</v>
      </c>
      <c r="E331" s="69">
        <v>5</v>
      </c>
      <c r="F331" s="69" t="s">
        <v>1111</v>
      </c>
    </row>
    <row r="332" spans="1:6" x14ac:dyDescent="0.2">
      <c r="A332" s="69">
        <v>10000000473</v>
      </c>
      <c r="B332" s="69" t="s">
        <v>262</v>
      </c>
      <c r="D332" s="69" t="e">
        <v>#N/A</v>
      </c>
      <c r="E332" s="69">
        <v>5</v>
      </c>
      <c r="F332" s="69" t="s">
        <v>1110</v>
      </c>
    </row>
    <row r="333" spans="1:6" x14ac:dyDescent="0.2">
      <c r="A333" s="69">
        <v>10000000474</v>
      </c>
      <c r="B333" s="69" t="s">
        <v>262</v>
      </c>
      <c r="D333" s="69" t="e">
        <v>#N/A</v>
      </c>
      <c r="E333" s="69">
        <v>5</v>
      </c>
      <c r="F333" s="69" t="s">
        <v>1109</v>
      </c>
    </row>
    <row r="334" spans="1:6" x14ac:dyDescent="0.2">
      <c r="A334" s="69">
        <v>10000000475</v>
      </c>
      <c r="B334" s="69" t="s">
        <v>262</v>
      </c>
      <c r="D334" s="69" t="e">
        <v>#N/A</v>
      </c>
      <c r="E334" s="69">
        <v>10</v>
      </c>
      <c r="F334" s="69" t="s">
        <v>1108</v>
      </c>
    </row>
    <row r="335" spans="1:6" x14ac:dyDescent="0.2">
      <c r="A335" s="69">
        <v>10000000476</v>
      </c>
      <c r="B335" s="69" t="s">
        <v>262</v>
      </c>
      <c r="D335" s="69" t="e">
        <v>#N/A</v>
      </c>
      <c r="E335" s="69">
        <v>5</v>
      </c>
      <c r="F335" s="69" t="s">
        <v>1107</v>
      </c>
    </row>
    <row r="336" spans="1:6" x14ac:dyDescent="0.2">
      <c r="A336" s="69">
        <v>10000000477</v>
      </c>
      <c r="B336" s="69" t="s">
        <v>262</v>
      </c>
      <c r="D336" s="69" t="e">
        <v>#N/A</v>
      </c>
      <c r="E336" s="69">
        <v>10</v>
      </c>
      <c r="F336" s="69" t="s">
        <v>1106</v>
      </c>
    </row>
    <row r="337" spans="1:6" x14ac:dyDescent="0.2">
      <c r="A337" s="69">
        <v>10000000478</v>
      </c>
      <c r="B337" s="69" t="s">
        <v>262</v>
      </c>
      <c r="D337" s="69" t="e">
        <v>#N/A</v>
      </c>
      <c r="E337" s="69">
        <v>10</v>
      </c>
      <c r="F337" s="69" t="s">
        <v>1105</v>
      </c>
    </row>
    <row r="338" spans="1:6" x14ac:dyDescent="0.2">
      <c r="A338" s="69">
        <v>10000000479</v>
      </c>
      <c r="E338" s="69">
        <v>23</v>
      </c>
      <c r="F338" s="69" t="s">
        <v>1019</v>
      </c>
    </row>
    <row r="339" spans="1:6" x14ac:dyDescent="0.2">
      <c r="A339" s="69">
        <v>10000000485</v>
      </c>
      <c r="B339" s="69" t="s">
        <v>296</v>
      </c>
      <c r="E339" s="69">
        <v>5</v>
      </c>
      <c r="F339" s="69" t="s">
        <v>1017</v>
      </c>
    </row>
    <row r="340" spans="1:6" x14ac:dyDescent="0.2">
      <c r="A340" s="69">
        <v>10000000486</v>
      </c>
      <c r="B340" s="69" t="s">
        <v>221</v>
      </c>
      <c r="D340" s="69" t="e">
        <v>#N/A</v>
      </c>
      <c r="E340" s="69">
        <v>5</v>
      </c>
      <c r="F340" t="s">
        <v>1975</v>
      </c>
    </row>
    <row r="341" spans="1:6" x14ac:dyDescent="0.2">
      <c r="A341" s="69">
        <v>10000000487</v>
      </c>
      <c r="B341" s="69" t="s">
        <v>221</v>
      </c>
      <c r="D341" s="69" t="e">
        <v>#N/A</v>
      </c>
      <c r="E341" s="69" t="s">
        <v>221</v>
      </c>
      <c r="F341" s="69" t="s">
        <v>1102</v>
      </c>
    </row>
    <row r="342" spans="1:6" x14ac:dyDescent="0.2">
      <c r="A342" s="69">
        <v>10000000488</v>
      </c>
      <c r="B342" s="69" t="s">
        <v>221</v>
      </c>
      <c r="D342" s="69" t="e">
        <v>#N/A</v>
      </c>
      <c r="E342" s="69" t="s">
        <v>221</v>
      </c>
      <c r="F342" s="69" t="s">
        <v>1101</v>
      </c>
    </row>
    <row r="343" spans="1:6" x14ac:dyDescent="0.2">
      <c r="A343" s="69">
        <v>10000000489</v>
      </c>
      <c r="B343" s="69" t="s">
        <v>221</v>
      </c>
      <c r="D343" s="69" t="e">
        <v>#N/A</v>
      </c>
      <c r="E343" s="69" t="s">
        <v>221</v>
      </c>
      <c r="F343" s="69" t="s">
        <v>1100</v>
      </c>
    </row>
    <row r="344" spans="1:6" x14ac:dyDescent="0.2">
      <c r="A344" s="69">
        <v>10000000490</v>
      </c>
      <c r="B344" s="69" t="s">
        <v>262</v>
      </c>
      <c r="D344" s="69" t="e">
        <v>#N/A</v>
      </c>
      <c r="E344" s="69">
        <v>20</v>
      </c>
      <c r="F344" s="69" t="s">
        <v>1099</v>
      </c>
    </row>
    <row r="345" spans="1:6" x14ac:dyDescent="0.2">
      <c r="A345" s="69">
        <v>10000000491</v>
      </c>
      <c r="B345" s="69" t="s">
        <v>220</v>
      </c>
      <c r="D345" s="69" t="e">
        <v>#N/A</v>
      </c>
      <c r="E345" s="69" t="s">
        <v>220</v>
      </c>
      <c r="F345" s="69" t="s">
        <v>1098</v>
      </c>
    </row>
    <row r="346" spans="1:6" x14ac:dyDescent="0.2">
      <c r="A346" s="69">
        <v>10000000492</v>
      </c>
      <c r="B346" s="69" t="s">
        <v>220</v>
      </c>
      <c r="D346" s="69" t="e">
        <v>#N/A</v>
      </c>
      <c r="E346" s="69">
        <v>5</v>
      </c>
      <c r="F346" t="s">
        <v>1973</v>
      </c>
    </row>
    <row r="347" spans="1:6" x14ac:dyDescent="0.2">
      <c r="A347" s="69">
        <v>10000000493</v>
      </c>
      <c r="B347" s="69" t="s">
        <v>221</v>
      </c>
      <c r="D347" s="69" t="e">
        <v>#N/A</v>
      </c>
      <c r="E347" s="69" t="s">
        <v>221</v>
      </c>
      <c r="F347" s="69" t="s">
        <v>206</v>
      </c>
    </row>
    <row r="348" spans="1:6" x14ac:dyDescent="0.2">
      <c r="A348" s="69">
        <v>10000000494</v>
      </c>
      <c r="B348" s="69" t="s">
        <v>221</v>
      </c>
      <c r="D348" s="69" t="e">
        <v>#N/A</v>
      </c>
      <c r="E348" s="69" t="s">
        <v>221</v>
      </c>
      <c r="F348" s="69" t="s">
        <v>1096</v>
      </c>
    </row>
    <row r="349" spans="1:6" x14ac:dyDescent="0.2">
      <c r="A349" s="69">
        <v>10000000495</v>
      </c>
      <c r="B349" s="69" t="s">
        <v>221</v>
      </c>
      <c r="D349" s="69" t="e">
        <v>#N/A</v>
      </c>
      <c r="E349" s="69" t="s">
        <v>221</v>
      </c>
      <c r="F349" s="69" t="s">
        <v>1095</v>
      </c>
    </row>
    <row r="350" spans="1:6" x14ac:dyDescent="0.2">
      <c r="A350" s="69">
        <v>10000000496</v>
      </c>
      <c r="B350" s="69" t="s">
        <v>221</v>
      </c>
      <c r="D350" s="69" t="e">
        <v>#N/A</v>
      </c>
      <c r="E350" s="69" t="s">
        <v>221</v>
      </c>
      <c r="F350" s="69" t="s">
        <v>1094</v>
      </c>
    </row>
    <row r="351" spans="1:6" x14ac:dyDescent="0.2">
      <c r="A351" s="69">
        <v>10000000497</v>
      </c>
      <c r="B351" s="69" t="s">
        <v>221</v>
      </c>
      <c r="D351" s="69" t="e">
        <v>#N/A</v>
      </c>
      <c r="E351" s="69">
        <v>5</v>
      </c>
      <c r="F351" t="s">
        <v>1976</v>
      </c>
    </row>
    <row r="352" spans="1:6" x14ac:dyDescent="0.2">
      <c r="A352" s="69">
        <v>10000000499</v>
      </c>
      <c r="B352" s="69" t="s">
        <v>296</v>
      </c>
      <c r="E352" s="69">
        <v>5</v>
      </c>
      <c r="F352" s="69" t="s">
        <v>1629</v>
      </c>
    </row>
    <row r="353" spans="1:6" x14ac:dyDescent="0.2">
      <c r="A353" s="69">
        <v>10000000506</v>
      </c>
      <c r="B353" s="69" t="s">
        <v>296</v>
      </c>
      <c r="E353" s="69">
        <v>5</v>
      </c>
      <c r="F353" s="69" t="s">
        <v>1015</v>
      </c>
    </row>
    <row r="354" spans="1:6" x14ac:dyDescent="0.2">
      <c r="A354" s="69">
        <v>10000000507</v>
      </c>
      <c r="B354" s="69" t="s">
        <v>296</v>
      </c>
      <c r="E354" s="69">
        <v>5</v>
      </c>
      <c r="F354" s="69" t="s">
        <v>1014</v>
      </c>
    </row>
    <row r="355" spans="1:6" x14ac:dyDescent="0.2">
      <c r="A355" s="69">
        <v>10000000508</v>
      </c>
      <c r="B355" s="69" t="s">
        <v>221</v>
      </c>
      <c r="D355" s="69" t="e">
        <v>#N/A</v>
      </c>
      <c r="E355" s="69" t="s">
        <v>221</v>
      </c>
      <c r="F355" s="69" t="s">
        <v>1088</v>
      </c>
    </row>
    <row r="356" spans="1:6" x14ac:dyDescent="0.2">
      <c r="A356" s="69">
        <v>10000000509</v>
      </c>
      <c r="B356" s="69" t="s">
        <v>296</v>
      </c>
      <c r="E356" s="69">
        <v>5</v>
      </c>
      <c r="F356" s="69" t="s">
        <v>1013</v>
      </c>
    </row>
    <row r="357" spans="1:6" x14ac:dyDescent="0.2">
      <c r="A357" s="69">
        <v>10000000511</v>
      </c>
      <c r="B357" s="69" t="s">
        <v>296</v>
      </c>
      <c r="E357" s="69">
        <v>5</v>
      </c>
      <c r="F357" s="69" t="s">
        <v>1012</v>
      </c>
    </row>
    <row r="358" spans="1:6" x14ac:dyDescent="0.2">
      <c r="A358" s="69">
        <v>10000000512</v>
      </c>
      <c r="B358" s="69" t="s">
        <v>296</v>
      </c>
      <c r="E358" s="69">
        <v>5</v>
      </c>
      <c r="F358" s="69" t="s">
        <v>1011</v>
      </c>
    </row>
    <row r="359" spans="1:6" x14ac:dyDescent="0.2">
      <c r="A359" s="69">
        <v>10000000513</v>
      </c>
      <c r="B359" s="69" t="s">
        <v>296</v>
      </c>
      <c r="E359" s="69">
        <v>5</v>
      </c>
      <c r="F359" s="69" t="s">
        <v>1010</v>
      </c>
    </row>
    <row r="360" spans="1:6" x14ac:dyDescent="0.2">
      <c r="A360" s="69">
        <v>10000000516</v>
      </c>
      <c r="B360" s="69" t="s">
        <v>296</v>
      </c>
      <c r="E360" s="69">
        <v>5</v>
      </c>
      <c r="F360" s="69" t="s">
        <v>1009</v>
      </c>
    </row>
    <row r="361" spans="1:6" x14ac:dyDescent="0.2">
      <c r="A361" s="69">
        <v>10000000517</v>
      </c>
      <c r="B361" s="69" t="s">
        <v>296</v>
      </c>
      <c r="E361" s="69">
        <v>5</v>
      </c>
      <c r="F361" s="69" t="s">
        <v>1008</v>
      </c>
    </row>
    <row r="362" spans="1:6" x14ac:dyDescent="0.2">
      <c r="A362" s="69">
        <v>10000000520</v>
      </c>
      <c r="B362" s="69" t="s">
        <v>220</v>
      </c>
      <c r="D362" s="69" t="e">
        <v>#N/A</v>
      </c>
      <c r="E362" s="69">
        <v>5</v>
      </c>
      <c r="F362" s="69" t="s">
        <v>1085</v>
      </c>
    </row>
    <row r="363" spans="1:6" x14ac:dyDescent="0.2">
      <c r="A363" s="69">
        <v>10000000521</v>
      </c>
      <c r="B363" s="69" t="s">
        <v>220</v>
      </c>
      <c r="D363" s="69" t="e">
        <v>#N/A</v>
      </c>
      <c r="E363" s="69" t="s">
        <v>220</v>
      </c>
      <c r="F363" s="69" t="s">
        <v>1084</v>
      </c>
    </row>
    <row r="364" spans="1:6" x14ac:dyDescent="0.2">
      <c r="A364" s="69">
        <v>10000000522</v>
      </c>
      <c r="B364" s="69" t="s">
        <v>221</v>
      </c>
      <c r="D364" s="69" t="s">
        <v>1302</v>
      </c>
      <c r="E364" s="69" t="s">
        <v>221</v>
      </c>
      <c r="F364" s="69" t="s">
        <v>1083</v>
      </c>
    </row>
    <row r="365" spans="1:6" x14ac:dyDescent="0.2">
      <c r="A365" s="69">
        <v>10000000523</v>
      </c>
      <c r="B365" s="69" t="s">
        <v>221</v>
      </c>
      <c r="D365" s="69" t="e">
        <v>#N/A</v>
      </c>
      <c r="E365" s="69" t="s">
        <v>221</v>
      </c>
      <c r="F365" s="69" t="s">
        <v>1082</v>
      </c>
    </row>
    <row r="366" spans="1:6" x14ac:dyDescent="0.2">
      <c r="A366" s="69">
        <v>10000000524</v>
      </c>
      <c r="B366" s="69" t="s">
        <v>221</v>
      </c>
      <c r="D366" s="69" t="e">
        <v>#N/A</v>
      </c>
      <c r="E366" s="69" t="s">
        <v>221</v>
      </c>
      <c r="F366" s="69" t="s">
        <v>1081</v>
      </c>
    </row>
    <row r="367" spans="1:6" x14ac:dyDescent="0.2">
      <c r="A367" s="69">
        <v>10000000525</v>
      </c>
      <c r="B367" s="69" t="s">
        <v>262</v>
      </c>
      <c r="D367" s="69" t="e">
        <v>#N/A</v>
      </c>
      <c r="E367" s="69">
        <v>20</v>
      </c>
      <c r="F367" s="69" t="s">
        <v>1080</v>
      </c>
    </row>
    <row r="368" spans="1:6" x14ac:dyDescent="0.2">
      <c r="A368" s="69">
        <v>10000000526</v>
      </c>
      <c r="B368" s="69" t="s">
        <v>262</v>
      </c>
      <c r="D368" s="69" t="e">
        <v>#N/A</v>
      </c>
      <c r="E368" s="69">
        <v>20</v>
      </c>
      <c r="F368" s="69" t="s">
        <v>1079</v>
      </c>
    </row>
    <row r="369" spans="1:6" x14ac:dyDescent="0.2">
      <c r="A369" s="69">
        <v>10000000529</v>
      </c>
      <c r="B369" s="69" t="s">
        <v>262</v>
      </c>
      <c r="D369" s="69" t="e">
        <v>#N/A</v>
      </c>
      <c r="E369" s="69">
        <v>20</v>
      </c>
      <c r="F369" s="69" t="s">
        <v>1078</v>
      </c>
    </row>
    <row r="370" spans="1:6" x14ac:dyDescent="0.2">
      <c r="A370" s="69">
        <v>10000000530</v>
      </c>
      <c r="B370" s="69" t="s">
        <v>262</v>
      </c>
      <c r="D370" s="69" t="e">
        <v>#N/A</v>
      </c>
      <c r="E370" s="69">
        <v>5</v>
      </c>
      <c r="F370" s="69" t="s">
        <v>1077</v>
      </c>
    </row>
    <row r="371" spans="1:6" x14ac:dyDescent="0.2">
      <c r="A371" s="69">
        <v>10000000531</v>
      </c>
      <c r="B371" s="69" t="s">
        <v>262</v>
      </c>
      <c r="D371" s="69" t="e">
        <v>#N/A</v>
      </c>
      <c r="E371" s="69">
        <v>20</v>
      </c>
      <c r="F371" s="69" t="s">
        <v>1076</v>
      </c>
    </row>
    <row r="372" spans="1:6" x14ac:dyDescent="0.2">
      <c r="A372" s="69">
        <v>10000000538</v>
      </c>
      <c r="E372" s="69">
        <v>28</v>
      </c>
      <c r="F372" s="69" t="s">
        <v>1713</v>
      </c>
    </row>
    <row r="373" spans="1:6" x14ac:dyDescent="0.2">
      <c r="A373" s="69">
        <v>10000000542</v>
      </c>
      <c r="B373" s="69" t="s">
        <v>221</v>
      </c>
      <c r="E373" s="69">
        <v>5</v>
      </c>
      <c r="F373" s="69" t="s">
        <v>1003</v>
      </c>
    </row>
    <row r="374" spans="1:6" x14ac:dyDescent="0.2">
      <c r="A374" s="69">
        <v>10000000549</v>
      </c>
      <c r="E374" s="69">
        <v>23</v>
      </c>
      <c r="F374" s="69" t="s">
        <v>999</v>
      </c>
    </row>
    <row r="375" spans="1:6" x14ac:dyDescent="0.2">
      <c r="A375" s="69">
        <v>10000000550</v>
      </c>
      <c r="E375" s="69">
        <v>23</v>
      </c>
      <c r="F375" s="69" t="s">
        <v>998</v>
      </c>
    </row>
    <row r="376" spans="1:6" x14ac:dyDescent="0.2">
      <c r="A376" s="69">
        <v>10000000554</v>
      </c>
      <c r="E376" s="69">
        <v>23</v>
      </c>
      <c r="F376" s="69" t="s">
        <v>996</v>
      </c>
    </row>
    <row r="377" spans="1:6" x14ac:dyDescent="0.2">
      <c r="A377" s="69">
        <v>10000000560</v>
      </c>
      <c r="E377" s="69">
        <v>23</v>
      </c>
      <c r="F377" s="69" t="s">
        <v>995</v>
      </c>
    </row>
    <row r="378" spans="1:6" x14ac:dyDescent="0.2">
      <c r="A378" s="69">
        <v>10000000584</v>
      </c>
      <c r="B378" s="69">
        <v>10</v>
      </c>
      <c r="D378" s="69" t="e">
        <v>#N/A</v>
      </c>
      <c r="E378" s="69">
        <v>10</v>
      </c>
      <c r="F378" s="69" t="s">
        <v>982</v>
      </c>
    </row>
    <row r="379" spans="1:6" x14ac:dyDescent="0.2">
      <c r="A379" s="69">
        <v>10000000587</v>
      </c>
      <c r="B379" s="69">
        <v>10</v>
      </c>
      <c r="D379" s="69" t="e">
        <v>#N/A</v>
      </c>
      <c r="E379" s="69">
        <v>10</v>
      </c>
      <c r="F379" s="69" t="s">
        <v>1059</v>
      </c>
    </row>
    <row r="380" spans="1:6" x14ac:dyDescent="0.2">
      <c r="A380" s="69">
        <v>10000000590</v>
      </c>
      <c r="E380" s="69">
        <v>28</v>
      </c>
      <c r="F380" s="69" t="s">
        <v>977</v>
      </c>
    </row>
    <row r="381" spans="1:6" x14ac:dyDescent="0.2">
      <c r="A381" s="69">
        <v>10000000617</v>
      </c>
      <c r="B381" s="69" t="s">
        <v>220</v>
      </c>
      <c r="D381" s="69" t="e">
        <v>#N/A</v>
      </c>
      <c r="E381" s="69">
        <v>5</v>
      </c>
      <c r="F381" s="69" t="s">
        <v>244</v>
      </c>
    </row>
    <row r="382" spans="1:6" x14ac:dyDescent="0.2">
      <c r="A382" s="69">
        <v>10000000618</v>
      </c>
      <c r="B382" s="69" t="s">
        <v>221</v>
      </c>
      <c r="D382" s="69" t="e">
        <v>#N/A</v>
      </c>
      <c r="E382" s="69">
        <v>5</v>
      </c>
      <c r="F382" s="69" t="s">
        <v>1055</v>
      </c>
    </row>
    <row r="383" spans="1:6" x14ac:dyDescent="0.2">
      <c r="A383" s="69">
        <v>10000000634</v>
      </c>
      <c r="E383" s="69">
        <v>28</v>
      </c>
      <c r="F383" s="69" t="s">
        <v>934</v>
      </c>
    </row>
    <row r="384" spans="1:6" x14ac:dyDescent="0.2">
      <c r="A384" s="69">
        <v>10000000635</v>
      </c>
      <c r="B384" s="69" t="s">
        <v>220</v>
      </c>
      <c r="D384" s="69" t="e">
        <v>#N/A</v>
      </c>
      <c r="E384" s="69" t="s">
        <v>220</v>
      </c>
      <c r="F384" s="69" t="s">
        <v>1050</v>
      </c>
    </row>
    <row r="385" spans="1:6" x14ac:dyDescent="0.2">
      <c r="A385" s="69">
        <v>10000000636</v>
      </c>
      <c r="B385" s="69" t="s">
        <v>262</v>
      </c>
      <c r="D385" s="69" t="e">
        <v>#N/A</v>
      </c>
      <c r="E385" s="69">
        <v>5</v>
      </c>
      <c r="F385" s="69" t="s">
        <v>1049</v>
      </c>
    </row>
    <row r="386" spans="1:6" x14ac:dyDescent="0.2">
      <c r="A386" s="69">
        <v>10000000637</v>
      </c>
      <c r="B386" s="69" t="s">
        <v>262</v>
      </c>
      <c r="D386" s="69" t="e">
        <v>#N/A</v>
      </c>
      <c r="E386" s="69">
        <v>20</v>
      </c>
      <c r="F386" s="69" t="s">
        <v>1048</v>
      </c>
    </row>
    <row r="387" spans="1:6" x14ac:dyDescent="0.2">
      <c r="A387" s="69">
        <v>10000000638</v>
      </c>
      <c r="B387" s="69" t="s">
        <v>220</v>
      </c>
      <c r="D387" s="69" t="e">
        <v>#N/A</v>
      </c>
      <c r="E387" s="69" t="s">
        <v>220</v>
      </c>
      <c r="F387" s="69" t="s">
        <v>1047</v>
      </c>
    </row>
    <row r="388" spans="1:6" x14ac:dyDescent="0.2">
      <c r="A388" s="69">
        <v>10000000639</v>
      </c>
      <c r="B388" s="69" t="s">
        <v>262</v>
      </c>
      <c r="D388" s="69" t="e">
        <v>#N/A</v>
      </c>
      <c r="E388" s="69">
        <v>10</v>
      </c>
      <c r="F388" s="69" t="s">
        <v>1046</v>
      </c>
    </row>
    <row r="389" spans="1:6" x14ac:dyDescent="0.2">
      <c r="A389" s="69">
        <v>10000000640</v>
      </c>
      <c r="B389" s="69" t="s">
        <v>221</v>
      </c>
      <c r="D389" s="69" t="e">
        <v>#N/A</v>
      </c>
      <c r="E389" s="69">
        <v>5</v>
      </c>
      <c r="F389" s="69" t="s">
        <v>1045</v>
      </c>
    </row>
    <row r="390" spans="1:6" x14ac:dyDescent="0.2">
      <c r="A390" s="69">
        <v>10000000641</v>
      </c>
      <c r="B390" s="69" t="s">
        <v>221</v>
      </c>
      <c r="D390" s="69" t="e">
        <v>#N/A</v>
      </c>
      <c r="E390" s="69">
        <v>5</v>
      </c>
      <c r="F390" s="69" t="s">
        <v>1044</v>
      </c>
    </row>
    <row r="391" spans="1:6" x14ac:dyDescent="0.2">
      <c r="A391" s="69">
        <v>10000000642</v>
      </c>
      <c r="B391" s="69" t="s">
        <v>262</v>
      </c>
      <c r="D391" s="69" t="e">
        <v>#N/A</v>
      </c>
      <c r="E391" s="69">
        <v>5</v>
      </c>
      <c r="F391" s="69" t="s">
        <v>1043</v>
      </c>
    </row>
    <row r="392" spans="1:6" x14ac:dyDescent="0.2">
      <c r="A392" s="69">
        <v>10000000643</v>
      </c>
      <c r="B392" s="69" t="s">
        <v>220</v>
      </c>
      <c r="D392" s="69" t="e">
        <v>#N/A</v>
      </c>
      <c r="E392" s="69">
        <v>5</v>
      </c>
      <c r="F392" s="69" t="s">
        <v>1042</v>
      </c>
    </row>
    <row r="393" spans="1:6" x14ac:dyDescent="0.2">
      <c r="A393" s="69">
        <v>10000000644</v>
      </c>
      <c r="B393" s="69" t="s">
        <v>220</v>
      </c>
      <c r="D393" s="69" t="e">
        <v>#N/A</v>
      </c>
      <c r="E393" s="69">
        <v>5</v>
      </c>
      <c r="F393" s="69" t="s">
        <v>1041</v>
      </c>
    </row>
    <row r="394" spans="1:6" x14ac:dyDescent="0.2">
      <c r="A394" s="69">
        <v>10000000645</v>
      </c>
      <c r="B394" s="69" t="s">
        <v>221</v>
      </c>
      <c r="D394" s="69" t="e">
        <v>#N/A</v>
      </c>
      <c r="E394" s="69">
        <v>5</v>
      </c>
      <c r="F394" s="69" t="s">
        <v>1040</v>
      </c>
    </row>
    <row r="395" spans="1:6" x14ac:dyDescent="0.2">
      <c r="A395" s="69">
        <v>10000000646</v>
      </c>
      <c r="B395" s="69" t="s">
        <v>221</v>
      </c>
      <c r="D395" s="69" t="e">
        <v>#N/A</v>
      </c>
      <c r="E395" s="69">
        <v>5</v>
      </c>
      <c r="F395" s="69" t="s">
        <v>1039</v>
      </c>
    </row>
    <row r="396" spans="1:6" x14ac:dyDescent="0.2">
      <c r="A396" s="69">
        <v>10000000647</v>
      </c>
      <c r="B396" s="69" t="s">
        <v>262</v>
      </c>
      <c r="D396" s="69" t="e">
        <v>#N/A</v>
      </c>
      <c r="E396" s="69">
        <v>5</v>
      </c>
      <c r="F396" s="69" t="s">
        <v>1038</v>
      </c>
    </row>
    <row r="397" spans="1:6" x14ac:dyDescent="0.2">
      <c r="A397" s="69">
        <v>10000000648</v>
      </c>
      <c r="B397" s="69" t="s">
        <v>262</v>
      </c>
      <c r="D397" s="69" t="e">
        <v>#N/A</v>
      </c>
      <c r="E397" s="69">
        <v>10</v>
      </c>
      <c r="F397" s="69" t="s">
        <v>1037</v>
      </c>
    </row>
    <row r="398" spans="1:6" x14ac:dyDescent="0.2">
      <c r="A398" s="69">
        <v>10000000649</v>
      </c>
      <c r="B398" s="69" t="s">
        <v>220</v>
      </c>
      <c r="D398" s="69" t="e">
        <v>#N/A</v>
      </c>
      <c r="E398" s="69">
        <v>5</v>
      </c>
      <c r="F398" s="69" t="s">
        <v>1036</v>
      </c>
    </row>
    <row r="399" spans="1:6" x14ac:dyDescent="0.2">
      <c r="A399" s="69">
        <v>10000000650</v>
      </c>
      <c r="B399" s="69" t="s">
        <v>220</v>
      </c>
      <c r="D399" s="69" t="e">
        <v>#N/A</v>
      </c>
      <c r="E399" s="69">
        <v>10</v>
      </c>
      <c r="F399" t="s">
        <v>926</v>
      </c>
    </row>
    <row r="400" spans="1:6" x14ac:dyDescent="0.2">
      <c r="A400" s="69">
        <v>10000000651</v>
      </c>
      <c r="B400" s="69" t="s">
        <v>220</v>
      </c>
      <c r="D400" s="69" t="e">
        <v>#N/A</v>
      </c>
      <c r="E400" s="69" t="s">
        <v>220</v>
      </c>
      <c r="F400" s="69" t="s">
        <v>1034</v>
      </c>
    </row>
    <row r="401" spans="1:6" x14ac:dyDescent="0.2">
      <c r="A401" s="69">
        <v>10000000652</v>
      </c>
      <c r="B401" s="69" t="s">
        <v>220</v>
      </c>
      <c r="D401" s="69" t="e">
        <v>#N/A</v>
      </c>
      <c r="E401" s="69">
        <v>10</v>
      </c>
      <c r="F401" t="s">
        <v>924</v>
      </c>
    </row>
    <row r="402" spans="1:6" x14ac:dyDescent="0.2">
      <c r="A402" s="69">
        <v>10000000653</v>
      </c>
      <c r="B402" s="69" t="s">
        <v>220</v>
      </c>
      <c r="D402" s="69" t="e">
        <v>#N/A</v>
      </c>
      <c r="E402" s="69">
        <v>1</v>
      </c>
      <c r="F402" s="69" t="s">
        <v>1032</v>
      </c>
    </row>
    <row r="403" spans="1:6" x14ac:dyDescent="0.2">
      <c r="A403" s="69">
        <v>10000000654</v>
      </c>
      <c r="B403" s="122" t="s">
        <v>1987</v>
      </c>
      <c r="D403" s="69" t="e">
        <v>#N/A</v>
      </c>
      <c r="E403" s="69">
        <v>20</v>
      </c>
      <c r="F403" t="s">
        <v>922</v>
      </c>
    </row>
    <row r="404" spans="1:6" x14ac:dyDescent="0.2">
      <c r="A404" s="69">
        <v>10000000655</v>
      </c>
      <c r="B404" s="69" t="s">
        <v>220</v>
      </c>
      <c r="D404" s="69" t="e">
        <v>#N/A</v>
      </c>
      <c r="E404" s="69" t="s">
        <v>220</v>
      </c>
      <c r="F404" s="69" t="s">
        <v>1030</v>
      </c>
    </row>
    <row r="405" spans="1:6" x14ac:dyDescent="0.2">
      <c r="A405" s="69">
        <v>10000000656</v>
      </c>
      <c r="B405" s="69" t="s">
        <v>221</v>
      </c>
      <c r="D405" s="69" t="e">
        <v>#N/A</v>
      </c>
      <c r="E405" s="69">
        <v>5</v>
      </c>
      <c r="F405" s="69" t="s">
        <v>193</v>
      </c>
    </row>
    <row r="406" spans="1:6" x14ac:dyDescent="0.2">
      <c r="A406" s="69">
        <v>10000000657</v>
      </c>
      <c r="B406" s="69" t="s">
        <v>221</v>
      </c>
      <c r="D406" s="69" t="e">
        <v>#N/A</v>
      </c>
      <c r="E406" s="69" t="s">
        <v>221</v>
      </c>
      <c r="F406" s="69" t="s">
        <v>1029</v>
      </c>
    </row>
    <row r="407" spans="1:6" x14ac:dyDescent="0.2">
      <c r="A407" s="69">
        <v>10000000658</v>
      </c>
      <c r="B407" s="69" t="s">
        <v>221</v>
      </c>
      <c r="D407" s="69" t="e">
        <v>#N/A</v>
      </c>
      <c r="E407" s="69">
        <v>5</v>
      </c>
      <c r="F407" s="69" t="s">
        <v>1028</v>
      </c>
    </row>
    <row r="408" spans="1:6" x14ac:dyDescent="0.2">
      <c r="A408" s="69">
        <v>10000000659</v>
      </c>
      <c r="B408" s="69" t="s">
        <v>221</v>
      </c>
      <c r="D408" s="69" t="e">
        <v>#N/A</v>
      </c>
      <c r="E408" s="69" t="s">
        <v>221</v>
      </c>
      <c r="F408" s="69" t="s">
        <v>1027</v>
      </c>
    </row>
    <row r="409" spans="1:6" x14ac:dyDescent="0.2">
      <c r="A409" s="69">
        <v>10000000660</v>
      </c>
      <c r="B409" s="69" t="s">
        <v>221</v>
      </c>
      <c r="D409" s="69" t="e">
        <v>#N/A</v>
      </c>
      <c r="E409" s="69" t="s">
        <v>221</v>
      </c>
      <c r="F409" s="69" t="s">
        <v>1026</v>
      </c>
    </row>
    <row r="410" spans="1:6" x14ac:dyDescent="0.2">
      <c r="A410" s="69">
        <v>10000000661</v>
      </c>
      <c r="B410" s="69" t="s">
        <v>221</v>
      </c>
      <c r="D410" s="69" t="e">
        <v>#N/A</v>
      </c>
      <c r="E410" s="69">
        <v>5</v>
      </c>
      <c r="F410" s="69" t="s">
        <v>1025</v>
      </c>
    </row>
    <row r="411" spans="1:6" x14ac:dyDescent="0.2">
      <c r="A411" s="69">
        <v>10000000662</v>
      </c>
      <c r="B411" s="69" t="s">
        <v>221</v>
      </c>
      <c r="D411" s="69" t="e">
        <v>#N/A</v>
      </c>
      <c r="E411" s="69">
        <v>5</v>
      </c>
      <c r="F411" s="69" t="s">
        <v>1024</v>
      </c>
    </row>
    <row r="412" spans="1:6" x14ac:dyDescent="0.2">
      <c r="A412" s="69">
        <v>10000000663</v>
      </c>
      <c r="B412" s="69" t="s">
        <v>221</v>
      </c>
      <c r="D412" s="69" t="e">
        <v>#N/A</v>
      </c>
      <c r="E412" s="69">
        <v>5</v>
      </c>
      <c r="F412" s="69" t="s">
        <v>1023</v>
      </c>
    </row>
    <row r="413" spans="1:6" x14ac:dyDescent="0.2">
      <c r="A413" s="69">
        <v>10000000664</v>
      </c>
      <c r="B413" s="69" t="s">
        <v>221</v>
      </c>
      <c r="D413" s="69" t="e">
        <v>#N/A</v>
      </c>
      <c r="E413" s="69">
        <v>5</v>
      </c>
      <c r="F413" s="69" t="s">
        <v>1022</v>
      </c>
    </row>
    <row r="414" spans="1:6" x14ac:dyDescent="0.2">
      <c r="A414" s="69">
        <v>10000000665</v>
      </c>
      <c r="B414" s="69" t="s">
        <v>221</v>
      </c>
      <c r="D414" s="69" t="e">
        <v>#N/A</v>
      </c>
      <c r="E414" s="69">
        <v>5</v>
      </c>
      <c r="F414" s="69" t="s">
        <v>1021</v>
      </c>
    </row>
    <row r="415" spans="1:6" x14ac:dyDescent="0.2">
      <c r="A415" s="69">
        <v>10000000666</v>
      </c>
      <c r="B415" s="69" t="s">
        <v>221</v>
      </c>
      <c r="D415" s="69" t="e">
        <v>#N/A</v>
      </c>
      <c r="E415" s="69">
        <v>1</v>
      </c>
      <c r="F415" s="69" t="s">
        <v>1020</v>
      </c>
    </row>
    <row r="416" spans="1:6" x14ac:dyDescent="0.2">
      <c r="A416" s="69">
        <v>10000000676</v>
      </c>
      <c r="B416" s="69" t="s">
        <v>387</v>
      </c>
      <c r="D416" s="69" t="e">
        <v>#N/A</v>
      </c>
      <c r="E416" s="69">
        <v>5</v>
      </c>
      <c r="F416" s="69" t="s">
        <v>1018</v>
      </c>
    </row>
    <row r="417" spans="1:6" x14ac:dyDescent="0.2">
      <c r="A417" s="69">
        <v>10000000683</v>
      </c>
      <c r="E417" s="69">
        <v>19</v>
      </c>
      <c r="F417" s="69" t="s">
        <v>895</v>
      </c>
    </row>
    <row r="418" spans="1:6" x14ac:dyDescent="0.2">
      <c r="A418" s="69">
        <v>10000000686</v>
      </c>
      <c r="E418" s="69">
        <v>19</v>
      </c>
      <c r="F418" s="69" t="s">
        <v>1725</v>
      </c>
    </row>
    <row r="419" spans="1:6" x14ac:dyDescent="0.2">
      <c r="A419" s="69">
        <v>10000000693</v>
      </c>
      <c r="B419" s="69" t="s">
        <v>387</v>
      </c>
      <c r="D419" s="69" t="e">
        <v>#N/A</v>
      </c>
      <c r="E419" s="69" t="e">
        <v>#N/A</v>
      </c>
      <c r="F419" s="69" t="s">
        <v>1016</v>
      </c>
    </row>
    <row r="420" spans="1:6" x14ac:dyDescent="0.2">
      <c r="A420" s="69">
        <v>10000000694</v>
      </c>
      <c r="E420" s="69">
        <v>19</v>
      </c>
      <c r="F420" s="69" t="s">
        <v>894</v>
      </c>
    </row>
    <row r="421" spans="1:6" x14ac:dyDescent="0.2">
      <c r="A421" s="69">
        <v>10000000700</v>
      </c>
      <c r="E421" s="69">
        <v>19</v>
      </c>
      <c r="F421" s="69" t="s">
        <v>893</v>
      </c>
    </row>
    <row r="422" spans="1:6" x14ac:dyDescent="0.2">
      <c r="A422" s="69">
        <v>10000000702</v>
      </c>
      <c r="E422" s="69">
        <v>19</v>
      </c>
      <c r="F422" s="69" t="s">
        <v>892</v>
      </c>
    </row>
    <row r="423" spans="1:6" x14ac:dyDescent="0.2">
      <c r="A423" s="69">
        <v>10000000703</v>
      </c>
      <c r="E423" s="69">
        <v>19</v>
      </c>
      <c r="F423" s="69" t="s">
        <v>891</v>
      </c>
    </row>
    <row r="424" spans="1:6" x14ac:dyDescent="0.2">
      <c r="A424" s="69">
        <v>10000000706</v>
      </c>
      <c r="E424" s="69">
        <v>19</v>
      </c>
      <c r="F424" s="69" t="s">
        <v>890</v>
      </c>
    </row>
    <row r="425" spans="1:6" x14ac:dyDescent="0.2">
      <c r="A425" s="69">
        <v>10000000707</v>
      </c>
      <c r="E425" s="69">
        <v>19</v>
      </c>
      <c r="F425" s="69" t="s">
        <v>889</v>
      </c>
    </row>
    <row r="426" spans="1:6" x14ac:dyDescent="0.2">
      <c r="A426" s="69">
        <v>10000000708</v>
      </c>
      <c r="E426" s="69">
        <v>19</v>
      </c>
      <c r="F426" s="69" t="s">
        <v>1726</v>
      </c>
    </row>
    <row r="427" spans="1:6" x14ac:dyDescent="0.2">
      <c r="A427" s="69">
        <v>10000000710</v>
      </c>
      <c r="E427" s="69">
        <v>19</v>
      </c>
      <c r="F427" s="69" t="s">
        <v>888</v>
      </c>
    </row>
    <row r="428" spans="1:6" x14ac:dyDescent="0.2">
      <c r="A428" s="69">
        <v>10000000711</v>
      </c>
      <c r="E428" s="69">
        <v>19</v>
      </c>
      <c r="F428" s="69" t="s">
        <v>887</v>
      </c>
    </row>
    <row r="429" spans="1:6" x14ac:dyDescent="0.2">
      <c r="A429" s="69">
        <v>10000000712</v>
      </c>
      <c r="E429" s="69">
        <v>19</v>
      </c>
      <c r="F429" s="69" t="s">
        <v>886</v>
      </c>
    </row>
    <row r="430" spans="1:6" x14ac:dyDescent="0.2">
      <c r="A430" s="69">
        <v>10000000713</v>
      </c>
      <c r="B430" s="69" t="s">
        <v>221</v>
      </c>
      <c r="D430" s="69" t="e">
        <v>#N/A</v>
      </c>
      <c r="E430" s="69" t="s">
        <v>221</v>
      </c>
      <c r="F430" s="69" t="s">
        <v>1007</v>
      </c>
    </row>
    <row r="431" spans="1:6" x14ac:dyDescent="0.2">
      <c r="A431" s="69">
        <v>10000000714</v>
      </c>
      <c r="E431" s="69">
        <v>19</v>
      </c>
      <c r="F431" s="69" t="s">
        <v>885</v>
      </c>
    </row>
    <row r="432" spans="1:6" x14ac:dyDescent="0.2">
      <c r="A432" s="69">
        <v>10000000715</v>
      </c>
      <c r="E432" s="69">
        <v>19</v>
      </c>
      <c r="F432" s="69" t="s">
        <v>1727</v>
      </c>
    </row>
    <row r="433" spans="1:6" x14ac:dyDescent="0.2">
      <c r="A433" s="69">
        <v>10000000716</v>
      </c>
      <c r="B433" s="69" t="s">
        <v>221</v>
      </c>
      <c r="D433" s="69" t="e">
        <v>#N/A</v>
      </c>
      <c r="E433" s="69" t="s">
        <v>221</v>
      </c>
      <c r="F433" s="69" t="s">
        <v>1006</v>
      </c>
    </row>
    <row r="434" spans="1:6" x14ac:dyDescent="0.2">
      <c r="A434" s="69">
        <v>10000000718</v>
      </c>
      <c r="E434" s="69">
        <v>19</v>
      </c>
      <c r="F434" s="69" t="s">
        <v>884</v>
      </c>
    </row>
    <row r="435" spans="1:6" x14ac:dyDescent="0.2">
      <c r="A435" s="69">
        <v>10000000719</v>
      </c>
      <c r="B435" s="69" t="s">
        <v>221</v>
      </c>
      <c r="D435" s="69" t="e">
        <v>#N/A</v>
      </c>
      <c r="E435" s="69" t="s">
        <v>221</v>
      </c>
      <c r="F435" s="69" t="s">
        <v>1005</v>
      </c>
    </row>
    <row r="436" spans="1:6" x14ac:dyDescent="0.2">
      <c r="A436" s="69">
        <v>10000000720</v>
      </c>
      <c r="E436" s="69">
        <v>19</v>
      </c>
      <c r="F436" s="69" t="s">
        <v>883</v>
      </c>
    </row>
    <row r="437" spans="1:6" x14ac:dyDescent="0.2">
      <c r="A437" s="69">
        <v>10000000721</v>
      </c>
      <c r="E437" s="69">
        <v>19</v>
      </c>
      <c r="F437" s="69" t="s">
        <v>882</v>
      </c>
    </row>
    <row r="438" spans="1:6" x14ac:dyDescent="0.2">
      <c r="A438" s="69">
        <v>10000000722</v>
      </c>
      <c r="E438" s="69">
        <v>19</v>
      </c>
      <c r="F438" s="69" t="s">
        <v>881</v>
      </c>
    </row>
    <row r="439" spans="1:6" x14ac:dyDescent="0.2">
      <c r="A439" s="69">
        <v>10000000723</v>
      </c>
      <c r="E439" s="69">
        <v>19</v>
      </c>
      <c r="F439" s="69" t="s">
        <v>880</v>
      </c>
    </row>
    <row r="440" spans="1:6" x14ac:dyDescent="0.2">
      <c r="A440" s="69">
        <v>10000000732</v>
      </c>
      <c r="B440" s="69" t="s">
        <v>220</v>
      </c>
      <c r="D440" s="69" t="e">
        <v>#N/A</v>
      </c>
      <c r="E440" s="69" t="s">
        <v>220</v>
      </c>
      <c r="F440" s="69" t="s">
        <v>1004</v>
      </c>
    </row>
    <row r="441" spans="1:6" x14ac:dyDescent="0.2">
      <c r="A441" s="69">
        <v>10000000733</v>
      </c>
      <c r="E441" s="69">
        <v>19</v>
      </c>
      <c r="F441" s="69" t="s">
        <v>874</v>
      </c>
    </row>
    <row r="442" spans="1:6" x14ac:dyDescent="0.2">
      <c r="A442" s="69">
        <v>10000000734</v>
      </c>
      <c r="E442" s="69">
        <v>19</v>
      </c>
      <c r="F442" s="69" t="s">
        <v>873</v>
      </c>
    </row>
    <row r="443" spans="1:6" x14ac:dyDescent="0.2">
      <c r="A443" s="69">
        <v>10000000735</v>
      </c>
      <c r="E443" s="69">
        <v>19</v>
      </c>
      <c r="F443" s="69" t="s">
        <v>112</v>
      </c>
    </row>
    <row r="444" spans="1:6" x14ac:dyDescent="0.2">
      <c r="A444" s="69">
        <v>10000000736</v>
      </c>
      <c r="B444" s="69" t="s">
        <v>221</v>
      </c>
      <c r="D444" s="69" t="e">
        <v>#N/A</v>
      </c>
      <c r="E444" s="69" t="s">
        <v>221</v>
      </c>
      <c r="F444" s="69" t="s">
        <v>1002</v>
      </c>
    </row>
    <row r="445" spans="1:6" x14ac:dyDescent="0.2">
      <c r="A445" s="69">
        <v>10000000737</v>
      </c>
      <c r="E445" s="69">
        <v>19</v>
      </c>
      <c r="F445" s="69" t="s">
        <v>872</v>
      </c>
    </row>
    <row r="446" spans="1:6" x14ac:dyDescent="0.2">
      <c r="A446" s="69">
        <v>10000000738</v>
      </c>
      <c r="B446" s="69" t="s">
        <v>262</v>
      </c>
      <c r="D446" s="69" t="e">
        <v>#N/A</v>
      </c>
      <c r="E446" s="69">
        <v>10</v>
      </c>
      <c r="F446" s="69" t="s">
        <v>1001</v>
      </c>
    </row>
    <row r="447" spans="1:6" x14ac:dyDescent="0.2">
      <c r="A447" s="69">
        <v>10000000739</v>
      </c>
      <c r="E447" s="69">
        <v>19</v>
      </c>
      <c r="F447" s="69" t="s">
        <v>871</v>
      </c>
    </row>
    <row r="448" spans="1:6" x14ac:dyDescent="0.2">
      <c r="A448" s="69">
        <v>10000000740</v>
      </c>
      <c r="B448" s="69" t="s">
        <v>262</v>
      </c>
      <c r="D448" s="69" t="e">
        <v>#N/A</v>
      </c>
      <c r="E448" s="69">
        <v>20</v>
      </c>
      <c r="F448" s="69" t="s">
        <v>1000</v>
      </c>
    </row>
    <row r="449" spans="1:6" x14ac:dyDescent="0.2">
      <c r="A449" s="69">
        <v>10000000742</v>
      </c>
      <c r="E449" s="69">
        <v>19</v>
      </c>
      <c r="F449" s="69" t="s">
        <v>1684</v>
      </c>
    </row>
    <row r="450" spans="1:6" x14ac:dyDescent="0.2">
      <c r="A450" s="69">
        <v>10000000744</v>
      </c>
      <c r="E450" s="69">
        <v>19</v>
      </c>
      <c r="F450" s="69" t="s">
        <v>870</v>
      </c>
    </row>
    <row r="451" spans="1:6" x14ac:dyDescent="0.2">
      <c r="A451" s="69">
        <v>10000000746</v>
      </c>
      <c r="E451" s="69">
        <v>19</v>
      </c>
      <c r="F451" s="69" t="s">
        <v>869</v>
      </c>
    </row>
    <row r="452" spans="1:6" x14ac:dyDescent="0.2">
      <c r="A452" s="69">
        <v>10000000747</v>
      </c>
      <c r="E452" s="69">
        <v>19</v>
      </c>
      <c r="F452" s="69" t="s">
        <v>868</v>
      </c>
    </row>
    <row r="453" spans="1:6" x14ac:dyDescent="0.2">
      <c r="A453" s="69">
        <v>10000000750</v>
      </c>
      <c r="E453" s="69">
        <v>19</v>
      </c>
      <c r="F453" s="69" t="s">
        <v>867</v>
      </c>
    </row>
    <row r="454" spans="1:6" x14ac:dyDescent="0.2">
      <c r="A454" s="69">
        <v>10000000752</v>
      </c>
      <c r="B454" s="69" t="s">
        <v>220</v>
      </c>
      <c r="D454" s="69" t="e">
        <v>#N/A</v>
      </c>
      <c r="E454" s="69" t="s">
        <v>220</v>
      </c>
      <c r="F454" s="69" t="s">
        <v>997</v>
      </c>
    </row>
    <row r="455" spans="1:6" x14ac:dyDescent="0.2">
      <c r="A455" s="69">
        <v>10000000753</v>
      </c>
      <c r="E455" s="69">
        <v>19</v>
      </c>
      <c r="F455" s="69" t="s">
        <v>866</v>
      </c>
    </row>
    <row r="456" spans="1:6" x14ac:dyDescent="0.2">
      <c r="A456" s="69">
        <v>10000000754</v>
      </c>
      <c r="E456" s="69">
        <v>19</v>
      </c>
      <c r="F456" s="69" t="s">
        <v>865</v>
      </c>
    </row>
    <row r="457" spans="1:6" x14ac:dyDescent="0.2">
      <c r="A457" s="69">
        <v>10000000756</v>
      </c>
      <c r="E457" s="69">
        <v>19</v>
      </c>
      <c r="F457" s="69" t="s">
        <v>1685</v>
      </c>
    </row>
    <row r="458" spans="1:6" x14ac:dyDescent="0.2">
      <c r="A458" s="69">
        <v>10000000757</v>
      </c>
      <c r="E458" s="69">
        <v>19</v>
      </c>
      <c r="F458" s="69" t="s">
        <v>864</v>
      </c>
    </row>
    <row r="459" spans="1:6" x14ac:dyDescent="0.2">
      <c r="A459" s="69">
        <v>10000000759</v>
      </c>
      <c r="E459" s="69">
        <v>19</v>
      </c>
      <c r="F459" s="69" t="s">
        <v>863</v>
      </c>
    </row>
    <row r="460" spans="1:6" x14ac:dyDescent="0.2">
      <c r="A460" s="69">
        <v>10000000760</v>
      </c>
      <c r="E460" s="69">
        <v>19</v>
      </c>
      <c r="F460" s="69" t="s">
        <v>862</v>
      </c>
    </row>
    <row r="461" spans="1:6" x14ac:dyDescent="0.2">
      <c r="A461" s="69">
        <v>10000000761</v>
      </c>
      <c r="E461" s="69">
        <v>19</v>
      </c>
      <c r="F461" s="69" t="s">
        <v>861</v>
      </c>
    </row>
    <row r="462" spans="1:6" x14ac:dyDescent="0.2">
      <c r="A462" s="69">
        <v>10000000764</v>
      </c>
      <c r="E462" s="69">
        <v>19</v>
      </c>
      <c r="F462" s="69" t="s">
        <v>1686</v>
      </c>
    </row>
    <row r="463" spans="1:6" x14ac:dyDescent="0.2">
      <c r="A463" s="69">
        <v>10000000765</v>
      </c>
      <c r="E463" s="69">
        <v>19</v>
      </c>
      <c r="F463" s="69" t="s">
        <v>860</v>
      </c>
    </row>
    <row r="464" spans="1:6" x14ac:dyDescent="0.2">
      <c r="A464" s="69">
        <v>10000000766</v>
      </c>
      <c r="E464" s="69">
        <v>19</v>
      </c>
      <c r="F464" s="69" t="s">
        <v>859</v>
      </c>
    </row>
    <row r="465" spans="1:6" x14ac:dyDescent="0.2">
      <c r="A465" s="69">
        <v>10000000768</v>
      </c>
      <c r="E465" s="69">
        <v>19</v>
      </c>
      <c r="F465" s="69" t="s">
        <v>858</v>
      </c>
    </row>
    <row r="466" spans="1:6" x14ac:dyDescent="0.2">
      <c r="A466" s="69">
        <v>10000000770</v>
      </c>
      <c r="E466" s="69">
        <v>19</v>
      </c>
      <c r="F466" s="69" t="s">
        <v>857</v>
      </c>
    </row>
    <row r="467" spans="1:6" x14ac:dyDescent="0.2">
      <c r="A467" s="69">
        <v>10000000771</v>
      </c>
      <c r="E467" s="69">
        <v>19</v>
      </c>
      <c r="F467" s="69" t="s">
        <v>141</v>
      </c>
    </row>
    <row r="468" spans="1:6" x14ac:dyDescent="0.2">
      <c r="A468" s="69">
        <v>10000000772</v>
      </c>
      <c r="E468" s="69">
        <v>19</v>
      </c>
      <c r="F468" s="69" t="s">
        <v>856</v>
      </c>
    </row>
    <row r="469" spans="1:6" x14ac:dyDescent="0.2">
      <c r="A469" s="69">
        <v>10000000773</v>
      </c>
      <c r="E469" s="69">
        <v>19</v>
      </c>
      <c r="F469" s="69" t="s">
        <v>855</v>
      </c>
    </row>
    <row r="470" spans="1:6" x14ac:dyDescent="0.2">
      <c r="A470" s="69">
        <v>10000000774</v>
      </c>
      <c r="E470" s="69">
        <v>19</v>
      </c>
      <c r="F470" s="69" t="s">
        <v>854</v>
      </c>
    </row>
    <row r="471" spans="1:6" x14ac:dyDescent="0.2">
      <c r="A471" s="69">
        <v>10000000775</v>
      </c>
      <c r="E471" s="69">
        <v>19</v>
      </c>
      <c r="F471" s="69" t="s">
        <v>853</v>
      </c>
    </row>
    <row r="472" spans="1:6" x14ac:dyDescent="0.2">
      <c r="A472" s="69">
        <v>10000000776</v>
      </c>
      <c r="B472" s="69" t="s">
        <v>220</v>
      </c>
      <c r="D472" s="69" t="e">
        <v>#N/A</v>
      </c>
      <c r="E472" s="69" t="s">
        <v>220</v>
      </c>
      <c r="F472" s="69" t="s">
        <v>994</v>
      </c>
    </row>
    <row r="473" spans="1:6" x14ac:dyDescent="0.2">
      <c r="A473" s="69">
        <v>10000000777</v>
      </c>
      <c r="B473" s="69" t="s">
        <v>221</v>
      </c>
      <c r="D473" s="69" t="e">
        <v>#N/A</v>
      </c>
      <c r="E473" s="69" t="s">
        <v>221</v>
      </c>
      <c r="F473" s="69" t="s">
        <v>993</v>
      </c>
    </row>
    <row r="474" spans="1:6" x14ac:dyDescent="0.2">
      <c r="A474" s="69">
        <v>10000000778</v>
      </c>
      <c r="E474" s="69">
        <v>19</v>
      </c>
      <c r="F474" s="69" t="s">
        <v>852</v>
      </c>
    </row>
    <row r="475" spans="1:6" x14ac:dyDescent="0.2">
      <c r="A475" s="69">
        <v>10000000779</v>
      </c>
      <c r="E475" s="69">
        <v>19</v>
      </c>
      <c r="F475" s="69" t="s">
        <v>851</v>
      </c>
    </row>
    <row r="476" spans="1:6" x14ac:dyDescent="0.2">
      <c r="A476" s="69">
        <v>10000000780</v>
      </c>
      <c r="B476" s="69" t="s">
        <v>221</v>
      </c>
      <c r="D476" s="69" t="s">
        <v>1246</v>
      </c>
      <c r="E476" s="69" t="s">
        <v>221</v>
      </c>
      <c r="F476" s="69" t="s">
        <v>991</v>
      </c>
    </row>
    <row r="477" spans="1:6" x14ac:dyDescent="0.2">
      <c r="A477" s="69">
        <v>10000000781</v>
      </c>
      <c r="B477" s="69" t="s">
        <v>221</v>
      </c>
      <c r="D477" s="69" t="e">
        <v>#N/A</v>
      </c>
      <c r="E477" s="69">
        <v>5</v>
      </c>
      <c r="F477" s="69" t="s">
        <v>990</v>
      </c>
    </row>
    <row r="478" spans="1:6" x14ac:dyDescent="0.2">
      <c r="A478" s="69">
        <v>10000000782</v>
      </c>
      <c r="B478" s="69" t="s">
        <v>221</v>
      </c>
      <c r="D478" s="69" t="e">
        <v>#N/A</v>
      </c>
      <c r="E478" s="69" t="s">
        <v>221</v>
      </c>
      <c r="F478" s="69" t="s">
        <v>989</v>
      </c>
    </row>
    <row r="479" spans="1:6" x14ac:dyDescent="0.2">
      <c r="A479" s="69">
        <v>10000000792</v>
      </c>
      <c r="D479" s="69" t="e">
        <v>#N/A</v>
      </c>
      <c r="E479" s="69">
        <v>20</v>
      </c>
      <c r="F479" s="69" t="s">
        <v>839</v>
      </c>
    </row>
    <row r="480" spans="1:6" x14ac:dyDescent="0.2">
      <c r="A480" s="69">
        <v>10000000798</v>
      </c>
      <c r="B480" s="69" t="s">
        <v>221</v>
      </c>
      <c r="D480" s="69" t="e">
        <v>#N/A</v>
      </c>
      <c r="E480" s="69">
        <v>5</v>
      </c>
      <c r="F480" s="69" t="s">
        <v>983</v>
      </c>
    </row>
    <row r="481" spans="1:6" x14ac:dyDescent="0.2">
      <c r="A481" s="69">
        <v>10000000799</v>
      </c>
      <c r="B481" s="69" t="s">
        <v>262</v>
      </c>
      <c r="D481" s="69" t="e">
        <v>#N/A</v>
      </c>
      <c r="E481" s="69">
        <v>10</v>
      </c>
      <c r="F481" s="69" t="s">
        <v>982</v>
      </c>
    </row>
    <row r="482" spans="1:6" x14ac:dyDescent="0.2">
      <c r="A482" s="69">
        <v>10000000800</v>
      </c>
      <c r="B482" s="69" t="s">
        <v>220</v>
      </c>
      <c r="D482" s="69" t="e">
        <v>#N/A</v>
      </c>
      <c r="E482" s="69" t="s">
        <v>220</v>
      </c>
      <c r="F482" s="69" t="s">
        <v>981</v>
      </c>
    </row>
    <row r="483" spans="1:6" x14ac:dyDescent="0.2">
      <c r="A483" s="69">
        <v>10000000801</v>
      </c>
      <c r="B483" s="69" t="s">
        <v>220</v>
      </c>
      <c r="D483" s="69" t="e">
        <v>#N/A</v>
      </c>
      <c r="E483" s="69">
        <v>5</v>
      </c>
      <c r="F483" s="69" t="s">
        <v>980</v>
      </c>
    </row>
    <row r="484" spans="1:6" x14ac:dyDescent="0.2">
      <c r="A484" s="69">
        <v>10000000802</v>
      </c>
      <c r="B484" s="69" t="s">
        <v>262</v>
      </c>
      <c r="D484" s="69" t="e">
        <v>#N/A</v>
      </c>
      <c r="E484" s="69">
        <v>10</v>
      </c>
      <c r="F484" s="69" t="s">
        <v>979</v>
      </c>
    </row>
    <row r="485" spans="1:6" x14ac:dyDescent="0.2">
      <c r="A485" s="69">
        <v>10000000803</v>
      </c>
      <c r="B485" s="69" t="s">
        <v>262</v>
      </c>
      <c r="D485" s="69" t="e">
        <v>#N/A</v>
      </c>
      <c r="E485" s="69">
        <v>20</v>
      </c>
      <c r="F485" s="69" t="s">
        <v>978</v>
      </c>
    </row>
    <row r="486" spans="1:6" x14ac:dyDescent="0.2">
      <c r="A486" s="69">
        <v>10000000804</v>
      </c>
      <c r="B486" s="69" t="s">
        <v>221</v>
      </c>
      <c r="E486" s="69">
        <v>5</v>
      </c>
      <c r="F486" s="69" t="s">
        <v>229</v>
      </c>
    </row>
    <row r="487" spans="1:6" x14ac:dyDescent="0.2">
      <c r="A487" s="69">
        <v>10000000812</v>
      </c>
      <c r="B487" s="69" t="s">
        <v>221</v>
      </c>
      <c r="D487" s="69" t="e">
        <v>#N/A</v>
      </c>
      <c r="E487" s="69">
        <v>5</v>
      </c>
      <c r="F487" s="69" t="s">
        <v>976</v>
      </c>
    </row>
    <row r="488" spans="1:6" x14ac:dyDescent="0.2">
      <c r="A488" s="69">
        <v>10000000813</v>
      </c>
      <c r="B488" s="69" t="s">
        <v>221</v>
      </c>
      <c r="D488" s="69" t="e">
        <v>#N/A</v>
      </c>
      <c r="E488" s="69">
        <v>5</v>
      </c>
      <c r="F488" s="69" t="s">
        <v>975</v>
      </c>
    </row>
    <row r="489" spans="1:6" x14ac:dyDescent="0.2">
      <c r="A489" s="69">
        <v>10000000814</v>
      </c>
      <c r="B489" s="69" t="s">
        <v>221</v>
      </c>
      <c r="D489" s="69" t="e">
        <v>#N/A</v>
      </c>
      <c r="E489" s="69" t="s">
        <v>221</v>
      </c>
      <c r="F489" s="69" t="s">
        <v>974</v>
      </c>
    </row>
    <row r="490" spans="1:6" x14ac:dyDescent="0.2">
      <c r="A490" s="69">
        <v>10000000815</v>
      </c>
      <c r="B490" s="69" t="s">
        <v>221</v>
      </c>
      <c r="D490" s="69" t="e">
        <v>#N/A</v>
      </c>
      <c r="E490" s="69" t="s">
        <v>221</v>
      </c>
      <c r="F490" s="69" t="s">
        <v>973</v>
      </c>
    </row>
    <row r="491" spans="1:6" x14ac:dyDescent="0.2">
      <c r="A491" s="69">
        <v>10000000816</v>
      </c>
      <c r="B491" s="69" t="s">
        <v>221</v>
      </c>
      <c r="D491" s="69" t="e">
        <v>#N/A</v>
      </c>
      <c r="E491" s="69">
        <v>5</v>
      </c>
      <c r="F491" s="69" t="s">
        <v>972</v>
      </c>
    </row>
    <row r="492" spans="1:6" x14ac:dyDescent="0.2">
      <c r="A492" s="69">
        <v>10000000817</v>
      </c>
      <c r="B492" s="69" t="s">
        <v>221</v>
      </c>
      <c r="D492" s="69" t="e">
        <v>#N/A</v>
      </c>
      <c r="E492" s="69" t="s">
        <v>221</v>
      </c>
      <c r="F492" s="69" t="s">
        <v>971</v>
      </c>
    </row>
    <row r="493" spans="1:6" x14ac:dyDescent="0.2">
      <c r="A493" s="69">
        <v>10000000821</v>
      </c>
      <c r="B493" s="69" t="s">
        <v>221</v>
      </c>
      <c r="E493" s="69">
        <v>5</v>
      </c>
      <c r="F493" s="69" t="s">
        <v>813</v>
      </c>
    </row>
    <row r="494" spans="1:6" x14ac:dyDescent="0.2">
      <c r="A494" s="69">
        <v>10000000822</v>
      </c>
      <c r="B494" s="69" t="s">
        <v>220</v>
      </c>
      <c r="D494" s="69" t="e">
        <v>#N/A</v>
      </c>
      <c r="E494" s="69" t="s">
        <v>220</v>
      </c>
      <c r="F494" s="69" t="s">
        <v>970</v>
      </c>
    </row>
    <row r="495" spans="1:6" x14ac:dyDescent="0.2">
      <c r="A495" s="69">
        <v>10000000823</v>
      </c>
      <c r="B495" s="69" t="s">
        <v>221</v>
      </c>
      <c r="D495" s="69" t="e">
        <v>#N/A</v>
      </c>
      <c r="E495" s="69">
        <v>5</v>
      </c>
      <c r="F495" s="69" t="s">
        <v>969</v>
      </c>
    </row>
    <row r="496" spans="1:6" x14ac:dyDescent="0.2">
      <c r="A496" s="69">
        <v>10000000824</v>
      </c>
      <c r="B496" s="69" t="s">
        <v>221</v>
      </c>
      <c r="D496" s="69" t="e">
        <v>#N/A</v>
      </c>
      <c r="E496" s="69" t="s">
        <v>221</v>
      </c>
      <c r="F496" s="69" t="s">
        <v>968</v>
      </c>
    </row>
    <row r="497" spans="1:6" x14ac:dyDescent="0.2">
      <c r="A497" s="69">
        <v>10000000825</v>
      </c>
      <c r="B497" s="69" t="s">
        <v>220</v>
      </c>
      <c r="D497" s="69" t="e">
        <v>#N/A</v>
      </c>
      <c r="E497" s="69" t="s">
        <v>220</v>
      </c>
      <c r="F497" s="69" t="s">
        <v>967</v>
      </c>
    </row>
    <row r="498" spans="1:6" x14ac:dyDescent="0.2">
      <c r="A498" s="69">
        <v>10000000826</v>
      </c>
      <c r="B498" s="69" t="s">
        <v>220</v>
      </c>
      <c r="D498" s="69" t="s">
        <v>1246</v>
      </c>
      <c r="E498" s="69" t="s">
        <v>220</v>
      </c>
      <c r="F498" s="69" t="s">
        <v>966</v>
      </c>
    </row>
    <row r="499" spans="1:6" x14ac:dyDescent="0.2">
      <c r="A499" s="69">
        <v>10000000827</v>
      </c>
      <c r="B499" s="69" t="s">
        <v>220</v>
      </c>
      <c r="D499" s="69" t="e">
        <v>#N/A</v>
      </c>
      <c r="E499" s="69">
        <v>1</v>
      </c>
      <c r="F499" s="69" t="s">
        <v>965</v>
      </c>
    </row>
    <row r="500" spans="1:6" x14ac:dyDescent="0.2">
      <c r="A500" s="69">
        <v>10000000828</v>
      </c>
      <c r="B500" s="69" t="s">
        <v>220</v>
      </c>
      <c r="D500" s="69" t="e">
        <v>#N/A</v>
      </c>
      <c r="E500" s="69" t="s">
        <v>220</v>
      </c>
      <c r="F500" s="69" t="s">
        <v>964</v>
      </c>
    </row>
    <row r="501" spans="1:6" x14ac:dyDescent="0.2">
      <c r="A501" s="69">
        <v>10000000829</v>
      </c>
      <c r="B501" s="69" t="s">
        <v>220</v>
      </c>
      <c r="D501" s="69" t="e">
        <v>#N/A</v>
      </c>
      <c r="E501" s="69">
        <v>5</v>
      </c>
      <c r="F501" s="69" t="s">
        <v>963</v>
      </c>
    </row>
    <row r="502" spans="1:6" x14ac:dyDescent="0.2">
      <c r="A502" s="69">
        <v>10000000830</v>
      </c>
      <c r="B502" s="69" t="s">
        <v>220</v>
      </c>
      <c r="D502" s="69" t="e">
        <v>#N/A</v>
      </c>
      <c r="E502" s="69">
        <v>5</v>
      </c>
      <c r="F502" s="69" t="s">
        <v>962</v>
      </c>
    </row>
    <row r="503" spans="1:6" x14ac:dyDescent="0.2">
      <c r="A503" s="69">
        <v>10000000831</v>
      </c>
      <c r="B503" s="69" t="s">
        <v>220</v>
      </c>
      <c r="D503" s="69" t="e">
        <v>#N/A</v>
      </c>
      <c r="E503" s="69">
        <v>5</v>
      </c>
      <c r="F503" s="69" t="s">
        <v>961</v>
      </c>
    </row>
    <row r="504" spans="1:6" x14ac:dyDescent="0.2">
      <c r="A504" s="69">
        <v>10000000832</v>
      </c>
      <c r="B504" s="69" t="s">
        <v>220</v>
      </c>
      <c r="D504" s="69" t="e">
        <v>#N/A</v>
      </c>
      <c r="E504" s="69">
        <v>5</v>
      </c>
      <c r="F504" s="69" t="s">
        <v>960</v>
      </c>
    </row>
    <row r="505" spans="1:6" x14ac:dyDescent="0.2">
      <c r="A505" s="69">
        <v>10000000833</v>
      </c>
      <c r="B505" s="69" t="s">
        <v>220</v>
      </c>
      <c r="D505" s="69" t="e">
        <v>#N/A</v>
      </c>
      <c r="E505" s="69">
        <v>5</v>
      </c>
      <c r="F505" s="69" t="s">
        <v>959</v>
      </c>
    </row>
    <row r="506" spans="1:6" x14ac:dyDescent="0.2">
      <c r="A506" s="69">
        <v>10000000834</v>
      </c>
      <c r="B506" s="69" t="s">
        <v>221</v>
      </c>
      <c r="D506" s="69" t="e">
        <v>#N/A</v>
      </c>
      <c r="E506" s="69">
        <v>5</v>
      </c>
      <c r="F506" s="69" t="s">
        <v>958</v>
      </c>
    </row>
    <row r="507" spans="1:6" x14ac:dyDescent="0.2">
      <c r="A507" s="69">
        <v>10000000835</v>
      </c>
      <c r="B507" s="69" t="s">
        <v>221</v>
      </c>
      <c r="D507" s="69" t="e">
        <v>#N/A</v>
      </c>
      <c r="E507" s="69">
        <v>5</v>
      </c>
      <c r="F507" s="69" t="s">
        <v>957</v>
      </c>
    </row>
    <row r="508" spans="1:6" x14ac:dyDescent="0.2">
      <c r="A508" s="69">
        <v>10000000836</v>
      </c>
      <c r="B508" s="69" t="s">
        <v>221</v>
      </c>
      <c r="D508" s="69" t="e">
        <v>#N/A</v>
      </c>
      <c r="E508" s="69">
        <v>5</v>
      </c>
      <c r="F508" s="69" t="s">
        <v>956</v>
      </c>
    </row>
    <row r="509" spans="1:6" x14ac:dyDescent="0.2">
      <c r="A509" s="69">
        <v>10000000837</v>
      </c>
      <c r="B509" s="69" t="s">
        <v>221</v>
      </c>
      <c r="D509" s="69" t="e">
        <v>#N/A</v>
      </c>
      <c r="E509" s="69">
        <v>5</v>
      </c>
      <c r="F509" s="69" t="s">
        <v>955</v>
      </c>
    </row>
    <row r="510" spans="1:6" x14ac:dyDescent="0.2">
      <c r="A510" s="69">
        <v>10000000838</v>
      </c>
      <c r="B510" s="69" t="s">
        <v>221</v>
      </c>
      <c r="D510" s="69" t="e">
        <v>#N/A</v>
      </c>
      <c r="E510" s="69">
        <v>5</v>
      </c>
      <c r="F510" s="69" t="s">
        <v>954</v>
      </c>
    </row>
    <row r="511" spans="1:6" x14ac:dyDescent="0.2">
      <c r="A511" s="69">
        <v>10000000839</v>
      </c>
      <c r="B511" s="69" t="s">
        <v>221</v>
      </c>
      <c r="D511" s="69" t="e">
        <v>#N/A</v>
      </c>
      <c r="E511" s="69">
        <v>5</v>
      </c>
      <c r="F511" s="69" t="s">
        <v>953</v>
      </c>
    </row>
    <row r="512" spans="1:6" x14ac:dyDescent="0.2">
      <c r="A512" s="69">
        <v>10000000840</v>
      </c>
      <c r="B512" s="69">
        <v>10</v>
      </c>
      <c r="D512" s="69" t="e">
        <v>#N/A</v>
      </c>
      <c r="E512" s="69">
        <v>10</v>
      </c>
      <c r="F512" s="69" t="s">
        <v>952</v>
      </c>
    </row>
    <row r="513" spans="1:6" x14ac:dyDescent="0.2">
      <c r="A513" s="69">
        <v>10000000841</v>
      </c>
      <c r="B513" s="69" t="s">
        <v>221</v>
      </c>
      <c r="D513" s="69" t="e">
        <v>#N/A</v>
      </c>
      <c r="E513" s="69" t="s">
        <v>221</v>
      </c>
      <c r="F513" s="69" t="s">
        <v>951</v>
      </c>
    </row>
    <row r="514" spans="1:6" x14ac:dyDescent="0.2">
      <c r="A514" s="69">
        <v>10000000842</v>
      </c>
      <c r="B514" s="69" t="s">
        <v>221</v>
      </c>
      <c r="D514" s="69" t="e">
        <v>#N/A</v>
      </c>
      <c r="E514" s="69">
        <v>10</v>
      </c>
      <c r="F514" t="s">
        <v>1974</v>
      </c>
    </row>
    <row r="515" spans="1:6" x14ac:dyDescent="0.2">
      <c r="A515" s="69">
        <v>10000000843</v>
      </c>
      <c r="B515" s="69" t="s">
        <v>221</v>
      </c>
      <c r="D515" s="69" t="e">
        <v>#N/A</v>
      </c>
      <c r="E515" s="69">
        <v>5</v>
      </c>
      <c r="F515" s="69" t="s">
        <v>949</v>
      </c>
    </row>
    <row r="516" spans="1:6" x14ac:dyDescent="0.2">
      <c r="A516" s="69">
        <v>10000000844</v>
      </c>
      <c r="B516" s="69" t="s">
        <v>221</v>
      </c>
      <c r="D516" s="69" t="e">
        <v>#N/A</v>
      </c>
      <c r="E516" s="69" t="s">
        <v>221</v>
      </c>
      <c r="F516" s="69" t="s">
        <v>948</v>
      </c>
    </row>
    <row r="517" spans="1:6" x14ac:dyDescent="0.2">
      <c r="A517" s="69">
        <v>10000000845</v>
      </c>
      <c r="B517" s="69" t="s">
        <v>221</v>
      </c>
      <c r="D517" s="69" t="s">
        <v>1246</v>
      </c>
      <c r="E517" s="69" t="s">
        <v>221</v>
      </c>
      <c r="F517" s="69" t="s">
        <v>947</v>
      </c>
    </row>
    <row r="518" spans="1:6" x14ac:dyDescent="0.2">
      <c r="A518" s="69">
        <v>10000000846</v>
      </c>
      <c r="B518" s="69" t="s">
        <v>221</v>
      </c>
      <c r="D518" s="69" t="e">
        <v>#N/A</v>
      </c>
      <c r="E518" s="69">
        <v>5</v>
      </c>
      <c r="F518" s="69" t="s">
        <v>946</v>
      </c>
    </row>
    <row r="519" spans="1:6" x14ac:dyDescent="0.2">
      <c r="A519" s="69">
        <v>10000000847</v>
      </c>
      <c r="B519" s="69" t="s">
        <v>221</v>
      </c>
      <c r="D519" s="69" t="e">
        <v>#N/A</v>
      </c>
      <c r="E519" s="69" t="s">
        <v>221</v>
      </c>
      <c r="F519" s="69" t="s">
        <v>945</v>
      </c>
    </row>
    <row r="520" spans="1:6" x14ac:dyDescent="0.2">
      <c r="A520" s="69">
        <v>10000000848</v>
      </c>
      <c r="B520" s="69" t="s">
        <v>221</v>
      </c>
      <c r="D520" s="69" t="e">
        <v>#N/A</v>
      </c>
      <c r="E520" s="69">
        <v>1</v>
      </c>
      <c r="F520" s="69" t="s">
        <v>944</v>
      </c>
    </row>
    <row r="521" spans="1:6" x14ac:dyDescent="0.2">
      <c r="A521" s="69">
        <v>10000000849</v>
      </c>
      <c r="B521" s="69" t="s">
        <v>221</v>
      </c>
      <c r="D521" s="69" t="e">
        <v>#N/A</v>
      </c>
      <c r="E521" s="69">
        <v>1</v>
      </c>
      <c r="F521" s="69" t="s">
        <v>943</v>
      </c>
    </row>
    <row r="522" spans="1:6" x14ac:dyDescent="0.2">
      <c r="A522" s="69">
        <v>10000000850</v>
      </c>
      <c r="B522" s="69" t="s">
        <v>221</v>
      </c>
      <c r="D522" s="69" t="e">
        <v>#N/A</v>
      </c>
      <c r="E522" s="69">
        <v>1</v>
      </c>
      <c r="F522" s="69" t="s">
        <v>942</v>
      </c>
    </row>
    <row r="523" spans="1:6" x14ac:dyDescent="0.2">
      <c r="A523" s="69">
        <v>10000000851</v>
      </c>
      <c r="B523" s="69" t="s">
        <v>221</v>
      </c>
      <c r="D523" s="69" t="e">
        <v>#N/A</v>
      </c>
      <c r="E523" s="69" t="s">
        <v>221</v>
      </c>
      <c r="F523" s="69" t="s">
        <v>941</v>
      </c>
    </row>
    <row r="524" spans="1:6" x14ac:dyDescent="0.2">
      <c r="A524" s="69">
        <v>10000000852</v>
      </c>
      <c r="B524" s="69" t="s">
        <v>262</v>
      </c>
      <c r="D524" s="69" t="e">
        <v>#N/A</v>
      </c>
      <c r="E524" s="69">
        <v>10</v>
      </c>
      <c r="F524" s="69" t="s">
        <v>940</v>
      </c>
    </row>
    <row r="525" spans="1:6" x14ac:dyDescent="0.2">
      <c r="A525" s="69">
        <v>10000000853</v>
      </c>
      <c r="B525" s="69" t="s">
        <v>262</v>
      </c>
      <c r="D525" s="69" t="e">
        <v>#N/A</v>
      </c>
      <c r="E525" s="69">
        <v>10</v>
      </c>
      <c r="F525" s="69" t="s">
        <v>939</v>
      </c>
    </row>
    <row r="526" spans="1:6" x14ac:dyDescent="0.2">
      <c r="A526" s="69">
        <v>10000000854</v>
      </c>
      <c r="B526" s="69" t="s">
        <v>262</v>
      </c>
      <c r="D526" s="69" t="e">
        <v>#N/A</v>
      </c>
      <c r="E526" s="69">
        <v>20</v>
      </c>
      <c r="F526" s="69" t="s">
        <v>938</v>
      </c>
    </row>
    <row r="527" spans="1:6" x14ac:dyDescent="0.2">
      <c r="A527" s="69">
        <v>10000000855</v>
      </c>
      <c r="B527" s="69" t="s">
        <v>262</v>
      </c>
      <c r="D527" s="69" t="e">
        <v>#N/A</v>
      </c>
      <c r="E527" s="69">
        <v>5</v>
      </c>
      <c r="F527" s="69" t="s">
        <v>937</v>
      </c>
    </row>
    <row r="528" spans="1:6" x14ac:dyDescent="0.2">
      <c r="A528" s="69">
        <v>10000000856</v>
      </c>
      <c r="B528" s="69" t="s">
        <v>262</v>
      </c>
      <c r="D528" s="69" t="e">
        <v>#N/A</v>
      </c>
      <c r="E528" s="69">
        <v>5</v>
      </c>
      <c r="F528" s="69" t="s">
        <v>936</v>
      </c>
    </row>
    <row r="529" spans="1:6" x14ac:dyDescent="0.2">
      <c r="A529" s="69">
        <v>10000000857</v>
      </c>
      <c r="B529" s="69" t="s">
        <v>262</v>
      </c>
      <c r="D529" s="69" t="e">
        <v>#N/A</v>
      </c>
      <c r="E529" s="69">
        <v>5</v>
      </c>
      <c r="F529" s="69" t="s">
        <v>935</v>
      </c>
    </row>
    <row r="530" spans="1:6" x14ac:dyDescent="0.2">
      <c r="A530" s="69">
        <v>10000000861</v>
      </c>
      <c r="D530" s="69" t="e">
        <v>#N/A</v>
      </c>
      <c r="E530" s="69">
        <v>10</v>
      </c>
      <c r="F530" s="69" t="s">
        <v>779</v>
      </c>
    </row>
    <row r="531" spans="1:6" x14ac:dyDescent="0.2">
      <c r="A531" s="69">
        <v>10000000862</v>
      </c>
      <c r="B531" s="69">
        <v>10</v>
      </c>
      <c r="E531" s="69">
        <v>10</v>
      </c>
      <c r="F531" s="69" t="s">
        <v>778</v>
      </c>
    </row>
    <row r="532" spans="1:6" x14ac:dyDescent="0.2">
      <c r="A532" s="69">
        <v>10000000873</v>
      </c>
      <c r="B532" s="69" t="s">
        <v>221</v>
      </c>
      <c r="D532" s="69" t="e">
        <v>#N/A</v>
      </c>
      <c r="E532" s="69">
        <v>1</v>
      </c>
      <c r="F532" s="69" t="s">
        <v>933</v>
      </c>
    </row>
    <row r="533" spans="1:6" x14ac:dyDescent="0.2">
      <c r="A533" s="69">
        <v>10000000874</v>
      </c>
      <c r="B533" s="69" t="s">
        <v>221</v>
      </c>
      <c r="D533" s="69" t="e">
        <v>#N/A</v>
      </c>
      <c r="E533" s="69" t="s">
        <v>221</v>
      </c>
      <c r="F533" s="69" t="s">
        <v>932</v>
      </c>
    </row>
    <row r="534" spans="1:6" x14ac:dyDescent="0.2">
      <c r="A534" s="69">
        <v>10000000875</v>
      </c>
      <c r="B534" s="69" t="s">
        <v>221</v>
      </c>
      <c r="D534" s="69" t="e">
        <v>#N/A</v>
      </c>
      <c r="E534" s="69" t="s">
        <v>221</v>
      </c>
      <c r="F534" s="69" t="s">
        <v>931</v>
      </c>
    </row>
    <row r="535" spans="1:6" x14ac:dyDescent="0.2">
      <c r="A535" s="69">
        <v>10000000876</v>
      </c>
      <c r="B535" s="69" t="s">
        <v>221</v>
      </c>
      <c r="D535" s="69" t="e">
        <v>#N/A</v>
      </c>
      <c r="E535" s="69">
        <v>1</v>
      </c>
      <c r="F535" s="69" t="s">
        <v>930</v>
      </c>
    </row>
    <row r="536" spans="1:6" x14ac:dyDescent="0.2">
      <c r="A536" s="69">
        <v>10000000877</v>
      </c>
      <c r="B536" s="69" t="s">
        <v>221</v>
      </c>
      <c r="D536" s="69" t="e">
        <v>#N/A</v>
      </c>
      <c r="E536" s="69">
        <v>1</v>
      </c>
      <c r="F536" s="69" t="s">
        <v>929</v>
      </c>
    </row>
    <row r="537" spans="1:6" x14ac:dyDescent="0.2">
      <c r="A537" s="69">
        <v>10000000878</v>
      </c>
      <c r="B537" s="69" t="s">
        <v>221</v>
      </c>
      <c r="D537" s="69" t="e">
        <v>#N/A</v>
      </c>
      <c r="E537" s="69">
        <v>1</v>
      </c>
      <c r="F537" s="69" t="s">
        <v>928</v>
      </c>
    </row>
    <row r="538" spans="1:6" x14ac:dyDescent="0.2">
      <c r="A538" s="69">
        <v>10000000879</v>
      </c>
      <c r="B538" s="69" t="s">
        <v>221</v>
      </c>
      <c r="D538" s="69" t="e">
        <v>#N/A</v>
      </c>
      <c r="E538" s="69">
        <v>1</v>
      </c>
      <c r="F538" s="69" t="s">
        <v>927</v>
      </c>
    </row>
    <row r="539" spans="1:6" x14ac:dyDescent="0.2">
      <c r="A539" s="69">
        <v>10000000880</v>
      </c>
      <c r="B539" s="69" t="s">
        <v>262</v>
      </c>
      <c r="D539" s="69" t="e">
        <v>#N/A</v>
      </c>
      <c r="E539" s="69">
        <v>10</v>
      </c>
      <c r="F539" s="69" t="s">
        <v>926</v>
      </c>
    </row>
    <row r="540" spans="1:6" x14ac:dyDescent="0.2">
      <c r="A540" s="69">
        <v>10000000881</v>
      </c>
      <c r="B540" s="69" t="s">
        <v>262</v>
      </c>
      <c r="D540" s="69" t="e">
        <v>#N/A</v>
      </c>
      <c r="E540" s="69">
        <v>1</v>
      </c>
      <c r="F540" s="69" t="s">
        <v>925</v>
      </c>
    </row>
    <row r="541" spans="1:6" x14ac:dyDescent="0.2">
      <c r="A541" s="69">
        <v>10000000882</v>
      </c>
      <c r="B541" s="69" t="s">
        <v>262</v>
      </c>
      <c r="D541" s="69" t="e">
        <v>#N/A</v>
      </c>
      <c r="E541" s="69">
        <v>1</v>
      </c>
      <c r="F541" s="69" t="s">
        <v>924</v>
      </c>
    </row>
    <row r="542" spans="1:6" x14ac:dyDescent="0.2">
      <c r="A542" s="69">
        <v>10000000883</v>
      </c>
      <c r="B542" s="69" t="s">
        <v>262</v>
      </c>
      <c r="D542" s="69" t="e">
        <v>#N/A</v>
      </c>
      <c r="E542" s="69">
        <v>1</v>
      </c>
      <c r="F542" s="69" t="s">
        <v>923</v>
      </c>
    </row>
    <row r="543" spans="1:6" x14ac:dyDescent="0.2">
      <c r="A543" s="69">
        <v>10000000884</v>
      </c>
      <c r="B543" s="69" t="s">
        <v>262</v>
      </c>
      <c r="D543" s="69" t="e">
        <v>#N/A</v>
      </c>
      <c r="E543" s="69">
        <v>1</v>
      </c>
      <c r="F543" s="69" t="s">
        <v>922</v>
      </c>
    </row>
    <row r="544" spans="1:6" x14ac:dyDescent="0.2">
      <c r="A544" s="69">
        <v>10000000889</v>
      </c>
      <c r="B544" s="69" t="s">
        <v>221</v>
      </c>
      <c r="D544" s="69" t="e">
        <v>#N/A</v>
      </c>
      <c r="E544" s="69" t="s">
        <v>221</v>
      </c>
      <c r="F544" s="69" t="s">
        <v>921</v>
      </c>
    </row>
    <row r="545" spans="1:6" x14ac:dyDescent="0.2">
      <c r="A545" s="69">
        <v>10000000890</v>
      </c>
      <c r="B545" s="69" t="s">
        <v>262</v>
      </c>
      <c r="D545" s="69" t="e">
        <v>#N/A</v>
      </c>
      <c r="E545" s="69">
        <v>5</v>
      </c>
      <c r="F545" s="69" t="s">
        <v>920</v>
      </c>
    </row>
    <row r="546" spans="1:6" x14ac:dyDescent="0.2">
      <c r="A546" s="69">
        <v>10000000891</v>
      </c>
      <c r="B546" s="69" t="s">
        <v>262</v>
      </c>
      <c r="D546" s="69" t="e">
        <v>#N/A</v>
      </c>
      <c r="E546" s="69">
        <v>5</v>
      </c>
      <c r="F546" s="69" t="s">
        <v>919</v>
      </c>
    </row>
    <row r="547" spans="1:6" x14ac:dyDescent="0.2">
      <c r="A547" s="69">
        <v>10000000892</v>
      </c>
      <c r="B547" s="69" t="s">
        <v>262</v>
      </c>
      <c r="D547" s="69" t="e">
        <v>#N/A</v>
      </c>
      <c r="E547" s="69">
        <v>5</v>
      </c>
      <c r="F547" s="69" t="s">
        <v>918</v>
      </c>
    </row>
    <row r="548" spans="1:6" x14ac:dyDescent="0.2">
      <c r="A548" s="69">
        <v>10000000893</v>
      </c>
      <c r="B548" s="69" t="s">
        <v>220</v>
      </c>
      <c r="D548" s="69" t="e">
        <v>#N/A</v>
      </c>
      <c r="E548" s="69">
        <v>5</v>
      </c>
      <c r="F548" s="69" t="s">
        <v>917</v>
      </c>
    </row>
    <row r="549" spans="1:6" x14ac:dyDescent="0.2">
      <c r="A549" s="69">
        <v>10000000894</v>
      </c>
      <c r="B549" s="69" t="s">
        <v>221</v>
      </c>
      <c r="D549" s="69" t="e">
        <v>#N/A</v>
      </c>
      <c r="E549" s="69">
        <v>5</v>
      </c>
      <c r="F549" s="69" t="s">
        <v>916</v>
      </c>
    </row>
    <row r="550" spans="1:6" x14ac:dyDescent="0.2">
      <c r="A550" s="69">
        <v>10000000895</v>
      </c>
      <c r="B550" s="69" t="s">
        <v>221</v>
      </c>
      <c r="D550" s="69" t="e">
        <v>#N/A</v>
      </c>
      <c r="E550" s="69">
        <v>5</v>
      </c>
      <c r="F550" s="69" t="s">
        <v>915</v>
      </c>
    </row>
    <row r="551" spans="1:6" x14ac:dyDescent="0.2">
      <c r="A551" s="69">
        <v>10000000896</v>
      </c>
      <c r="B551" s="69" t="s">
        <v>221</v>
      </c>
      <c r="D551" s="69" t="e">
        <v>#N/A</v>
      </c>
      <c r="E551" s="69">
        <v>5</v>
      </c>
      <c r="F551" s="69" t="s">
        <v>914</v>
      </c>
    </row>
    <row r="552" spans="1:6" x14ac:dyDescent="0.2">
      <c r="A552" s="69">
        <v>10000000897</v>
      </c>
      <c r="B552" s="69" t="s">
        <v>221</v>
      </c>
      <c r="D552" s="69" t="e">
        <v>#N/A</v>
      </c>
      <c r="E552" s="69">
        <v>5</v>
      </c>
      <c r="F552" s="69" t="s">
        <v>913</v>
      </c>
    </row>
    <row r="553" spans="1:6" x14ac:dyDescent="0.2">
      <c r="A553" s="69">
        <v>10000000898</v>
      </c>
      <c r="B553" s="69" t="s">
        <v>221</v>
      </c>
      <c r="D553" s="69" t="e">
        <v>#N/A</v>
      </c>
      <c r="E553" s="69">
        <v>5</v>
      </c>
      <c r="F553" s="69" t="s">
        <v>912</v>
      </c>
    </row>
    <row r="554" spans="1:6" x14ac:dyDescent="0.2">
      <c r="A554" s="69">
        <v>10000000899</v>
      </c>
      <c r="B554" s="69" t="s">
        <v>220</v>
      </c>
      <c r="D554" s="69" t="e">
        <v>#N/A</v>
      </c>
      <c r="E554" s="69">
        <v>5</v>
      </c>
      <c r="F554" s="69" t="s">
        <v>911</v>
      </c>
    </row>
    <row r="555" spans="1:6" x14ac:dyDescent="0.2">
      <c r="A555" s="69">
        <v>10000000900</v>
      </c>
      <c r="B555" s="69" t="s">
        <v>220</v>
      </c>
      <c r="D555" s="69" t="e">
        <v>#N/A</v>
      </c>
      <c r="E555" s="69">
        <v>5</v>
      </c>
      <c r="F555" s="69" t="s">
        <v>910</v>
      </c>
    </row>
    <row r="556" spans="1:6" x14ac:dyDescent="0.2">
      <c r="A556" s="69">
        <v>10000000901</v>
      </c>
      <c r="B556" s="69" t="s">
        <v>220</v>
      </c>
      <c r="D556" s="69" t="e">
        <v>#N/A</v>
      </c>
      <c r="E556" s="69" t="s">
        <v>220</v>
      </c>
      <c r="F556" s="69" t="s">
        <v>909</v>
      </c>
    </row>
    <row r="557" spans="1:6" x14ac:dyDescent="0.2">
      <c r="A557" s="69">
        <v>10000000902</v>
      </c>
      <c r="B557" s="69" t="s">
        <v>221</v>
      </c>
      <c r="D557" s="69" t="e">
        <v>#N/A</v>
      </c>
      <c r="E557" s="69">
        <v>5</v>
      </c>
      <c r="F557" s="69" t="s">
        <v>908</v>
      </c>
    </row>
    <row r="558" spans="1:6" x14ac:dyDescent="0.2">
      <c r="A558" s="69">
        <v>10000000903</v>
      </c>
      <c r="B558" s="69" t="s">
        <v>221</v>
      </c>
      <c r="D558" s="69" t="e">
        <v>#N/A</v>
      </c>
      <c r="E558" s="69">
        <v>5</v>
      </c>
      <c r="F558" s="69" t="s">
        <v>907</v>
      </c>
    </row>
    <row r="559" spans="1:6" x14ac:dyDescent="0.2">
      <c r="A559" s="69">
        <v>10000000904</v>
      </c>
      <c r="B559" s="69" t="s">
        <v>221</v>
      </c>
      <c r="D559" s="69" t="e">
        <v>#N/A</v>
      </c>
      <c r="E559" s="69">
        <v>5</v>
      </c>
      <c r="F559" s="69" t="s">
        <v>906</v>
      </c>
    </row>
    <row r="560" spans="1:6" x14ac:dyDescent="0.2">
      <c r="A560" s="69">
        <v>10000000905</v>
      </c>
      <c r="B560" s="69" t="s">
        <v>221</v>
      </c>
      <c r="D560" s="69" t="e">
        <v>#N/A</v>
      </c>
      <c r="E560" s="69">
        <v>5</v>
      </c>
      <c r="F560" s="69" t="s">
        <v>211</v>
      </c>
    </row>
    <row r="561" spans="1:6" x14ac:dyDescent="0.2">
      <c r="A561" s="69">
        <v>10000000906</v>
      </c>
      <c r="B561" s="69" t="s">
        <v>221</v>
      </c>
      <c r="D561" s="69" t="e">
        <v>#N/A</v>
      </c>
      <c r="E561" s="69">
        <v>5</v>
      </c>
      <c r="F561" s="69" t="s">
        <v>905</v>
      </c>
    </row>
    <row r="562" spans="1:6" x14ac:dyDescent="0.2">
      <c r="A562" s="69">
        <v>10000000907</v>
      </c>
      <c r="B562" s="69" t="s">
        <v>221</v>
      </c>
      <c r="D562" s="69" t="e">
        <v>#N/A</v>
      </c>
      <c r="E562" s="69">
        <v>5</v>
      </c>
      <c r="F562" s="69" t="s">
        <v>904</v>
      </c>
    </row>
    <row r="563" spans="1:6" x14ac:dyDescent="0.2">
      <c r="A563" s="69">
        <v>10000000908</v>
      </c>
      <c r="B563" s="69" t="s">
        <v>221</v>
      </c>
      <c r="D563" s="69" t="e">
        <v>#N/A</v>
      </c>
      <c r="E563" s="69" t="s">
        <v>221</v>
      </c>
      <c r="F563" s="69" t="s">
        <v>903</v>
      </c>
    </row>
    <row r="564" spans="1:6" x14ac:dyDescent="0.2">
      <c r="A564" s="69">
        <v>10000000909</v>
      </c>
      <c r="B564" s="69" t="s">
        <v>221</v>
      </c>
      <c r="D564" s="69" t="e">
        <v>#N/A</v>
      </c>
      <c r="E564" s="69">
        <v>5</v>
      </c>
      <c r="F564" s="69" t="s">
        <v>902</v>
      </c>
    </row>
    <row r="565" spans="1:6" x14ac:dyDescent="0.2">
      <c r="A565" s="69">
        <v>10000000910</v>
      </c>
      <c r="B565" s="69" t="s">
        <v>221</v>
      </c>
      <c r="D565" s="69" t="e">
        <v>#N/A</v>
      </c>
      <c r="E565" s="69">
        <v>5</v>
      </c>
      <c r="F565" s="69" t="s">
        <v>901</v>
      </c>
    </row>
    <row r="566" spans="1:6" x14ac:dyDescent="0.2">
      <c r="A566" s="69">
        <v>10000000911</v>
      </c>
      <c r="B566" s="69" t="s">
        <v>221</v>
      </c>
      <c r="D566" s="69" t="e">
        <v>#N/A</v>
      </c>
      <c r="E566" s="69">
        <v>5</v>
      </c>
      <c r="F566" s="69" t="s">
        <v>900</v>
      </c>
    </row>
    <row r="567" spans="1:6" x14ac:dyDescent="0.2">
      <c r="A567" s="69">
        <v>10000000912</v>
      </c>
      <c r="B567" s="69" t="s">
        <v>221</v>
      </c>
      <c r="D567" s="69" t="e">
        <v>#N/A</v>
      </c>
      <c r="E567" s="69">
        <v>5</v>
      </c>
      <c r="F567" s="69" t="s">
        <v>899</v>
      </c>
    </row>
    <row r="568" spans="1:6" x14ac:dyDescent="0.2">
      <c r="A568" s="69">
        <v>10000000913</v>
      </c>
      <c r="B568" s="69" t="s">
        <v>262</v>
      </c>
      <c r="D568" s="69" t="e">
        <v>#N/A</v>
      </c>
      <c r="E568" s="69">
        <v>5</v>
      </c>
      <c r="F568" s="69" t="s">
        <v>898</v>
      </c>
    </row>
    <row r="569" spans="1:6" x14ac:dyDescent="0.2">
      <c r="A569" s="69">
        <v>10000000914</v>
      </c>
      <c r="B569" s="69" t="s">
        <v>262</v>
      </c>
      <c r="D569" s="69" t="e">
        <v>#N/A</v>
      </c>
      <c r="E569" s="69">
        <v>5</v>
      </c>
      <c r="F569" s="69" t="s">
        <v>897</v>
      </c>
    </row>
    <row r="570" spans="1:6" x14ac:dyDescent="0.2">
      <c r="A570" s="69">
        <v>10000000915</v>
      </c>
      <c r="B570" s="69" t="s">
        <v>262</v>
      </c>
      <c r="D570" s="69" t="e">
        <v>#N/A</v>
      </c>
      <c r="E570" s="69">
        <v>10</v>
      </c>
      <c r="F570" s="69" t="s">
        <v>896</v>
      </c>
    </row>
    <row r="571" spans="1:6" x14ac:dyDescent="0.2">
      <c r="A571" s="69">
        <v>10000000927</v>
      </c>
      <c r="B571" s="69" t="s">
        <v>1624</v>
      </c>
      <c r="E571" s="69" t="s">
        <v>1624</v>
      </c>
      <c r="F571" s="69" t="s">
        <v>1624</v>
      </c>
    </row>
    <row r="572" spans="1:6" x14ac:dyDescent="0.2">
      <c r="A572" s="69">
        <v>10000000929</v>
      </c>
      <c r="B572" s="69">
        <v>44105</v>
      </c>
      <c r="D572" s="69" t="e">
        <v>#N/A</v>
      </c>
      <c r="E572" s="69">
        <v>10</v>
      </c>
      <c r="F572" s="69" t="s">
        <v>723</v>
      </c>
    </row>
    <row r="573" spans="1:6" x14ac:dyDescent="0.2">
      <c r="A573" s="69">
        <v>10000000930</v>
      </c>
      <c r="E573" s="69">
        <v>23</v>
      </c>
      <c r="F573" s="69" t="s">
        <v>722</v>
      </c>
    </row>
    <row r="574" spans="1:6" x14ac:dyDescent="0.2">
      <c r="A574" s="69">
        <v>10000000931</v>
      </c>
      <c r="E574" s="69">
        <v>23</v>
      </c>
      <c r="F574" s="69" t="s">
        <v>721</v>
      </c>
    </row>
    <row r="575" spans="1:6" x14ac:dyDescent="0.2">
      <c r="A575" s="69">
        <v>10000000966</v>
      </c>
      <c r="B575" s="69" t="s">
        <v>220</v>
      </c>
      <c r="E575" s="69">
        <v>1</v>
      </c>
      <c r="F575" s="69" t="s">
        <v>242</v>
      </c>
    </row>
    <row r="576" spans="1:6" x14ac:dyDescent="0.2">
      <c r="A576" s="69">
        <v>10000000999</v>
      </c>
      <c r="E576" s="69">
        <v>23</v>
      </c>
      <c r="F576" s="69" t="s">
        <v>687</v>
      </c>
    </row>
    <row r="577" spans="1:6" x14ac:dyDescent="0.2">
      <c r="A577" s="69">
        <v>10000001012</v>
      </c>
      <c r="B577" s="69" t="s">
        <v>221</v>
      </c>
      <c r="D577" s="69" t="e">
        <v>#N/A</v>
      </c>
      <c r="E577" s="69">
        <v>1</v>
      </c>
      <c r="F577" s="69" t="s">
        <v>879</v>
      </c>
    </row>
    <row r="578" spans="1:6" x14ac:dyDescent="0.2">
      <c r="A578" s="69">
        <v>10000001013</v>
      </c>
      <c r="B578" s="69" t="s">
        <v>221</v>
      </c>
      <c r="D578" s="69" t="e">
        <v>#N/A</v>
      </c>
      <c r="E578" s="69">
        <v>5</v>
      </c>
      <c r="F578" s="69" t="s">
        <v>878</v>
      </c>
    </row>
    <row r="579" spans="1:6" x14ac:dyDescent="0.2">
      <c r="A579" s="69">
        <v>10000001014</v>
      </c>
      <c r="B579" s="69" t="s">
        <v>221</v>
      </c>
      <c r="D579" s="69" t="e">
        <v>#N/A</v>
      </c>
      <c r="E579" s="69">
        <v>5</v>
      </c>
      <c r="F579" s="69" t="s">
        <v>877</v>
      </c>
    </row>
    <row r="580" spans="1:6" x14ac:dyDescent="0.2">
      <c r="A580" s="69">
        <v>10000001015</v>
      </c>
      <c r="B580" s="69" t="s">
        <v>221</v>
      </c>
      <c r="D580" s="69" t="e">
        <v>#N/A</v>
      </c>
      <c r="E580" s="69">
        <v>5</v>
      </c>
      <c r="F580" s="69" t="s">
        <v>876</v>
      </c>
    </row>
    <row r="581" spans="1:6" x14ac:dyDescent="0.2">
      <c r="A581" s="69">
        <v>10000001016</v>
      </c>
      <c r="B581" s="69" t="s">
        <v>221</v>
      </c>
      <c r="D581" s="69" t="e">
        <v>#N/A</v>
      </c>
      <c r="E581" s="69">
        <v>5</v>
      </c>
      <c r="F581" s="69" t="s">
        <v>875</v>
      </c>
    </row>
    <row r="582" spans="1:6" x14ac:dyDescent="0.2">
      <c r="A582" s="69">
        <v>10000001038</v>
      </c>
      <c r="E582" s="69">
        <v>23</v>
      </c>
      <c r="F582" s="69" t="s">
        <v>662</v>
      </c>
    </row>
    <row r="583" spans="1:6" x14ac:dyDescent="0.2">
      <c r="A583" s="69">
        <v>10000001063</v>
      </c>
      <c r="D583" s="69" t="e">
        <v>#N/A</v>
      </c>
      <c r="E583" s="69">
        <v>10</v>
      </c>
      <c r="F583" s="69" t="s">
        <v>647</v>
      </c>
    </row>
    <row r="584" spans="1:6" x14ac:dyDescent="0.2">
      <c r="A584" s="69">
        <v>10000001064</v>
      </c>
      <c r="B584" s="69">
        <v>44105</v>
      </c>
      <c r="D584" s="69" t="e">
        <v>#N/A</v>
      </c>
      <c r="E584" s="69">
        <v>10</v>
      </c>
      <c r="F584" s="69" t="s">
        <v>1576</v>
      </c>
    </row>
    <row r="585" spans="1:6" x14ac:dyDescent="0.2">
      <c r="A585" s="69">
        <v>10000001069</v>
      </c>
      <c r="B585" s="69">
        <v>10</v>
      </c>
      <c r="D585" s="69" t="e">
        <v>#N/A</v>
      </c>
      <c r="E585" s="69">
        <v>10</v>
      </c>
      <c r="F585" s="69" t="s">
        <v>1584</v>
      </c>
    </row>
    <row r="586" spans="1:6" x14ac:dyDescent="0.2">
      <c r="A586" s="69">
        <v>10000001070</v>
      </c>
      <c r="B586" s="69" t="s">
        <v>221</v>
      </c>
      <c r="E586" s="69">
        <v>10</v>
      </c>
      <c r="F586" s="69" t="s">
        <v>642</v>
      </c>
    </row>
    <row r="587" spans="1:6" x14ac:dyDescent="0.2">
      <c r="A587" s="69">
        <v>10000001072</v>
      </c>
      <c r="E587" s="69">
        <v>28</v>
      </c>
      <c r="F587" s="69" t="s">
        <v>118</v>
      </c>
    </row>
    <row r="588" spans="1:6" x14ac:dyDescent="0.2">
      <c r="A588" s="69">
        <v>10000001073</v>
      </c>
      <c r="E588" s="69">
        <v>28</v>
      </c>
      <c r="F588" s="69" t="s">
        <v>179</v>
      </c>
    </row>
    <row r="589" spans="1:6" x14ac:dyDescent="0.2">
      <c r="A589" s="69">
        <v>10000001087</v>
      </c>
      <c r="B589" s="69" t="s">
        <v>221</v>
      </c>
      <c r="D589" s="69" t="e">
        <v>#N/A</v>
      </c>
      <c r="E589" s="69">
        <v>5</v>
      </c>
      <c r="F589" s="69" t="s">
        <v>850</v>
      </c>
    </row>
    <row r="590" spans="1:6" x14ac:dyDescent="0.2">
      <c r="A590" s="69">
        <v>10000001088</v>
      </c>
      <c r="B590" s="69" t="s">
        <v>221</v>
      </c>
      <c r="D590" s="69" t="e">
        <v>#N/A</v>
      </c>
      <c r="E590" s="69">
        <v>5</v>
      </c>
      <c r="F590" s="69" t="s">
        <v>849</v>
      </c>
    </row>
    <row r="591" spans="1:6" x14ac:dyDescent="0.2">
      <c r="A591" s="69">
        <v>10000001089</v>
      </c>
      <c r="B591" s="69" t="s">
        <v>221</v>
      </c>
      <c r="D591" s="69" t="e">
        <v>#N/A</v>
      </c>
      <c r="E591" s="69" t="s">
        <v>221</v>
      </c>
      <c r="F591" s="69" t="s">
        <v>848</v>
      </c>
    </row>
    <row r="592" spans="1:6" x14ac:dyDescent="0.2">
      <c r="A592" s="69">
        <v>10000001090</v>
      </c>
      <c r="B592" s="69" t="s">
        <v>221</v>
      </c>
      <c r="D592" s="69" t="e">
        <v>#N/A</v>
      </c>
      <c r="E592" s="69" t="s">
        <v>221</v>
      </c>
      <c r="F592" s="69" t="s">
        <v>847</v>
      </c>
    </row>
    <row r="593" spans="1:6" x14ac:dyDescent="0.2">
      <c r="A593" s="69">
        <v>10000001091</v>
      </c>
      <c r="B593" s="69" t="s">
        <v>221</v>
      </c>
      <c r="D593" s="69" t="e">
        <v>#N/A</v>
      </c>
      <c r="E593" s="69" t="s">
        <v>221</v>
      </c>
      <c r="F593" s="69" t="s">
        <v>846</v>
      </c>
    </row>
    <row r="594" spans="1:6" x14ac:dyDescent="0.2">
      <c r="A594" s="69">
        <v>10000001092</v>
      </c>
      <c r="B594" s="69" t="s">
        <v>221</v>
      </c>
      <c r="D594" s="69" t="e">
        <v>#N/A</v>
      </c>
      <c r="E594" s="69">
        <v>5</v>
      </c>
      <c r="F594" s="69" t="s">
        <v>845</v>
      </c>
    </row>
    <row r="595" spans="1:6" x14ac:dyDescent="0.2">
      <c r="A595" s="69">
        <v>10000001093</v>
      </c>
      <c r="B595" s="69" t="s">
        <v>221</v>
      </c>
      <c r="D595" s="69" t="e">
        <v>#N/A</v>
      </c>
      <c r="E595" s="69">
        <v>5</v>
      </c>
      <c r="F595" s="69" t="s">
        <v>844</v>
      </c>
    </row>
    <row r="596" spans="1:6" x14ac:dyDescent="0.2">
      <c r="A596" s="69">
        <v>10000001094</v>
      </c>
      <c r="B596" s="69" t="s">
        <v>221</v>
      </c>
      <c r="D596" s="69" t="e">
        <v>#N/A</v>
      </c>
      <c r="E596" s="69">
        <v>1</v>
      </c>
      <c r="F596" s="69" t="s">
        <v>843</v>
      </c>
    </row>
    <row r="597" spans="1:6" x14ac:dyDescent="0.2">
      <c r="A597" s="69">
        <v>10000001095</v>
      </c>
      <c r="B597" s="69" t="s">
        <v>221</v>
      </c>
      <c r="D597" s="69" t="e">
        <v>#N/A</v>
      </c>
      <c r="E597" s="69">
        <v>1</v>
      </c>
      <c r="F597" s="69" t="s">
        <v>842</v>
      </c>
    </row>
    <row r="598" spans="1:6" x14ac:dyDescent="0.2">
      <c r="A598" s="69">
        <v>10000001096</v>
      </c>
      <c r="B598" s="69" t="s">
        <v>262</v>
      </c>
      <c r="D598" s="69" t="e">
        <v>#N/A</v>
      </c>
      <c r="E598" s="69">
        <v>1</v>
      </c>
      <c r="F598" s="69" t="s">
        <v>841</v>
      </c>
    </row>
    <row r="599" spans="1:6" x14ac:dyDescent="0.2">
      <c r="A599" s="69">
        <v>10000001097</v>
      </c>
      <c r="B599" s="69" t="s">
        <v>262</v>
      </c>
      <c r="D599" s="69" t="e">
        <v>#N/A</v>
      </c>
      <c r="E599" s="69">
        <v>10</v>
      </c>
      <c r="F599" s="69" t="s">
        <v>840</v>
      </c>
    </row>
    <row r="600" spans="1:6" x14ac:dyDescent="0.2">
      <c r="A600" s="69">
        <v>10000001098</v>
      </c>
      <c r="B600" s="69" t="s">
        <v>262</v>
      </c>
      <c r="D600" s="69" t="e">
        <v>#N/A</v>
      </c>
      <c r="E600" s="69">
        <v>1</v>
      </c>
      <c r="F600" s="69" t="s">
        <v>839</v>
      </c>
    </row>
    <row r="601" spans="1:6" x14ac:dyDescent="0.2">
      <c r="A601" s="69">
        <v>10000001099</v>
      </c>
      <c r="B601" s="69" t="s">
        <v>220</v>
      </c>
      <c r="D601" s="69" t="e">
        <v>#N/A</v>
      </c>
      <c r="E601" s="69" t="s">
        <v>220</v>
      </c>
      <c r="F601" s="69" t="s">
        <v>838</v>
      </c>
    </row>
    <row r="602" spans="1:6" x14ac:dyDescent="0.2">
      <c r="A602" s="69">
        <v>10000001100</v>
      </c>
      <c r="B602" s="69" t="s">
        <v>220</v>
      </c>
      <c r="D602" s="69" t="e">
        <v>#N/A</v>
      </c>
      <c r="E602" s="69">
        <v>1</v>
      </c>
      <c r="F602" s="69" t="s">
        <v>837</v>
      </c>
    </row>
    <row r="603" spans="1:6" x14ac:dyDescent="0.2">
      <c r="A603" s="69">
        <v>10000001101</v>
      </c>
      <c r="B603" s="69" t="s">
        <v>220</v>
      </c>
      <c r="D603" s="69" t="e">
        <v>#N/A</v>
      </c>
      <c r="E603" s="69">
        <v>1</v>
      </c>
      <c r="F603" s="69" t="s">
        <v>836</v>
      </c>
    </row>
    <row r="604" spans="1:6" x14ac:dyDescent="0.2">
      <c r="A604" s="69">
        <v>10000001102</v>
      </c>
      <c r="B604" s="69" t="s">
        <v>221</v>
      </c>
      <c r="D604" s="69" t="e">
        <v>#N/A</v>
      </c>
      <c r="E604" s="69">
        <v>1</v>
      </c>
      <c r="F604" s="69" t="s">
        <v>835</v>
      </c>
    </row>
    <row r="605" spans="1:6" x14ac:dyDescent="0.2">
      <c r="A605" s="69">
        <v>10000001103</v>
      </c>
      <c r="B605" s="69" t="s">
        <v>221</v>
      </c>
      <c r="D605" s="69" t="e">
        <v>#N/A</v>
      </c>
      <c r="E605" s="69" t="s">
        <v>221</v>
      </c>
      <c r="F605" s="69" t="s">
        <v>834</v>
      </c>
    </row>
    <row r="606" spans="1:6" x14ac:dyDescent="0.2">
      <c r="A606" s="69">
        <v>10000001104</v>
      </c>
      <c r="B606" s="69" t="s">
        <v>221</v>
      </c>
      <c r="D606" s="69" t="e">
        <v>#N/A</v>
      </c>
      <c r="E606" s="69">
        <v>1</v>
      </c>
      <c r="F606" s="69" t="s">
        <v>833</v>
      </c>
    </row>
    <row r="607" spans="1:6" x14ac:dyDescent="0.2">
      <c r="A607" s="69">
        <v>10000001105</v>
      </c>
      <c r="B607" s="69" t="s">
        <v>221</v>
      </c>
      <c r="D607" s="69" t="e">
        <v>#N/A</v>
      </c>
      <c r="E607" s="69">
        <v>1</v>
      </c>
      <c r="F607" s="69" t="s">
        <v>832</v>
      </c>
    </row>
    <row r="608" spans="1:6" x14ac:dyDescent="0.2">
      <c r="A608" s="69">
        <v>10000001106</v>
      </c>
      <c r="B608" s="69" t="s">
        <v>221</v>
      </c>
      <c r="D608" s="69" t="e">
        <v>#N/A</v>
      </c>
      <c r="E608" s="69" t="s">
        <v>221</v>
      </c>
      <c r="F608" s="69" t="s">
        <v>831</v>
      </c>
    </row>
    <row r="609" spans="1:6" x14ac:dyDescent="0.2">
      <c r="A609" s="69">
        <v>10000001107</v>
      </c>
      <c r="B609" s="69" t="s">
        <v>221</v>
      </c>
      <c r="D609" s="69" t="e">
        <v>#N/A</v>
      </c>
      <c r="E609" s="69" t="s">
        <v>221</v>
      </c>
      <c r="F609" s="69" t="s">
        <v>830</v>
      </c>
    </row>
    <row r="610" spans="1:6" x14ac:dyDescent="0.2">
      <c r="A610" s="69">
        <v>10000001108</v>
      </c>
      <c r="B610" s="69" t="s">
        <v>221</v>
      </c>
      <c r="D610" s="69" t="e">
        <v>#N/A</v>
      </c>
      <c r="E610" s="69">
        <v>5</v>
      </c>
      <c r="F610" s="69" t="s">
        <v>829</v>
      </c>
    </row>
    <row r="611" spans="1:6" x14ac:dyDescent="0.2">
      <c r="A611" s="69">
        <v>10000001109</v>
      </c>
      <c r="B611" s="69" t="s">
        <v>221</v>
      </c>
      <c r="D611" s="69" t="e">
        <v>#N/A</v>
      </c>
      <c r="E611" s="69">
        <v>5</v>
      </c>
      <c r="F611" t="s">
        <v>1926</v>
      </c>
    </row>
    <row r="612" spans="1:6" x14ac:dyDescent="0.2">
      <c r="A612" s="69">
        <v>10000001110</v>
      </c>
      <c r="B612" s="69" t="s">
        <v>221</v>
      </c>
      <c r="D612" s="69" t="e">
        <v>#N/A</v>
      </c>
      <c r="E612" s="69">
        <v>5</v>
      </c>
      <c r="F612" s="69" t="s">
        <v>229</v>
      </c>
    </row>
    <row r="613" spans="1:6" x14ac:dyDescent="0.2">
      <c r="A613" s="69">
        <v>10000001111</v>
      </c>
      <c r="B613" s="69" t="s">
        <v>221</v>
      </c>
      <c r="D613" s="69" t="e">
        <v>#N/A</v>
      </c>
      <c r="E613" s="69">
        <v>5</v>
      </c>
      <c r="F613" s="69" t="s">
        <v>827</v>
      </c>
    </row>
    <row r="614" spans="1:6" x14ac:dyDescent="0.2">
      <c r="A614" s="69">
        <v>10000001112</v>
      </c>
      <c r="B614" s="69" t="s">
        <v>221</v>
      </c>
      <c r="D614" s="69" t="e">
        <v>#N/A</v>
      </c>
      <c r="E614" s="69" t="s">
        <v>221</v>
      </c>
      <c r="F614" s="69" t="s">
        <v>826</v>
      </c>
    </row>
    <row r="615" spans="1:6" x14ac:dyDescent="0.2">
      <c r="A615" s="69">
        <v>10000001113</v>
      </c>
      <c r="B615" s="69" t="s">
        <v>221</v>
      </c>
      <c r="D615" s="69" t="e">
        <v>#N/A</v>
      </c>
      <c r="E615" s="69">
        <v>5</v>
      </c>
      <c r="F615" s="69" t="s">
        <v>825</v>
      </c>
    </row>
    <row r="616" spans="1:6" x14ac:dyDescent="0.2">
      <c r="A616" s="69">
        <v>10000001114</v>
      </c>
      <c r="B616" s="69" t="s">
        <v>221</v>
      </c>
      <c r="D616" s="69" t="e">
        <v>#N/A</v>
      </c>
      <c r="E616" s="69">
        <v>5</v>
      </c>
      <c r="F616" s="69" t="s">
        <v>824</v>
      </c>
    </row>
    <row r="617" spans="1:6" x14ac:dyDescent="0.2">
      <c r="A617" s="69">
        <v>10000001115</v>
      </c>
      <c r="B617" s="69" t="s">
        <v>221</v>
      </c>
      <c r="D617" s="69" t="e">
        <v>#N/A</v>
      </c>
      <c r="E617" s="69">
        <v>5</v>
      </c>
      <c r="F617" s="69" t="s">
        <v>823</v>
      </c>
    </row>
    <row r="618" spans="1:6" x14ac:dyDescent="0.2">
      <c r="A618" s="69">
        <v>10000001116</v>
      </c>
      <c r="B618" s="69" t="s">
        <v>221</v>
      </c>
      <c r="D618" s="69" t="e">
        <v>#N/A</v>
      </c>
      <c r="E618" s="69">
        <v>5</v>
      </c>
      <c r="F618" s="69" t="s">
        <v>822</v>
      </c>
    </row>
    <row r="619" spans="1:6" x14ac:dyDescent="0.2">
      <c r="A619" s="69">
        <v>10000001117</v>
      </c>
      <c r="B619" s="69" t="s">
        <v>221</v>
      </c>
      <c r="D619" s="69" t="e">
        <v>#N/A</v>
      </c>
      <c r="E619" s="69" t="s">
        <v>221</v>
      </c>
      <c r="F619" s="69" t="s">
        <v>821</v>
      </c>
    </row>
    <row r="620" spans="1:6" x14ac:dyDescent="0.2">
      <c r="A620" s="69">
        <v>10000001118</v>
      </c>
      <c r="B620" s="69" t="s">
        <v>221</v>
      </c>
      <c r="D620" s="69" t="e">
        <v>#N/A</v>
      </c>
      <c r="E620" s="69" t="s">
        <v>221</v>
      </c>
      <c r="F620" s="69" t="s">
        <v>820</v>
      </c>
    </row>
    <row r="621" spans="1:6" x14ac:dyDescent="0.2">
      <c r="A621" s="69">
        <v>10000001119</v>
      </c>
      <c r="B621" s="69" t="s">
        <v>221</v>
      </c>
      <c r="D621" s="69" t="e">
        <v>#N/A</v>
      </c>
      <c r="E621" s="69">
        <v>5</v>
      </c>
      <c r="F621" s="69" t="s">
        <v>819</v>
      </c>
    </row>
    <row r="622" spans="1:6" x14ac:dyDescent="0.2">
      <c r="A622" s="69">
        <v>10000001120</v>
      </c>
      <c r="B622" s="69" t="s">
        <v>221</v>
      </c>
      <c r="D622" s="69" t="e">
        <v>#N/A</v>
      </c>
      <c r="E622" s="69">
        <v>5</v>
      </c>
      <c r="F622" s="69" t="s">
        <v>818</v>
      </c>
    </row>
    <row r="623" spans="1:6" x14ac:dyDescent="0.2">
      <c r="A623" s="69">
        <v>10000001121</v>
      </c>
      <c r="B623" s="69" t="s">
        <v>221</v>
      </c>
      <c r="D623" s="69" t="e">
        <v>#N/A</v>
      </c>
      <c r="E623" s="69">
        <v>5</v>
      </c>
      <c r="F623" s="69" t="s">
        <v>817</v>
      </c>
    </row>
    <row r="624" spans="1:6" x14ac:dyDescent="0.2">
      <c r="A624" s="69">
        <v>10000001122</v>
      </c>
      <c r="B624" s="69" t="s">
        <v>221</v>
      </c>
      <c r="D624" s="69" t="e">
        <v>#N/A</v>
      </c>
      <c r="E624" s="69" t="s">
        <v>221</v>
      </c>
      <c r="F624" s="69" t="s">
        <v>816</v>
      </c>
    </row>
    <row r="625" spans="1:6" x14ac:dyDescent="0.2">
      <c r="A625" s="69">
        <v>10000001123</v>
      </c>
      <c r="B625" s="69" t="s">
        <v>221</v>
      </c>
      <c r="D625" s="69" t="e">
        <v>#N/A</v>
      </c>
      <c r="E625" s="69">
        <v>5</v>
      </c>
      <c r="F625" s="69" t="s">
        <v>815</v>
      </c>
    </row>
    <row r="626" spans="1:6" x14ac:dyDescent="0.2">
      <c r="A626" s="69">
        <v>10000001124</v>
      </c>
      <c r="B626" s="69" t="s">
        <v>221</v>
      </c>
      <c r="D626" s="69" t="e">
        <v>#N/A</v>
      </c>
      <c r="E626" s="69">
        <v>5</v>
      </c>
      <c r="F626" s="69" t="s">
        <v>814</v>
      </c>
    </row>
    <row r="627" spans="1:6" x14ac:dyDescent="0.2">
      <c r="A627" s="69">
        <v>10000001125</v>
      </c>
      <c r="E627" s="69">
        <v>23</v>
      </c>
      <c r="F627" s="69" t="s">
        <v>609</v>
      </c>
    </row>
    <row r="628" spans="1:6" x14ac:dyDescent="0.2">
      <c r="A628" s="69">
        <v>10000001126</v>
      </c>
      <c r="E628" s="69">
        <v>23</v>
      </c>
      <c r="F628" s="69" t="s">
        <v>207</v>
      </c>
    </row>
    <row r="629" spans="1:6" x14ac:dyDescent="0.2">
      <c r="A629" s="69">
        <v>10000001128</v>
      </c>
      <c r="B629" s="69" t="s">
        <v>221</v>
      </c>
      <c r="D629" s="69" t="e">
        <v>#N/A</v>
      </c>
      <c r="E629" s="69" t="s">
        <v>221</v>
      </c>
      <c r="F629" s="69" t="s">
        <v>813</v>
      </c>
    </row>
    <row r="630" spans="1:6" x14ac:dyDescent="0.2">
      <c r="A630" s="69">
        <v>10000001129</v>
      </c>
      <c r="B630" s="69" t="s">
        <v>262</v>
      </c>
      <c r="D630" s="69" t="e">
        <v>#N/A</v>
      </c>
      <c r="E630" s="69">
        <v>10</v>
      </c>
      <c r="F630" s="69" t="s">
        <v>812</v>
      </c>
    </row>
    <row r="631" spans="1:6" x14ac:dyDescent="0.2">
      <c r="A631" s="69">
        <v>10000001130</v>
      </c>
      <c r="B631" s="69" t="s">
        <v>262</v>
      </c>
      <c r="D631" s="69" t="e">
        <v>#N/A</v>
      </c>
      <c r="E631" s="69">
        <v>10</v>
      </c>
      <c r="F631" s="69" t="s">
        <v>811</v>
      </c>
    </row>
    <row r="632" spans="1:6" x14ac:dyDescent="0.2">
      <c r="A632" s="69">
        <v>10000001137</v>
      </c>
      <c r="B632" s="69" t="s">
        <v>221</v>
      </c>
      <c r="E632" s="69">
        <v>5</v>
      </c>
      <c r="F632" s="69" t="s">
        <v>232</v>
      </c>
    </row>
    <row r="633" spans="1:6" x14ac:dyDescent="0.2">
      <c r="A633" s="69">
        <v>10000001146</v>
      </c>
      <c r="B633" s="69" t="s">
        <v>220</v>
      </c>
      <c r="D633" s="69" t="e">
        <v>#N/A</v>
      </c>
      <c r="E633" s="69" t="s">
        <v>220</v>
      </c>
      <c r="F633" s="69" t="s">
        <v>810</v>
      </c>
    </row>
    <row r="634" spans="1:6" x14ac:dyDescent="0.2">
      <c r="A634" s="69">
        <v>10000001147</v>
      </c>
      <c r="B634" s="69" t="s">
        <v>220</v>
      </c>
      <c r="D634" s="69" t="e">
        <v>#N/A</v>
      </c>
      <c r="E634" s="69">
        <v>5</v>
      </c>
      <c r="F634" s="69" t="s">
        <v>809</v>
      </c>
    </row>
    <row r="635" spans="1:6" x14ac:dyDescent="0.2">
      <c r="A635" s="69">
        <v>10000001148</v>
      </c>
      <c r="B635" s="69" t="s">
        <v>221</v>
      </c>
      <c r="D635" s="69" t="e">
        <v>#N/A</v>
      </c>
      <c r="E635" s="69">
        <v>5</v>
      </c>
      <c r="F635" s="69" t="s">
        <v>808</v>
      </c>
    </row>
    <row r="636" spans="1:6" x14ac:dyDescent="0.2">
      <c r="A636" s="69">
        <v>10000001149</v>
      </c>
      <c r="B636" s="69" t="s">
        <v>221</v>
      </c>
      <c r="D636" s="69" t="e">
        <v>#N/A</v>
      </c>
      <c r="E636" s="69" t="s">
        <v>221</v>
      </c>
      <c r="F636" s="69" t="s">
        <v>807</v>
      </c>
    </row>
    <row r="637" spans="1:6" x14ac:dyDescent="0.2">
      <c r="A637" s="69">
        <v>10000001150</v>
      </c>
      <c r="B637" s="69" t="s">
        <v>221</v>
      </c>
      <c r="D637" s="69" t="s">
        <v>1403</v>
      </c>
      <c r="E637" s="69" t="s">
        <v>221</v>
      </c>
      <c r="F637" s="69" t="s">
        <v>806</v>
      </c>
    </row>
    <row r="638" spans="1:6" x14ac:dyDescent="0.2">
      <c r="A638" s="69">
        <v>10000001151</v>
      </c>
      <c r="E638" s="69">
        <v>28</v>
      </c>
      <c r="F638" s="69" t="s">
        <v>599</v>
      </c>
    </row>
    <row r="639" spans="1:6" x14ac:dyDescent="0.2">
      <c r="A639" s="69">
        <v>10000001152</v>
      </c>
      <c r="B639" s="69" t="s">
        <v>221</v>
      </c>
      <c r="D639" s="69" t="e">
        <v>#N/A</v>
      </c>
      <c r="E639" s="69" t="s">
        <v>221</v>
      </c>
      <c r="F639" s="69" t="s">
        <v>805</v>
      </c>
    </row>
    <row r="640" spans="1:6" x14ac:dyDescent="0.2">
      <c r="A640" s="69">
        <v>10000001158</v>
      </c>
      <c r="B640" s="69" t="s">
        <v>221</v>
      </c>
      <c r="D640" s="69" t="e">
        <v>#N/A</v>
      </c>
      <c r="E640" s="69" t="s">
        <v>221</v>
      </c>
      <c r="F640" s="69" t="s">
        <v>804</v>
      </c>
    </row>
    <row r="641" spans="1:6" x14ac:dyDescent="0.2">
      <c r="A641" s="69">
        <v>10000001159</v>
      </c>
      <c r="B641" s="69" t="s">
        <v>221</v>
      </c>
      <c r="D641" s="69" t="e">
        <v>#N/A</v>
      </c>
      <c r="E641" s="69" t="s">
        <v>221</v>
      </c>
      <c r="F641" s="69" t="s">
        <v>803</v>
      </c>
    </row>
    <row r="642" spans="1:6" x14ac:dyDescent="0.2">
      <c r="A642" s="69">
        <v>10000001160</v>
      </c>
      <c r="B642" s="69" t="s">
        <v>221</v>
      </c>
      <c r="D642" s="69" t="e">
        <v>#N/A</v>
      </c>
      <c r="E642" s="69">
        <v>5</v>
      </c>
      <c r="F642" s="69" t="s">
        <v>802</v>
      </c>
    </row>
    <row r="643" spans="1:6" x14ac:dyDescent="0.2">
      <c r="A643" s="69">
        <v>10000001161</v>
      </c>
      <c r="B643" s="69" t="s">
        <v>221</v>
      </c>
      <c r="D643" s="69" t="e">
        <v>#N/A</v>
      </c>
      <c r="E643" s="69" t="s">
        <v>221</v>
      </c>
      <c r="F643" s="69" t="s">
        <v>801</v>
      </c>
    </row>
    <row r="644" spans="1:6" x14ac:dyDescent="0.2">
      <c r="A644" s="69">
        <v>10000001162</v>
      </c>
      <c r="B644" s="69" t="s">
        <v>221</v>
      </c>
      <c r="D644" s="69" t="e">
        <v>#N/A</v>
      </c>
      <c r="E644" s="69">
        <v>5</v>
      </c>
      <c r="F644" s="69" t="s">
        <v>800</v>
      </c>
    </row>
    <row r="645" spans="1:6" x14ac:dyDescent="0.2">
      <c r="A645" s="69">
        <v>10000001163</v>
      </c>
      <c r="B645" s="69" t="s">
        <v>221</v>
      </c>
      <c r="D645" s="69" t="e">
        <v>#N/A</v>
      </c>
      <c r="E645" s="69">
        <v>5</v>
      </c>
      <c r="F645" s="69" t="s">
        <v>799</v>
      </c>
    </row>
    <row r="646" spans="1:6" x14ac:dyDescent="0.2">
      <c r="A646" s="69">
        <v>10000001164</v>
      </c>
      <c r="B646" s="69" t="s">
        <v>262</v>
      </c>
      <c r="D646" s="69" t="e">
        <v>#N/A</v>
      </c>
      <c r="E646" s="69">
        <v>10</v>
      </c>
      <c r="F646" s="69" t="s">
        <v>798</v>
      </c>
    </row>
    <row r="647" spans="1:6" x14ac:dyDescent="0.2">
      <c r="A647" s="69">
        <v>10000001165</v>
      </c>
      <c r="B647" s="69" t="s">
        <v>262</v>
      </c>
      <c r="D647" s="69" t="e">
        <v>#N/A</v>
      </c>
      <c r="E647" s="69">
        <v>1</v>
      </c>
      <c r="F647" s="69" t="s">
        <v>797</v>
      </c>
    </row>
    <row r="648" spans="1:6" x14ac:dyDescent="0.2">
      <c r="A648" s="69">
        <v>10000001166</v>
      </c>
      <c r="B648" s="69" t="s">
        <v>262</v>
      </c>
      <c r="D648" s="69" t="e">
        <v>#N/A</v>
      </c>
      <c r="E648" s="69">
        <v>10</v>
      </c>
      <c r="F648" s="69" t="s">
        <v>796</v>
      </c>
    </row>
    <row r="649" spans="1:6" x14ac:dyDescent="0.2">
      <c r="A649" s="69">
        <v>10000001167</v>
      </c>
      <c r="B649" s="69" t="s">
        <v>262</v>
      </c>
      <c r="D649" s="69" t="e">
        <v>#N/A</v>
      </c>
      <c r="E649" s="69">
        <v>5</v>
      </c>
      <c r="F649" s="69" t="s">
        <v>795</v>
      </c>
    </row>
    <row r="650" spans="1:6" x14ac:dyDescent="0.2">
      <c r="A650" s="69">
        <v>10000001168</v>
      </c>
      <c r="B650" s="69" t="s">
        <v>262</v>
      </c>
      <c r="D650" s="69" t="e">
        <v>#N/A</v>
      </c>
      <c r="E650" s="69">
        <v>5</v>
      </c>
      <c r="F650" s="69" t="s">
        <v>794</v>
      </c>
    </row>
    <row r="651" spans="1:6" x14ac:dyDescent="0.2">
      <c r="A651" s="69">
        <v>10000001172</v>
      </c>
      <c r="B651" s="69">
        <v>44105</v>
      </c>
      <c r="D651" s="69" t="e">
        <v>#N/A</v>
      </c>
      <c r="E651" s="69">
        <v>10</v>
      </c>
      <c r="F651" s="69" t="s">
        <v>587</v>
      </c>
    </row>
    <row r="652" spans="1:6" x14ac:dyDescent="0.2">
      <c r="A652" s="69">
        <v>10000001173</v>
      </c>
      <c r="B652" s="69" t="s">
        <v>221</v>
      </c>
      <c r="D652" s="69" t="e">
        <v>#N/A</v>
      </c>
      <c r="E652" s="69">
        <v>5</v>
      </c>
      <c r="F652" s="69" t="s">
        <v>793</v>
      </c>
    </row>
    <row r="653" spans="1:6" x14ac:dyDescent="0.2">
      <c r="A653" s="69">
        <v>10000001174</v>
      </c>
      <c r="B653" s="69" t="s">
        <v>221</v>
      </c>
      <c r="D653" s="69" t="e">
        <v>#N/A</v>
      </c>
      <c r="E653" s="69">
        <v>10</v>
      </c>
      <c r="F653" t="s">
        <v>585</v>
      </c>
    </row>
    <row r="654" spans="1:6" x14ac:dyDescent="0.2">
      <c r="A654" s="69">
        <v>10000001175</v>
      </c>
      <c r="B654" s="69" t="s">
        <v>220</v>
      </c>
      <c r="D654" s="69" t="e">
        <v>#N/A</v>
      </c>
      <c r="E654" s="69" t="s">
        <v>220</v>
      </c>
      <c r="F654" s="69" t="s">
        <v>791</v>
      </c>
    </row>
    <row r="655" spans="1:6" x14ac:dyDescent="0.2">
      <c r="A655" s="69">
        <v>10000001176</v>
      </c>
      <c r="B655" s="69" t="s">
        <v>220</v>
      </c>
      <c r="D655" s="69" t="e">
        <v>#N/A</v>
      </c>
      <c r="E655" s="69">
        <v>20</v>
      </c>
      <c r="F655" t="s">
        <v>583</v>
      </c>
    </row>
    <row r="656" spans="1:6" x14ac:dyDescent="0.2">
      <c r="A656" s="69">
        <v>10000001177</v>
      </c>
      <c r="B656" s="69" t="s">
        <v>220</v>
      </c>
      <c r="D656" s="69" t="e">
        <v>#N/A</v>
      </c>
      <c r="E656" s="69">
        <v>1</v>
      </c>
      <c r="F656" s="69" t="s">
        <v>789</v>
      </c>
    </row>
    <row r="657" spans="1:6" x14ac:dyDescent="0.2">
      <c r="A657" s="69">
        <v>10000001178</v>
      </c>
      <c r="B657" s="69" t="s">
        <v>220</v>
      </c>
      <c r="D657" s="69" t="e">
        <v>#N/A</v>
      </c>
      <c r="E657" s="69">
        <v>1</v>
      </c>
      <c r="F657" s="69" t="s">
        <v>788</v>
      </c>
    </row>
    <row r="658" spans="1:6" x14ac:dyDescent="0.2">
      <c r="A658" s="69">
        <v>10000001179</v>
      </c>
      <c r="B658" s="69" t="s">
        <v>221</v>
      </c>
      <c r="D658" s="69" t="e">
        <v>#N/A</v>
      </c>
      <c r="E658" s="69">
        <v>5</v>
      </c>
      <c r="F658" s="69" t="s">
        <v>787</v>
      </c>
    </row>
    <row r="659" spans="1:6" x14ac:dyDescent="0.2">
      <c r="A659" s="69">
        <v>10000001180</v>
      </c>
      <c r="B659" s="117" t="s">
        <v>1967</v>
      </c>
      <c r="D659" s="69" t="e">
        <v>#N/A</v>
      </c>
      <c r="E659" s="69">
        <v>10</v>
      </c>
      <c r="F659" t="s">
        <v>1966</v>
      </c>
    </row>
    <row r="660" spans="1:6" x14ac:dyDescent="0.2">
      <c r="A660" s="69">
        <v>10000001181</v>
      </c>
      <c r="B660" s="69" t="s">
        <v>221</v>
      </c>
      <c r="D660" s="69" t="e">
        <v>#N/A</v>
      </c>
      <c r="E660" s="69" t="s">
        <v>221</v>
      </c>
      <c r="F660" s="69" t="s">
        <v>785</v>
      </c>
    </row>
    <row r="661" spans="1:6" x14ac:dyDescent="0.2">
      <c r="A661" s="69">
        <v>10000001182</v>
      </c>
      <c r="B661" s="69" t="s">
        <v>221</v>
      </c>
      <c r="D661" s="69" t="e">
        <v>#N/A</v>
      </c>
      <c r="E661" s="69" t="s">
        <v>221</v>
      </c>
      <c r="F661" s="69" t="s">
        <v>784</v>
      </c>
    </row>
    <row r="662" spans="1:6" x14ac:dyDescent="0.2">
      <c r="A662" s="69">
        <v>10000001183</v>
      </c>
      <c r="B662" s="69" t="s">
        <v>221</v>
      </c>
      <c r="D662" s="69" t="e">
        <v>#N/A</v>
      </c>
      <c r="E662" s="69" t="s">
        <v>221</v>
      </c>
      <c r="F662" s="69" t="s">
        <v>736</v>
      </c>
    </row>
    <row r="663" spans="1:6" x14ac:dyDescent="0.2">
      <c r="A663" s="69">
        <v>10000001184</v>
      </c>
      <c r="B663" s="69" t="s">
        <v>221</v>
      </c>
      <c r="D663" s="69" t="e">
        <v>#N/A</v>
      </c>
      <c r="E663" s="69" t="s">
        <v>221</v>
      </c>
      <c r="F663" s="69" t="s">
        <v>783</v>
      </c>
    </row>
    <row r="664" spans="1:6" x14ac:dyDescent="0.2">
      <c r="A664" s="69">
        <v>10000001185</v>
      </c>
      <c r="B664" s="69" t="s">
        <v>221</v>
      </c>
      <c r="D664" s="69" t="e">
        <v>#N/A</v>
      </c>
      <c r="E664" s="69">
        <v>5</v>
      </c>
      <c r="F664" s="69" t="s">
        <v>782</v>
      </c>
    </row>
    <row r="665" spans="1:6" x14ac:dyDescent="0.2">
      <c r="A665" s="69">
        <v>10000001186</v>
      </c>
      <c r="B665" s="69" t="s">
        <v>221</v>
      </c>
      <c r="D665" s="69" t="e">
        <v>#N/A</v>
      </c>
      <c r="E665" s="69">
        <v>20</v>
      </c>
      <c r="F665" s="124" t="s">
        <v>2001</v>
      </c>
    </row>
    <row r="666" spans="1:6" x14ac:dyDescent="0.2">
      <c r="A666" s="69">
        <v>10000001187</v>
      </c>
      <c r="B666" s="69" t="s">
        <v>221</v>
      </c>
      <c r="D666" s="69" t="e">
        <v>#N/A</v>
      </c>
      <c r="E666" s="69">
        <v>1</v>
      </c>
      <c r="F666" s="69" t="s">
        <v>780</v>
      </c>
    </row>
    <row r="667" spans="1:6" x14ac:dyDescent="0.2">
      <c r="A667" s="69">
        <v>10000001188</v>
      </c>
      <c r="B667" s="69" t="s">
        <v>262</v>
      </c>
      <c r="D667" s="69" t="e">
        <v>#N/A</v>
      </c>
      <c r="E667" s="69">
        <v>1</v>
      </c>
      <c r="F667" s="69" t="s">
        <v>779</v>
      </c>
    </row>
    <row r="668" spans="1:6" x14ac:dyDescent="0.2">
      <c r="A668" s="69">
        <v>10000001189</v>
      </c>
      <c r="B668" s="69" t="s">
        <v>262</v>
      </c>
      <c r="D668" s="69" t="e">
        <v>#N/A</v>
      </c>
      <c r="E668" s="69">
        <v>10</v>
      </c>
      <c r="F668" s="69" t="s">
        <v>778</v>
      </c>
    </row>
    <row r="669" spans="1:6" x14ac:dyDescent="0.2">
      <c r="A669" s="69">
        <v>10000001190</v>
      </c>
      <c r="B669" s="69" t="s">
        <v>262</v>
      </c>
      <c r="D669" s="69" t="e">
        <v>#N/A</v>
      </c>
      <c r="E669" s="69">
        <v>5</v>
      </c>
      <c r="F669" s="69" t="s">
        <v>777</v>
      </c>
    </row>
    <row r="670" spans="1:6" x14ac:dyDescent="0.2">
      <c r="A670" s="69">
        <v>10000001198</v>
      </c>
      <c r="E670" s="69">
        <v>23</v>
      </c>
      <c r="F670" s="69" t="s">
        <v>1714</v>
      </c>
    </row>
    <row r="671" spans="1:6" x14ac:dyDescent="0.2">
      <c r="A671" s="69">
        <v>10000001199</v>
      </c>
      <c r="E671" s="69">
        <v>23</v>
      </c>
      <c r="F671" s="69" t="s">
        <v>1715</v>
      </c>
    </row>
    <row r="672" spans="1:6" x14ac:dyDescent="0.2">
      <c r="A672" s="69">
        <v>10000001200</v>
      </c>
      <c r="B672" s="69" t="s">
        <v>220</v>
      </c>
      <c r="D672" s="69" t="e">
        <v>#N/A</v>
      </c>
      <c r="E672" s="69" t="s">
        <v>220</v>
      </c>
      <c r="F672" s="69" t="s">
        <v>768</v>
      </c>
    </row>
    <row r="673" spans="1:6" x14ac:dyDescent="0.2">
      <c r="A673" s="69">
        <v>10000001201</v>
      </c>
      <c r="B673" s="69" t="s">
        <v>220</v>
      </c>
      <c r="D673" s="69" t="e">
        <v>#N/A</v>
      </c>
      <c r="E673" s="69">
        <v>1</v>
      </c>
      <c r="F673" s="69" t="s">
        <v>767</v>
      </c>
    </row>
    <row r="674" spans="1:6" x14ac:dyDescent="0.2">
      <c r="A674" s="69">
        <v>10000001202</v>
      </c>
      <c r="B674" s="69" t="s">
        <v>220</v>
      </c>
      <c r="D674" s="69" t="e">
        <v>#N/A</v>
      </c>
      <c r="E674" s="69">
        <v>1</v>
      </c>
      <c r="F674" s="69" t="s">
        <v>766</v>
      </c>
    </row>
    <row r="675" spans="1:6" x14ac:dyDescent="0.2">
      <c r="A675" s="69">
        <v>10000001203</v>
      </c>
      <c r="B675" s="69" t="s">
        <v>220</v>
      </c>
      <c r="D675" s="69" t="e">
        <v>#N/A</v>
      </c>
      <c r="E675" s="69">
        <v>1</v>
      </c>
      <c r="F675" s="69" t="s">
        <v>765</v>
      </c>
    </row>
    <row r="676" spans="1:6" x14ac:dyDescent="0.2">
      <c r="A676" s="69">
        <v>10000001204</v>
      </c>
      <c r="B676" s="69" t="s">
        <v>220</v>
      </c>
      <c r="D676" s="69" t="e">
        <v>#N/A</v>
      </c>
      <c r="E676" s="69" t="s">
        <v>220</v>
      </c>
      <c r="F676" s="69" t="s">
        <v>764</v>
      </c>
    </row>
    <row r="677" spans="1:6" x14ac:dyDescent="0.2">
      <c r="A677" s="69">
        <v>10000001205</v>
      </c>
      <c r="B677" s="69" t="s">
        <v>220</v>
      </c>
      <c r="D677" s="69" t="e">
        <v>#N/A</v>
      </c>
      <c r="E677" s="69">
        <v>1</v>
      </c>
      <c r="F677" s="69" t="s">
        <v>763</v>
      </c>
    </row>
    <row r="678" spans="1:6" x14ac:dyDescent="0.2">
      <c r="A678" s="69">
        <v>10000001206</v>
      </c>
      <c r="B678" s="69" t="s">
        <v>220</v>
      </c>
      <c r="D678" s="69" t="e">
        <v>#N/A</v>
      </c>
      <c r="E678" s="69">
        <v>5</v>
      </c>
      <c r="F678" s="69" t="s">
        <v>762</v>
      </c>
    </row>
    <row r="679" spans="1:6" x14ac:dyDescent="0.2">
      <c r="A679" s="69">
        <v>10000001207</v>
      </c>
      <c r="B679" s="69" t="s">
        <v>220</v>
      </c>
      <c r="D679" s="69" t="e">
        <v>#N/A</v>
      </c>
      <c r="E679" s="69">
        <v>5</v>
      </c>
      <c r="F679" s="69" t="s">
        <v>761</v>
      </c>
    </row>
    <row r="680" spans="1:6" x14ac:dyDescent="0.2">
      <c r="A680" s="69">
        <v>10000001208</v>
      </c>
      <c r="B680" s="69" t="s">
        <v>220</v>
      </c>
      <c r="D680" s="69" t="e">
        <v>#N/A</v>
      </c>
      <c r="E680" s="69">
        <v>5</v>
      </c>
      <c r="F680" s="69" t="s">
        <v>760</v>
      </c>
    </row>
    <row r="681" spans="1:6" x14ac:dyDescent="0.2">
      <c r="A681" s="69">
        <v>10000001209</v>
      </c>
      <c r="B681" s="69" t="s">
        <v>220</v>
      </c>
      <c r="D681" s="69" t="e">
        <v>#N/A</v>
      </c>
      <c r="E681" s="69">
        <v>5</v>
      </c>
      <c r="F681" s="69" t="s">
        <v>759</v>
      </c>
    </row>
    <row r="682" spans="1:6" x14ac:dyDescent="0.2">
      <c r="A682" s="69">
        <v>10000001210</v>
      </c>
      <c r="B682" s="69" t="s">
        <v>220</v>
      </c>
      <c r="D682" s="69" t="e">
        <v>#N/A</v>
      </c>
      <c r="E682" s="69">
        <v>5</v>
      </c>
      <c r="F682" s="69" t="s">
        <v>758</v>
      </c>
    </row>
    <row r="683" spans="1:6" x14ac:dyDescent="0.2">
      <c r="A683" s="69">
        <v>10000001211</v>
      </c>
      <c r="B683" s="69" t="s">
        <v>220</v>
      </c>
      <c r="D683" s="69" t="e">
        <v>#N/A</v>
      </c>
      <c r="E683" s="69">
        <v>5</v>
      </c>
      <c r="F683" s="69" t="s">
        <v>757</v>
      </c>
    </row>
    <row r="684" spans="1:6" x14ac:dyDescent="0.2">
      <c r="A684" s="69">
        <v>10000001212</v>
      </c>
      <c r="E684" s="69">
        <v>23</v>
      </c>
      <c r="F684" s="69" t="s">
        <v>557</v>
      </c>
    </row>
    <row r="685" spans="1:6" x14ac:dyDescent="0.2">
      <c r="A685" s="69">
        <v>10000001213</v>
      </c>
      <c r="B685" s="69" t="s">
        <v>220</v>
      </c>
      <c r="D685" s="69" t="e">
        <v>#N/A</v>
      </c>
      <c r="E685" s="69">
        <v>5</v>
      </c>
      <c r="F685" s="69" t="s">
        <v>756</v>
      </c>
    </row>
    <row r="686" spans="1:6" x14ac:dyDescent="0.2">
      <c r="A686" s="69">
        <v>10000001214</v>
      </c>
      <c r="B686" s="69" t="s">
        <v>220</v>
      </c>
      <c r="D686" s="69" t="e">
        <v>#N/A</v>
      </c>
      <c r="E686" s="69">
        <v>5</v>
      </c>
      <c r="F686" s="69" t="s">
        <v>755</v>
      </c>
    </row>
    <row r="687" spans="1:6" x14ac:dyDescent="0.2">
      <c r="A687" s="69">
        <v>10000001215</v>
      </c>
      <c r="B687" s="69" t="s">
        <v>220</v>
      </c>
      <c r="D687" s="69" t="e">
        <v>#N/A</v>
      </c>
      <c r="E687" s="69">
        <v>5</v>
      </c>
      <c r="F687" s="69" t="s">
        <v>754</v>
      </c>
    </row>
    <row r="688" spans="1:6" x14ac:dyDescent="0.2">
      <c r="A688" s="69">
        <v>10000001216</v>
      </c>
      <c r="B688" s="69" t="s">
        <v>220</v>
      </c>
      <c r="D688" s="69" t="e">
        <v>#N/A</v>
      </c>
      <c r="E688" s="69" t="s">
        <v>220</v>
      </c>
      <c r="F688" s="69" t="s">
        <v>753</v>
      </c>
    </row>
    <row r="689" spans="1:6" x14ac:dyDescent="0.2">
      <c r="A689" s="69">
        <v>10000001217</v>
      </c>
      <c r="B689" s="69" t="s">
        <v>221</v>
      </c>
      <c r="D689" s="69" t="e">
        <v>#N/A</v>
      </c>
      <c r="E689" s="69">
        <v>5</v>
      </c>
      <c r="F689" s="69" t="s">
        <v>752</v>
      </c>
    </row>
    <row r="690" spans="1:6" x14ac:dyDescent="0.2">
      <c r="A690" s="69">
        <v>10000001218</v>
      </c>
      <c r="B690" s="69" t="s">
        <v>221</v>
      </c>
      <c r="D690" s="69" t="e">
        <v>#N/A</v>
      </c>
      <c r="E690" s="69">
        <v>5</v>
      </c>
      <c r="F690" s="69" t="s">
        <v>751</v>
      </c>
    </row>
    <row r="691" spans="1:6" x14ac:dyDescent="0.2">
      <c r="A691" s="69">
        <v>10000001219</v>
      </c>
      <c r="B691" s="69" t="s">
        <v>221</v>
      </c>
      <c r="D691" s="69" t="e">
        <v>#N/A</v>
      </c>
      <c r="E691" s="69">
        <v>5</v>
      </c>
      <c r="F691" s="69" t="s">
        <v>750</v>
      </c>
    </row>
    <row r="692" spans="1:6" x14ac:dyDescent="0.2">
      <c r="A692" s="69">
        <v>10000001220</v>
      </c>
      <c r="B692" s="69" t="s">
        <v>221</v>
      </c>
      <c r="D692" s="69" t="e">
        <v>#N/A</v>
      </c>
      <c r="E692" s="69">
        <v>5</v>
      </c>
      <c r="F692" s="69" t="s">
        <v>749</v>
      </c>
    </row>
    <row r="693" spans="1:6" x14ac:dyDescent="0.2">
      <c r="A693" s="69">
        <v>10000001221</v>
      </c>
      <c r="B693" s="69" t="s">
        <v>221</v>
      </c>
      <c r="D693" s="69" t="e">
        <v>#N/A</v>
      </c>
      <c r="E693" s="69" t="s">
        <v>221</v>
      </c>
      <c r="F693" s="69" t="s">
        <v>748</v>
      </c>
    </row>
    <row r="694" spans="1:6" x14ac:dyDescent="0.2">
      <c r="A694" s="69">
        <v>10000001222</v>
      </c>
      <c r="B694" s="69" t="s">
        <v>221</v>
      </c>
      <c r="D694" s="69" t="e">
        <v>#N/A</v>
      </c>
      <c r="E694" s="69">
        <v>5</v>
      </c>
      <c r="F694" s="69" t="s">
        <v>747</v>
      </c>
    </row>
    <row r="695" spans="1:6" x14ac:dyDescent="0.2">
      <c r="A695" s="69">
        <v>10000001223</v>
      </c>
      <c r="B695" s="69" t="s">
        <v>221</v>
      </c>
      <c r="D695" s="69" t="e">
        <v>#N/A</v>
      </c>
      <c r="E695" s="69">
        <v>5</v>
      </c>
      <c r="F695" s="69" t="s">
        <v>746</v>
      </c>
    </row>
    <row r="696" spans="1:6" x14ac:dyDescent="0.2">
      <c r="A696" s="69">
        <v>10000001224</v>
      </c>
      <c r="B696" s="69" t="s">
        <v>221</v>
      </c>
      <c r="D696" s="69" t="e">
        <v>#N/A</v>
      </c>
      <c r="E696" s="69" t="s">
        <v>221</v>
      </c>
      <c r="F696" s="69" t="s">
        <v>745</v>
      </c>
    </row>
    <row r="697" spans="1:6" x14ac:dyDescent="0.2">
      <c r="A697" s="69">
        <v>10000001225</v>
      </c>
      <c r="B697" s="69" t="s">
        <v>221</v>
      </c>
      <c r="D697" s="69" t="e">
        <v>#N/A</v>
      </c>
      <c r="E697" s="69">
        <v>5</v>
      </c>
      <c r="F697" s="69" t="s">
        <v>744</v>
      </c>
    </row>
    <row r="698" spans="1:6" x14ac:dyDescent="0.2">
      <c r="A698" s="69">
        <v>10000001226</v>
      </c>
      <c r="E698" s="69">
        <v>23</v>
      </c>
      <c r="F698" s="69" t="s">
        <v>544</v>
      </c>
    </row>
    <row r="699" spans="1:6" x14ac:dyDescent="0.2">
      <c r="A699" s="69">
        <v>10000001227</v>
      </c>
      <c r="B699" s="69" t="s">
        <v>221</v>
      </c>
      <c r="D699" s="69" t="s">
        <v>1270</v>
      </c>
      <c r="E699" s="69" t="s">
        <v>221</v>
      </c>
      <c r="F699" s="69" t="s">
        <v>743</v>
      </c>
    </row>
    <row r="700" spans="1:6" x14ac:dyDescent="0.2">
      <c r="A700" s="69">
        <v>10000001228</v>
      </c>
      <c r="B700" s="69" t="s">
        <v>221</v>
      </c>
      <c r="D700" s="69" t="e">
        <v>#N/A</v>
      </c>
      <c r="E700" s="69" t="s">
        <v>221</v>
      </c>
      <c r="F700" s="69" t="s">
        <v>742</v>
      </c>
    </row>
    <row r="701" spans="1:6" x14ac:dyDescent="0.2">
      <c r="A701" s="69">
        <v>10000001229</v>
      </c>
      <c r="B701" s="69" t="s">
        <v>221</v>
      </c>
      <c r="D701" s="69" t="e">
        <v>#N/A</v>
      </c>
      <c r="E701" s="69" t="s">
        <v>221</v>
      </c>
      <c r="F701" s="69" t="s">
        <v>741</v>
      </c>
    </row>
    <row r="702" spans="1:6" x14ac:dyDescent="0.2">
      <c r="A702" s="69">
        <v>10000001230</v>
      </c>
      <c r="B702" s="69" t="s">
        <v>221</v>
      </c>
      <c r="D702" s="69" t="e">
        <v>#N/A</v>
      </c>
      <c r="E702" s="69" t="s">
        <v>221</v>
      </c>
      <c r="F702" s="69" t="s">
        <v>740</v>
      </c>
    </row>
    <row r="703" spans="1:6" x14ac:dyDescent="0.2">
      <c r="A703" s="69">
        <v>10000001231</v>
      </c>
      <c r="B703" s="69" t="s">
        <v>221</v>
      </c>
      <c r="D703" s="69" t="e">
        <v>#N/A</v>
      </c>
      <c r="E703" s="69" t="s">
        <v>221</v>
      </c>
      <c r="F703" s="69" t="s">
        <v>739</v>
      </c>
    </row>
    <row r="704" spans="1:6" x14ac:dyDescent="0.2">
      <c r="A704" s="69">
        <v>10000001232</v>
      </c>
      <c r="B704" s="69" t="s">
        <v>221</v>
      </c>
      <c r="D704" s="69" t="e">
        <v>#N/A</v>
      </c>
      <c r="E704" s="69">
        <v>5</v>
      </c>
      <c r="F704" s="69" t="s">
        <v>738</v>
      </c>
    </row>
    <row r="705" spans="1:6" x14ac:dyDescent="0.2">
      <c r="A705" s="69">
        <v>10000001233</v>
      </c>
      <c r="B705" s="69" t="s">
        <v>221</v>
      </c>
      <c r="D705" s="69" t="e">
        <v>#N/A</v>
      </c>
      <c r="E705" s="69">
        <v>5</v>
      </c>
      <c r="F705" s="69" t="s">
        <v>186</v>
      </c>
    </row>
    <row r="706" spans="1:6" x14ac:dyDescent="0.2">
      <c r="A706" s="69">
        <v>10000001234</v>
      </c>
      <c r="B706" s="69" t="s">
        <v>221</v>
      </c>
      <c r="D706" s="69" t="e">
        <v>#N/A</v>
      </c>
      <c r="E706" s="69">
        <v>5</v>
      </c>
      <c r="F706" s="69" t="s">
        <v>737</v>
      </c>
    </row>
    <row r="707" spans="1:6" x14ac:dyDescent="0.2">
      <c r="A707" s="69">
        <v>10000001235</v>
      </c>
      <c r="B707" s="69" t="s">
        <v>221</v>
      </c>
      <c r="D707" s="69" t="e">
        <v>#N/A</v>
      </c>
      <c r="E707" s="69">
        <v>5</v>
      </c>
      <c r="F707" s="69" t="s">
        <v>736</v>
      </c>
    </row>
    <row r="708" spans="1:6" x14ac:dyDescent="0.2">
      <c r="A708" s="69">
        <v>10000001236</v>
      </c>
      <c r="B708" s="69" t="s">
        <v>221</v>
      </c>
      <c r="D708" s="69" t="e">
        <v>#N/A</v>
      </c>
      <c r="E708" s="69" t="s">
        <v>221</v>
      </c>
      <c r="F708" s="69" t="s">
        <v>735</v>
      </c>
    </row>
    <row r="709" spans="1:6" x14ac:dyDescent="0.2">
      <c r="A709" s="69">
        <v>10000001237</v>
      </c>
      <c r="B709" s="69" t="s">
        <v>221</v>
      </c>
      <c r="D709" s="69" t="e">
        <v>#N/A</v>
      </c>
      <c r="E709" s="69">
        <v>5</v>
      </c>
      <c r="F709" s="69" t="s">
        <v>734</v>
      </c>
    </row>
    <row r="710" spans="1:6" x14ac:dyDescent="0.2">
      <c r="A710" s="69">
        <v>10000001238</v>
      </c>
      <c r="B710" s="69" t="s">
        <v>221</v>
      </c>
      <c r="D710" s="69" t="e">
        <v>#N/A</v>
      </c>
      <c r="E710" s="69" t="s">
        <v>221</v>
      </c>
      <c r="F710" s="69" t="s">
        <v>185</v>
      </c>
    </row>
    <row r="711" spans="1:6" x14ac:dyDescent="0.2">
      <c r="A711" s="69">
        <v>10000001239</v>
      </c>
      <c r="B711" s="69" t="s">
        <v>221</v>
      </c>
      <c r="D711" s="69" t="e">
        <v>#N/A</v>
      </c>
      <c r="E711" s="69" t="s">
        <v>221</v>
      </c>
      <c r="F711" s="69" t="s">
        <v>209</v>
      </c>
    </row>
    <row r="712" spans="1:6" x14ac:dyDescent="0.2">
      <c r="A712" s="69">
        <v>10000001240</v>
      </c>
      <c r="E712" s="69">
        <v>23</v>
      </c>
      <c r="F712" s="69" t="s">
        <v>214</v>
      </c>
    </row>
    <row r="713" spans="1:6" x14ac:dyDescent="0.2">
      <c r="A713" s="69">
        <v>10000001241</v>
      </c>
      <c r="B713" s="69" t="s">
        <v>221</v>
      </c>
      <c r="D713" s="69" t="e">
        <v>#N/A</v>
      </c>
      <c r="E713" s="69" t="s">
        <v>221</v>
      </c>
      <c r="F713" s="69" t="s">
        <v>733</v>
      </c>
    </row>
    <row r="714" spans="1:6" x14ac:dyDescent="0.2">
      <c r="A714" s="69">
        <v>10000001242</v>
      </c>
      <c r="E714" s="69">
        <v>23</v>
      </c>
      <c r="F714" s="69" t="s">
        <v>1271</v>
      </c>
    </row>
    <row r="715" spans="1:6" x14ac:dyDescent="0.2">
      <c r="A715" s="69">
        <v>10000001243</v>
      </c>
      <c r="B715" s="69" t="s">
        <v>221</v>
      </c>
      <c r="D715" s="69" t="e">
        <v>#N/A</v>
      </c>
      <c r="E715" s="69" t="s">
        <v>221</v>
      </c>
      <c r="F715" s="69" t="s">
        <v>732</v>
      </c>
    </row>
    <row r="716" spans="1:6" x14ac:dyDescent="0.2">
      <c r="A716" s="69">
        <v>10000001244</v>
      </c>
      <c r="B716" s="69" t="s">
        <v>221</v>
      </c>
      <c r="D716" s="69" t="e">
        <v>#N/A</v>
      </c>
      <c r="E716" s="69" t="s">
        <v>221</v>
      </c>
      <c r="F716" s="69" t="s">
        <v>731</v>
      </c>
    </row>
    <row r="717" spans="1:6" x14ac:dyDescent="0.2">
      <c r="A717" s="69">
        <v>10000001245</v>
      </c>
      <c r="B717" s="69" t="s">
        <v>221</v>
      </c>
      <c r="D717" s="69" t="e">
        <v>#N/A</v>
      </c>
      <c r="E717" s="69" t="s">
        <v>221</v>
      </c>
      <c r="F717" s="69" t="s">
        <v>730</v>
      </c>
    </row>
    <row r="718" spans="1:6" x14ac:dyDescent="0.2">
      <c r="A718" s="69">
        <v>10000001246</v>
      </c>
      <c r="B718" s="69" t="s">
        <v>262</v>
      </c>
      <c r="D718" s="69" t="e">
        <v>#N/A</v>
      </c>
      <c r="E718" s="69">
        <v>10</v>
      </c>
      <c r="F718" s="69" t="s">
        <v>729</v>
      </c>
    </row>
    <row r="719" spans="1:6" x14ac:dyDescent="0.2">
      <c r="A719" s="69">
        <v>10000001247</v>
      </c>
      <c r="B719" s="69" t="s">
        <v>262</v>
      </c>
      <c r="D719" s="69" t="e">
        <v>#N/A</v>
      </c>
      <c r="E719" s="69">
        <v>20</v>
      </c>
      <c r="F719" s="69" t="s">
        <v>728</v>
      </c>
    </row>
    <row r="720" spans="1:6" x14ac:dyDescent="0.2">
      <c r="A720" s="69">
        <v>10000001254</v>
      </c>
      <c r="E720" s="69">
        <v>19</v>
      </c>
      <c r="F720" s="69" t="s">
        <v>528</v>
      </c>
    </row>
    <row r="721" spans="1:6" x14ac:dyDescent="0.2">
      <c r="A721" s="69">
        <v>10000001257</v>
      </c>
      <c r="E721" s="69">
        <v>19</v>
      </c>
      <c r="F721" s="69" t="s">
        <v>527</v>
      </c>
    </row>
    <row r="722" spans="1:6" x14ac:dyDescent="0.2">
      <c r="A722" s="69">
        <v>10000001258</v>
      </c>
      <c r="E722" s="69">
        <v>19</v>
      </c>
      <c r="F722" s="69" t="s">
        <v>526</v>
      </c>
    </row>
    <row r="723" spans="1:6" x14ac:dyDescent="0.2">
      <c r="A723" s="69">
        <v>10000001261</v>
      </c>
      <c r="E723" s="69">
        <v>19</v>
      </c>
      <c r="F723" s="69" t="s">
        <v>525</v>
      </c>
    </row>
    <row r="724" spans="1:6" x14ac:dyDescent="0.2">
      <c r="A724" s="69">
        <v>10000001382</v>
      </c>
      <c r="E724" s="69">
        <v>23</v>
      </c>
      <c r="F724" s="69" t="s">
        <v>1272</v>
      </c>
    </row>
    <row r="725" spans="1:6" x14ac:dyDescent="0.2">
      <c r="A725" s="69">
        <v>10000001406</v>
      </c>
      <c r="E725" s="69">
        <v>23</v>
      </c>
      <c r="F725" s="69" t="s">
        <v>521</v>
      </c>
    </row>
    <row r="726" spans="1:6" x14ac:dyDescent="0.2">
      <c r="A726" s="69">
        <v>10000001424</v>
      </c>
      <c r="B726" s="69" t="s">
        <v>262</v>
      </c>
      <c r="D726" s="69" t="e">
        <v>#N/A</v>
      </c>
      <c r="E726" s="69">
        <v>10</v>
      </c>
      <c r="F726" s="69" t="s">
        <v>724</v>
      </c>
    </row>
    <row r="727" spans="1:6" x14ac:dyDescent="0.2">
      <c r="A727" s="69">
        <v>10000001425</v>
      </c>
      <c r="E727" s="69">
        <v>28</v>
      </c>
      <c r="F727" s="69" t="s">
        <v>520</v>
      </c>
    </row>
    <row r="728" spans="1:6" x14ac:dyDescent="0.2">
      <c r="A728" s="69">
        <v>10000001440</v>
      </c>
      <c r="E728" s="69">
        <v>28</v>
      </c>
      <c r="F728" s="69" t="s">
        <v>517</v>
      </c>
    </row>
    <row r="729" spans="1:6" x14ac:dyDescent="0.2">
      <c r="A729" s="69">
        <v>10000001441</v>
      </c>
      <c r="E729" s="69">
        <v>28</v>
      </c>
      <c r="F729" s="69" t="s">
        <v>516</v>
      </c>
    </row>
    <row r="730" spans="1:6" x14ac:dyDescent="0.2">
      <c r="A730" s="69">
        <v>10000001453</v>
      </c>
      <c r="E730" s="69">
        <v>28</v>
      </c>
      <c r="F730" s="69" t="s">
        <v>513</v>
      </c>
    </row>
    <row r="731" spans="1:6" x14ac:dyDescent="0.2">
      <c r="A731" s="69">
        <v>10000001458</v>
      </c>
      <c r="B731" s="69" t="s">
        <v>290</v>
      </c>
      <c r="D731" s="69" t="e">
        <v>#N/A</v>
      </c>
      <c r="E731" s="69" t="e">
        <v>#N/A</v>
      </c>
      <c r="F731" s="69" t="s">
        <v>720</v>
      </c>
    </row>
    <row r="732" spans="1:6" x14ac:dyDescent="0.2">
      <c r="A732" s="69">
        <v>10000001461</v>
      </c>
      <c r="E732" s="69">
        <v>19</v>
      </c>
      <c r="F732" s="69" t="s">
        <v>511</v>
      </c>
    </row>
    <row r="733" spans="1:6" x14ac:dyDescent="0.2">
      <c r="A733" s="69">
        <v>10000001471</v>
      </c>
      <c r="B733" s="69" t="s">
        <v>290</v>
      </c>
      <c r="D733" s="69" t="e">
        <v>#N/A</v>
      </c>
      <c r="E733" s="69" t="e">
        <v>#N/A</v>
      </c>
      <c r="F733" s="69" t="s">
        <v>719</v>
      </c>
    </row>
    <row r="734" spans="1:6" x14ac:dyDescent="0.2">
      <c r="A734" s="69">
        <v>10000001474</v>
      </c>
      <c r="B734" s="69" t="s">
        <v>290</v>
      </c>
      <c r="D734" s="69" t="e">
        <v>#N/A</v>
      </c>
      <c r="E734" s="69" t="e">
        <v>#N/A</v>
      </c>
      <c r="F734" s="69" t="s">
        <v>718</v>
      </c>
    </row>
    <row r="735" spans="1:6" x14ac:dyDescent="0.2">
      <c r="A735" s="69">
        <v>10000001476</v>
      </c>
      <c r="B735" s="69" t="s">
        <v>290</v>
      </c>
      <c r="D735" s="69" t="e">
        <v>#N/A</v>
      </c>
      <c r="E735" s="69" t="e">
        <v>#N/A</v>
      </c>
      <c r="F735" s="69" t="s">
        <v>717</v>
      </c>
    </row>
    <row r="736" spans="1:6" x14ac:dyDescent="0.2">
      <c r="A736" s="69">
        <v>10000001477</v>
      </c>
      <c r="B736" s="69" t="s">
        <v>290</v>
      </c>
      <c r="D736" s="69" t="s">
        <v>1303</v>
      </c>
      <c r="E736" s="124" t="s">
        <v>1646</v>
      </c>
      <c r="F736" s="69" t="s">
        <v>510</v>
      </c>
    </row>
    <row r="737" spans="1:6" x14ac:dyDescent="0.2">
      <c r="A737" s="69">
        <v>10000001478</v>
      </c>
      <c r="B737" s="69" t="s">
        <v>290</v>
      </c>
      <c r="D737" s="69" t="s">
        <v>1302</v>
      </c>
      <c r="E737" s="69" t="e">
        <v>#N/A</v>
      </c>
      <c r="F737" s="69" t="s">
        <v>715</v>
      </c>
    </row>
    <row r="738" spans="1:6" x14ac:dyDescent="0.2">
      <c r="A738" s="69">
        <v>10000001479</v>
      </c>
      <c r="B738" s="69" t="s">
        <v>290</v>
      </c>
      <c r="D738" s="69" t="e">
        <v>#N/A</v>
      </c>
      <c r="E738" s="69" t="e">
        <v>#N/A</v>
      </c>
      <c r="F738" s="69" t="s">
        <v>714</v>
      </c>
    </row>
    <row r="739" spans="1:6" x14ac:dyDescent="0.2">
      <c r="A739" s="69">
        <v>10000001485</v>
      </c>
      <c r="B739" s="69" t="s">
        <v>1646</v>
      </c>
      <c r="E739" s="124" t="s">
        <v>1646</v>
      </c>
      <c r="F739" s="69" t="s">
        <v>506</v>
      </c>
    </row>
    <row r="740" spans="1:6" x14ac:dyDescent="0.2">
      <c r="A740" s="69">
        <v>10000001486</v>
      </c>
      <c r="B740" s="69" t="s">
        <v>1646</v>
      </c>
      <c r="E740" s="124" t="s">
        <v>1646</v>
      </c>
      <c r="F740" s="69" t="s">
        <v>505</v>
      </c>
    </row>
    <row r="741" spans="1:6" x14ac:dyDescent="0.2">
      <c r="A741" s="69">
        <v>10000001502</v>
      </c>
      <c r="E741" s="69">
        <v>28</v>
      </c>
      <c r="F741" s="69" t="s">
        <v>504</v>
      </c>
    </row>
    <row r="742" spans="1:6" x14ac:dyDescent="0.2">
      <c r="A742" s="69">
        <v>10000001507</v>
      </c>
      <c r="E742" s="69">
        <v>23</v>
      </c>
      <c r="F742" s="69" t="s">
        <v>1716</v>
      </c>
    </row>
    <row r="743" spans="1:6" x14ac:dyDescent="0.2">
      <c r="A743" s="69">
        <v>10000001533</v>
      </c>
      <c r="B743" s="69" t="s">
        <v>220</v>
      </c>
      <c r="D743" s="69" t="e">
        <v>#N/A</v>
      </c>
      <c r="E743" s="69" t="s">
        <v>220</v>
      </c>
      <c r="F743" s="69" t="s">
        <v>712</v>
      </c>
    </row>
    <row r="744" spans="1:6" x14ac:dyDescent="0.2">
      <c r="A744" s="69">
        <v>10000001534</v>
      </c>
      <c r="B744" s="69" t="s">
        <v>220</v>
      </c>
      <c r="D744" s="69" t="e">
        <v>#N/A</v>
      </c>
      <c r="E744" s="69" t="s">
        <v>220</v>
      </c>
      <c r="F744" s="69" t="s">
        <v>242</v>
      </c>
    </row>
    <row r="745" spans="1:6" x14ac:dyDescent="0.2">
      <c r="A745" s="69">
        <v>10000001536</v>
      </c>
      <c r="B745" s="69" t="s">
        <v>220</v>
      </c>
      <c r="D745" s="69" t="e">
        <v>#N/A</v>
      </c>
      <c r="E745" s="69" t="s">
        <v>220</v>
      </c>
      <c r="F745" s="69" t="s">
        <v>711</v>
      </c>
    </row>
    <row r="746" spans="1:6" x14ac:dyDescent="0.2">
      <c r="A746" s="69">
        <v>10000001537</v>
      </c>
      <c r="B746" s="69" t="s">
        <v>220</v>
      </c>
      <c r="D746" s="69" t="e">
        <v>#N/A</v>
      </c>
      <c r="E746" s="69" t="s">
        <v>220</v>
      </c>
      <c r="F746" s="69" t="s">
        <v>710</v>
      </c>
    </row>
    <row r="747" spans="1:6" x14ac:dyDescent="0.2">
      <c r="A747" s="69">
        <v>10000001538</v>
      </c>
      <c r="B747" s="69" t="s">
        <v>220</v>
      </c>
      <c r="D747" s="69" t="e">
        <v>#N/A</v>
      </c>
      <c r="E747" s="69" t="s">
        <v>220</v>
      </c>
      <c r="F747" s="69" t="s">
        <v>709</v>
      </c>
    </row>
    <row r="748" spans="1:6" x14ac:dyDescent="0.2">
      <c r="A748" s="69">
        <v>10000001539</v>
      </c>
      <c r="B748" s="69" t="s">
        <v>220</v>
      </c>
      <c r="D748" s="69" t="e">
        <v>#N/A</v>
      </c>
      <c r="E748" s="69" t="s">
        <v>220</v>
      </c>
      <c r="F748" s="69" t="s">
        <v>708</v>
      </c>
    </row>
    <row r="749" spans="1:6" x14ac:dyDescent="0.2">
      <c r="A749" s="69">
        <v>10000001540</v>
      </c>
      <c r="B749" s="69" t="s">
        <v>221</v>
      </c>
      <c r="D749" s="69" t="e">
        <v>#N/A</v>
      </c>
      <c r="E749" s="69" t="s">
        <v>221</v>
      </c>
      <c r="F749" s="69" t="s">
        <v>707</v>
      </c>
    </row>
    <row r="750" spans="1:6" x14ac:dyDescent="0.2">
      <c r="A750" s="69">
        <v>10000001541</v>
      </c>
      <c r="B750" s="69" t="s">
        <v>221</v>
      </c>
      <c r="D750" s="69" t="e">
        <v>#N/A</v>
      </c>
      <c r="E750" s="69" t="s">
        <v>221</v>
      </c>
      <c r="F750" s="69" t="s">
        <v>706</v>
      </c>
    </row>
    <row r="751" spans="1:6" x14ac:dyDescent="0.2">
      <c r="A751" s="69">
        <v>10000001542</v>
      </c>
      <c r="B751" s="69" t="s">
        <v>221</v>
      </c>
      <c r="D751" s="69" t="e">
        <v>#N/A</v>
      </c>
      <c r="E751" s="69" t="s">
        <v>221</v>
      </c>
      <c r="F751" s="69" t="s">
        <v>705</v>
      </c>
    </row>
    <row r="752" spans="1:6" x14ac:dyDescent="0.2">
      <c r="A752" s="69">
        <v>10000001545</v>
      </c>
      <c r="E752" s="69">
        <v>28</v>
      </c>
      <c r="F752" s="69" t="s">
        <v>501</v>
      </c>
    </row>
    <row r="753" spans="1:6" x14ac:dyDescent="0.2">
      <c r="A753" s="69">
        <v>10000001546</v>
      </c>
      <c r="E753" s="69">
        <v>28</v>
      </c>
      <c r="F753" s="69" t="s">
        <v>500</v>
      </c>
    </row>
    <row r="754" spans="1:6" x14ac:dyDescent="0.2">
      <c r="A754" s="69">
        <v>10000001557</v>
      </c>
      <c r="B754" s="69" t="s">
        <v>220</v>
      </c>
      <c r="D754" s="69" t="s">
        <v>1404</v>
      </c>
      <c r="E754" s="69">
        <v>5</v>
      </c>
      <c r="F754" s="69" t="s">
        <v>699</v>
      </c>
    </row>
    <row r="755" spans="1:6" x14ac:dyDescent="0.2">
      <c r="A755" s="69">
        <v>10000001558</v>
      </c>
      <c r="B755" s="69" t="s">
        <v>220</v>
      </c>
      <c r="D755" s="69" t="e">
        <v>#N/A</v>
      </c>
      <c r="E755" s="69" t="s">
        <v>220</v>
      </c>
      <c r="F755" s="69" t="s">
        <v>698</v>
      </c>
    </row>
    <row r="756" spans="1:6" x14ac:dyDescent="0.2">
      <c r="A756" s="69">
        <v>10000001559</v>
      </c>
      <c r="B756" s="69" t="s">
        <v>221</v>
      </c>
      <c r="D756" s="69" t="e">
        <v>#N/A</v>
      </c>
      <c r="E756" s="69" t="s">
        <v>221</v>
      </c>
      <c r="F756" s="69" t="s">
        <v>697</v>
      </c>
    </row>
    <row r="757" spans="1:6" x14ac:dyDescent="0.2">
      <c r="A757" s="69">
        <v>10000001560</v>
      </c>
      <c r="B757" s="69" t="s">
        <v>221</v>
      </c>
      <c r="D757" s="69" t="e">
        <v>#N/A</v>
      </c>
      <c r="E757" s="69" t="s">
        <v>221</v>
      </c>
      <c r="F757" s="69" t="s">
        <v>696</v>
      </c>
    </row>
    <row r="758" spans="1:6" x14ac:dyDescent="0.2">
      <c r="A758" s="69">
        <v>10000001561</v>
      </c>
      <c r="E758" s="69">
        <v>28</v>
      </c>
      <c r="F758" s="69" t="s">
        <v>493</v>
      </c>
    </row>
    <row r="759" spans="1:6" x14ac:dyDescent="0.2">
      <c r="A759" s="69">
        <v>10000001562</v>
      </c>
      <c r="B759" s="69" t="s">
        <v>262</v>
      </c>
      <c r="D759" s="69" t="e">
        <v>#N/A</v>
      </c>
      <c r="E759" s="69">
        <v>20</v>
      </c>
      <c r="F759" s="69" t="s">
        <v>695</v>
      </c>
    </row>
    <row r="760" spans="1:6" x14ac:dyDescent="0.2">
      <c r="A760" s="69">
        <v>10000001564</v>
      </c>
      <c r="B760" s="69" t="s">
        <v>262</v>
      </c>
      <c r="D760" s="69" t="e">
        <v>#N/A</v>
      </c>
      <c r="E760" s="69">
        <v>20</v>
      </c>
      <c r="F760" s="69" t="s">
        <v>694</v>
      </c>
    </row>
    <row r="761" spans="1:6" x14ac:dyDescent="0.2">
      <c r="A761" s="69">
        <v>10000001581</v>
      </c>
      <c r="E761" s="69">
        <v>19</v>
      </c>
      <c r="F761" s="69" t="s">
        <v>491</v>
      </c>
    </row>
    <row r="762" spans="1:6" x14ac:dyDescent="0.2">
      <c r="A762" s="69">
        <v>10000001582</v>
      </c>
      <c r="E762" s="69">
        <v>19</v>
      </c>
      <c r="F762" s="69" t="s">
        <v>489</v>
      </c>
    </row>
    <row r="763" spans="1:6" x14ac:dyDescent="0.2">
      <c r="A763" s="69">
        <v>10000001583</v>
      </c>
      <c r="B763" s="69" t="s">
        <v>262</v>
      </c>
      <c r="D763" s="69" t="e">
        <v>#N/A</v>
      </c>
      <c r="E763" s="69">
        <v>10</v>
      </c>
      <c r="F763" s="69" t="s">
        <v>691</v>
      </c>
    </row>
    <row r="764" spans="1:6" x14ac:dyDescent="0.2">
      <c r="A764" s="69">
        <v>10000001584</v>
      </c>
      <c r="B764" s="69" t="s">
        <v>262</v>
      </c>
      <c r="D764" s="69" t="e">
        <v>#N/A</v>
      </c>
      <c r="E764" s="69">
        <v>20</v>
      </c>
      <c r="F764" s="69" t="s">
        <v>690</v>
      </c>
    </row>
    <row r="765" spans="1:6" x14ac:dyDescent="0.2">
      <c r="A765" s="69">
        <v>10000001619</v>
      </c>
      <c r="B765" s="69" t="s">
        <v>221</v>
      </c>
      <c r="E765" s="69">
        <v>5</v>
      </c>
      <c r="F765" s="69" t="s">
        <v>230</v>
      </c>
    </row>
    <row r="766" spans="1:6" x14ac:dyDescent="0.2">
      <c r="A766" s="69">
        <v>10000001628</v>
      </c>
      <c r="B766" s="69" t="s">
        <v>220</v>
      </c>
      <c r="D766" s="69" t="e">
        <v>#N/A</v>
      </c>
      <c r="E766" s="69" t="s">
        <v>220</v>
      </c>
      <c r="F766" s="69" t="s">
        <v>686</v>
      </c>
    </row>
    <row r="767" spans="1:6" x14ac:dyDescent="0.2">
      <c r="A767" s="69">
        <v>10000001630</v>
      </c>
      <c r="B767" s="69" t="s">
        <v>221</v>
      </c>
      <c r="D767" s="69" t="e">
        <v>#N/A</v>
      </c>
      <c r="E767" s="69" t="s">
        <v>221</v>
      </c>
      <c r="F767" s="69" t="s">
        <v>685</v>
      </c>
    </row>
    <row r="768" spans="1:6" x14ac:dyDescent="0.2">
      <c r="A768" s="69">
        <v>10000001633</v>
      </c>
      <c r="B768" s="69" t="s">
        <v>221</v>
      </c>
      <c r="D768" s="69" t="e">
        <v>#N/A</v>
      </c>
      <c r="E768" s="69" t="s">
        <v>221</v>
      </c>
      <c r="F768" s="69" t="s">
        <v>684</v>
      </c>
    </row>
    <row r="769" spans="1:6" x14ac:dyDescent="0.2">
      <c r="A769" s="69">
        <v>10000001634</v>
      </c>
      <c r="E769" s="69">
        <v>23</v>
      </c>
      <c r="F769" s="69" t="s">
        <v>482</v>
      </c>
    </row>
    <row r="770" spans="1:6" x14ac:dyDescent="0.2">
      <c r="A770" s="69">
        <v>10000001665</v>
      </c>
      <c r="B770" s="69" t="s">
        <v>221</v>
      </c>
      <c r="D770" s="69" t="e">
        <v>#N/A</v>
      </c>
      <c r="E770" s="69" t="s">
        <v>221</v>
      </c>
      <c r="F770" s="69" t="s">
        <v>683</v>
      </c>
    </row>
    <row r="771" spans="1:6" x14ac:dyDescent="0.2">
      <c r="A771" s="69">
        <v>10000001671</v>
      </c>
      <c r="B771" s="69" t="s">
        <v>221</v>
      </c>
      <c r="D771" s="69" t="e">
        <v>#N/A</v>
      </c>
      <c r="E771" s="69" t="s">
        <v>221</v>
      </c>
      <c r="F771" s="69" t="s">
        <v>682</v>
      </c>
    </row>
    <row r="772" spans="1:6" x14ac:dyDescent="0.2">
      <c r="A772" s="69">
        <v>10000001672</v>
      </c>
      <c r="B772" s="69" t="s">
        <v>221</v>
      </c>
      <c r="D772" s="69" t="e">
        <v>#N/A</v>
      </c>
      <c r="E772" s="69">
        <v>5</v>
      </c>
      <c r="F772" s="69" t="s">
        <v>681</v>
      </c>
    </row>
    <row r="773" spans="1:6" x14ac:dyDescent="0.2">
      <c r="A773" s="69">
        <v>10000001673</v>
      </c>
      <c r="B773" s="69" t="s">
        <v>221</v>
      </c>
      <c r="D773" s="69" t="e">
        <v>#N/A</v>
      </c>
      <c r="E773" s="69" t="s">
        <v>221</v>
      </c>
      <c r="F773" s="69" t="s">
        <v>680</v>
      </c>
    </row>
    <row r="774" spans="1:6" x14ac:dyDescent="0.2">
      <c r="A774" s="69">
        <v>10000001681</v>
      </c>
      <c r="B774" s="69" t="s">
        <v>220</v>
      </c>
      <c r="D774" s="69" t="e">
        <v>#N/A</v>
      </c>
      <c r="E774" s="69" t="s">
        <v>220</v>
      </c>
      <c r="F774" s="69" t="s">
        <v>679</v>
      </c>
    </row>
    <row r="775" spans="1:6" x14ac:dyDescent="0.2">
      <c r="A775" s="69">
        <v>10000001683</v>
      </c>
      <c r="B775" s="69" t="s">
        <v>221</v>
      </c>
      <c r="D775" s="69" t="e">
        <v>#N/A</v>
      </c>
      <c r="E775" s="69" t="s">
        <v>221</v>
      </c>
      <c r="F775" s="69" t="s">
        <v>678</v>
      </c>
    </row>
    <row r="776" spans="1:6" x14ac:dyDescent="0.2">
      <c r="A776" s="69">
        <v>10000001690</v>
      </c>
      <c r="B776" s="69" t="s">
        <v>221</v>
      </c>
      <c r="D776" s="69" t="s">
        <v>1273</v>
      </c>
      <c r="E776" s="69" t="s">
        <v>221</v>
      </c>
      <c r="F776" s="69" t="s">
        <v>677</v>
      </c>
    </row>
    <row r="777" spans="1:6" x14ac:dyDescent="0.2">
      <c r="A777" s="69">
        <v>10000001694</v>
      </c>
      <c r="B777" s="69" t="s">
        <v>221</v>
      </c>
      <c r="D777" s="69" t="e">
        <v>#N/A</v>
      </c>
      <c r="E777" s="69">
        <v>1</v>
      </c>
      <c r="F777" s="69" t="s">
        <v>205</v>
      </c>
    </row>
    <row r="778" spans="1:6" x14ac:dyDescent="0.2">
      <c r="A778" s="69">
        <v>10000001695</v>
      </c>
      <c r="B778" s="69" t="s">
        <v>221</v>
      </c>
      <c r="D778" s="69" t="e">
        <v>#N/A</v>
      </c>
      <c r="E778" s="69">
        <v>5</v>
      </c>
      <c r="F778" s="69" t="s">
        <v>676</v>
      </c>
    </row>
    <row r="779" spans="1:6" x14ac:dyDescent="0.2">
      <c r="A779" s="69">
        <v>10000001696</v>
      </c>
      <c r="B779" s="69" t="s">
        <v>221</v>
      </c>
      <c r="D779" s="69" t="e">
        <v>#N/A</v>
      </c>
      <c r="E779" s="69" t="s">
        <v>221</v>
      </c>
      <c r="F779" s="69" t="s">
        <v>675</v>
      </c>
    </row>
    <row r="780" spans="1:6" x14ac:dyDescent="0.2">
      <c r="A780" s="69">
        <v>10000001718</v>
      </c>
      <c r="E780" s="69">
        <v>28</v>
      </c>
      <c r="F780" s="69" t="s">
        <v>476</v>
      </c>
    </row>
    <row r="781" spans="1:6" x14ac:dyDescent="0.2">
      <c r="A781" s="69">
        <v>10000001719</v>
      </c>
      <c r="B781" s="69" t="s">
        <v>221</v>
      </c>
      <c r="D781" s="69" t="e">
        <v>#N/A</v>
      </c>
      <c r="E781" s="69" t="s">
        <v>221</v>
      </c>
      <c r="F781" s="69" t="s">
        <v>674</v>
      </c>
    </row>
    <row r="782" spans="1:6" x14ac:dyDescent="0.2">
      <c r="A782" s="69">
        <v>10000001728</v>
      </c>
      <c r="E782" s="69">
        <v>28</v>
      </c>
      <c r="F782" s="69" t="s">
        <v>475</v>
      </c>
    </row>
    <row r="783" spans="1:6" x14ac:dyDescent="0.2">
      <c r="A783" s="69">
        <v>10000001738</v>
      </c>
      <c r="E783" s="69">
        <v>23</v>
      </c>
      <c r="F783" s="69" t="s">
        <v>1687</v>
      </c>
    </row>
    <row r="784" spans="1:6" x14ac:dyDescent="0.2">
      <c r="A784" s="69">
        <v>10000001739</v>
      </c>
      <c r="E784" s="69">
        <v>23</v>
      </c>
      <c r="F784" s="69" t="s">
        <v>1688</v>
      </c>
    </row>
    <row r="785" spans="1:6" x14ac:dyDescent="0.2">
      <c r="A785" s="69">
        <v>10000001740</v>
      </c>
      <c r="B785" s="69" t="s">
        <v>262</v>
      </c>
      <c r="D785" s="69" t="e">
        <v>#N/A</v>
      </c>
      <c r="E785" s="69">
        <v>10</v>
      </c>
      <c r="F785" s="69" t="s">
        <v>672</v>
      </c>
    </row>
    <row r="786" spans="1:6" x14ac:dyDescent="0.2">
      <c r="A786" s="69">
        <v>10000001741</v>
      </c>
      <c r="B786" s="69" t="s">
        <v>220</v>
      </c>
      <c r="D786" s="69" t="e">
        <v>#N/A</v>
      </c>
      <c r="E786" s="69" t="s">
        <v>220</v>
      </c>
      <c r="F786" s="69" t="s">
        <v>671</v>
      </c>
    </row>
    <row r="787" spans="1:6" x14ac:dyDescent="0.2">
      <c r="A787" s="69">
        <v>10000001742</v>
      </c>
      <c r="B787" s="69" t="s">
        <v>221</v>
      </c>
      <c r="D787" s="69" t="e">
        <v>#N/A</v>
      </c>
      <c r="E787" s="69" t="s">
        <v>221</v>
      </c>
      <c r="F787" s="69" t="s">
        <v>151</v>
      </c>
    </row>
    <row r="788" spans="1:6" x14ac:dyDescent="0.2">
      <c r="A788" s="69">
        <v>10000001750</v>
      </c>
      <c r="E788" s="69">
        <v>19</v>
      </c>
      <c r="F788" s="69" t="s">
        <v>474</v>
      </c>
    </row>
    <row r="789" spans="1:6" x14ac:dyDescent="0.2">
      <c r="A789" s="69">
        <v>10000001751</v>
      </c>
      <c r="E789" s="69">
        <v>19</v>
      </c>
      <c r="F789" s="69" t="s">
        <v>473</v>
      </c>
    </row>
    <row r="790" spans="1:6" x14ac:dyDescent="0.2">
      <c r="A790" s="69">
        <v>10000001766</v>
      </c>
      <c r="B790" s="69" t="s">
        <v>220</v>
      </c>
      <c r="D790" s="69" t="e">
        <v>#N/A</v>
      </c>
      <c r="E790" s="69">
        <v>5</v>
      </c>
      <c r="F790" s="69" t="s">
        <v>670</v>
      </c>
    </row>
    <row r="791" spans="1:6" x14ac:dyDescent="0.2">
      <c r="A791" s="69">
        <v>10000001775</v>
      </c>
      <c r="B791" s="69" t="s">
        <v>220</v>
      </c>
      <c r="D791" s="69" t="e">
        <v>#N/A</v>
      </c>
      <c r="E791" s="69" t="s">
        <v>220</v>
      </c>
      <c r="F791" s="69" t="s">
        <v>669</v>
      </c>
    </row>
    <row r="792" spans="1:6" x14ac:dyDescent="0.2">
      <c r="A792" s="69">
        <v>10000001776</v>
      </c>
      <c r="B792" s="69" t="s">
        <v>220</v>
      </c>
      <c r="D792" s="69" t="e">
        <v>#N/A</v>
      </c>
      <c r="E792" s="69" t="s">
        <v>220</v>
      </c>
      <c r="F792" s="69" t="s">
        <v>668</v>
      </c>
    </row>
    <row r="793" spans="1:6" x14ac:dyDescent="0.2">
      <c r="A793" s="69">
        <v>10000001777</v>
      </c>
      <c r="B793" s="69" t="s">
        <v>220</v>
      </c>
      <c r="D793" s="69" t="e">
        <v>#N/A</v>
      </c>
      <c r="E793" s="69" t="s">
        <v>220</v>
      </c>
      <c r="F793" s="69" t="s">
        <v>667</v>
      </c>
    </row>
    <row r="794" spans="1:6" x14ac:dyDescent="0.2">
      <c r="A794" s="69">
        <v>10000001779</v>
      </c>
      <c r="B794" s="69" t="s">
        <v>221</v>
      </c>
      <c r="D794" s="69" t="e">
        <v>#N/A</v>
      </c>
      <c r="E794" s="69" t="s">
        <v>221</v>
      </c>
      <c r="F794" s="69" t="s">
        <v>666</v>
      </c>
    </row>
    <row r="795" spans="1:6" x14ac:dyDescent="0.2">
      <c r="A795" s="69">
        <v>10000001780</v>
      </c>
      <c r="B795" s="69" t="s">
        <v>221</v>
      </c>
      <c r="D795" s="69" t="e">
        <v>#N/A</v>
      </c>
      <c r="E795" s="69" t="s">
        <v>221</v>
      </c>
      <c r="F795" s="69" t="s">
        <v>210</v>
      </c>
    </row>
    <row r="796" spans="1:6" x14ac:dyDescent="0.2">
      <c r="A796" s="69">
        <v>10000001781</v>
      </c>
      <c r="B796" s="69" t="s">
        <v>221</v>
      </c>
      <c r="D796" s="69" t="e">
        <v>#N/A</v>
      </c>
      <c r="E796" s="69">
        <v>1</v>
      </c>
      <c r="F796" s="69" t="s">
        <v>665</v>
      </c>
    </row>
    <row r="797" spans="1:6" x14ac:dyDescent="0.2">
      <c r="A797" s="69">
        <v>10000001782</v>
      </c>
      <c r="B797" s="69" t="s">
        <v>262</v>
      </c>
      <c r="D797" s="69" t="e">
        <v>#N/A</v>
      </c>
      <c r="E797" s="69">
        <v>10</v>
      </c>
      <c r="F797" s="69" t="s">
        <v>664</v>
      </c>
    </row>
    <row r="798" spans="1:6" x14ac:dyDescent="0.2">
      <c r="A798" s="69">
        <v>10000001797</v>
      </c>
      <c r="B798" s="69" t="s">
        <v>262</v>
      </c>
      <c r="D798" s="69" t="e">
        <v>#N/A</v>
      </c>
      <c r="E798" s="69">
        <v>10</v>
      </c>
      <c r="F798" s="69" t="s">
        <v>663</v>
      </c>
    </row>
    <row r="799" spans="1:6" x14ac:dyDescent="0.2">
      <c r="A799" s="69">
        <v>10000001869</v>
      </c>
      <c r="E799" s="69">
        <v>23</v>
      </c>
      <c r="F799" s="69" t="s">
        <v>1689</v>
      </c>
    </row>
    <row r="800" spans="1:6" x14ac:dyDescent="0.2">
      <c r="A800" s="69">
        <v>10000001897</v>
      </c>
      <c r="B800" s="69" t="s">
        <v>221</v>
      </c>
      <c r="E800" s="69">
        <v>5</v>
      </c>
      <c r="F800" s="69" t="s">
        <v>467</v>
      </c>
    </row>
    <row r="801" spans="1:6" x14ac:dyDescent="0.2">
      <c r="A801" s="69">
        <v>10000001917</v>
      </c>
      <c r="E801" s="69">
        <v>19</v>
      </c>
      <c r="F801" s="69" t="s">
        <v>465</v>
      </c>
    </row>
    <row r="802" spans="1:6" x14ac:dyDescent="0.2">
      <c r="A802" s="69">
        <v>10000001923</v>
      </c>
      <c r="E802" s="69">
        <v>28</v>
      </c>
      <c r="F802" s="69" t="s">
        <v>462</v>
      </c>
    </row>
    <row r="803" spans="1:6" x14ac:dyDescent="0.2">
      <c r="A803" s="69">
        <v>10000001929</v>
      </c>
      <c r="E803" s="69">
        <v>23</v>
      </c>
      <c r="F803" s="69" t="s">
        <v>237</v>
      </c>
    </row>
    <row r="804" spans="1:6" x14ac:dyDescent="0.2">
      <c r="A804" s="69">
        <v>10000001950</v>
      </c>
      <c r="E804" s="69">
        <v>28</v>
      </c>
      <c r="F804" s="69" t="s">
        <v>459</v>
      </c>
    </row>
    <row r="805" spans="1:6" x14ac:dyDescent="0.2">
      <c r="A805" s="69">
        <v>10000001962</v>
      </c>
      <c r="E805" s="69">
        <v>19</v>
      </c>
      <c r="F805" s="69" t="s">
        <v>457</v>
      </c>
    </row>
    <row r="806" spans="1:6" x14ac:dyDescent="0.2">
      <c r="A806" s="69">
        <v>10000001965</v>
      </c>
      <c r="D806" s="69" t="e">
        <v>#N/A</v>
      </c>
      <c r="E806" s="69">
        <v>10</v>
      </c>
      <c r="F806" s="69" t="s">
        <v>456</v>
      </c>
    </row>
    <row r="807" spans="1:6" x14ac:dyDescent="0.2">
      <c r="A807" s="69">
        <v>10000001970</v>
      </c>
      <c r="B807" s="69" t="s">
        <v>220</v>
      </c>
      <c r="D807" s="69" t="e">
        <v>#N/A</v>
      </c>
      <c r="E807" s="69" t="s">
        <v>220</v>
      </c>
      <c r="F807" s="69" t="s">
        <v>661</v>
      </c>
    </row>
    <row r="808" spans="1:6" x14ac:dyDescent="0.2">
      <c r="A808" s="69">
        <v>10000001971</v>
      </c>
      <c r="B808" s="69" t="s">
        <v>220</v>
      </c>
      <c r="D808" s="69" t="e">
        <v>#N/A</v>
      </c>
      <c r="E808" s="69" t="s">
        <v>220</v>
      </c>
      <c r="F808" s="69" t="s">
        <v>660</v>
      </c>
    </row>
    <row r="809" spans="1:6" x14ac:dyDescent="0.2">
      <c r="A809" s="69">
        <v>10000001973</v>
      </c>
      <c r="B809" s="69" t="s">
        <v>220</v>
      </c>
      <c r="D809" s="69" t="e">
        <v>#N/A</v>
      </c>
      <c r="E809" s="69">
        <v>5</v>
      </c>
      <c r="F809" s="69" t="s">
        <v>659</v>
      </c>
    </row>
    <row r="810" spans="1:6" x14ac:dyDescent="0.2">
      <c r="A810" s="69">
        <v>10000001974</v>
      </c>
      <c r="B810" s="69" t="s">
        <v>221</v>
      </c>
      <c r="D810" s="69" t="e">
        <v>#N/A</v>
      </c>
      <c r="E810" s="69">
        <v>5</v>
      </c>
      <c r="F810" s="69" t="s">
        <v>658</v>
      </c>
    </row>
    <row r="811" spans="1:6" x14ac:dyDescent="0.2">
      <c r="A811" s="69">
        <v>10000001975</v>
      </c>
      <c r="B811" s="69" t="s">
        <v>221</v>
      </c>
      <c r="D811" s="69" t="s">
        <v>1266</v>
      </c>
      <c r="E811" s="69" t="s">
        <v>221</v>
      </c>
      <c r="F811" s="69" t="s">
        <v>124</v>
      </c>
    </row>
    <row r="812" spans="1:6" x14ac:dyDescent="0.2">
      <c r="A812" s="69">
        <v>10000001977</v>
      </c>
      <c r="B812" s="69" t="s">
        <v>221</v>
      </c>
      <c r="D812" s="69" t="s">
        <v>1240</v>
      </c>
      <c r="E812" s="69" t="s">
        <v>221</v>
      </c>
      <c r="F812" s="69" t="s">
        <v>657</v>
      </c>
    </row>
    <row r="813" spans="1:6" x14ac:dyDescent="0.2">
      <c r="A813" s="69">
        <v>10000001988</v>
      </c>
      <c r="E813" s="69">
        <v>23</v>
      </c>
      <c r="F813" s="69" t="s">
        <v>452</v>
      </c>
    </row>
    <row r="814" spans="1:6" x14ac:dyDescent="0.2">
      <c r="A814" s="69">
        <v>10000001990</v>
      </c>
      <c r="B814" s="69" t="s">
        <v>262</v>
      </c>
      <c r="D814" s="69" t="s">
        <v>80</v>
      </c>
      <c r="E814" s="69">
        <v>10</v>
      </c>
      <c r="F814" s="69" t="s">
        <v>656</v>
      </c>
    </row>
    <row r="815" spans="1:6" x14ac:dyDescent="0.2">
      <c r="A815" s="69">
        <v>10000002012</v>
      </c>
      <c r="B815" s="69" t="s">
        <v>220</v>
      </c>
      <c r="D815" s="69" t="e">
        <v>#N/A</v>
      </c>
      <c r="E815" s="69">
        <v>1</v>
      </c>
      <c r="F815" s="69" t="s">
        <v>655</v>
      </c>
    </row>
    <row r="816" spans="1:6" x14ac:dyDescent="0.2">
      <c r="A816" s="69">
        <v>10000002015</v>
      </c>
      <c r="B816" s="69" t="s">
        <v>220</v>
      </c>
      <c r="D816" s="69" t="e">
        <v>#N/A</v>
      </c>
      <c r="E816" s="69" t="s">
        <v>220</v>
      </c>
      <c r="F816" s="69" t="s">
        <v>654</v>
      </c>
    </row>
    <row r="817" spans="1:6" x14ac:dyDescent="0.2">
      <c r="A817" s="69">
        <v>10000002016</v>
      </c>
      <c r="B817" s="69" t="s">
        <v>220</v>
      </c>
      <c r="D817" s="69" t="e">
        <v>#N/A</v>
      </c>
      <c r="E817" s="69" t="s">
        <v>220</v>
      </c>
      <c r="F817" s="69" t="s">
        <v>653</v>
      </c>
    </row>
    <row r="818" spans="1:6" x14ac:dyDescent="0.2">
      <c r="A818" s="69">
        <v>10000002018</v>
      </c>
      <c r="E818" s="69">
        <v>28</v>
      </c>
      <c r="F818" s="69" t="s">
        <v>446</v>
      </c>
    </row>
    <row r="819" spans="1:6" x14ac:dyDescent="0.2">
      <c r="A819" s="69">
        <v>10000002020</v>
      </c>
      <c r="B819" s="69" t="s">
        <v>221</v>
      </c>
      <c r="D819" s="69" t="e">
        <v>#N/A</v>
      </c>
      <c r="E819" s="69">
        <v>5</v>
      </c>
      <c r="F819" s="69" t="s">
        <v>652</v>
      </c>
    </row>
    <row r="820" spans="1:6" x14ac:dyDescent="0.2">
      <c r="A820" s="69">
        <v>10000002022</v>
      </c>
      <c r="E820" s="69">
        <v>28</v>
      </c>
      <c r="F820" s="69" t="s">
        <v>444</v>
      </c>
    </row>
    <row r="821" spans="1:6" x14ac:dyDescent="0.2">
      <c r="A821" s="69">
        <v>10000002025</v>
      </c>
      <c r="B821" s="69" t="s">
        <v>221</v>
      </c>
      <c r="D821" s="69" t="e">
        <v>#N/A</v>
      </c>
      <c r="E821" s="69">
        <v>5</v>
      </c>
      <c r="F821" s="69" t="s">
        <v>150</v>
      </c>
    </row>
    <row r="822" spans="1:6" x14ac:dyDescent="0.2">
      <c r="A822" s="69">
        <v>10000002030</v>
      </c>
      <c r="B822" s="69" t="s">
        <v>221</v>
      </c>
      <c r="D822" s="69" t="e">
        <v>#N/A</v>
      </c>
      <c r="E822" s="69" t="s">
        <v>221</v>
      </c>
      <c r="F822" s="69" t="s">
        <v>651</v>
      </c>
    </row>
    <row r="823" spans="1:6" x14ac:dyDescent="0.2">
      <c r="A823" s="69">
        <v>10000002032</v>
      </c>
      <c r="B823" s="69" t="s">
        <v>221</v>
      </c>
      <c r="D823" s="69" t="e">
        <v>#N/A</v>
      </c>
      <c r="E823" s="69" t="s">
        <v>221</v>
      </c>
      <c r="F823" s="69" t="s">
        <v>650</v>
      </c>
    </row>
    <row r="824" spans="1:6" x14ac:dyDescent="0.2">
      <c r="A824" s="69">
        <v>10000002033</v>
      </c>
      <c r="B824" s="69" t="s">
        <v>221</v>
      </c>
      <c r="D824" s="69" t="e">
        <v>#N/A</v>
      </c>
      <c r="E824" s="69" t="s">
        <v>221</v>
      </c>
      <c r="F824" s="69" t="s">
        <v>649</v>
      </c>
    </row>
    <row r="825" spans="1:6" x14ac:dyDescent="0.2">
      <c r="A825" s="69">
        <v>10000002034</v>
      </c>
      <c r="B825" s="69" t="s">
        <v>262</v>
      </c>
      <c r="D825" s="69" t="e">
        <v>#N/A</v>
      </c>
      <c r="E825" s="69">
        <v>10</v>
      </c>
      <c r="F825" s="69" t="s">
        <v>648</v>
      </c>
    </row>
    <row r="826" spans="1:6" x14ac:dyDescent="0.2">
      <c r="A826" s="69">
        <v>10000002035</v>
      </c>
      <c r="B826" s="69" t="s">
        <v>262</v>
      </c>
      <c r="D826" s="69" t="e">
        <v>#N/A</v>
      </c>
      <c r="E826" s="69">
        <v>10</v>
      </c>
      <c r="F826" s="69" t="s">
        <v>647</v>
      </c>
    </row>
    <row r="827" spans="1:6" x14ac:dyDescent="0.2">
      <c r="A827" s="69">
        <v>10000002036</v>
      </c>
      <c r="B827" s="69" t="s">
        <v>262</v>
      </c>
      <c r="D827" s="69" t="s">
        <v>73</v>
      </c>
      <c r="E827" s="69">
        <v>10</v>
      </c>
      <c r="F827" s="69" t="s">
        <v>646</v>
      </c>
    </row>
    <row r="828" spans="1:6" x14ac:dyDescent="0.2">
      <c r="A828" s="69">
        <v>10000002038</v>
      </c>
      <c r="B828" s="69" t="s">
        <v>262</v>
      </c>
      <c r="D828" s="69" t="e">
        <v>#N/A</v>
      </c>
      <c r="E828" s="69">
        <v>1</v>
      </c>
      <c r="F828" s="69" t="s">
        <v>645</v>
      </c>
    </row>
    <row r="829" spans="1:6" x14ac:dyDescent="0.2">
      <c r="A829" s="69">
        <v>10000002050</v>
      </c>
      <c r="B829" s="69" t="s">
        <v>262</v>
      </c>
      <c r="D829" s="69" t="e">
        <v>#N/A</v>
      </c>
      <c r="E829" s="69">
        <v>10</v>
      </c>
      <c r="F829" s="69" t="s">
        <v>644</v>
      </c>
    </row>
    <row r="830" spans="1:6" x14ac:dyDescent="0.2">
      <c r="A830" s="69">
        <v>10000002051</v>
      </c>
      <c r="E830" s="69">
        <v>19</v>
      </c>
      <c r="F830" s="69" t="s">
        <v>437</v>
      </c>
    </row>
    <row r="831" spans="1:6" x14ac:dyDescent="0.2">
      <c r="A831" s="69">
        <v>10000002056</v>
      </c>
      <c r="E831" s="69">
        <v>19</v>
      </c>
      <c r="F831" s="69" t="s">
        <v>436</v>
      </c>
    </row>
    <row r="832" spans="1:6" x14ac:dyDescent="0.2">
      <c r="A832" s="69">
        <v>10000002062</v>
      </c>
      <c r="B832" s="69" t="s">
        <v>262</v>
      </c>
      <c r="D832" s="69" t="e">
        <v>#N/A</v>
      </c>
      <c r="E832" s="69">
        <v>10</v>
      </c>
      <c r="F832" s="69" t="s">
        <v>643</v>
      </c>
    </row>
    <row r="833" spans="1:6" x14ac:dyDescent="0.2">
      <c r="A833" s="69">
        <v>10000002072</v>
      </c>
      <c r="B833" s="69" t="s">
        <v>262</v>
      </c>
      <c r="D833" s="69" t="e">
        <v>#N/A</v>
      </c>
      <c r="E833" s="69">
        <v>5</v>
      </c>
      <c r="F833" s="69" t="s">
        <v>642</v>
      </c>
    </row>
    <row r="834" spans="1:6" x14ac:dyDescent="0.2">
      <c r="A834" s="69">
        <v>10000002078</v>
      </c>
      <c r="B834" s="69" t="s">
        <v>262</v>
      </c>
      <c r="D834" s="69" t="e">
        <v>#N/A</v>
      </c>
      <c r="E834" s="69">
        <v>20</v>
      </c>
      <c r="F834" s="69" t="s">
        <v>641</v>
      </c>
    </row>
    <row r="835" spans="1:6" x14ac:dyDescent="0.2">
      <c r="A835" s="69">
        <v>10000002080</v>
      </c>
      <c r="E835" s="69">
        <v>19</v>
      </c>
      <c r="F835" s="69" t="s">
        <v>433</v>
      </c>
    </row>
    <row r="836" spans="1:6" x14ac:dyDescent="0.2">
      <c r="A836" s="69">
        <v>10000002372</v>
      </c>
      <c r="E836" s="69">
        <v>23</v>
      </c>
      <c r="F836" s="69" t="s">
        <v>1622</v>
      </c>
    </row>
    <row r="837" spans="1:6" x14ac:dyDescent="0.2">
      <c r="A837" s="69">
        <v>10000002373</v>
      </c>
      <c r="B837" s="69" t="s">
        <v>220</v>
      </c>
      <c r="D837" s="69" t="e">
        <v>#N/A</v>
      </c>
      <c r="E837" s="69" t="s">
        <v>220</v>
      </c>
      <c r="F837" s="69" t="s">
        <v>640</v>
      </c>
    </row>
    <row r="838" spans="1:6" x14ac:dyDescent="0.2">
      <c r="A838" s="69">
        <v>10000002376</v>
      </c>
      <c r="E838" s="69">
        <v>28</v>
      </c>
      <c r="F838" s="69" t="s">
        <v>425</v>
      </c>
    </row>
    <row r="839" spans="1:6" x14ac:dyDescent="0.2">
      <c r="A839" s="69">
        <v>10000002377</v>
      </c>
      <c r="B839" s="69" t="s">
        <v>262</v>
      </c>
      <c r="D839" s="69" t="e">
        <v>#N/A</v>
      </c>
      <c r="E839" s="69">
        <v>1</v>
      </c>
      <c r="F839" s="69" t="s">
        <v>639</v>
      </c>
    </row>
    <row r="840" spans="1:6" x14ac:dyDescent="0.2">
      <c r="A840" s="69">
        <v>10000002380</v>
      </c>
      <c r="B840" s="69">
        <v>5</v>
      </c>
      <c r="E840" s="69">
        <v>5</v>
      </c>
      <c r="F840" s="69" t="s">
        <v>234</v>
      </c>
    </row>
    <row r="841" spans="1:6" x14ac:dyDescent="0.2">
      <c r="A841" s="69">
        <v>10000002476</v>
      </c>
      <c r="E841" s="69">
        <v>23</v>
      </c>
      <c r="F841" s="69" t="s">
        <v>217</v>
      </c>
    </row>
    <row r="842" spans="1:6" x14ac:dyDescent="0.2">
      <c r="A842" s="69">
        <v>10000002482</v>
      </c>
      <c r="B842" s="69" t="s">
        <v>296</v>
      </c>
      <c r="E842" s="69">
        <v>5</v>
      </c>
      <c r="F842" s="69" t="s">
        <v>421</v>
      </c>
    </row>
    <row r="843" spans="1:6" x14ac:dyDescent="0.2">
      <c r="A843" s="69">
        <v>10000002483</v>
      </c>
      <c r="B843" s="69">
        <v>10</v>
      </c>
      <c r="E843" s="69">
        <v>10</v>
      </c>
      <c r="F843" s="69" t="s">
        <v>1575</v>
      </c>
    </row>
    <row r="844" spans="1:6" x14ac:dyDescent="0.2">
      <c r="A844" s="69">
        <v>10000002484</v>
      </c>
      <c r="B844" s="69" t="s">
        <v>262</v>
      </c>
      <c r="D844" s="69" t="e">
        <v>#N/A</v>
      </c>
      <c r="E844" s="69">
        <v>10</v>
      </c>
      <c r="F844" s="69" t="s">
        <v>638</v>
      </c>
    </row>
    <row r="845" spans="1:6" x14ac:dyDescent="0.2">
      <c r="A845" s="69">
        <v>10000002485</v>
      </c>
      <c r="B845" s="69" t="s">
        <v>637</v>
      </c>
      <c r="D845" s="69" t="s">
        <v>1302</v>
      </c>
      <c r="E845" s="69">
        <v>5</v>
      </c>
      <c r="F845" s="69" t="s">
        <v>144</v>
      </c>
    </row>
    <row r="846" spans="1:6" x14ac:dyDescent="0.2">
      <c r="A846" s="69">
        <v>10000002486</v>
      </c>
      <c r="B846" s="69" t="s">
        <v>262</v>
      </c>
      <c r="D846" s="69" t="s">
        <v>1276</v>
      </c>
      <c r="E846" s="69">
        <v>5</v>
      </c>
      <c r="F846" s="69" t="s">
        <v>636</v>
      </c>
    </row>
    <row r="847" spans="1:6" x14ac:dyDescent="0.2">
      <c r="A847" s="69">
        <v>10000002487</v>
      </c>
      <c r="B847" s="69" t="s">
        <v>220</v>
      </c>
      <c r="D847" s="69" t="s">
        <v>1246</v>
      </c>
      <c r="E847" s="69">
        <v>5</v>
      </c>
      <c r="F847" s="69" t="s">
        <v>635</v>
      </c>
    </row>
    <row r="848" spans="1:6" x14ac:dyDescent="0.2">
      <c r="A848" s="69">
        <v>10000002488</v>
      </c>
      <c r="B848" s="69" t="s">
        <v>221</v>
      </c>
      <c r="D848" s="69" t="e">
        <v>#N/A</v>
      </c>
      <c r="E848" s="69">
        <v>5</v>
      </c>
      <c r="F848" s="69" t="s">
        <v>152</v>
      </c>
    </row>
    <row r="849" spans="1:6" x14ac:dyDescent="0.2">
      <c r="A849" s="69">
        <v>10000002489</v>
      </c>
      <c r="E849" s="69">
        <v>23</v>
      </c>
      <c r="F849" s="69" t="s">
        <v>416</v>
      </c>
    </row>
    <row r="850" spans="1:6" x14ac:dyDescent="0.2">
      <c r="A850" s="69">
        <v>10000002490</v>
      </c>
      <c r="B850" s="69" t="s">
        <v>221</v>
      </c>
      <c r="D850" s="69" t="e">
        <v>#N/A</v>
      </c>
      <c r="E850" s="69">
        <v>5</v>
      </c>
      <c r="F850" s="69" t="s">
        <v>634</v>
      </c>
    </row>
    <row r="851" spans="1:6" x14ac:dyDescent="0.2">
      <c r="A851" s="69">
        <v>10000002491</v>
      </c>
      <c r="B851" s="69" t="s">
        <v>221</v>
      </c>
      <c r="D851" s="69" t="e">
        <v>#N/A</v>
      </c>
      <c r="E851" s="69">
        <v>5</v>
      </c>
      <c r="F851" s="69" t="s">
        <v>633</v>
      </c>
    </row>
    <row r="852" spans="1:6" x14ac:dyDescent="0.2">
      <c r="A852" s="69">
        <v>10000002492</v>
      </c>
      <c r="B852" s="69" t="s">
        <v>221</v>
      </c>
      <c r="D852" s="69" t="e">
        <v>#N/A</v>
      </c>
      <c r="E852" s="69" t="s">
        <v>221</v>
      </c>
      <c r="F852" s="69" t="s">
        <v>632</v>
      </c>
    </row>
    <row r="853" spans="1:6" x14ac:dyDescent="0.2">
      <c r="A853" s="69">
        <v>10000002495</v>
      </c>
      <c r="B853" s="69" t="s">
        <v>221</v>
      </c>
      <c r="E853" s="69">
        <v>5</v>
      </c>
      <c r="F853" s="69" t="s">
        <v>1573</v>
      </c>
    </row>
    <row r="854" spans="1:6" x14ac:dyDescent="0.2">
      <c r="A854" s="69">
        <v>10000002573</v>
      </c>
      <c r="B854" s="69" t="s">
        <v>221</v>
      </c>
      <c r="D854" s="69" t="e">
        <v>#N/A</v>
      </c>
      <c r="E854" s="69">
        <v>5</v>
      </c>
      <c r="F854" s="69" t="s">
        <v>631</v>
      </c>
    </row>
    <row r="855" spans="1:6" x14ac:dyDescent="0.2">
      <c r="A855" s="69">
        <v>10000002574</v>
      </c>
      <c r="B855" s="69" t="s">
        <v>221</v>
      </c>
      <c r="D855" s="69" t="e">
        <v>#N/A</v>
      </c>
      <c r="E855" s="69">
        <v>5</v>
      </c>
      <c r="F855" s="69" t="s">
        <v>630</v>
      </c>
    </row>
    <row r="856" spans="1:6" x14ac:dyDescent="0.2">
      <c r="A856" s="69">
        <v>10000002575</v>
      </c>
      <c r="E856" s="69">
        <v>28</v>
      </c>
      <c r="F856" s="69" t="s">
        <v>1717</v>
      </c>
    </row>
    <row r="857" spans="1:6" x14ac:dyDescent="0.2">
      <c r="A857" s="69">
        <v>10000002579</v>
      </c>
      <c r="B857" s="69" t="s">
        <v>262</v>
      </c>
      <c r="D857" s="69" t="e">
        <v>#N/A</v>
      </c>
      <c r="E857" s="69">
        <v>10</v>
      </c>
      <c r="F857" s="69" t="s">
        <v>629</v>
      </c>
    </row>
    <row r="858" spans="1:6" x14ac:dyDescent="0.2">
      <c r="A858" s="69">
        <v>10000002670</v>
      </c>
      <c r="E858" s="69">
        <v>19</v>
      </c>
      <c r="F858" s="69" t="s">
        <v>411</v>
      </c>
    </row>
    <row r="859" spans="1:6" x14ac:dyDescent="0.2">
      <c r="A859" s="69">
        <v>10000002675</v>
      </c>
      <c r="E859" s="69">
        <v>28</v>
      </c>
      <c r="F859" s="69" t="s">
        <v>410</v>
      </c>
    </row>
    <row r="860" spans="1:6" x14ac:dyDescent="0.2">
      <c r="A860" s="69">
        <v>10000002676</v>
      </c>
      <c r="B860" s="69" t="s">
        <v>220</v>
      </c>
      <c r="D860" s="69" t="e">
        <v>#N/A</v>
      </c>
      <c r="E860" s="69" t="s">
        <v>220</v>
      </c>
      <c r="F860" s="69" t="s">
        <v>628</v>
      </c>
    </row>
    <row r="861" spans="1:6" x14ac:dyDescent="0.2">
      <c r="A861" s="69">
        <v>10000002677</v>
      </c>
      <c r="E861" s="69">
        <v>23</v>
      </c>
      <c r="F861" s="69" t="s">
        <v>407</v>
      </c>
    </row>
    <row r="862" spans="1:6" x14ac:dyDescent="0.2">
      <c r="A862" s="69">
        <v>10000002684</v>
      </c>
      <c r="E862" s="69">
        <v>23</v>
      </c>
      <c r="F862" s="69" t="s">
        <v>406</v>
      </c>
    </row>
    <row r="863" spans="1:6" x14ac:dyDescent="0.2">
      <c r="A863" s="69">
        <v>10000002771</v>
      </c>
      <c r="B863" s="69" t="s">
        <v>220</v>
      </c>
      <c r="D863" s="69" t="e">
        <v>#N/A</v>
      </c>
      <c r="E863" s="69" t="s">
        <v>220</v>
      </c>
      <c r="F863" s="69" t="s">
        <v>627</v>
      </c>
    </row>
    <row r="864" spans="1:6" x14ac:dyDescent="0.2">
      <c r="A864" s="69">
        <v>10000002773</v>
      </c>
      <c r="B864" s="69" t="s">
        <v>296</v>
      </c>
      <c r="E864" s="69">
        <v>5</v>
      </c>
      <c r="F864" s="69" t="s">
        <v>194</v>
      </c>
    </row>
    <row r="865" spans="1:6" x14ac:dyDescent="0.2">
      <c r="A865" s="69">
        <v>10000002774</v>
      </c>
      <c r="B865" s="69" t="s">
        <v>220</v>
      </c>
      <c r="D865" s="69" t="e">
        <v>#N/A</v>
      </c>
      <c r="E865" s="69">
        <v>5</v>
      </c>
      <c r="F865" s="69" t="s">
        <v>626</v>
      </c>
    </row>
    <row r="866" spans="1:6" x14ac:dyDescent="0.2">
      <c r="A866" s="69">
        <v>10000002777</v>
      </c>
      <c r="E866" s="69">
        <v>28</v>
      </c>
      <c r="F866" s="69" t="s">
        <v>405</v>
      </c>
    </row>
    <row r="867" spans="1:6" x14ac:dyDescent="0.2">
      <c r="A867" s="69">
        <v>10000002783</v>
      </c>
      <c r="E867" s="69">
        <v>23</v>
      </c>
      <c r="F867" s="69" t="s">
        <v>404</v>
      </c>
    </row>
    <row r="868" spans="1:6" x14ac:dyDescent="0.2">
      <c r="A868" s="69">
        <v>10000002785</v>
      </c>
      <c r="B868" s="69" t="s">
        <v>220</v>
      </c>
      <c r="E868" s="69">
        <v>1</v>
      </c>
    </row>
    <row r="869" spans="1:6" x14ac:dyDescent="0.2">
      <c r="A869" s="69">
        <v>10000002787</v>
      </c>
      <c r="B869" s="69" t="s">
        <v>220</v>
      </c>
      <c r="D869" s="69" t="e">
        <v>#N/A</v>
      </c>
      <c r="E869" s="69" t="s">
        <v>220</v>
      </c>
      <c r="F869" s="69" t="s">
        <v>625</v>
      </c>
    </row>
    <row r="870" spans="1:6" x14ac:dyDescent="0.2">
      <c r="A870" s="69">
        <v>10000002790</v>
      </c>
      <c r="B870" s="69" t="s">
        <v>220</v>
      </c>
      <c r="D870" s="69" t="e">
        <v>#N/A</v>
      </c>
      <c r="E870" s="69">
        <v>1</v>
      </c>
      <c r="F870" s="69" t="s">
        <v>624</v>
      </c>
    </row>
    <row r="871" spans="1:6" x14ac:dyDescent="0.2">
      <c r="A871" s="69">
        <v>10000002792</v>
      </c>
      <c r="B871" s="69" t="s">
        <v>220</v>
      </c>
      <c r="D871" s="69" t="e">
        <v>#N/A</v>
      </c>
      <c r="E871" s="69" t="s">
        <v>220</v>
      </c>
      <c r="F871" s="69" t="s">
        <v>623</v>
      </c>
    </row>
    <row r="872" spans="1:6" x14ac:dyDescent="0.2">
      <c r="A872" s="69">
        <v>10000002795</v>
      </c>
      <c r="E872" s="69">
        <v>23</v>
      </c>
      <c r="F872" s="69" t="s">
        <v>401</v>
      </c>
    </row>
    <row r="873" spans="1:6" x14ac:dyDescent="0.2">
      <c r="A873" s="69">
        <v>10000002869</v>
      </c>
      <c r="E873" s="69">
        <v>23</v>
      </c>
      <c r="F873" s="69" t="s">
        <v>400</v>
      </c>
    </row>
    <row r="874" spans="1:6" x14ac:dyDescent="0.2">
      <c r="A874" s="69">
        <v>10000002870</v>
      </c>
      <c r="B874" s="69" t="s">
        <v>221</v>
      </c>
      <c r="D874" s="69" t="e">
        <v>#N/A</v>
      </c>
      <c r="E874" s="69" t="s">
        <v>221</v>
      </c>
      <c r="F874" s="69" t="s">
        <v>622</v>
      </c>
    </row>
    <row r="875" spans="1:6" x14ac:dyDescent="0.2">
      <c r="A875" s="69">
        <v>10000003071</v>
      </c>
      <c r="B875" s="69" t="s">
        <v>221</v>
      </c>
      <c r="D875" s="69" t="s">
        <v>1238</v>
      </c>
      <c r="E875" s="69" t="s">
        <v>221</v>
      </c>
      <c r="F875" s="69" t="s">
        <v>621</v>
      </c>
    </row>
    <row r="876" spans="1:6" x14ac:dyDescent="0.2">
      <c r="A876" s="69">
        <v>10000003172</v>
      </c>
      <c r="B876" s="69" t="s">
        <v>221</v>
      </c>
      <c r="D876" s="69" t="e">
        <v>#N/A</v>
      </c>
      <c r="E876" s="69" t="s">
        <v>221</v>
      </c>
      <c r="F876" s="69" t="s">
        <v>620</v>
      </c>
    </row>
    <row r="877" spans="1:6" x14ac:dyDescent="0.2">
      <c r="A877" s="69">
        <v>10000003269</v>
      </c>
      <c r="B877" s="69" t="s">
        <v>221</v>
      </c>
      <c r="D877" s="69" t="s">
        <v>1245</v>
      </c>
      <c r="E877" s="69" t="s">
        <v>221</v>
      </c>
      <c r="F877" s="69" t="s">
        <v>619</v>
      </c>
    </row>
    <row r="878" spans="1:6" x14ac:dyDescent="0.2">
      <c r="A878" s="69">
        <v>10000003273</v>
      </c>
      <c r="E878" s="69">
        <v>28</v>
      </c>
      <c r="F878" s="69" t="s">
        <v>399</v>
      </c>
    </row>
    <row r="879" spans="1:6" x14ac:dyDescent="0.2">
      <c r="A879" s="69">
        <v>10000003276</v>
      </c>
      <c r="B879" s="69" t="s">
        <v>221</v>
      </c>
      <c r="D879" s="69" t="e">
        <v>#N/A</v>
      </c>
      <c r="E879" s="69" t="s">
        <v>221</v>
      </c>
      <c r="F879" s="69" t="s">
        <v>218</v>
      </c>
    </row>
    <row r="880" spans="1:6" x14ac:dyDescent="0.2">
      <c r="A880" s="69">
        <v>10000003278</v>
      </c>
      <c r="B880" s="69" t="s">
        <v>221</v>
      </c>
      <c r="D880" s="69" t="e">
        <v>#N/A</v>
      </c>
      <c r="E880" s="69" t="s">
        <v>221</v>
      </c>
      <c r="F880" s="69" t="s">
        <v>618</v>
      </c>
    </row>
    <row r="881" spans="1:6" x14ac:dyDescent="0.2">
      <c r="A881" s="69">
        <v>10000003373</v>
      </c>
      <c r="B881" s="69" t="s">
        <v>221</v>
      </c>
      <c r="D881" s="69" t="e">
        <v>#N/A</v>
      </c>
      <c r="E881" s="69">
        <v>5</v>
      </c>
      <c r="F881" s="69" t="s">
        <v>617</v>
      </c>
    </row>
    <row r="882" spans="1:6" x14ac:dyDescent="0.2">
      <c r="A882" s="69">
        <v>10000003377</v>
      </c>
      <c r="E882" s="69">
        <v>23</v>
      </c>
      <c r="F882" s="69" t="s">
        <v>396</v>
      </c>
    </row>
    <row r="883" spans="1:6" x14ac:dyDescent="0.2">
      <c r="A883" s="69">
        <v>10000003379</v>
      </c>
      <c r="B883" s="69" t="s">
        <v>221</v>
      </c>
      <c r="D883" s="69" t="e">
        <v>#N/A</v>
      </c>
      <c r="E883" s="69" t="s">
        <v>221</v>
      </c>
      <c r="F883" s="69" t="s">
        <v>616</v>
      </c>
    </row>
    <row r="884" spans="1:6" x14ac:dyDescent="0.2">
      <c r="A884" s="69">
        <v>10000003380</v>
      </c>
      <c r="B884" s="69" t="s">
        <v>221</v>
      </c>
      <c r="D884" s="69" t="e">
        <v>#N/A</v>
      </c>
      <c r="E884" s="69">
        <v>5</v>
      </c>
      <c r="F884" s="69" t="s">
        <v>615</v>
      </c>
    </row>
    <row r="885" spans="1:6" x14ac:dyDescent="0.2">
      <c r="A885" s="69">
        <v>10000003381</v>
      </c>
      <c r="B885" s="69" t="s">
        <v>221</v>
      </c>
      <c r="D885" s="69" t="s">
        <v>1426</v>
      </c>
      <c r="E885" s="69">
        <v>5</v>
      </c>
      <c r="F885" s="69" t="s">
        <v>614</v>
      </c>
    </row>
    <row r="886" spans="1:6" x14ac:dyDescent="0.2">
      <c r="A886" s="69">
        <v>10000003383</v>
      </c>
      <c r="B886" s="69" t="s">
        <v>221</v>
      </c>
      <c r="D886" s="69" t="e">
        <v>#N/A</v>
      </c>
      <c r="E886" s="69" t="s">
        <v>221</v>
      </c>
      <c r="F886" s="69" t="s">
        <v>613</v>
      </c>
    </row>
    <row r="887" spans="1:6" x14ac:dyDescent="0.2">
      <c r="A887" s="69">
        <v>10000003569</v>
      </c>
      <c r="B887" s="69" t="s">
        <v>221</v>
      </c>
      <c r="D887" s="69" t="e">
        <v>#N/A</v>
      </c>
      <c r="E887" s="69">
        <v>1</v>
      </c>
      <c r="F887" s="69" t="s">
        <v>612</v>
      </c>
    </row>
    <row r="888" spans="1:6" x14ac:dyDescent="0.2">
      <c r="A888" s="69">
        <v>10000003672</v>
      </c>
      <c r="B888" s="69" t="s">
        <v>221</v>
      </c>
      <c r="D888" s="69" t="e">
        <v>#N/A</v>
      </c>
      <c r="E888" s="69" t="s">
        <v>221</v>
      </c>
      <c r="F888" s="69" t="s">
        <v>611</v>
      </c>
    </row>
    <row r="889" spans="1:6" x14ac:dyDescent="0.2">
      <c r="A889" s="69">
        <v>10000003680</v>
      </c>
      <c r="B889" s="69" t="s">
        <v>262</v>
      </c>
      <c r="D889" s="69" t="e">
        <v>#N/A</v>
      </c>
      <c r="E889" s="69">
        <v>20</v>
      </c>
      <c r="F889" s="69" t="s">
        <v>610</v>
      </c>
    </row>
    <row r="890" spans="1:6" x14ac:dyDescent="0.2">
      <c r="A890" s="69">
        <v>10000003776</v>
      </c>
      <c r="E890" s="69">
        <v>28</v>
      </c>
      <c r="F890" s="69" t="s">
        <v>388</v>
      </c>
    </row>
    <row r="891" spans="1:6" x14ac:dyDescent="0.2">
      <c r="A891" s="69">
        <v>10000003781</v>
      </c>
      <c r="B891" s="69" t="s">
        <v>221</v>
      </c>
      <c r="D891" s="69" t="s">
        <v>1304</v>
      </c>
      <c r="E891" s="69" t="s">
        <v>221</v>
      </c>
      <c r="F891" s="69" t="s">
        <v>232</v>
      </c>
    </row>
    <row r="892" spans="1:6" x14ac:dyDescent="0.2">
      <c r="A892" s="69">
        <v>10000003784</v>
      </c>
      <c r="B892" s="69" t="s">
        <v>220</v>
      </c>
      <c r="D892" s="69" t="e">
        <v>#N/A</v>
      </c>
      <c r="E892" s="69">
        <v>1</v>
      </c>
      <c r="F892" s="69" t="s">
        <v>608</v>
      </c>
    </row>
    <row r="893" spans="1:6" x14ac:dyDescent="0.2">
      <c r="A893" s="69">
        <v>10000003785</v>
      </c>
      <c r="B893" s="69" t="s">
        <v>220</v>
      </c>
      <c r="D893" s="69" t="e">
        <v>#N/A</v>
      </c>
      <c r="E893" s="69">
        <v>5</v>
      </c>
      <c r="F893" s="69" t="s">
        <v>607</v>
      </c>
    </row>
    <row r="894" spans="1:6" x14ac:dyDescent="0.2">
      <c r="A894" s="69">
        <v>10000003786</v>
      </c>
      <c r="B894" s="69" t="s">
        <v>221</v>
      </c>
      <c r="D894" s="69" t="e">
        <v>#N/A</v>
      </c>
      <c r="E894" s="69">
        <v>5</v>
      </c>
      <c r="F894" s="69" t="s">
        <v>606</v>
      </c>
    </row>
    <row r="895" spans="1:6" x14ac:dyDescent="0.2">
      <c r="A895" s="69">
        <v>10000003789</v>
      </c>
      <c r="B895" s="69" t="s">
        <v>221</v>
      </c>
      <c r="D895" s="69" t="e">
        <v>#N/A</v>
      </c>
      <c r="E895" s="69">
        <v>5</v>
      </c>
      <c r="F895" s="69" t="s">
        <v>605</v>
      </c>
    </row>
    <row r="896" spans="1:6" x14ac:dyDescent="0.2">
      <c r="A896" s="69">
        <v>10000003790</v>
      </c>
      <c r="B896" s="69" t="s">
        <v>221</v>
      </c>
      <c r="D896" s="69" t="e">
        <v>#N/A</v>
      </c>
      <c r="E896" s="69" t="s">
        <v>221</v>
      </c>
      <c r="F896" s="69" t="s">
        <v>604</v>
      </c>
    </row>
    <row r="897" spans="1:6" x14ac:dyDescent="0.2">
      <c r="A897" s="69">
        <v>10000003800</v>
      </c>
      <c r="E897" s="69">
        <v>19</v>
      </c>
      <c r="F897" s="69" t="s">
        <v>380</v>
      </c>
    </row>
    <row r="898" spans="1:6" x14ac:dyDescent="0.2">
      <c r="A898" s="69">
        <v>10000003806</v>
      </c>
      <c r="B898" s="69" t="s">
        <v>221</v>
      </c>
      <c r="D898" s="69" t="e">
        <v>#N/A</v>
      </c>
      <c r="E898" s="69" t="s">
        <v>221</v>
      </c>
      <c r="F898" s="69" t="s">
        <v>603</v>
      </c>
    </row>
    <row r="899" spans="1:6" x14ac:dyDescent="0.2">
      <c r="A899" s="69">
        <v>10000003807</v>
      </c>
      <c r="B899" s="69" t="s">
        <v>221</v>
      </c>
      <c r="D899" s="69" t="s">
        <v>1274</v>
      </c>
      <c r="E899" s="69">
        <v>5</v>
      </c>
      <c r="F899" s="69" t="s">
        <v>602</v>
      </c>
    </row>
    <row r="900" spans="1:6" x14ac:dyDescent="0.2">
      <c r="A900" s="69">
        <v>10000003808</v>
      </c>
      <c r="B900" s="69" t="s">
        <v>221</v>
      </c>
      <c r="D900" s="69" t="s">
        <v>1274</v>
      </c>
      <c r="E900" s="69">
        <v>5</v>
      </c>
      <c r="F900" s="69" t="s">
        <v>601</v>
      </c>
    </row>
    <row r="901" spans="1:6" x14ac:dyDescent="0.2">
      <c r="A901" s="69">
        <v>10000003814</v>
      </c>
      <c r="B901" s="69" t="s">
        <v>221</v>
      </c>
      <c r="D901" s="69" t="e">
        <v>#N/A</v>
      </c>
      <c r="E901" s="69">
        <v>5</v>
      </c>
      <c r="F901" s="69" t="s">
        <v>600</v>
      </c>
    </row>
    <row r="902" spans="1:6" x14ac:dyDescent="0.2">
      <c r="A902" s="69">
        <v>10000003816</v>
      </c>
      <c r="B902" s="69">
        <v>10</v>
      </c>
      <c r="E902" s="69">
        <v>10</v>
      </c>
      <c r="F902" s="69" t="s">
        <v>1561</v>
      </c>
    </row>
    <row r="903" spans="1:6" x14ac:dyDescent="0.2">
      <c r="A903" s="69">
        <v>10000004083</v>
      </c>
      <c r="E903" s="69">
        <v>19</v>
      </c>
      <c r="F903" s="69" t="s">
        <v>372</v>
      </c>
    </row>
    <row r="904" spans="1:6" x14ac:dyDescent="0.2">
      <c r="A904" s="69">
        <v>10000004086</v>
      </c>
      <c r="E904" s="69">
        <v>19</v>
      </c>
      <c r="F904" s="69" t="s">
        <v>371</v>
      </c>
    </row>
    <row r="905" spans="1:6" x14ac:dyDescent="0.2">
      <c r="A905" s="69">
        <v>10000004087</v>
      </c>
      <c r="B905" s="69" t="s">
        <v>221</v>
      </c>
      <c r="E905" s="69">
        <v>5</v>
      </c>
      <c r="F905" s="69" t="s">
        <v>1564</v>
      </c>
    </row>
    <row r="906" spans="1:6" x14ac:dyDescent="0.2">
      <c r="A906" s="69">
        <v>10000004088</v>
      </c>
      <c r="B906" s="69">
        <v>10</v>
      </c>
      <c r="E906" s="69">
        <v>10</v>
      </c>
      <c r="F906" s="69" t="s">
        <v>1562</v>
      </c>
    </row>
    <row r="907" spans="1:6" x14ac:dyDescent="0.2">
      <c r="A907" s="69">
        <v>10000004349</v>
      </c>
      <c r="B907" s="69" t="s">
        <v>221</v>
      </c>
      <c r="E907" s="69">
        <v>5</v>
      </c>
      <c r="F907" s="69" t="s">
        <v>213</v>
      </c>
    </row>
    <row r="908" spans="1:6" x14ac:dyDescent="0.2">
      <c r="A908" s="69">
        <v>10000007406</v>
      </c>
      <c r="B908" s="69" t="s">
        <v>296</v>
      </c>
      <c r="E908" s="69">
        <v>5</v>
      </c>
      <c r="F908" s="69" t="s">
        <v>369</v>
      </c>
    </row>
    <row r="909" spans="1:6" x14ac:dyDescent="0.2">
      <c r="A909" s="69">
        <v>10000007412</v>
      </c>
      <c r="B909" s="69" t="s">
        <v>296</v>
      </c>
      <c r="E909" s="69">
        <v>5</v>
      </c>
      <c r="F909" s="69" t="s">
        <v>1641</v>
      </c>
    </row>
    <row r="910" spans="1:6" x14ac:dyDescent="0.2">
      <c r="A910" s="69">
        <v>10000007415</v>
      </c>
      <c r="B910" s="69" t="s">
        <v>296</v>
      </c>
      <c r="E910" s="69">
        <v>5</v>
      </c>
      <c r="F910" s="69" t="s">
        <v>1644</v>
      </c>
    </row>
    <row r="911" spans="1:6" x14ac:dyDescent="0.2">
      <c r="A911" s="69">
        <v>10000007417</v>
      </c>
      <c r="B911" s="69" t="s">
        <v>296</v>
      </c>
      <c r="E911" s="69">
        <v>5</v>
      </c>
      <c r="F911" s="69" t="s">
        <v>368</v>
      </c>
    </row>
    <row r="912" spans="1:6" x14ac:dyDescent="0.2">
      <c r="A912" s="69">
        <v>10000007510</v>
      </c>
      <c r="B912" s="69" t="s">
        <v>220</v>
      </c>
      <c r="D912" s="69" t="e">
        <v>#N/A</v>
      </c>
      <c r="E912" s="69" t="s">
        <v>220</v>
      </c>
      <c r="F912" s="69" t="s">
        <v>598</v>
      </c>
    </row>
    <row r="913" spans="1:6" x14ac:dyDescent="0.2">
      <c r="A913" s="69">
        <v>10000007532</v>
      </c>
      <c r="B913" s="69" t="s">
        <v>262</v>
      </c>
      <c r="D913" s="69" t="e">
        <v>#N/A</v>
      </c>
      <c r="E913" s="69">
        <v>5</v>
      </c>
      <c r="F913" s="69" t="s">
        <v>596</v>
      </c>
    </row>
    <row r="914" spans="1:6" x14ac:dyDescent="0.2">
      <c r="A914" s="69">
        <v>10000007533</v>
      </c>
      <c r="B914" s="69" t="s">
        <v>221</v>
      </c>
      <c r="D914" s="69" t="e">
        <v>#N/A</v>
      </c>
      <c r="E914" s="69" t="s">
        <v>221</v>
      </c>
      <c r="F914" s="69" t="s">
        <v>595</v>
      </c>
    </row>
    <row r="915" spans="1:6" x14ac:dyDescent="0.2">
      <c r="A915" s="69">
        <v>10000007534</v>
      </c>
      <c r="B915" s="69" t="s">
        <v>262</v>
      </c>
      <c r="D915" s="69" t="e">
        <v>#N/A</v>
      </c>
      <c r="E915" s="69">
        <v>20</v>
      </c>
      <c r="F915" s="69" t="s">
        <v>594</v>
      </c>
    </row>
    <row r="916" spans="1:6" x14ac:dyDescent="0.2">
      <c r="A916" s="69">
        <v>10000007606</v>
      </c>
      <c r="B916" s="69" t="s">
        <v>262</v>
      </c>
      <c r="D916" s="69" t="e">
        <v>#N/A</v>
      </c>
      <c r="E916" s="69">
        <v>20</v>
      </c>
      <c r="F916" s="69" t="s">
        <v>593</v>
      </c>
    </row>
    <row r="917" spans="1:6" x14ac:dyDescent="0.2">
      <c r="A917" s="69">
        <v>10000007607</v>
      </c>
      <c r="B917" s="69" t="s">
        <v>220</v>
      </c>
      <c r="D917" s="69" t="e">
        <v>#N/A</v>
      </c>
      <c r="E917" s="69">
        <v>5</v>
      </c>
      <c r="F917" s="69" t="s">
        <v>592</v>
      </c>
    </row>
    <row r="918" spans="1:6" x14ac:dyDescent="0.2">
      <c r="A918" s="69">
        <v>10000007611</v>
      </c>
      <c r="B918" s="69">
        <v>5</v>
      </c>
      <c r="E918" s="69">
        <v>5</v>
      </c>
      <c r="F918" s="69" t="s">
        <v>236</v>
      </c>
    </row>
    <row r="919" spans="1:6" x14ac:dyDescent="0.2">
      <c r="A919" s="69">
        <v>10000007618</v>
      </c>
      <c r="E919" s="69">
        <v>19</v>
      </c>
      <c r="F919" s="69" t="s">
        <v>361</v>
      </c>
    </row>
    <row r="920" spans="1:6" x14ac:dyDescent="0.2">
      <c r="A920" s="69">
        <v>10000007631</v>
      </c>
      <c r="B920" s="69" t="s">
        <v>220</v>
      </c>
      <c r="E920" s="69">
        <v>1</v>
      </c>
      <c r="F920" s="69" t="s">
        <v>1571</v>
      </c>
    </row>
    <row r="921" spans="1:6" x14ac:dyDescent="0.2">
      <c r="A921" s="69">
        <v>10000007635</v>
      </c>
      <c r="B921" s="69" t="s">
        <v>221</v>
      </c>
      <c r="D921" s="69" t="e">
        <v>#N/A</v>
      </c>
      <c r="E921" s="69">
        <v>5</v>
      </c>
      <c r="F921" s="69" t="s">
        <v>591</v>
      </c>
    </row>
    <row r="922" spans="1:6" x14ac:dyDescent="0.2">
      <c r="A922" s="69">
        <v>10000007826</v>
      </c>
      <c r="B922" s="69" t="s">
        <v>221</v>
      </c>
      <c r="D922" s="69" t="e">
        <v>#N/A</v>
      </c>
      <c r="E922" s="69">
        <v>1</v>
      </c>
      <c r="F922" s="69" t="s">
        <v>590</v>
      </c>
    </row>
    <row r="923" spans="1:6" x14ac:dyDescent="0.2">
      <c r="A923" s="69">
        <v>10000007827</v>
      </c>
      <c r="B923" s="69" t="s">
        <v>221</v>
      </c>
      <c r="D923" s="69" t="e">
        <v>#N/A</v>
      </c>
      <c r="E923" s="69">
        <v>5</v>
      </c>
      <c r="F923" s="69" t="s">
        <v>589</v>
      </c>
    </row>
    <row r="924" spans="1:6" x14ac:dyDescent="0.2">
      <c r="A924" s="69">
        <v>10000007828</v>
      </c>
      <c r="B924" s="69" t="s">
        <v>221</v>
      </c>
      <c r="D924" s="69" t="e">
        <v>#N/A</v>
      </c>
      <c r="E924" s="69">
        <v>1</v>
      </c>
      <c r="F924" s="69" t="s">
        <v>588</v>
      </c>
    </row>
    <row r="925" spans="1:6" x14ac:dyDescent="0.2">
      <c r="A925" s="69">
        <v>10000007830</v>
      </c>
      <c r="E925" s="69">
        <v>19</v>
      </c>
      <c r="F925" s="69" t="s">
        <v>357</v>
      </c>
    </row>
    <row r="926" spans="1:6" x14ac:dyDescent="0.2">
      <c r="A926" s="69">
        <v>10000007907</v>
      </c>
      <c r="B926" s="69" t="s">
        <v>221</v>
      </c>
      <c r="E926" s="69">
        <v>5</v>
      </c>
      <c r="F926" s="69" t="s">
        <v>226</v>
      </c>
    </row>
    <row r="927" spans="1:6" x14ac:dyDescent="0.2">
      <c r="A927" s="69">
        <v>10000008007</v>
      </c>
      <c r="B927" s="69" t="s">
        <v>262</v>
      </c>
      <c r="D927" s="69" t="e">
        <v>#N/A</v>
      </c>
      <c r="E927" s="69">
        <v>10</v>
      </c>
      <c r="F927" s="69" t="s">
        <v>586</v>
      </c>
    </row>
    <row r="928" spans="1:6" x14ac:dyDescent="0.2">
      <c r="A928" s="69">
        <v>10000008008</v>
      </c>
      <c r="B928" s="69" t="s">
        <v>262</v>
      </c>
      <c r="D928" s="69" t="e">
        <v>#N/A</v>
      </c>
      <c r="E928" s="69">
        <v>10</v>
      </c>
      <c r="F928" s="69" t="s">
        <v>585</v>
      </c>
    </row>
    <row r="929" spans="1:6" x14ac:dyDescent="0.2">
      <c r="A929" s="69">
        <v>10000008011</v>
      </c>
      <c r="B929" s="69" t="s">
        <v>262</v>
      </c>
      <c r="D929" s="69" t="e">
        <v>#N/A</v>
      </c>
      <c r="E929" s="69">
        <v>10</v>
      </c>
      <c r="F929" s="69" t="s">
        <v>584</v>
      </c>
    </row>
    <row r="930" spans="1:6" x14ac:dyDescent="0.2">
      <c r="A930" s="69">
        <v>10000008012</v>
      </c>
      <c r="B930" s="69" t="s">
        <v>262</v>
      </c>
      <c r="D930" s="69" t="e">
        <v>#N/A</v>
      </c>
      <c r="E930" s="69">
        <v>20</v>
      </c>
      <c r="F930" s="69" t="s">
        <v>583</v>
      </c>
    </row>
    <row r="931" spans="1:6" x14ac:dyDescent="0.2">
      <c r="A931" s="69">
        <v>10000008015</v>
      </c>
      <c r="B931" s="69" t="s">
        <v>262</v>
      </c>
      <c r="D931" s="69" t="e">
        <v>#N/A</v>
      </c>
      <c r="E931" s="69">
        <v>5</v>
      </c>
      <c r="F931" s="69" t="s">
        <v>582</v>
      </c>
    </row>
    <row r="932" spans="1:6" x14ac:dyDescent="0.2">
      <c r="A932" s="69">
        <v>10000008016</v>
      </c>
      <c r="B932" s="69" t="s">
        <v>220</v>
      </c>
      <c r="D932" s="69" t="e">
        <v>#N/A</v>
      </c>
      <c r="E932" s="69">
        <v>1</v>
      </c>
      <c r="F932" s="69" t="s">
        <v>581</v>
      </c>
    </row>
    <row r="933" spans="1:6" x14ac:dyDescent="0.2">
      <c r="A933" s="69">
        <v>10000008020</v>
      </c>
      <c r="B933" s="69" t="s">
        <v>221</v>
      </c>
      <c r="D933" s="69" t="e">
        <v>#N/A</v>
      </c>
      <c r="E933" s="69">
        <v>5</v>
      </c>
      <c r="F933" s="69" t="s">
        <v>580</v>
      </c>
    </row>
    <row r="934" spans="1:6" x14ac:dyDescent="0.2">
      <c r="A934" s="69">
        <v>10000008107</v>
      </c>
      <c r="B934" s="69" t="s">
        <v>296</v>
      </c>
      <c r="E934" s="69">
        <v>1</v>
      </c>
      <c r="F934" s="69" t="s">
        <v>1637</v>
      </c>
    </row>
    <row r="935" spans="1:6" x14ac:dyDescent="0.2">
      <c r="A935" s="69">
        <v>10000008108</v>
      </c>
      <c r="B935" s="69" t="s">
        <v>296</v>
      </c>
      <c r="E935" s="69">
        <v>5</v>
      </c>
      <c r="F935" s="69" t="s">
        <v>1638</v>
      </c>
    </row>
    <row r="936" spans="1:6" x14ac:dyDescent="0.2">
      <c r="A936" s="69">
        <v>10000008212</v>
      </c>
      <c r="B936" s="69" t="s">
        <v>262</v>
      </c>
      <c r="D936" s="69" t="e">
        <v>#N/A</v>
      </c>
      <c r="E936" s="69">
        <v>10</v>
      </c>
      <c r="F936" s="69" t="s">
        <v>579</v>
      </c>
    </row>
    <row r="937" spans="1:6" x14ac:dyDescent="0.2">
      <c r="A937" s="69">
        <v>10000008219</v>
      </c>
      <c r="B937" s="69" t="s">
        <v>262</v>
      </c>
      <c r="D937" s="69" t="e">
        <v>#N/A</v>
      </c>
      <c r="E937" s="69">
        <v>10</v>
      </c>
      <c r="F937" s="69" t="s">
        <v>578</v>
      </c>
    </row>
    <row r="938" spans="1:6" x14ac:dyDescent="0.2">
      <c r="A938" s="69">
        <v>10000008223</v>
      </c>
      <c r="B938" s="69" t="s">
        <v>262</v>
      </c>
      <c r="D938" s="69" t="e">
        <v>#N/A</v>
      </c>
      <c r="E938" s="69">
        <v>5</v>
      </c>
      <c r="F938" s="69" t="s">
        <v>577</v>
      </c>
    </row>
    <row r="939" spans="1:6" x14ac:dyDescent="0.2">
      <c r="A939" s="69">
        <v>10000008305</v>
      </c>
      <c r="B939" s="69" t="s">
        <v>262</v>
      </c>
      <c r="D939" s="69" t="e">
        <v>#N/A</v>
      </c>
      <c r="E939" s="69">
        <v>10</v>
      </c>
      <c r="F939" s="69" t="s">
        <v>576</v>
      </c>
    </row>
    <row r="940" spans="1:6" x14ac:dyDescent="0.2">
      <c r="A940" s="69">
        <v>10000008307</v>
      </c>
      <c r="E940" s="69">
        <v>23</v>
      </c>
      <c r="F940" s="69" t="s">
        <v>348</v>
      </c>
    </row>
    <row r="941" spans="1:6" x14ac:dyDescent="0.2">
      <c r="A941" s="69">
        <v>10000008413</v>
      </c>
      <c r="E941" s="69">
        <v>23</v>
      </c>
      <c r="F941" s="69" t="s">
        <v>347</v>
      </c>
    </row>
    <row r="942" spans="1:6" x14ac:dyDescent="0.2">
      <c r="A942" s="69">
        <v>10000008748</v>
      </c>
      <c r="E942" s="69">
        <v>19</v>
      </c>
      <c r="F942" s="69" t="s">
        <v>1718</v>
      </c>
    </row>
    <row r="943" spans="1:6" x14ac:dyDescent="0.2">
      <c r="A943" s="69">
        <v>10000008749</v>
      </c>
      <c r="E943" s="69">
        <v>19</v>
      </c>
      <c r="F943" s="69" t="s">
        <v>345</v>
      </c>
    </row>
    <row r="944" spans="1:6" x14ac:dyDescent="0.2">
      <c r="A944" s="69">
        <v>10000008905</v>
      </c>
      <c r="E944" s="69">
        <v>19</v>
      </c>
      <c r="F944" s="69" t="s">
        <v>344</v>
      </c>
    </row>
    <row r="945" spans="1:6" x14ac:dyDescent="0.2">
      <c r="A945" s="69">
        <v>10000008906</v>
      </c>
      <c r="B945" s="69" t="s">
        <v>220</v>
      </c>
      <c r="D945" s="69" t="e">
        <v>#N/A</v>
      </c>
      <c r="E945" s="69" t="s">
        <v>220</v>
      </c>
      <c r="F945" s="69" t="s">
        <v>575</v>
      </c>
    </row>
    <row r="946" spans="1:6" x14ac:dyDescent="0.2">
      <c r="A946" s="69">
        <v>10000009010</v>
      </c>
      <c r="B946" s="69" t="s">
        <v>220</v>
      </c>
      <c r="D946" s="69" t="e">
        <v>#N/A</v>
      </c>
      <c r="E946" s="69">
        <v>1</v>
      </c>
      <c r="F946" s="69" t="s">
        <v>574</v>
      </c>
    </row>
    <row r="947" spans="1:6" x14ac:dyDescent="0.2">
      <c r="A947" s="69">
        <v>10000009207</v>
      </c>
      <c r="E947" s="69">
        <v>19</v>
      </c>
      <c r="F947" s="69" t="s">
        <v>341</v>
      </c>
    </row>
    <row r="948" spans="1:6" x14ac:dyDescent="0.2">
      <c r="A948" s="69">
        <v>10000009407</v>
      </c>
      <c r="B948" s="69" t="s">
        <v>221</v>
      </c>
      <c r="D948" s="69" t="e">
        <v>#N/A</v>
      </c>
      <c r="E948" s="69">
        <v>1</v>
      </c>
      <c r="F948" s="69" t="s">
        <v>546</v>
      </c>
    </row>
    <row r="949" spans="1:6" x14ac:dyDescent="0.2">
      <c r="A949" s="69">
        <v>10000009409</v>
      </c>
      <c r="B949" s="69" t="s">
        <v>221</v>
      </c>
      <c r="D949" s="69" t="e">
        <v>#N/A</v>
      </c>
      <c r="E949" s="69">
        <v>5</v>
      </c>
      <c r="F949" s="69" t="s">
        <v>573</v>
      </c>
    </row>
    <row r="950" spans="1:6" x14ac:dyDescent="0.2">
      <c r="A950" s="69">
        <v>10000009410</v>
      </c>
      <c r="B950" s="69" t="s">
        <v>221</v>
      </c>
      <c r="E950" s="69">
        <v>5</v>
      </c>
      <c r="F950" s="69" t="s">
        <v>1565</v>
      </c>
    </row>
    <row r="951" spans="1:6" x14ac:dyDescent="0.2">
      <c r="A951" s="69">
        <v>10000009509</v>
      </c>
      <c r="B951" s="69" t="s">
        <v>220</v>
      </c>
      <c r="E951" s="69">
        <v>1</v>
      </c>
      <c r="F951" s="69" t="s">
        <v>1563</v>
      </c>
    </row>
    <row r="952" spans="1:6" x14ac:dyDescent="0.2">
      <c r="A952" s="69">
        <v>10000009639</v>
      </c>
      <c r="B952" s="69" t="s">
        <v>220</v>
      </c>
      <c r="E952" s="69">
        <v>1</v>
      </c>
      <c r="F952" s="69" t="s">
        <v>241</v>
      </c>
    </row>
    <row r="953" spans="1:6" x14ac:dyDescent="0.2">
      <c r="A953" s="69">
        <v>10000009706</v>
      </c>
      <c r="B953" s="69">
        <v>5</v>
      </c>
      <c r="E953" s="69">
        <v>5</v>
      </c>
      <c r="F953" s="69" t="s">
        <v>240</v>
      </c>
    </row>
    <row r="954" spans="1:6" x14ac:dyDescent="0.2">
      <c r="A954" s="69">
        <v>10000009734</v>
      </c>
      <c r="B954" s="69">
        <v>5</v>
      </c>
      <c r="E954" s="69">
        <v>5</v>
      </c>
    </row>
    <row r="955" spans="1:6" x14ac:dyDescent="0.2">
      <c r="A955" s="69">
        <v>10000009736</v>
      </c>
      <c r="B955" s="69" t="s">
        <v>221</v>
      </c>
      <c r="D955" s="69" t="e">
        <v>#N/A</v>
      </c>
      <c r="E955" s="69">
        <v>5</v>
      </c>
      <c r="F955" s="69" t="s">
        <v>572</v>
      </c>
    </row>
    <row r="956" spans="1:6" x14ac:dyDescent="0.2">
      <c r="A956" s="69">
        <v>10000009738</v>
      </c>
      <c r="E956" s="69">
        <v>23</v>
      </c>
      <c r="F956" s="69" t="s">
        <v>1690</v>
      </c>
    </row>
    <row r="957" spans="1:6" x14ac:dyDescent="0.2">
      <c r="A957" s="69">
        <v>10000009746</v>
      </c>
      <c r="E957" s="69">
        <v>23</v>
      </c>
      <c r="F957" s="69" t="s">
        <v>1719</v>
      </c>
    </row>
    <row r="958" spans="1:6" x14ac:dyDescent="0.2">
      <c r="A958" s="69">
        <v>10000009747</v>
      </c>
      <c r="E958" s="69">
        <v>23</v>
      </c>
      <c r="F958" s="69" t="s">
        <v>1600</v>
      </c>
    </row>
    <row r="959" spans="1:6" x14ac:dyDescent="0.2">
      <c r="A959" s="69">
        <v>10000009762</v>
      </c>
      <c r="B959" s="69" t="s">
        <v>221</v>
      </c>
      <c r="E959" s="69">
        <v>5</v>
      </c>
      <c r="F959" s="69" t="s">
        <v>231</v>
      </c>
    </row>
    <row r="960" spans="1:6" x14ac:dyDescent="0.2">
      <c r="A960" s="69">
        <v>10000009812</v>
      </c>
      <c r="B960" s="69" t="s">
        <v>221</v>
      </c>
      <c r="E960" s="69">
        <v>5</v>
      </c>
      <c r="F960" s="69" t="s">
        <v>156</v>
      </c>
    </row>
    <row r="961" spans="1:6" x14ac:dyDescent="0.2">
      <c r="A961" s="69">
        <v>10000009833</v>
      </c>
      <c r="B961" s="69" t="s">
        <v>221</v>
      </c>
      <c r="E961" s="69">
        <v>5</v>
      </c>
      <c r="F961" s="69" t="s">
        <v>1585</v>
      </c>
    </row>
    <row r="962" spans="1:6" x14ac:dyDescent="0.2">
      <c r="A962" s="69">
        <v>10000009834</v>
      </c>
      <c r="B962" s="69" t="s">
        <v>220</v>
      </c>
      <c r="E962" s="69">
        <v>1</v>
      </c>
      <c r="F962" s="69" t="s">
        <v>1621</v>
      </c>
    </row>
    <row r="963" spans="1:6" x14ac:dyDescent="0.2">
      <c r="A963" s="69">
        <v>10000009841</v>
      </c>
      <c r="B963" s="69" t="s">
        <v>221</v>
      </c>
      <c r="E963" s="69">
        <v>5</v>
      </c>
      <c r="F963" s="69" t="s">
        <v>1560</v>
      </c>
    </row>
    <row r="964" spans="1:6" x14ac:dyDescent="0.2">
      <c r="A964" s="69">
        <v>10000009864</v>
      </c>
      <c r="B964" s="69" t="s">
        <v>220</v>
      </c>
      <c r="E964" s="69">
        <v>1</v>
      </c>
      <c r="F964" s="69" t="s">
        <v>1549</v>
      </c>
    </row>
    <row r="965" spans="1:6" x14ac:dyDescent="0.2">
      <c r="A965" s="69">
        <v>10000009865</v>
      </c>
      <c r="B965" s="69" t="s">
        <v>220</v>
      </c>
      <c r="E965" s="69">
        <v>1</v>
      </c>
      <c r="F965" s="69" t="s">
        <v>1530</v>
      </c>
    </row>
    <row r="966" spans="1:6" x14ac:dyDescent="0.2">
      <c r="A966" s="69">
        <v>10000009866</v>
      </c>
      <c r="B966" s="69" t="s">
        <v>220</v>
      </c>
      <c r="E966" s="69">
        <v>1</v>
      </c>
      <c r="F966" s="69" t="s">
        <v>219</v>
      </c>
    </row>
    <row r="967" spans="1:6" x14ac:dyDescent="0.2">
      <c r="A967" s="69">
        <v>10000009870</v>
      </c>
      <c r="B967" s="69" t="s">
        <v>220</v>
      </c>
      <c r="E967" s="69">
        <v>1</v>
      </c>
      <c r="F967" s="69" t="s">
        <v>216</v>
      </c>
    </row>
    <row r="968" spans="1:6" x14ac:dyDescent="0.2">
      <c r="A968" s="69">
        <v>10000009871</v>
      </c>
      <c r="B968" s="69" t="s">
        <v>220</v>
      </c>
      <c r="E968" s="69">
        <v>1</v>
      </c>
      <c r="F968" s="69" t="s">
        <v>1557</v>
      </c>
    </row>
    <row r="969" spans="1:6" x14ac:dyDescent="0.2">
      <c r="A969" s="69">
        <v>10000009872</v>
      </c>
      <c r="B969" s="69" t="s">
        <v>220</v>
      </c>
      <c r="E969" s="69">
        <v>1</v>
      </c>
      <c r="F969" s="69" t="s">
        <v>224</v>
      </c>
    </row>
    <row r="970" spans="1:6" x14ac:dyDescent="0.2">
      <c r="A970" s="69">
        <v>10000009873</v>
      </c>
      <c r="B970" s="69" t="s">
        <v>220</v>
      </c>
      <c r="E970" s="69">
        <v>1</v>
      </c>
      <c r="F970" s="69" t="s">
        <v>1531</v>
      </c>
    </row>
    <row r="971" spans="1:6" x14ac:dyDescent="0.2">
      <c r="A971" s="69">
        <v>10000009877</v>
      </c>
      <c r="B971" s="69" t="s">
        <v>220</v>
      </c>
      <c r="E971" s="69">
        <v>1</v>
      </c>
      <c r="F971" s="69" t="s">
        <v>1543</v>
      </c>
    </row>
    <row r="972" spans="1:6" x14ac:dyDescent="0.2">
      <c r="A972" s="69">
        <v>10000009879</v>
      </c>
      <c r="E972" s="69">
        <v>28</v>
      </c>
      <c r="F972" s="69" t="s">
        <v>1407</v>
      </c>
    </row>
    <row r="973" spans="1:6" x14ac:dyDescent="0.2">
      <c r="A973" s="69">
        <v>10000009882</v>
      </c>
      <c r="B973" s="69" t="s">
        <v>220</v>
      </c>
      <c r="E973" s="69">
        <v>1</v>
      </c>
      <c r="F973" s="69" t="s">
        <v>1541</v>
      </c>
    </row>
    <row r="974" spans="1:6" x14ac:dyDescent="0.2">
      <c r="A974" s="69">
        <v>10000009885</v>
      </c>
      <c r="B974" s="69" t="s">
        <v>220</v>
      </c>
      <c r="E974" s="69">
        <v>1</v>
      </c>
      <c r="F974" s="69" t="s">
        <v>1548</v>
      </c>
    </row>
    <row r="975" spans="1:6" x14ac:dyDescent="0.2">
      <c r="A975" s="69">
        <v>10000009886</v>
      </c>
      <c r="B975" s="69" t="s">
        <v>220</v>
      </c>
      <c r="E975" s="69">
        <v>1</v>
      </c>
      <c r="F975" s="69" t="s">
        <v>187</v>
      </c>
    </row>
    <row r="976" spans="1:6" x14ac:dyDescent="0.2">
      <c r="A976" s="69">
        <v>10000009891</v>
      </c>
      <c r="B976" s="69" t="s">
        <v>220</v>
      </c>
      <c r="E976" s="69">
        <v>1</v>
      </c>
      <c r="F976" s="69" t="s">
        <v>1556</v>
      </c>
    </row>
    <row r="977" spans="1:6" x14ac:dyDescent="0.2">
      <c r="A977" s="69">
        <v>10000009892</v>
      </c>
      <c r="B977" s="69" t="s">
        <v>220</v>
      </c>
      <c r="E977" s="69">
        <v>1</v>
      </c>
      <c r="F977" s="69" t="s">
        <v>145</v>
      </c>
    </row>
    <row r="978" spans="1:6" x14ac:dyDescent="0.2">
      <c r="A978" s="69">
        <v>10000009910</v>
      </c>
      <c r="B978" s="69" t="s">
        <v>296</v>
      </c>
      <c r="E978" s="69">
        <v>5</v>
      </c>
      <c r="F978" s="69" t="s">
        <v>1642</v>
      </c>
    </row>
    <row r="979" spans="1:6" x14ac:dyDescent="0.2">
      <c r="A979" s="69">
        <v>10000009918</v>
      </c>
      <c r="E979" s="69">
        <v>19</v>
      </c>
      <c r="F979" s="69" t="s">
        <v>1731</v>
      </c>
    </row>
    <row r="980" spans="1:6" x14ac:dyDescent="0.2">
      <c r="A980" s="69">
        <v>10000009941</v>
      </c>
      <c r="B980" s="69" t="s">
        <v>220</v>
      </c>
      <c r="E980" s="69">
        <v>1</v>
      </c>
      <c r="F980" s="69" t="s">
        <v>199</v>
      </c>
    </row>
    <row r="981" spans="1:6" x14ac:dyDescent="0.2">
      <c r="A981" s="69">
        <v>10000009942</v>
      </c>
      <c r="B981" s="69" t="s">
        <v>221</v>
      </c>
      <c r="E981" s="69">
        <v>5</v>
      </c>
      <c r="F981" s="69" t="s">
        <v>227</v>
      </c>
    </row>
    <row r="982" spans="1:6" x14ac:dyDescent="0.2">
      <c r="A982" s="69">
        <v>10000009954</v>
      </c>
      <c r="B982" s="69" t="s">
        <v>221</v>
      </c>
      <c r="E982" s="69">
        <v>5</v>
      </c>
      <c r="F982" s="69" t="s">
        <v>1607</v>
      </c>
    </row>
    <row r="983" spans="1:6" x14ac:dyDescent="0.2">
      <c r="A983" s="69">
        <v>10000009968</v>
      </c>
      <c r="B983" s="69" t="s">
        <v>220</v>
      </c>
      <c r="E983" s="69">
        <v>1</v>
      </c>
      <c r="F983" s="69" t="s">
        <v>1605</v>
      </c>
    </row>
    <row r="984" spans="1:6" x14ac:dyDescent="0.2">
      <c r="A984" s="69">
        <v>10000009969</v>
      </c>
      <c r="B984" s="69" t="s">
        <v>220</v>
      </c>
      <c r="E984" s="69">
        <v>1</v>
      </c>
      <c r="F984" s="69" t="s">
        <v>202</v>
      </c>
    </row>
    <row r="985" spans="1:6" x14ac:dyDescent="0.2">
      <c r="A985" s="69">
        <v>10000009972</v>
      </c>
      <c r="B985" s="69" t="s">
        <v>220</v>
      </c>
      <c r="E985" s="69">
        <v>1</v>
      </c>
      <c r="F985" s="69" t="s">
        <v>1538</v>
      </c>
    </row>
    <row r="986" spans="1:6" x14ac:dyDescent="0.2">
      <c r="A986" s="69">
        <v>10000009977</v>
      </c>
      <c r="B986" s="69" t="s">
        <v>220</v>
      </c>
      <c r="E986" s="69">
        <v>1</v>
      </c>
      <c r="F986" s="69" t="s">
        <v>1590</v>
      </c>
    </row>
    <row r="987" spans="1:6" x14ac:dyDescent="0.2">
      <c r="A987" s="69">
        <v>10000009987</v>
      </c>
      <c r="B987" s="69" t="s">
        <v>221</v>
      </c>
      <c r="E987" s="69">
        <v>5</v>
      </c>
      <c r="F987" s="69" t="s">
        <v>1570</v>
      </c>
    </row>
    <row r="988" spans="1:6" x14ac:dyDescent="0.2">
      <c r="A988" s="69">
        <v>10000009989</v>
      </c>
      <c r="B988" s="69">
        <v>10</v>
      </c>
      <c r="E988" s="69">
        <v>10</v>
      </c>
      <c r="F988" s="69" t="s">
        <v>243</v>
      </c>
    </row>
    <row r="989" spans="1:6" x14ac:dyDescent="0.2">
      <c r="A989" s="69">
        <v>10000009992</v>
      </c>
      <c r="B989" s="69" t="s">
        <v>220</v>
      </c>
      <c r="E989" s="69">
        <v>1</v>
      </c>
      <c r="F989" s="69" t="s">
        <v>1536</v>
      </c>
    </row>
    <row r="990" spans="1:6" x14ac:dyDescent="0.2">
      <c r="A990" s="69">
        <v>10000009994</v>
      </c>
      <c r="B990" s="69" t="s">
        <v>220</v>
      </c>
      <c r="E990" s="69">
        <v>1</v>
      </c>
      <c r="F990" s="69" t="s">
        <v>1532</v>
      </c>
    </row>
    <row r="991" spans="1:6" x14ac:dyDescent="0.2">
      <c r="A991" s="69">
        <v>10000009999</v>
      </c>
      <c r="B991" s="69" t="s">
        <v>220</v>
      </c>
      <c r="E991" s="69">
        <v>1</v>
      </c>
      <c r="F991" s="69" t="s">
        <v>225</v>
      </c>
    </row>
    <row r="992" spans="1:6" x14ac:dyDescent="0.2">
      <c r="A992" s="69">
        <v>10000010003</v>
      </c>
      <c r="B992" s="69" t="s">
        <v>220</v>
      </c>
      <c r="E992" s="69">
        <v>1</v>
      </c>
      <c r="F992" s="69" t="s">
        <v>197</v>
      </c>
    </row>
    <row r="993" spans="1:6" x14ac:dyDescent="0.2">
      <c r="A993" s="69">
        <v>10000010004</v>
      </c>
      <c r="B993" s="69" t="s">
        <v>220</v>
      </c>
      <c r="E993" s="69">
        <v>1</v>
      </c>
      <c r="F993" s="69" t="s">
        <v>222</v>
      </c>
    </row>
    <row r="994" spans="1:6" x14ac:dyDescent="0.2">
      <c r="A994" s="69">
        <v>10000010016</v>
      </c>
      <c r="B994" s="69" t="s">
        <v>220</v>
      </c>
      <c r="E994" s="69">
        <v>1</v>
      </c>
      <c r="F994" s="69" t="s">
        <v>201</v>
      </c>
    </row>
    <row r="995" spans="1:6" x14ac:dyDescent="0.2">
      <c r="A995" s="69">
        <v>10000010017</v>
      </c>
      <c r="B995" s="69" t="s">
        <v>220</v>
      </c>
      <c r="E995" s="69">
        <v>1</v>
      </c>
      <c r="F995" s="69" t="s">
        <v>133</v>
      </c>
    </row>
    <row r="996" spans="1:6" x14ac:dyDescent="0.2">
      <c r="A996" s="69">
        <v>10000010018</v>
      </c>
      <c r="B996" s="69" t="s">
        <v>220</v>
      </c>
      <c r="E996" s="69">
        <v>1</v>
      </c>
      <c r="F996" s="69" t="s">
        <v>190</v>
      </c>
    </row>
    <row r="997" spans="1:6" x14ac:dyDescent="0.2">
      <c r="A997" s="69">
        <v>10000010019</v>
      </c>
      <c r="B997" s="69" t="s">
        <v>220</v>
      </c>
      <c r="E997" s="69">
        <v>1</v>
      </c>
      <c r="F997" s="69" t="s">
        <v>1533</v>
      </c>
    </row>
    <row r="998" spans="1:6" x14ac:dyDescent="0.2">
      <c r="A998" s="69">
        <v>10000010020</v>
      </c>
      <c r="B998" s="69" t="s">
        <v>220</v>
      </c>
      <c r="E998" s="69">
        <v>1</v>
      </c>
      <c r="F998" s="69" t="s">
        <v>1574</v>
      </c>
    </row>
    <row r="999" spans="1:6" x14ac:dyDescent="0.2">
      <c r="A999" s="69">
        <v>10000010036</v>
      </c>
      <c r="B999" s="69" t="s">
        <v>220</v>
      </c>
      <c r="E999" s="69">
        <v>1</v>
      </c>
      <c r="F999" s="69" t="s">
        <v>1591</v>
      </c>
    </row>
    <row r="1000" spans="1:6" x14ac:dyDescent="0.2">
      <c r="A1000" s="69">
        <v>10000010207</v>
      </c>
      <c r="B1000" s="69" t="s">
        <v>220</v>
      </c>
      <c r="E1000" s="69">
        <v>1</v>
      </c>
      <c r="F1000" s="69" t="s">
        <v>1540</v>
      </c>
    </row>
    <row r="1001" spans="1:6" x14ac:dyDescent="0.2">
      <c r="A1001" s="69">
        <v>10000010233</v>
      </c>
      <c r="B1001" s="69" t="s">
        <v>220</v>
      </c>
      <c r="E1001" s="69">
        <v>1</v>
      </c>
      <c r="F1001" s="69" t="s">
        <v>1589</v>
      </c>
    </row>
    <row r="1002" spans="1:6" x14ac:dyDescent="0.2">
      <c r="A1002" s="69">
        <v>10000010240</v>
      </c>
      <c r="E1002" s="69">
        <v>19</v>
      </c>
      <c r="F1002" s="69" t="s">
        <v>1729</v>
      </c>
    </row>
    <row r="1003" spans="1:6" x14ac:dyDescent="0.2">
      <c r="A1003" s="69">
        <v>10000010267</v>
      </c>
      <c r="B1003" s="69" t="s">
        <v>220</v>
      </c>
      <c r="E1003" s="69">
        <v>1</v>
      </c>
      <c r="F1003" s="69" t="s">
        <v>1537</v>
      </c>
    </row>
    <row r="1004" spans="1:6" x14ac:dyDescent="0.2">
      <c r="A1004" s="69">
        <v>10000010275</v>
      </c>
      <c r="B1004" s="69" t="s">
        <v>221</v>
      </c>
      <c r="E1004" s="69">
        <v>5</v>
      </c>
      <c r="F1004" s="69" t="s">
        <v>1539</v>
      </c>
    </row>
    <row r="1005" spans="1:6" x14ac:dyDescent="0.2">
      <c r="A1005" s="69">
        <v>10000010286</v>
      </c>
      <c r="B1005" s="69" t="s">
        <v>296</v>
      </c>
      <c r="E1005" s="69">
        <v>5</v>
      </c>
      <c r="F1005" s="69" t="s">
        <v>1632</v>
      </c>
    </row>
    <row r="1006" spans="1:6" x14ac:dyDescent="0.2">
      <c r="A1006" s="69">
        <v>10000010289</v>
      </c>
      <c r="E1006" s="69">
        <v>19</v>
      </c>
      <c r="F1006" s="69" t="s">
        <v>1723</v>
      </c>
    </row>
    <row r="1007" spans="1:6" x14ac:dyDescent="0.2">
      <c r="A1007" s="69">
        <v>10000010339</v>
      </c>
      <c r="B1007" s="69" t="s">
        <v>296</v>
      </c>
      <c r="E1007" s="69">
        <v>5</v>
      </c>
      <c r="F1007" s="69" t="s">
        <v>1645</v>
      </c>
    </row>
    <row r="1008" spans="1:6" x14ac:dyDescent="0.2">
      <c r="A1008" s="69">
        <v>10000010360</v>
      </c>
      <c r="E1008" s="69">
        <v>23</v>
      </c>
      <c r="F1008" s="69" t="s">
        <v>1691</v>
      </c>
    </row>
    <row r="1009" spans="1:6" x14ac:dyDescent="0.2">
      <c r="A1009" s="69">
        <v>10000010364</v>
      </c>
      <c r="B1009" s="69" t="s">
        <v>221</v>
      </c>
      <c r="E1009" s="69">
        <v>5</v>
      </c>
      <c r="F1009" s="69" t="s">
        <v>1572</v>
      </c>
    </row>
    <row r="1010" spans="1:6" x14ac:dyDescent="0.2">
      <c r="A1010" s="69">
        <v>10000010369</v>
      </c>
      <c r="B1010" s="69" t="s">
        <v>220</v>
      </c>
      <c r="E1010" s="69">
        <v>1</v>
      </c>
      <c r="F1010" s="69" t="s">
        <v>1608</v>
      </c>
    </row>
    <row r="1011" spans="1:6" x14ac:dyDescent="0.2">
      <c r="A1011" s="69">
        <v>10000010370</v>
      </c>
      <c r="B1011" s="69" t="s">
        <v>220</v>
      </c>
      <c r="E1011" s="69">
        <v>1</v>
      </c>
      <c r="F1011" s="69" t="s">
        <v>223</v>
      </c>
    </row>
    <row r="1012" spans="1:6" x14ac:dyDescent="0.2">
      <c r="A1012" s="69">
        <v>10000010395</v>
      </c>
      <c r="E1012" s="69">
        <v>28</v>
      </c>
      <c r="F1012" s="69" t="s">
        <v>1724</v>
      </c>
    </row>
    <row r="1013" spans="1:6" x14ac:dyDescent="0.2">
      <c r="A1013" s="69">
        <v>10000010403</v>
      </c>
      <c r="B1013" s="69" t="s">
        <v>221</v>
      </c>
      <c r="E1013" s="69">
        <v>5</v>
      </c>
      <c r="F1013" s="69" t="s">
        <v>233</v>
      </c>
    </row>
    <row r="1014" spans="1:6" x14ac:dyDescent="0.2">
      <c r="A1014" s="69">
        <v>10000010439</v>
      </c>
      <c r="B1014" s="69" t="s">
        <v>221</v>
      </c>
      <c r="E1014" s="69">
        <v>5</v>
      </c>
      <c r="F1014" s="69" t="s">
        <v>228</v>
      </c>
    </row>
    <row r="1015" spans="1:6" x14ac:dyDescent="0.2">
      <c r="A1015" s="69">
        <v>10000010607</v>
      </c>
      <c r="B1015" s="69" t="s">
        <v>296</v>
      </c>
      <c r="E1015" s="69">
        <v>5</v>
      </c>
      <c r="F1015" s="69" t="s">
        <v>1630</v>
      </c>
    </row>
    <row r="1016" spans="1:6" x14ac:dyDescent="0.2">
      <c r="A1016" s="69">
        <v>10000010609</v>
      </c>
      <c r="B1016" s="69" t="s">
        <v>220</v>
      </c>
      <c r="E1016" s="69">
        <v>1</v>
      </c>
      <c r="F1016" s="69" t="s">
        <v>170</v>
      </c>
    </row>
    <row r="1017" spans="1:6" x14ac:dyDescent="0.2">
      <c r="A1017" s="69">
        <v>10000010620</v>
      </c>
      <c r="B1017" s="69" t="s">
        <v>220</v>
      </c>
      <c r="E1017" s="69">
        <v>1</v>
      </c>
      <c r="F1017" s="69" t="s">
        <v>1544</v>
      </c>
    </row>
    <row r="1018" spans="1:6" x14ac:dyDescent="0.2">
      <c r="A1018" s="69">
        <v>10000010627</v>
      </c>
      <c r="B1018" s="69" t="s">
        <v>221</v>
      </c>
      <c r="E1018" s="69">
        <v>5</v>
      </c>
      <c r="F1018" s="69" t="s">
        <v>1547</v>
      </c>
    </row>
    <row r="1019" spans="1:6" x14ac:dyDescent="0.2">
      <c r="A1019" s="69">
        <v>10000010629</v>
      </c>
      <c r="B1019" s="69" t="s">
        <v>220</v>
      </c>
      <c r="E1019" s="69">
        <v>1</v>
      </c>
      <c r="F1019" s="69" t="s">
        <v>1545</v>
      </c>
    </row>
    <row r="1020" spans="1:6" x14ac:dyDescent="0.2">
      <c r="A1020" s="69">
        <v>10000010639</v>
      </c>
      <c r="E1020" s="69">
        <v>23</v>
      </c>
      <c r="F1020" s="69" t="s">
        <v>1720</v>
      </c>
    </row>
    <row r="1021" spans="1:6" x14ac:dyDescent="0.2">
      <c r="A1021" s="69">
        <v>10000010708</v>
      </c>
      <c r="E1021" s="69">
        <v>19</v>
      </c>
      <c r="F1021" s="69" t="s">
        <v>1728</v>
      </c>
    </row>
    <row r="1022" spans="1:6" x14ac:dyDescent="0.2">
      <c r="A1022" s="69">
        <v>10000010713</v>
      </c>
      <c r="B1022" s="69" t="s">
        <v>221</v>
      </c>
      <c r="E1022" s="69">
        <v>5</v>
      </c>
      <c r="F1022" s="69" t="s">
        <v>1542</v>
      </c>
    </row>
    <row r="1023" spans="1:6" x14ac:dyDescent="0.2">
      <c r="A1023" s="69">
        <v>10000010720</v>
      </c>
      <c r="B1023" s="69" t="s">
        <v>296</v>
      </c>
      <c r="E1023" s="69">
        <v>5</v>
      </c>
      <c r="F1023" s="69" t="s">
        <v>1633</v>
      </c>
    </row>
    <row r="1024" spans="1:6" x14ac:dyDescent="0.2">
      <c r="A1024" s="69">
        <v>10000011006</v>
      </c>
      <c r="B1024" s="69" t="s">
        <v>1646</v>
      </c>
      <c r="E1024" s="124" t="s">
        <v>1646</v>
      </c>
      <c r="F1024" s="69" t="s">
        <v>1598</v>
      </c>
    </row>
    <row r="1025" spans="1:6" x14ac:dyDescent="0.2">
      <c r="A1025" s="69">
        <v>10000011115</v>
      </c>
      <c r="B1025" s="69" t="s">
        <v>220</v>
      </c>
      <c r="E1025" s="69">
        <v>1</v>
      </c>
      <c r="F1025" s="69" t="s">
        <v>1588</v>
      </c>
    </row>
    <row r="1026" spans="1:6" x14ac:dyDescent="0.2">
      <c r="A1026" s="69">
        <v>10000011344</v>
      </c>
      <c r="B1026" s="69" t="s">
        <v>220</v>
      </c>
      <c r="E1026" s="69">
        <v>1</v>
      </c>
      <c r="F1026" s="69" t="s">
        <v>1558</v>
      </c>
    </row>
    <row r="1027" spans="1:6" x14ac:dyDescent="0.2">
      <c r="A1027" s="69">
        <v>10000011354</v>
      </c>
      <c r="B1027" s="69" t="s">
        <v>221</v>
      </c>
      <c r="E1027" s="69">
        <v>5</v>
      </c>
      <c r="F1027" s="69" t="s">
        <v>1559</v>
      </c>
    </row>
    <row r="1028" spans="1:6" x14ac:dyDescent="0.2">
      <c r="A1028" s="69">
        <v>10000011358</v>
      </c>
      <c r="B1028" s="69">
        <v>10</v>
      </c>
      <c r="E1028" s="69">
        <v>10</v>
      </c>
      <c r="F1028" s="69" t="s">
        <v>335</v>
      </c>
    </row>
    <row r="1029" spans="1:6" x14ac:dyDescent="0.2">
      <c r="A1029" s="69">
        <v>10000011416</v>
      </c>
      <c r="E1029" s="69">
        <v>23</v>
      </c>
      <c r="F1029" s="69" t="s">
        <v>1721</v>
      </c>
    </row>
    <row r="1030" spans="1:6" x14ac:dyDescent="0.2">
      <c r="A1030" s="69">
        <v>10000011417</v>
      </c>
      <c r="B1030" s="69" t="s">
        <v>220</v>
      </c>
      <c r="E1030" s="69">
        <v>1</v>
      </c>
      <c r="F1030" s="69" t="s">
        <v>1535</v>
      </c>
    </row>
    <row r="1031" spans="1:6" x14ac:dyDescent="0.2">
      <c r="A1031" s="69">
        <v>10000011419</v>
      </c>
      <c r="B1031" s="69" t="s">
        <v>221</v>
      </c>
      <c r="E1031" s="69">
        <v>5</v>
      </c>
      <c r="F1031" s="69" t="s">
        <v>1534</v>
      </c>
    </row>
    <row r="1032" spans="1:6" x14ac:dyDescent="0.2">
      <c r="A1032" s="69">
        <v>10000011529</v>
      </c>
      <c r="B1032" s="69" t="s">
        <v>221</v>
      </c>
      <c r="E1032" s="69">
        <v>5</v>
      </c>
      <c r="F1032" s="69" t="s">
        <v>1182</v>
      </c>
    </row>
    <row r="1033" spans="1:6" x14ac:dyDescent="0.2">
      <c r="A1033" s="69">
        <v>10000011550</v>
      </c>
      <c r="B1033" s="69" t="s">
        <v>1646</v>
      </c>
      <c r="E1033" s="124" t="s">
        <v>1646</v>
      </c>
      <c r="F1033" s="69" t="s">
        <v>1619</v>
      </c>
    </row>
    <row r="1034" spans="1:6" x14ac:dyDescent="0.2">
      <c r="A1034" s="69">
        <v>10000011554</v>
      </c>
      <c r="B1034" s="69" t="s">
        <v>296</v>
      </c>
      <c r="E1034" s="69">
        <v>5</v>
      </c>
      <c r="F1034" s="69" t="s">
        <v>1631</v>
      </c>
    </row>
    <row r="1035" spans="1:6" x14ac:dyDescent="0.2">
      <c r="A1035" s="69">
        <v>10000011568</v>
      </c>
      <c r="B1035" s="69" t="s">
        <v>1646</v>
      </c>
      <c r="E1035" s="124" t="s">
        <v>1646</v>
      </c>
      <c r="F1035" s="69" t="s">
        <v>1647</v>
      </c>
    </row>
    <row r="1036" spans="1:6" x14ac:dyDescent="0.2">
      <c r="A1036" s="69">
        <v>10000011614</v>
      </c>
      <c r="B1036" s="69" t="s">
        <v>221</v>
      </c>
      <c r="E1036" s="69">
        <v>5</v>
      </c>
      <c r="F1036" s="69" t="s">
        <v>1566</v>
      </c>
    </row>
    <row r="1037" spans="1:6" x14ac:dyDescent="0.2">
      <c r="A1037" s="69">
        <v>10000011625</v>
      </c>
      <c r="E1037" s="69">
        <v>19</v>
      </c>
      <c r="F1037" s="69" t="s">
        <v>1730</v>
      </c>
    </row>
    <row r="1038" spans="1:6" x14ac:dyDescent="0.2">
      <c r="A1038" s="69">
        <v>10000011627</v>
      </c>
      <c r="B1038" s="69" t="s">
        <v>221</v>
      </c>
      <c r="E1038" s="69">
        <v>5</v>
      </c>
      <c r="F1038" s="69" t="s">
        <v>1578</v>
      </c>
    </row>
    <row r="1039" spans="1:6" x14ac:dyDescent="0.2">
      <c r="A1039" s="69">
        <v>10000011709</v>
      </c>
      <c r="E1039" s="69">
        <v>23</v>
      </c>
      <c r="F1039" s="69" t="s">
        <v>1722</v>
      </c>
    </row>
    <row r="1040" spans="1:6" x14ac:dyDescent="0.2">
      <c r="A1040" s="69">
        <v>10000011712</v>
      </c>
      <c r="E1040" s="69">
        <v>28</v>
      </c>
      <c r="F1040" s="69" t="s">
        <v>1604</v>
      </c>
    </row>
    <row r="1041" spans="1:6" x14ac:dyDescent="0.2">
      <c r="A1041" s="69">
        <v>10000011723</v>
      </c>
      <c r="B1041" s="69">
        <v>20</v>
      </c>
      <c r="E1041" s="69">
        <v>20</v>
      </c>
      <c r="F1041" s="69" t="s">
        <v>1587</v>
      </c>
    </row>
    <row r="1042" spans="1:6" x14ac:dyDescent="0.2">
      <c r="A1042" s="69">
        <v>10000011725</v>
      </c>
      <c r="B1042" s="69" t="s">
        <v>220</v>
      </c>
      <c r="E1042" s="69">
        <v>1</v>
      </c>
      <c r="F1042" s="69" t="s">
        <v>1609</v>
      </c>
    </row>
    <row r="1043" spans="1:6" x14ac:dyDescent="0.2">
      <c r="A1043" s="69">
        <v>10000011772</v>
      </c>
      <c r="B1043" s="69" t="s">
        <v>221</v>
      </c>
      <c r="E1043" s="69">
        <v>5</v>
      </c>
      <c r="F1043" s="69" t="s">
        <v>1615</v>
      </c>
    </row>
    <row r="1044" spans="1:6" x14ac:dyDescent="0.2">
      <c r="A1044" s="69">
        <v>10000011774</v>
      </c>
      <c r="B1044" s="69" t="s">
        <v>296</v>
      </c>
      <c r="E1044" s="69">
        <v>5</v>
      </c>
      <c r="F1044" s="69" t="s">
        <v>1643</v>
      </c>
    </row>
    <row r="1045" spans="1:6" x14ac:dyDescent="0.2">
      <c r="A1045" s="69">
        <v>10000011799</v>
      </c>
      <c r="B1045" s="69">
        <v>10</v>
      </c>
      <c r="E1045" s="69">
        <v>10</v>
      </c>
      <c r="F1045" s="69" t="s">
        <v>1616</v>
      </c>
    </row>
    <row r="1046" spans="1:6" x14ac:dyDescent="0.2">
      <c r="A1046" s="69">
        <v>10000011907</v>
      </c>
      <c r="B1046" s="69" t="s">
        <v>221</v>
      </c>
      <c r="E1046" s="69">
        <v>5</v>
      </c>
      <c r="F1046" s="69" t="s">
        <v>1613</v>
      </c>
    </row>
    <row r="1047" spans="1:6" x14ac:dyDescent="0.2">
      <c r="A1047" s="69">
        <v>10000011931</v>
      </c>
      <c r="B1047" s="69" t="s">
        <v>220</v>
      </c>
      <c r="E1047" s="69">
        <v>1</v>
      </c>
      <c r="F1047" s="69" t="s">
        <v>1626</v>
      </c>
    </row>
    <row r="1048" spans="1:6" x14ac:dyDescent="0.2">
      <c r="A1048" s="69">
        <v>10000011934</v>
      </c>
      <c r="B1048" s="69" t="s">
        <v>220</v>
      </c>
      <c r="E1048" s="69">
        <v>1</v>
      </c>
      <c r="F1048" s="69" t="s">
        <v>1628</v>
      </c>
    </row>
    <row r="1049" spans="1:6" x14ac:dyDescent="0.2">
      <c r="A1049" s="69">
        <v>10000011942</v>
      </c>
      <c r="B1049" s="69" t="s">
        <v>1652</v>
      </c>
      <c r="E1049" s="69" t="s">
        <v>1652</v>
      </c>
      <c r="F1049" s="69" t="s">
        <v>1597</v>
      </c>
    </row>
    <row r="1050" spans="1:6" x14ac:dyDescent="0.2">
      <c r="A1050" s="69">
        <v>10000012122</v>
      </c>
      <c r="B1050" s="69" t="s">
        <v>220</v>
      </c>
      <c r="E1050" s="69">
        <v>1</v>
      </c>
      <c r="F1050" s="69" t="s">
        <v>1601</v>
      </c>
    </row>
    <row r="1051" spans="1:6" x14ac:dyDescent="0.2">
      <c r="A1051" s="69">
        <v>10000012124</v>
      </c>
      <c r="B1051" s="69" t="s">
        <v>296</v>
      </c>
      <c r="E1051" s="69">
        <v>5</v>
      </c>
      <c r="F1051" s="69" t="s">
        <v>1634</v>
      </c>
    </row>
    <row r="1052" spans="1:6" x14ac:dyDescent="0.2">
      <c r="A1052" s="69">
        <v>10000012413</v>
      </c>
      <c r="B1052" s="69" t="s">
        <v>296</v>
      </c>
      <c r="E1052" s="69">
        <v>5</v>
      </c>
      <c r="F1052" s="69" t="s">
        <v>1635</v>
      </c>
    </row>
    <row r="1053" spans="1:6" x14ac:dyDescent="0.2">
      <c r="A1053" s="69">
        <v>10000012414</v>
      </c>
      <c r="B1053" s="69" t="s">
        <v>296</v>
      </c>
      <c r="E1053" s="69">
        <v>5</v>
      </c>
      <c r="F1053" s="69" t="s">
        <v>1639</v>
      </c>
    </row>
    <row r="1054" spans="1:6" x14ac:dyDescent="0.2">
      <c r="A1054" s="69">
        <v>10000012415</v>
      </c>
      <c r="B1054" s="69" t="s">
        <v>296</v>
      </c>
      <c r="E1054" s="69">
        <v>5</v>
      </c>
      <c r="F1054" s="69" t="s">
        <v>1640</v>
      </c>
    </row>
    <row r="1055" spans="1:6" x14ac:dyDescent="0.2">
      <c r="A1055" s="69">
        <v>20000000020</v>
      </c>
      <c r="B1055" s="69" t="s">
        <v>221</v>
      </c>
      <c r="D1055" s="69" t="s">
        <v>1262</v>
      </c>
      <c r="E1055" s="69" t="e">
        <v>#N/A</v>
      </c>
      <c r="F1055" s="69" t="s">
        <v>571</v>
      </c>
    </row>
    <row r="1056" spans="1:6" x14ac:dyDescent="0.2">
      <c r="A1056" s="69">
        <v>20000000021</v>
      </c>
      <c r="B1056" s="69" t="s">
        <v>221</v>
      </c>
      <c r="D1056" s="69" t="e">
        <v>#N/A</v>
      </c>
      <c r="E1056" s="69" t="e">
        <v>#N/A</v>
      </c>
      <c r="F1056" s="69" t="s">
        <v>570</v>
      </c>
    </row>
    <row r="1057" spans="1:6" x14ac:dyDescent="0.2">
      <c r="A1057" s="69">
        <v>20000000022</v>
      </c>
      <c r="B1057" s="69" t="s">
        <v>262</v>
      </c>
      <c r="D1057" s="69" t="s">
        <v>1262</v>
      </c>
      <c r="E1057" s="69" t="e">
        <v>#N/A</v>
      </c>
      <c r="F1057" s="69" t="s">
        <v>569</v>
      </c>
    </row>
    <row r="1058" spans="1:6" x14ac:dyDescent="0.2">
      <c r="A1058" s="69">
        <v>20000000026</v>
      </c>
      <c r="E1058" s="69">
        <v>23</v>
      </c>
      <c r="F1058" s="69" t="s">
        <v>332</v>
      </c>
    </row>
    <row r="1059" spans="1:6" x14ac:dyDescent="0.2">
      <c r="A1059" s="69">
        <v>20000000031</v>
      </c>
      <c r="E1059" s="69">
        <v>23</v>
      </c>
      <c r="F1059" s="69" t="s">
        <v>329</v>
      </c>
    </row>
    <row r="1060" spans="1:6" x14ac:dyDescent="0.2">
      <c r="A1060" s="69">
        <v>20000000034</v>
      </c>
      <c r="E1060" s="69">
        <v>28</v>
      </c>
      <c r="F1060" s="69" t="s">
        <v>110</v>
      </c>
    </row>
    <row r="1061" spans="1:6" x14ac:dyDescent="0.2">
      <c r="A1061" s="69">
        <v>20000000036</v>
      </c>
      <c r="E1061" s="69">
        <v>23</v>
      </c>
      <c r="F1061" s="69" t="s">
        <v>327</v>
      </c>
    </row>
    <row r="1062" spans="1:6" x14ac:dyDescent="0.2">
      <c r="A1062" s="69">
        <v>20000000044</v>
      </c>
      <c r="B1062" s="69" t="s">
        <v>220</v>
      </c>
      <c r="D1062" s="69" t="e">
        <v>#N/A</v>
      </c>
      <c r="E1062" s="69" t="e">
        <v>#N/A</v>
      </c>
      <c r="F1062" s="69" t="s">
        <v>568</v>
      </c>
    </row>
    <row r="1063" spans="1:6" x14ac:dyDescent="0.2">
      <c r="A1063" s="69">
        <v>20000000045</v>
      </c>
      <c r="B1063" s="69" t="s">
        <v>220</v>
      </c>
      <c r="D1063" s="69" t="s">
        <v>1275</v>
      </c>
      <c r="E1063" s="69" t="e">
        <v>#N/A</v>
      </c>
      <c r="F1063" s="69" t="s">
        <v>567</v>
      </c>
    </row>
    <row r="1064" spans="1:6" x14ac:dyDescent="0.2">
      <c r="A1064" s="69">
        <v>20000000046</v>
      </c>
      <c r="B1064" s="69" t="s">
        <v>220</v>
      </c>
      <c r="D1064" s="69" t="e">
        <v>#N/A</v>
      </c>
      <c r="E1064" s="69" t="e">
        <v>#N/A</v>
      </c>
      <c r="F1064" s="69" t="s">
        <v>566</v>
      </c>
    </row>
    <row r="1065" spans="1:6" x14ac:dyDescent="0.2">
      <c r="A1065" s="69">
        <v>20000000047</v>
      </c>
      <c r="B1065" s="69" t="s">
        <v>220</v>
      </c>
      <c r="D1065" s="69" t="e">
        <v>#N/A</v>
      </c>
      <c r="E1065" s="69" t="e">
        <v>#N/A</v>
      </c>
      <c r="F1065" s="69" t="s">
        <v>565</v>
      </c>
    </row>
    <row r="1066" spans="1:6" x14ac:dyDescent="0.2">
      <c r="A1066" s="69">
        <v>20000000048</v>
      </c>
      <c r="B1066" s="69" t="s">
        <v>220</v>
      </c>
      <c r="D1066" s="69" t="e">
        <v>#N/A</v>
      </c>
      <c r="E1066" s="69" t="e">
        <v>#N/A</v>
      </c>
      <c r="F1066" s="69" t="s">
        <v>564</v>
      </c>
    </row>
    <row r="1067" spans="1:6" x14ac:dyDescent="0.2">
      <c r="A1067" s="69">
        <v>20000000049</v>
      </c>
      <c r="B1067" s="69" t="s">
        <v>221</v>
      </c>
      <c r="D1067" s="69" t="e">
        <v>#N/A</v>
      </c>
      <c r="E1067" s="69" t="e">
        <v>#N/A</v>
      </c>
      <c r="F1067" s="69" t="s">
        <v>563</v>
      </c>
    </row>
    <row r="1068" spans="1:6" x14ac:dyDescent="0.2">
      <c r="A1068" s="69">
        <v>20000000050</v>
      </c>
      <c r="B1068" s="69" t="s">
        <v>221</v>
      </c>
      <c r="D1068" s="69" t="e">
        <v>#N/A</v>
      </c>
      <c r="E1068" s="69" t="e">
        <v>#N/A</v>
      </c>
      <c r="F1068" s="69" t="s">
        <v>562</v>
      </c>
    </row>
    <row r="1069" spans="1:6" x14ac:dyDescent="0.2">
      <c r="A1069" s="69">
        <v>20000000051</v>
      </c>
      <c r="B1069" s="69" t="s">
        <v>221</v>
      </c>
      <c r="D1069" s="69" t="e">
        <v>#N/A</v>
      </c>
      <c r="E1069" s="69" t="e">
        <v>#N/A</v>
      </c>
      <c r="F1069" s="69" t="s">
        <v>561</v>
      </c>
    </row>
    <row r="1070" spans="1:6" x14ac:dyDescent="0.2">
      <c r="A1070" s="69">
        <v>20000000053</v>
      </c>
      <c r="B1070" s="69" t="s">
        <v>221</v>
      </c>
      <c r="D1070" s="69" t="s">
        <v>1238</v>
      </c>
      <c r="E1070" s="69" t="e">
        <v>#N/A</v>
      </c>
      <c r="F1070" s="69" t="s">
        <v>560</v>
      </c>
    </row>
    <row r="1071" spans="1:6" x14ac:dyDescent="0.2">
      <c r="A1071" s="69">
        <v>20000000054</v>
      </c>
      <c r="B1071" s="69" t="s">
        <v>221</v>
      </c>
      <c r="D1071" s="69" t="s">
        <v>1238</v>
      </c>
      <c r="E1071" s="69" t="e">
        <v>#N/A</v>
      </c>
      <c r="F1071" s="69" t="s">
        <v>559</v>
      </c>
    </row>
    <row r="1072" spans="1:6" x14ac:dyDescent="0.2">
      <c r="A1072" s="69">
        <v>20000000055</v>
      </c>
      <c r="B1072" s="69" t="s">
        <v>221</v>
      </c>
      <c r="D1072" s="69" t="s">
        <v>1238</v>
      </c>
      <c r="E1072" s="69" t="e">
        <v>#N/A</v>
      </c>
      <c r="F1072" s="69" t="s">
        <v>558</v>
      </c>
    </row>
    <row r="1073" spans="1:6" x14ac:dyDescent="0.2">
      <c r="A1073" s="69">
        <v>20000000057</v>
      </c>
      <c r="E1073" s="69">
        <v>19</v>
      </c>
      <c r="F1073" s="69" t="s">
        <v>320</v>
      </c>
    </row>
    <row r="1074" spans="1:6" x14ac:dyDescent="0.2">
      <c r="A1074" s="69">
        <v>20000000062</v>
      </c>
      <c r="E1074" s="69">
        <v>19</v>
      </c>
      <c r="F1074" s="69" t="s">
        <v>319</v>
      </c>
    </row>
    <row r="1075" spans="1:6" x14ac:dyDescent="0.2">
      <c r="A1075" s="69">
        <v>20000000063</v>
      </c>
      <c r="B1075" s="69" t="s">
        <v>221</v>
      </c>
      <c r="D1075" s="69" t="e">
        <v>#N/A</v>
      </c>
      <c r="E1075" s="69" t="e">
        <v>#N/A</v>
      </c>
      <c r="F1075" s="69" t="s">
        <v>556</v>
      </c>
    </row>
    <row r="1076" spans="1:6" x14ac:dyDescent="0.2">
      <c r="A1076" s="69">
        <v>20000000064</v>
      </c>
      <c r="B1076" s="69" t="s">
        <v>221</v>
      </c>
      <c r="D1076" s="69" t="e">
        <v>#N/A</v>
      </c>
      <c r="E1076" s="69" t="e">
        <v>#N/A</v>
      </c>
      <c r="F1076" s="69" t="s">
        <v>555</v>
      </c>
    </row>
    <row r="1077" spans="1:6" x14ac:dyDescent="0.2">
      <c r="A1077" s="69">
        <v>20000000066</v>
      </c>
      <c r="B1077" s="69" t="s">
        <v>221</v>
      </c>
      <c r="D1077" s="69" t="e">
        <v>#N/A</v>
      </c>
      <c r="E1077" s="69" t="e">
        <v>#N/A</v>
      </c>
      <c r="F1077" s="69" t="s">
        <v>554</v>
      </c>
    </row>
    <row r="1078" spans="1:6" x14ac:dyDescent="0.2">
      <c r="A1078" s="69">
        <v>20000000067</v>
      </c>
      <c r="B1078" s="69" t="s">
        <v>221</v>
      </c>
      <c r="D1078" s="69" t="s">
        <v>1238</v>
      </c>
      <c r="E1078" s="69" t="e">
        <v>#N/A</v>
      </c>
      <c r="F1078" s="69" t="s">
        <v>553</v>
      </c>
    </row>
    <row r="1079" spans="1:6" x14ac:dyDescent="0.2">
      <c r="A1079" s="69">
        <v>20000000068</v>
      </c>
      <c r="B1079" s="69" t="s">
        <v>221</v>
      </c>
      <c r="D1079" s="69" t="s">
        <v>1238</v>
      </c>
      <c r="E1079" s="69" t="e">
        <v>#N/A</v>
      </c>
      <c r="F1079" s="69" t="s">
        <v>552</v>
      </c>
    </row>
    <row r="1080" spans="1:6" x14ac:dyDescent="0.2">
      <c r="A1080" s="69">
        <v>20000000069</v>
      </c>
      <c r="B1080" s="69" t="s">
        <v>221</v>
      </c>
      <c r="D1080" s="69" t="e">
        <v>#N/A</v>
      </c>
      <c r="E1080" s="69" t="e">
        <v>#N/A</v>
      </c>
      <c r="F1080" s="69" t="s">
        <v>551</v>
      </c>
    </row>
    <row r="1081" spans="1:6" x14ac:dyDescent="0.2">
      <c r="A1081" s="69">
        <v>20000000070</v>
      </c>
      <c r="B1081" s="69" t="s">
        <v>221</v>
      </c>
      <c r="D1081" s="69" t="e">
        <v>#N/A</v>
      </c>
      <c r="E1081" s="69" t="e">
        <v>#N/A</v>
      </c>
      <c r="F1081" s="69" t="s">
        <v>550</v>
      </c>
    </row>
    <row r="1082" spans="1:6" x14ac:dyDescent="0.2">
      <c r="A1082" s="69">
        <v>20000000071</v>
      </c>
      <c r="B1082" s="69" t="s">
        <v>221</v>
      </c>
      <c r="D1082" s="69" t="e">
        <v>#N/A</v>
      </c>
      <c r="E1082" s="69" t="e">
        <v>#N/A</v>
      </c>
      <c r="F1082" s="69" t="s">
        <v>549</v>
      </c>
    </row>
    <row r="1083" spans="1:6" x14ac:dyDescent="0.2">
      <c r="A1083" s="69">
        <v>20000000073</v>
      </c>
      <c r="B1083" s="69" t="s">
        <v>221</v>
      </c>
      <c r="D1083" s="69" t="e">
        <v>#N/A</v>
      </c>
      <c r="E1083" s="69" t="e">
        <v>#N/A</v>
      </c>
      <c r="F1083" s="69" t="s">
        <v>548</v>
      </c>
    </row>
    <row r="1084" spans="1:6" x14ac:dyDescent="0.2">
      <c r="A1084" s="69">
        <v>20000000074</v>
      </c>
      <c r="B1084" s="69" t="s">
        <v>221</v>
      </c>
      <c r="D1084" s="69" t="e">
        <v>#N/A</v>
      </c>
      <c r="E1084" s="69" t="e">
        <v>#N/A</v>
      </c>
      <c r="F1084" s="69" t="s">
        <v>547</v>
      </c>
    </row>
    <row r="1085" spans="1:6" x14ac:dyDescent="0.2">
      <c r="A1085" s="69">
        <v>20000000075</v>
      </c>
      <c r="B1085" s="69" t="s">
        <v>221</v>
      </c>
      <c r="D1085" s="69" t="s">
        <v>1240</v>
      </c>
      <c r="E1085" s="69" t="e">
        <v>#N/A</v>
      </c>
      <c r="F1085" s="69" t="s">
        <v>546</v>
      </c>
    </row>
    <row r="1086" spans="1:6" x14ac:dyDescent="0.2">
      <c r="A1086" s="69">
        <v>20000000076</v>
      </c>
      <c r="B1086" s="69" t="s">
        <v>221</v>
      </c>
      <c r="D1086" s="69" t="e">
        <v>#N/A</v>
      </c>
      <c r="E1086" s="69" t="e">
        <v>#N/A</v>
      </c>
      <c r="F1086" s="69" t="s">
        <v>545</v>
      </c>
    </row>
    <row r="1087" spans="1:6" x14ac:dyDescent="0.2">
      <c r="A1087" s="69">
        <v>20000000091</v>
      </c>
      <c r="B1087" s="69" t="s">
        <v>220</v>
      </c>
      <c r="D1087" s="69" t="s">
        <v>1240</v>
      </c>
      <c r="E1087" s="69" t="e">
        <v>#N/A</v>
      </c>
      <c r="F1087" s="69" t="s">
        <v>543</v>
      </c>
    </row>
    <row r="1088" spans="1:6" x14ac:dyDescent="0.2">
      <c r="A1088" s="69">
        <v>20000000092</v>
      </c>
      <c r="B1088" s="69" t="s">
        <v>220</v>
      </c>
      <c r="D1088" s="69" t="e">
        <v>#N/A</v>
      </c>
      <c r="E1088" s="69" t="e">
        <v>#N/A</v>
      </c>
      <c r="F1088" s="69" t="s">
        <v>542</v>
      </c>
    </row>
    <row r="1089" spans="1:6" x14ac:dyDescent="0.2">
      <c r="A1089" s="69">
        <v>20000000093</v>
      </c>
      <c r="B1089" s="69" t="s">
        <v>221</v>
      </c>
      <c r="D1089" s="69" t="s">
        <v>1240</v>
      </c>
      <c r="E1089" s="69" t="e">
        <v>#N/A</v>
      </c>
      <c r="F1089" s="69" t="s">
        <v>541</v>
      </c>
    </row>
    <row r="1090" spans="1:6" x14ac:dyDescent="0.2">
      <c r="A1090" s="69">
        <v>20000000094</v>
      </c>
      <c r="B1090" s="69" t="s">
        <v>221</v>
      </c>
      <c r="D1090" s="69" t="e">
        <v>#N/A</v>
      </c>
      <c r="E1090" s="69" t="e">
        <v>#N/A</v>
      </c>
      <c r="F1090" s="69" t="s">
        <v>540</v>
      </c>
    </row>
    <row r="1091" spans="1:6" x14ac:dyDescent="0.2">
      <c r="A1091" s="69">
        <v>20000000095</v>
      </c>
      <c r="B1091" s="69" t="s">
        <v>221</v>
      </c>
      <c r="D1091" s="69" t="e">
        <v>#N/A</v>
      </c>
      <c r="E1091" s="69" t="e">
        <v>#N/A</v>
      </c>
      <c r="F1091" s="69" t="s">
        <v>539</v>
      </c>
    </row>
    <row r="1092" spans="1:6" x14ac:dyDescent="0.2">
      <c r="A1092" s="69">
        <v>20000000096</v>
      </c>
      <c r="B1092" s="69" t="s">
        <v>221</v>
      </c>
      <c r="D1092" s="69" t="s">
        <v>1240</v>
      </c>
      <c r="E1092" s="69" t="e">
        <v>#N/A</v>
      </c>
      <c r="F1092" s="69" t="s">
        <v>538</v>
      </c>
    </row>
    <row r="1093" spans="1:6" x14ac:dyDescent="0.2">
      <c r="A1093" s="69">
        <v>20000000097</v>
      </c>
      <c r="B1093" s="69" t="s">
        <v>221</v>
      </c>
      <c r="D1093" s="69" t="e">
        <v>#N/A</v>
      </c>
      <c r="E1093" s="69" t="e">
        <v>#N/A</v>
      </c>
      <c r="F1093" s="69" t="s">
        <v>537</v>
      </c>
    </row>
    <row r="1094" spans="1:6" x14ac:dyDescent="0.2">
      <c r="A1094" s="69">
        <v>20000000098</v>
      </c>
      <c r="B1094" s="69" t="s">
        <v>262</v>
      </c>
      <c r="D1094" s="69" t="e">
        <v>#N/A</v>
      </c>
      <c r="E1094" s="69" t="e">
        <v>#N/A</v>
      </c>
      <c r="F1094" s="69" t="s">
        <v>536</v>
      </c>
    </row>
    <row r="1095" spans="1:6" x14ac:dyDescent="0.2">
      <c r="A1095" s="69">
        <v>20000000110</v>
      </c>
      <c r="B1095" s="69" t="s">
        <v>221</v>
      </c>
      <c r="D1095" s="69" t="e">
        <v>#N/A</v>
      </c>
      <c r="E1095" s="69" t="e">
        <v>#N/A</v>
      </c>
      <c r="F1095" s="69" t="s">
        <v>535</v>
      </c>
    </row>
    <row r="1096" spans="1:6" x14ac:dyDescent="0.2">
      <c r="A1096" s="69">
        <v>20000000111</v>
      </c>
      <c r="B1096" s="69" t="s">
        <v>221</v>
      </c>
      <c r="D1096" s="69" t="e">
        <v>#N/A</v>
      </c>
      <c r="E1096" s="69" t="e">
        <v>#N/A</v>
      </c>
      <c r="F1096" s="69" t="s">
        <v>534</v>
      </c>
    </row>
    <row r="1097" spans="1:6" x14ac:dyDescent="0.2">
      <c r="A1097" s="69">
        <v>20000000112</v>
      </c>
      <c r="E1097" s="69">
        <v>28</v>
      </c>
      <c r="F1097" s="69" t="s">
        <v>168</v>
      </c>
    </row>
    <row r="1098" spans="1:6" x14ac:dyDescent="0.2">
      <c r="A1098" s="69">
        <v>20000000135</v>
      </c>
      <c r="E1098" s="69">
        <v>23</v>
      </c>
      <c r="F1098" s="69" t="s">
        <v>1620</v>
      </c>
    </row>
    <row r="1099" spans="1:6" x14ac:dyDescent="0.2">
      <c r="A1099" s="69">
        <v>20000000138</v>
      </c>
      <c r="E1099" s="69">
        <v>23</v>
      </c>
      <c r="F1099" s="69" t="s">
        <v>283</v>
      </c>
    </row>
    <row r="1100" spans="1:6" x14ac:dyDescent="0.2">
      <c r="A1100" s="69">
        <v>20000000139</v>
      </c>
      <c r="B1100" s="69" t="s">
        <v>221</v>
      </c>
      <c r="D1100" s="69" t="e">
        <v>#N/A</v>
      </c>
      <c r="E1100" s="69" t="e">
        <v>#N/A</v>
      </c>
      <c r="F1100" s="69" t="s">
        <v>533</v>
      </c>
    </row>
    <row r="1101" spans="1:6" x14ac:dyDescent="0.2">
      <c r="A1101" s="69">
        <v>20000000140</v>
      </c>
      <c r="B1101" s="69" t="s">
        <v>221</v>
      </c>
      <c r="D1101" s="69" t="e">
        <v>#N/A</v>
      </c>
      <c r="E1101" s="69" t="e">
        <v>#N/A</v>
      </c>
      <c r="F1101" s="69" t="s">
        <v>532</v>
      </c>
    </row>
    <row r="1102" spans="1:6" x14ac:dyDescent="0.2">
      <c r="A1102" s="69">
        <v>20000000141</v>
      </c>
      <c r="B1102" s="69" t="s">
        <v>221</v>
      </c>
      <c r="D1102" s="69" t="e">
        <v>#N/A</v>
      </c>
      <c r="E1102" s="69" t="e">
        <v>#N/A</v>
      </c>
      <c r="F1102" s="69" t="s">
        <v>531</v>
      </c>
    </row>
    <row r="1103" spans="1:6" x14ac:dyDescent="0.2">
      <c r="A1103" s="69">
        <v>20000000165</v>
      </c>
      <c r="B1103" s="69" t="s">
        <v>221</v>
      </c>
      <c r="D1103" s="69" t="e">
        <v>#N/A</v>
      </c>
      <c r="E1103" s="69" t="e">
        <v>#N/A</v>
      </c>
      <c r="F1103" s="69" t="s">
        <v>524</v>
      </c>
    </row>
    <row r="1104" spans="1:6" x14ac:dyDescent="0.2">
      <c r="A1104" s="69">
        <v>20000000167</v>
      </c>
      <c r="B1104" s="69" t="s">
        <v>220</v>
      </c>
      <c r="D1104" s="69" t="e">
        <v>#N/A</v>
      </c>
      <c r="E1104" s="69" t="e">
        <v>#N/A</v>
      </c>
      <c r="F1104" s="69" t="s">
        <v>523</v>
      </c>
    </row>
    <row r="1105" spans="1:6" x14ac:dyDescent="0.2">
      <c r="A1105" s="69">
        <v>20000000182</v>
      </c>
      <c r="B1105" s="69" t="s">
        <v>262</v>
      </c>
      <c r="D1105" s="69" t="e">
        <v>#N/A</v>
      </c>
      <c r="E1105" s="69" t="e">
        <v>#N/A</v>
      </c>
      <c r="F1105" s="69" t="s">
        <v>522</v>
      </c>
    </row>
    <row r="1106" spans="1:6" x14ac:dyDescent="0.2">
      <c r="A1106" s="69">
        <v>20000000183</v>
      </c>
      <c r="E1106" s="69">
        <v>23</v>
      </c>
      <c r="F1106" s="69" t="s">
        <v>271</v>
      </c>
    </row>
    <row r="1107" spans="1:6" x14ac:dyDescent="0.2">
      <c r="A1107" s="69">
        <v>20000000187</v>
      </c>
      <c r="E1107" s="69">
        <v>23</v>
      </c>
      <c r="F1107" s="69" t="s">
        <v>270</v>
      </c>
    </row>
    <row r="1108" spans="1:6" x14ac:dyDescent="0.2">
      <c r="A1108" s="69">
        <v>20000000198</v>
      </c>
      <c r="E1108" s="69">
        <v>23</v>
      </c>
      <c r="F1108" s="69" t="s">
        <v>268</v>
      </c>
    </row>
    <row r="1109" spans="1:6" x14ac:dyDescent="0.2">
      <c r="A1109" s="69">
        <v>20000000203</v>
      </c>
      <c r="E1109" s="69">
        <v>23</v>
      </c>
      <c r="F1109" s="69" t="s">
        <v>266</v>
      </c>
    </row>
    <row r="1110" spans="1:6" x14ac:dyDescent="0.2">
      <c r="A1110" s="69">
        <v>20000000205</v>
      </c>
      <c r="E1110" s="69">
        <v>23</v>
      </c>
      <c r="F1110" s="69" t="s">
        <v>264</v>
      </c>
    </row>
    <row r="1111" spans="1:6" x14ac:dyDescent="0.2">
      <c r="A1111" s="69">
        <v>20000000207</v>
      </c>
      <c r="B1111" s="69" t="s">
        <v>220</v>
      </c>
      <c r="D1111" s="69" t="e">
        <v>#N/A</v>
      </c>
      <c r="E1111" s="69" t="e">
        <v>#N/A</v>
      </c>
      <c r="F1111" s="69" t="s">
        <v>516</v>
      </c>
    </row>
    <row r="1112" spans="1:6" x14ac:dyDescent="0.2">
      <c r="A1112" s="69">
        <v>20000000208</v>
      </c>
      <c r="B1112" s="69" t="s">
        <v>254</v>
      </c>
      <c r="D1112" s="69" t="s">
        <v>1263</v>
      </c>
      <c r="E1112" s="69" t="e">
        <v>#N/A</v>
      </c>
      <c r="F1112" s="69" t="s">
        <v>515</v>
      </c>
    </row>
    <row r="1113" spans="1:6" x14ac:dyDescent="0.2">
      <c r="A1113" s="69">
        <v>20000000213</v>
      </c>
      <c r="E1113" s="69">
        <v>23</v>
      </c>
      <c r="F1113" s="69" t="s">
        <v>259</v>
      </c>
    </row>
    <row r="1114" spans="1:6" x14ac:dyDescent="0.2">
      <c r="A1114" s="69">
        <v>20000000215</v>
      </c>
      <c r="E1114" s="69">
        <v>23</v>
      </c>
      <c r="F1114" s="69" t="s">
        <v>258</v>
      </c>
    </row>
    <row r="1115" spans="1:6" x14ac:dyDescent="0.2">
      <c r="A1115" s="69">
        <v>20000000218</v>
      </c>
      <c r="E1115" s="69">
        <v>23</v>
      </c>
      <c r="F1115" s="69" t="s">
        <v>255</v>
      </c>
    </row>
    <row r="1116" spans="1:6" x14ac:dyDescent="0.2">
      <c r="A1116" s="69">
        <v>20000000226</v>
      </c>
      <c r="B1116" s="69" t="s">
        <v>387</v>
      </c>
      <c r="D1116" s="69" t="e">
        <v>#N/A</v>
      </c>
      <c r="E1116" s="69" t="e">
        <v>#N/A</v>
      </c>
      <c r="F1116" s="69" t="s">
        <v>510</v>
      </c>
    </row>
    <row r="1117" spans="1:6" x14ac:dyDescent="0.2">
      <c r="A1117" s="69">
        <v>20000000227</v>
      </c>
      <c r="B1117" s="69" t="s">
        <v>387</v>
      </c>
      <c r="D1117" s="69" t="e">
        <v>#N/A</v>
      </c>
      <c r="E1117" s="69" t="e">
        <v>#N/A</v>
      </c>
      <c r="F1117" s="69" t="s">
        <v>509</v>
      </c>
    </row>
    <row r="1118" spans="1:6" x14ac:dyDescent="0.2">
      <c r="A1118" s="69">
        <v>20000000228</v>
      </c>
      <c r="E1118" s="69">
        <v>28</v>
      </c>
      <c r="F1118" s="69" t="s">
        <v>1408</v>
      </c>
    </row>
    <row r="1119" spans="1:6" x14ac:dyDescent="0.2">
      <c r="A1119" s="69">
        <v>20000000229</v>
      </c>
      <c r="B1119" s="69" t="s">
        <v>387</v>
      </c>
      <c r="D1119" s="69" t="e">
        <v>#N/A</v>
      </c>
      <c r="E1119" s="69" t="e">
        <v>#N/A</v>
      </c>
      <c r="F1119" s="69" t="s">
        <v>508</v>
      </c>
    </row>
    <row r="1120" spans="1:6" x14ac:dyDescent="0.2">
      <c r="A1120" s="69">
        <v>20000000230</v>
      </c>
      <c r="B1120" s="69" t="s">
        <v>387</v>
      </c>
      <c r="D1120" s="69" t="e">
        <v>#N/A</v>
      </c>
      <c r="E1120" s="69" t="e">
        <v>#N/A</v>
      </c>
      <c r="F1120" s="69" t="s">
        <v>507</v>
      </c>
    </row>
    <row r="1121" spans="1:6" x14ac:dyDescent="0.2">
      <c r="A1121" s="69">
        <v>20000000232</v>
      </c>
      <c r="B1121" s="69" t="s">
        <v>387</v>
      </c>
      <c r="D1121" s="69" t="e">
        <v>#N/A</v>
      </c>
      <c r="E1121" s="69" t="e">
        <v>#N/A</v>
      </c>
      <c r="F1121" s="69" t="s">
        <v>505</v>
      </c>
    </row>
    <row r="1122" spans="1:6" x14ac:dyDescent="0.2">
      <c r="A1122" s="69">
        <v>20000000237</v>
      </c>
      <c r="B1122" s="69" t="s">
        <v>221</v>
      </c>
      <c r="D1122" s="69" t="e">
        <v>#N/A</v>
      </c>
      <c r="E1122" s="69" t="e">
        <v>#N/A</v>
      </c>
      <c r="F1122" s="69" t="s">
        <v>503</v>
      </c>
    </row>
    <row r="1123" spans="1:6" x14ac:dyDescent="0.2">
      <c r="A1123" s="69">
        <v>20000000246</v>
      </c>
      <c r="E1123" s="69">
        <v>23</v>
      </c>
      <c r="F1123" s="69" t="s">
        <v>1277</v>
      </c>
    </row>
    <row r="1124" spans="1:6" x14ac:dyDescent="0.2">
      <c r="A1124" s="69">
        <v>20000000251</v>
      </c>
      <c r="E1124" s="69">
        <v>28</v>
      </c>
      <c r="F1124" s="69" t="s">
        <v>1409</v>
      </c>
    </row>
    <row r="1125" spans="1:6" x14ac:dyDescent="0.2">
      <c r="A1125" s="69">
        <v>20000000255</v>
      </c>
      <c r="B1125" s="69" t="s">
        <v>221</v>
      </c>
      <c r="D1125" s="69" t="e">
        <v>#N/A</v>
      </c>
      <c r="E1125" s="69" t="e">
        <v>#N/A</v>
      </c>
      <c r="F1125" s="69" t="s">
        <v>499</v>
      </c>
    </row>
    <row r="1126" spans="1:6" x14ac:dyDescent="0.2">
      <c r="A1126" s="69">
        <v>20000000256</v>
      </c>
      <c r="B1126" s="69" t="s">
        <v>221</v>
      </c>
      <c r="D1126" s="69" t="e">
        <v>#N/A</v>
      </c>
      <c r="E1126" s="69" t="e">
        <v>#N/A</v>
      </c>
      <c r="F1126" s="69" t="s">
        <v>498</v>
      </c>
    </row>
    <row r="1127" spans="1:6" x14ac:dyDescent="0.2">
      <c r="A1127" s="69">
        <v>20000000257</v>
      </c>
      <c r="B1127" s="69" t="s">
        <v>221</v>
      </c>
      <c r="D1127" s="69" t="e">
        <v>#N/A</v>
      </c>
      <c r="E1127" s="69" t="e">
        <v>#N/A</v>
      </c>
      <c r="F1127" s="69" t="s">
        <v>497</v>
      </c>
    </row>
    <row r="1128" spans="1:6" x14ac:dyDescent="0.2">
      <c r="A1128" s="69">
        <v>20000000258</v>
      </c>
      <c r="E1128" s="69">
        <v>28</v>
      </c>
      <c r="F1128" s="69" t="s">
        <v>1410</v>
      </c>
    </row>
    <row r="1129" spans="1:6" x14ac:dyDescent="0.2">
      <c r="A1129" s="69">
        <v>20000000259</v>
      </c>
      <c r="B1129" s="69" t="s">
        <v>221</v>
      </c>
      <c r="D1129" s="69" t="e">
        <v>#N/A</v>
      </c>
      <c r="E1129" s="69" t="e">
        <v>#N/A</v>
      </c>
      <c r="F1129" s="69" t="s">
        <v>496</v>
      </c>
    </row>
    <row r="1130" spans="1:6" x14ac:dyDescent="0.2">
      <c r="A1130" s="69">
        <v>20000000260</v>
      </c>
      <c r="B1130" s="69" t="s">
        <v>220</v>
      </c>
      <c r="D1130" s="69" t="e">
        <v>#N/A</v>
      </c>
      <c r="E1130" s="69" t="e">
        <v>#N/A</v>
      </c>
      <c r="F1130" s="69" t="s">
        <v>495</v>
      </c>
    </row>
    <row r="1131" spans="1:6" x14ac:dyDescent="0.2">
      <c r="A1131" s="69">
        <v>20000000262</v>
      </c>
      <c r="B1131" s="69" t="s">
        <v>221</v>
      </c>
      <c r="D1131" s="69" t="e">
        <v>#N/A</v>
      </c>
      <c r="E1131" s="69" t="e">
        <v>#N/A</v>
      </c>
      <c r="F1131" s="69" t="s">
        <v>494</v>
      </c>
    </row>
    <row r="1132" spans="1:6" x14ac:dyDescent="0.2">
      <c r="A1132" s="69">
        <v>20000000263</v>
      </c>
      <c r="E1132" s="69">
        <v>28</v>
      </c>
      <c r="F1132" s="69" t="s">
        <v>1411</v>
      </c>
    </row>
    <row r="1133" spans="1:6" x14ac:dyDescent="0.2">
      <c r="A1133" s="69">
        <v>20000000268</v>
      </c>
      <c r="E1133" s="69">
        <v>28</v>
      </c>
      <c r="F1133" s="69" t="s">
        <v>1412</v>
      </c>
    </row>
    <row r="1134" spans="1:6" x14ac:dyDescent="0.2">
      <c r="A1134" s="69">
        <v>20000000273</v>
      </c>
      <c r="B1134" s="69" t="s">
        <v>221</v>
      </c>
      <c r="D1134" s="69" t="e">
        <v>#N/A</v>
      </c>
      <c r="E1134" s="69" t="e">
        <v>#N/A</v>
      </c>
      <c r="F1134" s="69" t="s">
        <v>488</v>
      </c>
    </row>
    <row r="1135" spans="1:6" x14ac:dyDescent="0.2">
      <c r="A1135" s="69">
        <v>20000000274</v>
      </c>
      <c r="B1135" s="69" t="s">
        <v>221</v>
      </c>
      <c r="D1135" s="69" t="s">
        <v>1448</v>
      </c>
      <c r="E1135" s="69" t="e">
        <v>#N/A</v>
      </c>
      <c r="F1135" s="69" t="s">
        <v>487</v>
      </c>
    </row>
    <row r="1136" spans="1:6" x14ac:dyDescent="0.2">
      <c r="A1136" s="69">
        <v>20000000275</v>
      </c>
      <c r="B1136" s="69" t="s">
        <v>221</v>
      </c>
      <c r="D1136" s="69" t="e">
        <v>#N/A</v>
      </c>
      <c r="E1136" s="69" t="e">
        <v>#N/A</v>
      </c>
      <c r="F1136" s="69" t="s">
        <v>486</v>
      </c>
    </row>
    <row r="1137" spans="1:6" x14ac:dyDescent="0.2">
      <c r="A1137" s="69">
        <v>20000000276</v>
      </c>
      <c r="B1137" s="69" t="s">
        <v>221</v>
      </c>
      <c r="D1137" s="69" t="e">
        <v>#N/A</v>
      </c>
      <c r="E1137" s="69" t="e">
        <v>#N/A</v>
      </c>
      <c r="F1137" s="69" t="s">
        <v>485</v>
      </c>
    </row>
    <row r="1138" spans="1:6" x14ac:dyDescent="0.2">
      <c r="A1138" s="69">
        <v>20000000277</v>
      </c>
      <c r="B1138" s="69" t="s">
        <v>221</v>
      </c>
      <c r="D1138" s="69" t="e">
        <v>#N/A</v>
      </c>
      <c r="E1138" s="69" t="e">
        <v>#N/A</v>
      </c>
      <c r="F1138" s="69" t="s">
        <v>484</v>
      </c>
    </row>
    <row r="1139" spans="1:6" x14ac:dyDescent="0.2">
      <c r="A1139" s="69">
        <v>20000000283</v>
      </c>
      <c r="E1139" s="69">
        <v>23</v>
      </c>
      <c r="F1139" s="69" t="s">
        <v>1692</v>
      </c>
    </row>
    <row r="1140" spans="1:6" x14ac:dyDescent="0.2">
      <c r="A1140" s="69">
        <v>20000000289</v>
      </c>
      <c r="E1140" s="69">
        <v>19</v>
      </c>
      <c r="F1140" s="69" t="s">
        <v>1247</v>
      </c>
    </row>
    <row r="1141" spans="1:6" x14ac:dyDescent="0.2">
      <c r="A1141" s="69">
        <v>20000000294</v>
      </c>
      <c r="B1141" s="69" t="s">
        <v>220</v>
      </c>
      <c r="D1141" s="69" t="s">
        <v>81</v>
      </c>
      <c r="E1141" s="69" t="e">
        <v>#N/A</v>
      </c>
      <c r="F1141" s="69" t="s">
        <v>481</v>
      </c>
    </row>
    <row r="1142" spans="1:6" x14ac:dyDescent="0.2">
      <c r="A1142" s="69">
        <v>20000000295</v>
      </c>
      <c r="B1142" s="69" t="s">
        <v>221</v>
      </c>
      <c r="D1142" s="69" t="e">
        <v>#N/A</v>
      </c>
      <c r="E1142" s="69" t="e">
        <v>#N/A</v>
      </c>
      <c r="F1142" s="69" t="s">
        <v>480</v>
      </c>
    </row>
    <row r="1143" spans="1:6" x14ac:dyDescent="0.2">
      <c r="A1143" s="69">
        <v>20000000296</v>
      </c>
      <c r="B1143" s="69" t="s">
        <v>262</v>
      </c>
      <c r="D1143" s="69" t="e">
        <v>#N/A</v>
      </c>
      <c r="E1143" s="69" t="e">
        <v>#N/A</v>
      </c>
      <c r="F1143" s="69" t="s">
        <v>479</v>
      </c>
    </row>
    <row r="1144" spans="1:6" x14ac:dyDescent="0.2">
      <c r="A1144" s="69">
        <v>20000000301</v>
      </c>
      <c r="E1144" s="69">
        <v>28</v>
      </c>
      <c r="F1144" s="69" t="s">
        <v>1413</v>
      </c>
    </row>
    <row r="1145" spans="1:6" x14ac:dyDescent="0.2">
      <c r="A1145" s="69">
        <v>20000000304</v>
      </c>
      <c r="B1145" s="69" t="s">
        <v>254</v>
      </c>
      <c r="D1145" s="69" t="s">
        <v>81</v>
      </c>
      <c r="E1145" s="69" t="e">
        <v>#N/A</v>
      </c>
      <c r="F1145" s="69" t="s">
        <v>478</v>
      </c>
    </row>
    <row r="1146" spans="1:6" x14ac:dyDescent="0.2">
      <c r="A1146" s="69">
        <v>20000000305</v>
      </c>
      <c r="B1146" s="69" t="s">
        <v>252</v>
      </c>
      <c r="D1146" s="69" t="s">
        <v>81</v>
      </c>
      <c r="E1146" s="69" t="e">
        <v>#N/A</v>
      </c>
      <c r="F1146" s="69" t="s">
        <v>478</v>
      </c>
    </row>
    <row r="1147" spans="1:6" x14ac:dyDescent="0.2">
      <c r="A1147" s="69">
        <v>20000000306</v>
      </c>
      <c r="B1147" s="69" t="s">
        <v>250</v>
      </c>
      <c r="D1147" s="69" t="s">
        <v>81</v>
      </c>
      <c r="E1147" s="69" t="e">
        <v>#N/A</v>
      </c>
      <c r="F1147" s="69" t="s">
        <v>478</v>
      </c>
    </row>
    <row r="1148" spans="1:6" x14ac:dyDescent="0.2">
      <c r="A1148" s="69">
        <v>20000000307</v>
      </c>
      <c r="B1148" s="69" t="s">
        <v>220</v>
      </c>
      <c r="D1148" s="69" t="e">
        <v>#N/A</v>
      </c>
      <c r="E1148" s="69" t="e">
        <v>#N/A</v>
      </c>
      <c r="F1148" s="69" t="s">
        <v>477</v>
      </c>
    </row>
    <row r="1149" spans="1:6" x14ac:dyDescent="0.2">
      <c r="A1149" s="69">
        <v>20000000312</v>
      </c>
      <c r="E1149" s="69">
        <v>19</v>
      </c>
      <c r="F1149" s="69" t="s">
        <v>159</v>
      </c>
    </row>
    <row r="1150" spans="1:6" x14ac:dyDescent="0.2">
      <c r="A1150" s="69">
        <v>20000000315</v>
      </c>
      <c r="E1150" s="69">
        <v>19</v>
      </c>
      <c r="F1150" s="69" t="s">
        <v>1249</v>
      </c>
    </row>
    <row r="1151" spans="1:6" x14ac:dyDescent="0.2">
      <c r="A1151" s="69">
        <v>20000000320</v>
      </c>
      <c r="E1151" s="69">
        <v>19</v>
      </c>
      <c r="F1151" s="69" t="s">
        <v>191</v>
      </c>
    </row>
    <row r="1152" spans="1:6" x14ac:dyDescent="0.2">
      <c r="A1152" s="69">
        <v>20000000324</v>
      </c>
      <c r="E1152" s="69">
        <v>19</v>
      </c>
      <c r="F1152" s="69" t="s">
        <v>215</v>
      </c>
    </row>
    <row r="1153" spans="1:6" x14ac:dyDescent="0.2">
      <c r="A1153" s="69">
        <v>20000000327</v>
      </c>
      <c r="E1153" s="69">
        <v>19</v>
      </c>
      <c r="F1153" s="69" t="s">
        <v>171</v>
      </c>
    </row>
    <row r="1154" spans="1:6" x14ac:dyDescent="0.2">
      <c r="A1154" s="69">
        <v>20000000329</v>
      </c>
      <c r="B1154" s="69" t="s">
        <v>221</v>
      </c>
      <c r="D1154" s="69" t="s">
        <v>81</v>
      </c>
      <c r="E1154" s="69" t="e">
        <v>#N/A</v>
      </c>
      <c r="F1154" s="69" t="s">
        <v>472</v>
      </c>
    </row>
    <row r="1155" spans="1:6" x14ac:dyDescent="0.2">
      <c r="A1155" s="69">
        <v>20000000332</v>
      </c>
      <c r="B1155" s="69" t="s">
        <v>262</v>
      </c>
      <c r="D1155" s="69" t="e">
        <v>#N/A</v>
      </c>
      <c r="E1155" s="69" t="e">
        <v>#N/A</v>
      </c>
      <c r="F1155" s="69" t="s">
        <v>471</v>
      </c>
    </row>
    <row r="1156" spans="1:6" x14ac:dyDescent="0.2">
      <c r="A1156" s="69">
        <v>20000000334</v>
      </c>
      <c r="B1156" s="69" t="s">
        <v>220</v>
      </c>
      <c r="D1156" s="69" t="e">
        <v>#N/A</v>
      </c>
      <c r="E1156" s="69" t="e">
        <v>#N/A</v>
      </c>
      <c r="F1156" s="69" t="s">
        <v>470</v>
      </c>
    </row>
    <row r="1157" spans="1:6" x14ac:dyDescent="0.2">
      <c r="A1157" s="69">
        <v>20000000335</v>
      </c>
      <c r="E1157" s="69">
        <v>19</v>
      </c>
      <c r="F1157" s="69" t="s">
        <v>105</v>
      </c>
    </row>
    <row r="1158" spans="1:6" x14ac:dyDescent="0.2">
      <c r="A1158" s="69">
        <v>20000000337</v>
      </c>
      <c r="B1158" s="69" t="s">
        <v>290</v>
      </c>
      <c r="D1158" s="69" t="s">
        <v>1248</v>
      </c>
      <c r="E1158" s="69" t="e">
        <v>#N/A</v>
      </c>
      <c r="F1158" s="69" t="s">
        <v>469</v>
      </c>
    </row>
    <row r="1159" spans="1:6" x14ac:dyDescent="0.2">
      <c r="A1159" s="69">
        <v>20000000338</v>
      </c>
      <c r="B1159" s="69" t="s">
        <v>290</v>
      </c>
      <c r="D1159" s="69" t="s">
        <v>1243</v>
      </c>
      <c r="E1159" s="69" t="e">
        <v>#N/A</v>
      </c>
      <c r="F1159" s="69" t="s">
        <v>468</v>
      </c>
    </row>
    <row r="1160" spans="1:6" x14ac:dyDescent="0.2">
      <c r="A1160" s="69">
        <v>20000000339</v>
      </c>
      <c r="E1160" s="69">
        <v>19</v>
      </c>
      <c r="F1160" s="69" t="s">
        <v>158</v>
      </c>
    </row>
    <row r="1161" spans="1:6" x14ac:dyDescent="0.2">
      <c r="A1161" s="69">
        <v>20000000341</v>
      </c>
      <c r="B1161" s="69" t="s">
        <v>221</v>
      </c>
      <c r="D1161" s="69" t="e">
        <v>#N/A</v>
      </c>
      <c r="E1161" s="69" t="e">
        <v>#N/A</v>
      </c>
      <c r="F1161" s="69" t="s">
        <v>467</v>
      </c>
    </row>
    <row r="1162" spans="1:6" x14ac:dyDescent="0.2">
      <c r="A1162" s="69">
        <v>20000000342</v>
      </c>
      <c r="E1162" s="69">
        <v>28</v>
      </c>
      <c r="F1162" s="69" t="s">
        <v>1414</v>
      </c>
    </row>
    <row r="1163" spans="1:6" x14ac:dyDescent="0.2">
      <c r="A1163" s="69">
        <v>20000000343</v>
      </c>
      <c r="B1163" s="69" t="s">
        <v>221</v>
      </c>
      <c r="D1163" s="69" t="e">
        <v>#N/A</v>
      </c>
      <c r="E1163" s="69" t="e">
        <v>#N/A</v>
      </c>
      <c r="F1163" s="69" t="s">
        <v>466</v>
      </c>
    </row>
    <row r="1164" spans="1:6" x14ac:dyDescent="0.2">
      <c r="A1164" s="69">
        <v>20000000345</v>
      </c>
      <c r="B1164" s="69" t="s">
        <v>221</v>
      </c>
      <c r="D1164" s="69" t="e">
        <v>#N/A</v>
      </c>
      <c r="E1164" s="69" t="e">
        <v>#N/A</v>
      </c>
      <c r="F1164" s="69" t="s">
        <v>464</v>
      </c>
    </row>
    <row r="1165" spans="1:6" x14ac:dyDescent="0.2">
      <c r="A1165" s="69">
        <v>20000000346</v>
      </c>
      <c r="B1165" s="69" t="s">
        <v>221</v>
      </c>
      <c r="D1165" s="69" t="s">
        <v>1244</v>
      </c>
      <c r="E1165" s="69" t="e">
        <v>#N/A</v>
      </c>
      <c r="F1165" s="69" t="s">
        <v>463</v>
      </c>
    </row>
    <row r="1166" spans="1:6" x14ac:dyDescent="0.2">
      <c r="A1166" s="69">
        <v>20000000348</v>
      </c>
      <c r="E1166" s="69">
        <v>19</v>
      </c>
      <c r="F1166" s="69" t="s">
        <v>1250</v>
      </c>
    </row>
    <row r="1167" spans="1:6" x14ac:dyDescent="0.2">
      <c r="A1167" s="69">
        <v>20000000349</v>
      </c>
      <c r="B1167" s="69" t="s">
        <v>220</v>
      </c>
      <c r="D1167" s="69" t="s">
        <v>81</v>
      </c>
      <c r="E1167" s="69" t="e">
        <v>#N/A</v>
      </c>
      <c r="F1167" s="69" t="s">
        <v>461</v>
      </c>
    </row>
    <row r="1168" spans="1:6" x14ac:dyDescent="0.2">
      <c r="A1168" s="69">
        <v>20000000350</v>
      </c>
      <c r="B1168" s="69" t="s">
        <v>221</v>
      </c>
      <c r="D1168" s="69" t="s">
        <v>81</v>
      </c>
      <c r="E1168" s="69" t="e">
        <v>#N/A</v>
      </c>
      <c r="F1168" s="69" t="s">
        <v>460</v>
      </c>
    </row>
    <row r="1169" spans="1:6" x14ac:dyDescent="0.2">
      <c r="A1169" s="69">
        <v>20000000352</v>
      </c>
      <c r="E1169" s="69">
        <v>19</v>
      </c>
      <c r="F1169" s="69" t="s">
        <v>1251</v>
      </c>
    </row>
    <row r="1170" spans="1:6" x14ac:dyDescent="0.2">
      <c r="A1170" s="69">
        <v>20000000358</v>
      </c>
      <c r="B1170" s="69" t="s">
        <v>221</v>
      </c>
      <c r="D1170" s="69" t="e">
        <v>#N/A</v>
      </c>
      <c r="E1170" s="69" t="e">
        <v>#N/A</v>
      </c>
      <c r="F1170" s="69" t="s">
        <v>458</v>
      </c>
    </row>
    <row r="1171" spans="1:6" x14ac:dyDescent="0.2">
      <c r="A1171" s="69">
        <v>20000000359</v>
      </c>
      <c r="B1171" s="69" t="s">
        <v>262</v>
      </c>
      <c r="D1171" s="69" t="e">
        <v>#N/A</v>
      </c>
      <c r="E1171" s="69" t="e">
        <v>#N/A</v>
      </c>
      <c r="F1171" s="69" t="s">
        <v>458</v>
      </c>
    </row>
    <row r="1172" spans="1:6" x14ac:dyDescent="0.2">
      <c r="A1172" s="69">
        <v>20000000360</v>
      </c>
      <c r="E1172" s="69">
        <v>28</v>
      </c>
      <c r="F1172" s="69" t="s">
        <v>1415</v>
      </c>
    </row>
    <row r="1173" spans="1:6" x14ac:dyDescent="0.2">
      <c r="A1173" s="69">
        <v>20000000361</v>
      </c>
      <c r="B1173" s="69" t="s">
        <v>262</v>
      </c>
      <c r="D1173" s="69" t="e">
        <v>#N/A</v>
      </c>
      <c r="E1173" s="69" t="e">
        <v>#N/A</v>
      </c>
      <c r="F1173" s="69" t="s">
        <v>456</v>
      </c>
    </row>
    <row r="1174" spans="1:6" x14ac:dyDescent="0.2">
      <c r="A1174" s="69">
        <v>20000000366</v>
      </c>
      <c r="B1174" s="69" t="s">
        <v>262</v>
      </c>
      <c r="D1174" s="69" t="e">
        <v>#N/A</v>
      </c>
      <c r="E1174" s="69" t="e">
        <v>#N/A</v>
      </c>
      <c r="F1174" s="69" t="s">
        <v>455</v>
      </c>
    </row>
    <row r="1175" spans="1:6" x14ac:dyDescent="0.2">
      <c r="A1175" s="69">
        <v>20000000367</v>
      </c>
      <c r="E1175" s="69">
        <v>23</v>
      </c>
      <c r="F1175" s="69" t="s">
        <v>1279</v>
      </c>
    </row>
    <row r="1176" spans="1:6" x14ac:dyDescent="0.2">
      <c r="A1176" s="69">
        <v>20000000371</v>
      </c>
      <c r="E1176" s="69">
        <v>23</v>
      </c>
      <c r="F1176" s="69" t="s">
        <v>1280</v>
      </c>
    </row>
    <row r="1177" spans="1:6" x14ac:dyDescent="0.2">
      <c r="A1177" s="69">
        <v>20000000372</v>
      </c>
      <c r="B1177" s="69" t="s">
        <v>221</v>
      </c>
      <c r="D1177" s="69" t="e">
        <v>#N/A</v>
      </c>
      <c r="E1177" s="69" t="e">
        <v>#N/A</v>
      </c>
      <c r="F1177" s="69" t="s">
        <v>454</v>
      </c>
    </row>
    <row r="1178" spans="1:6" x14ac:dyDescent="0.2">
      <c r="A1178" s="69">
        <v>20000000373</v>
      </c>
      <c r="B1178" s="69" t="s">
        <v>221</v>
      </c>
      <c r="D1178" s="69" t="e">
        <v>#N/A</v>
      </c>
      <c r="E1178" s="69" t="e">
        <v>#N/A</v>
      </c>
      <c r="F1178" s="69" t="s">
        <v>453</v>
      </c>
    </row>
    <row r="1179" spans="1:6" x14ac:dyDescent="0.2">
      <c r="A1179" s="69">
        <v>20000000381</v>
      </c>
      <c r="E1179" s="69">
        <v>23</v>
      </c>
      <c r="F1179" s="69" t="s">
        <v>101</v>
      </c>
    </row>
    <row r="1180" spans="1:6" x14ac:dyDescent="0.2">
      <c r="A1180" s="69">
        <v>20000000385</v>
      </c>
      <c r="B1180" s="69" t="s">
        <v>1646</v>
      </c>
      <c r="E1180" s="69" t="s">
        <v>1646</v>
      </c>
      <c r="F1180" s="69" t="s">
        <v>1305</v>
      </c>
    </row>
    <row r="1181" spans="1:6" x14ac:dyDescent="0.2">
      <c r="A1181" s="69">
        <v>20000000387</v>
      </c>
      <c r="B1181" s="69" t="s">
        <v>1646</v>
      </c>
      <c r="E1181" s="69" t="s">
        <v>2119</v>
      </c>
      <c r="F1181" s="69" t="s">
        <v>1306</v>
      </c>
    </row>
    <row r="1182" spans="1:6" x14ac:dyDescent="0.2">
      <c r="A1182" s="69">
        <v>20000000388</v>
      </c>
      <c r="B1182" s="69" t="s">
        <v>220</v>
      </c>
      <c r="D1182" s="69" t="e">
        <v>#N/A</v>
      </c>
      <c r="E1182" s="69" t="e">
        <v>#N/A</v>
      </c>
      <c r="F1182" s="69" t="s">
        <v>449</v>
      </c>
    </row>
    <row r="1183" spans="1:6" x14ac:dyDescent="0.2">
      <c r="A1183" s="69">
        <v>20000000390</v>
      </c>
      <c r="B1183" s="69" t="s">
        <v>221</v>
      </c>
      <c r="D1183" s="69" t="e">
        <v>#N/A</v>
      </c>
      <c r="E1183" s="69" t="e">
        <v>#N/A</v>
      </c>
      <c r="F1183" s="69" t="s">
        <v>448</v>
      </c>
    </row>
    <row r="1184" spans="1:6" x14ac:dyDescent="0.2">
      <c r="A1184" s="69">
        <v>20000000391</v>
      </c>
      <c r="B1184" s="69" t="s">
        <v>1646</v>
      </c>
      <c r="E1184" s="124" t="s">
        <v>2119</v>
      </c>
      <c r="F1184" s="69" t="s">
        <v>1307</v>
      </c>
    </row>
    <row r="1185" spans="1:6" x14ac:dyDescent="0.2">
      <c r="A1185" s="69">
        <v>20000000394</v>
      </c>
      <c r="B1185" s="69" t="s">
        <v>1646</v>
      </c>
      <c r="E1185" s="124" t="s">
        <v>2119</v>
      </c>
      <c r="F1185" s="69" t="s">
        <v>196</v>
      </c>
    </row>
    <row r="1186" spans="1:6" x14ac:dyDescent="0.2">
      <c r="A1186" s="69">
        <v>20000000398</v>
      </c>
      <c r="B1186" s="69" t="s">
        <v>262</v>
      </c>
      <c r="D1186" s="69" t="e">
        <v>#N/A</v>
      </c>
      <c r="E1186" s="69" t="e">
        <v>#N/A</v>
      </c>
      <c r="F1186" s="69" t="s">
        <v>445</v>
      </c>
    </row>
    <row r="1187" spans="1:6" x14ac:dyDescent="0.2">
      <c r="A1187" s="69">
        <v>20000000400</v>
      </c>
      <c r="B1187" s="69" t="s">
        <v>1646</v>
      </c>
      <c r="E1187" s="69" t="s">
        <v>1646</v>
      </c>
      <c r="F1187" s="69" t="s">
        <v>1308</v>
      </c>
    </row>
    <row r="1188" spans="1:6" x14ac:dyDescent="0.2">
      <c r="A1188" s="69">
        <v>20000000403</v>
      </c>
      <c r="B1188" s="69" t="s">
        <v>221</v>
      </c>
      <c r="D1188" s="69" t="e">
        <v>#N/A</v>
      </c>
      <c r="E1188" s="69" t="e">
        <v>#N/A</v>
      </c>
      <c r="F1188" s="69" t="s">
        <v>443</v>
      </c>
    </row>
    <row r="1189" spans="1:6" x14ac:dyDescent="0.2">
      <c r="A1189" s="69">
        <v>20000000405</v>
      </c>
      <c r="B1189" s="69" t="s">
        <v>221</v>
      </c>
      <c r="D1189" s="69" t="e">
        <v>#N/A</v>
      </c>
      <c r="E1189" s="69" t="e">
        <v>#N/A</v>
      </c>
      <c r="F1189" s="69" t="s">
        <v>442</v>
      </c>
    </row>
    <row r="1190" spans="1:6" x14ac:dyDescent="0.2">
      <c r="A1190" s="69">
        <v>20000000406</v>
      </c>
      <c r="B1190" s="69" t="s">
        <v>221</v>
      </c>
      <c r="D1190" s="69" t="e">
        <v>#N/A</v>
      </c>
      <c r="E1190" s="69" t="e">
        <v>#N/A</v>
      </c>
      <c r="F1190" s="69" t="s">
        <v>441</v>
      </c>
    </row>
    <row r="1191" spans="1:6" x14ac:dyDescent="0.2">
      <c r="A1191" s="69">
        <v>20000000407</v>
      </c>
      <c r="E1191" s="69">
        <v>28</v>
      </c>
      <c r="F1191" s="69" t="s">
        <v>1416</v>
      </c>
    </row>
    <row r="1192" spans="1:6" x14ac:dyDescent="0.2">
      <c r="A1192" s="69">
        <v>20000000408</v>
      </c>
      <c r="B1192" s="69" t="s">
        <v>262</v>
      </c>
      <c r="D1192" s="69" t="e">
        <v>#N/A</v>
      </c>
      <c r="E1192" s="69" t="e">
        <v>#N/A</v>
      </c>
      <c r="F1192" s="69" t="s">
        <v>440</v>
      </c>
    </row>
    <row r="1193" spans="1:6" x14ac:dyDescent="0.2">
      <c r="A1193" s="69">
        <v>20000000411</v>
      </c>
      <c r="E1193" s="69">
        <v>23</v>
      </c>
      <c r="F1193" s="69" t="s">
        <v>1282</v>
      </c>
    </row>
    <row r="1194" spans="1:6" x14ac:dyDescent="0.2">
      <c r="A1194" s="69">
        <v>20000000414</v>
      </c>
      <c r="B1194" s="69" t="s">
        <v>220</v>
      </c>
      <c r="D1194" s="69" t="s">
        <v>1281</v>
      </c>
      <c r="E1194" s="69" t="e">
        <v>#N/A</v>
      </c>
      <c r="F1194" s="69" t="s">
        <v>439</v>
      </c>
    </row>
    <row r="1195" spans="1:6" x14ac:dyDescent="0.2">
      <c r="A1195" s="69">
        <v>20000000415</v>
      </c>
      <c r="B1195" s="69" t="s">
        <v>262</v>
      </c>
      <c r="D1195" s="69" t="e">
        <v>#N/A</v>
      </c>
      <c r="E1195" s="69" t="e">
        <v>#N/A</v>
      </c>
      <c r="F1195" s="69" t="s">
        <v>438</v>
      </c>
    </row>
    <row r="1196" spans="1:6" x14ac:dyDescent="0.2">
      <c r="A1196" s="69">
        <v>20000000418</v>
      </c>
      <c r="E1196" s="69">
        <v>23</v>
      </c>
      <c r="F1196" s="69" t="s">
        <v>1283</v>
      </c>
    </row>
    <row r="1197" spans="1:6" x14ac:dyDescent="0.2">
      <c r="A1197" s="69">
        <v>20000000419</v>
      </c>
      <c r="B1197" s="69" t="s">
        <v>262</v>
      </c>
      <c r="D1197" s="69" t="e">
        <v>#N/A</v>
      </c>
      <c r="E1197" s="69" t="e">
        <v>#N/A</v>
      </c>
      <c r="F1197" s="69" t="s">
        <v>435</v>
      </c>
    </row>
    <row r="1198" spans="1:6" x14ac:dyDescent="0.2">
      <c r="A1198" s="69">
        <v>20000000421</v>
      </c>
      <c r="B1198" s="69" t="s">
        <v>221</v>
      </c>
      <c r="D1198" s="69" t="e">
        <v>#N/A</v>
      </c>
      <c r="E1198" s="69" t="e">
        <v>#N/A</v>
      </c>
      <c r="F1198" s="69" t="s">
        <v>173</v>
      </c>
    </row>
    <row r="1199" spans="1:6" x14ac:dyDescent="0.2">
      <c r="A1199" s="69">
        <v>20000000422</v>
      </c>
      <c r="B1199" s="69" t="s">
        <v>221</v>
      </c>
      <c r="D1199" s="69" t="e">
        <v>#N/A</v>
      </c>
      <c r="E1199" s="69" t="e">
        <v>#N/A</v>
      </c>
      <c r="F1199" s="69" t="s">
        <v>434</v>
      </c>
    </row>
    <row r="1200" spans="1:6" x14ac:dyDescent="0.2">
      <c r="A1200" s="69">
        <v>20000000425</v>
      </c>
      <c r="E1200" s="69">
        <v>28</v>
      </c>
      <c r="F1200" s="69" t="s">
        <v>1417</v>
      </c>
    </row>
    <row r="1201" spans="1:6" x14ac:dyDescent="0.2">
      <c r="A1201" s="69">
        <v>20000000426</v>
      </c>
      <c r="B1201" s="69" t="s">
        <v>262</v>
      </c>
      <c r="D1201" s="69" t="e">
        <v>#N/A</v>
      </c>
      <c r="E1201" s="69" t="e">
        <v>#N/A</v>
      </c>
      <c r="F1201" s="69" t="s">
        <v>432</v>
      </c>
    </row>
    <row r="1202" spans="1:6" x14ac:dyDescent="0.2">
      <c r="A1202" s="69">
        <v>20000000427</v>
      </c>
      <c r="B1202" s="69" t="s">
        <v>290</v>
      </c>
      <c r="D1202" s="69" t="e">
        <v>#N/A</v>
      </c>
      <c r="E1202" s="69" t="e">
        <v>#N/A</v>
      </c>
      <c r="F1202" s="69" t="s">
        <v>431</v>
      </c>
    </row>
    <row r="1203" spans="1:6" x14ac:dyDescent="0.2">
      <c r="A1203" s="69">
        <v>20000000428</v>
      </c>
      <c r="B1203" s="69" t="s">
        <v>387</v>
      </c>
      <c r="D1203" s="69" t="e">
        <v>#N/A</v>
      </c>
      <c r="E1203" s="69" t="e">
        <v>#N/A</v>
      </c>
      <c r="F1203" s="69" t="s">
        <v>431</v>
      </c>
    </row>
    <row r="1204" spans="1:6" x14ac:dyDescent="0.2">
      <c r="A1204" s="69">
        <v>20000000429</v>
      </c>
      <c r="B1204" s="69" t="s">
        <v>220</v>
      </c>
      <c r="D1204" s="69" t="e">
        <v>#N/A</v>
      </c>
      <c r="E1204" s="69" t="e">
        <v>#N/A</v>
      </c>
      <c r="F1204" s="69" t="s">
        <v>430</v>
      </c>
    </row>
    <row r="1205" spans="1:6" x14ac:dyDescent="0.2">
      <c r="A1205" s="69">
        <v>20000000430</v>
      </c>
      <c r="B1205" s="69" t="s">
        <v>220</v>
      </c>
      <c r="D1205" s="69" t="e">
        <v>#N/A</v>
      </c>
      <c r="E1205" s="69" t="e">
        <v>#N/A</v>
      </c>
      <c r="F1205" s="69" t="s">
        <v>429</v>
      </c>
    </row>
    <row r="1206" spans="1:6" x14ac:dyDescent="0.2">
      <c r="A1206" s="69">
        <v>20000000432</v>
      </c>
      <c r="E1206" s="69">
        <v>28</v>
      </c>
      <c r="F1206" s="69" t="s">
        <v>1418</v>
      </c>
    </row>
    <row r="1207" spans="1:6" x14ac:dyDescent="0.2">
      <c r="A1207" s="69">
        <v>20000000433</v>
      </c>
      <c r="B1207" s="69" t="s">
        <v>220</v>
      </c>
      <c r="D1207" s="69" t="e">
        <v>#N/A</v>
      </c>
      <c r="E1207" s="69" t="e">
        <v>#N/A</v>
      </c>
      <c r="F1207" s="69" t="s">
        <v>427</v>
      </c>
    </row>
    <row r="1208" spans="1:6" x14ac:dyDescent="0.2">
      <c r="A1208" s="69">
        <v>20000000436</v>
      </c>
      <c r="E1208" s="69">
        <v>23</v>
      </c>
      <c r="F1208" s="69" t="s">
        <v>1284</v>
      </c>
    </row>
    <row r="1209" spans="1:6" x14ac:dyDescent="0.2">
      <c r="A1209" s="69">
        <v>20000000441</v>
      </c>
      <c r="E1209" s="69">
        <v>23</v>
      </c>
      <c r="F1209" s="69" t="s">
        <v>1285</v>
      </c>
    </row>
    <row r="1210" spans="1:6" x14ac:dyDescent="0.2">
      <c r="A1210" s="69">
        <v>20000000453</v>
      </c>
      <c r="E1210" s="69">
        <v>23</v>
      </c>
      <c r="F1210" s="69" t="s">
        <v>1286</v>
      </c>
    </row>
    <row r="1211" spans="1:6" x14ac:dyDescent="0.2">
      <c r="A1211" s="69">
        <v>20000000456</v>
      </c>
      <c r="B1211" s="69" t="s">
        <v>220</v>
      </c>
      <c r="D1211" s="69" t="e">
        <v>#N/A</v>
      </c>
      <c r="E1211" s="69" t="e">
        <v>#N/A</v>
      </c>
      <c r="F1211" s="69" t="s">
        <v>424</v>
      </c>
    </row>
    <row r="1212" spans="1:6" x14ac:dyDescent="0.2">
      <c r="A1212" s="69">
        <v>20000000459</v>
      </c>
      <c r="B1212" s="69" t="s">
        <v>220</v>
      </c>
      <c r="D1212" s="69" t="e">
        <v>#N/A</v>
      </c>
      <c r="E1212" s="69" t="e">
        <v>#N/A</v>
      </c>
      <c r="F1212" s="69" t="s">
        <v>423</v>
      </c>
    </row>
    <row r="1213" spans="1:6" x14ac:dyDescent="0.2">
      <c r="A1213" s="69">
        <v>20000000460</v>
      </c>
      <c r="B1213" s="69" t="s">
        <v>221</v>
      </c>
      <c r="D1213" s="69" t="e">
        <v>#N/A</v>
      </c>
      <c r="E1213" s="69" t="e">
        <v>#N/A</v>
      </c>
      <c r="F1213" s="69" t="s">
        <v>423</v>
      </c>
    </row>
    <row r="1214" spans="1:6" x14ac:dyDescent="0.2">
      <c r="A1214" s="69">
        <v>20000000461</v>
      </c>
      <c r="B1214" s="69" t="s">
        <v>221</v>
      </c>
      <c r="D1214" s="69" t="e">
        <v>#N/A</v>
      </c>
      <c r="E1214" s="69" t="e">
        <v>#N/A</v>
      </c>
      <c r="F1214" s="69" t="s">
        <v>422</v>
      </c>
    </row>
    <row r="1215" spans="1:6" x14ac:dyDescent="0.2">
      <c r="A1215" s="69">
        <v>20000000462</v>
      </c>
      <c r="E1215" s="69">
        <v>28</v>
      </c>
      <c r="F1215" s="69" t="s">
        <v>1419</v>
      </c>
    </row>
    <row r="1216" spans="1:6" x14ac:dyDescent="0.2">
      <c r="A1216" s="69">
        <v>20000000467</v>
      </c>
      <c r="B1216" s="69" t="s">
        <v>262</v>
      </c>
      <c r="D1216" s="69" t="e">
        <v>#N/A</v>
      </c>
      <c r="E1216" s="69" t="e">
        <v>#N/A</v>
      </c>
      <c r="F1216" s="69" t="s">
        <v>420</v>
      </c>
    </row>
    <row r="1217" spans="1:6" x14ac:dyDescent="0.2">
      <c r="A1217" s="69">
        <v>20000000469</v>
      </c>
      <c r="B1217" s="69" t="s">
        <v>221</v>
      </c>
      <c r="D1217" s="69" t="e">
        <v>#N/A</v>
      </c>
      <c r="E1217" s="69" t="e">
        <v>#N/A</v>
      </c>
      <c r="F1217" s="69" t="s">
        <v>419</v>
      </c>
    </row>
    <row r="1218" spans="1:6" x14ac:dyDescent="0.2">
      <c r="A1218" s="69">
        <v>20000000470</v>
      </c>
      <c r="B1218" s="69" t="s">
        <v>221</v>
      </c>
      <c r="D1218" s="69" t="e">
        <v>#N/A</v>
      </c>
      <c r="E1218" s="69" t="e">
        <v>#N/A</v>
      </c>
      <c r="F1218" s="69" t="s">
        <v>418</v>
      </c>
    </row>
    <row r="1219" spans="1:6" x14ac:dyDescent="0.2">
      <c r="A1219" s="69">
        <v>20000000471</v>
      </c>
      <c r="B1219" s="69" t="s">
        <v>221</v>
      </c>
      <c r="D1219" s="69" t="e">
        <v>#N/A</v>
      </c>
      <c r="E1219" s="69" t="e">
        <v>#N/A</v>
      </c>
      <c r="F1219" s="69" t="s">
        <v>417</v>
      </c>
    </row>
    <row r="1220" spans="1:6" x14ac:dyDescent="0.2">
      <c r="A1220" s="69">
        <v>20000000472</v>
      </c>
      <c r="E1220" s="69">
        <v>28</v>
      </c>
      <c r="F1220" s="69" t="s">
        <v>1420</v>
      </c>
    </row>
    <row r="1221" spans="1:6" x14ac:dyDescent="0.2">
      <c r="A1221" s="69">
        <v>20000000480</v>
      </c>
      <c r="B1221" s="69" t="s">
        <v>221</v>
      </c>
      <c r="D1221" s="69" t="e">
        <v>#N/A</v>
      </c>
      <c r="E1221" s="69" t="e">
        <v>#N/A</v>
      </c>
      <c r="F1221" s="69" t="s">
        <v>415</v>
      </c>
    </row>
    <row r="1222" spans="1:6" x14ac:dyDescent="0.2">
      <c r="A1222" s="69">
        <v>20000000481</v>
      </c>
      <c r="E1222" s="69">
        <v>28</v>
      </c>
      <c r="F1222" s="69" t="s">
        <v>1421</v>
      </c>
    </row>
    <row r="1223" spans="1:6" x14ac:dyDescent="0.2">
      <c r="A1223" s="69">
        <v>20000000482</v>
      </c>
      <c r="B1223" s="69" t="s">
        <v>221</v>
      </c>
      <c r="D1223" s="69" t="e">
        <v>#N/A</v>
      </c>
      <c r="E1223" s="69" t="e">
        <v>#N/A</v>
      </c>
      <c r="F1223" s="69" t="s">
        <v>414</v>
      </c>
    </row>
    <row r="1224" spans="1:6" x14ac:dyDescent="0.2">
      <c r="A1224" s="69">
        <v>20000000485</v>
      </c>
      <c r="E1224" s="69">
        <v>23</v>
      </c>
      <c r="F1224" s="69" t="s">
        <v>174</v>
      </c>
    </row>
    <row r="1225" spans="1:6" x14ac:dyDescent="0.2">
      <c r="A1225" s="69">
        <v>20000000486</v>
      </c>
      <c r="B1225" s="69" t="s">
        <v>221</v>
      </c>
      <c r="D1225" s="69" t="e">
        <v>#N/A</v>
      </c>
      <c r="E1225" s="69" t="e">
        <v>#N/A</v>
      </c>
      <c r="F1225" s="69" t="s">
        <v>413</v>
      </c>
    </row>
    <row r="1226" spans="1:6" x14ac:dyDescent="0.2">
      <c r="A1226" s="69">
        <v>20000000487</v>
      </c>
      <c r="B1226" s="69" t="s">
        <v>221</v>
      </c>
      <c r="D1226" s="69" t="e">
        <v>#N/A</v>
      </c>
      <c r="E1226" s="69" t="e">
        <v>#N/A</v>
      </c>
      <c r="F1226" s="69" t="s">
        <v>412</v>
      </c>
    </row>
    <row r="1227" spans="1:6" x14ac:dyDescent="0.2">
      <c r="A1227" s="69">
        <v>20000000488</v>
      </c>
      <c r="E1227" s="69">
        <v>28</v>
      </c>
      <c r="F1227" s="69" t="s">
        <v>1422</v>
      </c>
    </row>
    <row r="1228" spans="1:6" x14ac:dyDescent="0.2">
      <c r="A1228" s="69">
        <v>20000000494</v>
      </c>
      <c r="B1228" s="69" t="s">
        <v>221</v>
      </c>
      <c r="D1228" s="69" t="e">
        <v>#N/A</v>
      </c>
      <c r="E1228" s="69" t="e">
        <v>#N/A</v>
      </c>
      <c r="F1228" s="69" t="s">
        <v>409</v>
      </c>
    </row>
    <row r="1229" spans="1:6" x14ac:dyDescent="0.2">
      <c r="A1229" s="69">
        <v>20000000497</v>
      </c>
      <c r="E1229" s="69">
        <v>28</v>
      </c>
      <c r="F1229" s="69" t="s">
        <v>1423</v>
      </c>
    </row>
    <row r="1230" spans="1:6" x14ac:dyDescent="0.2">
      <c r="A1230" s="69">
        <v>20000000505</v>
      </c>
      <c r="E1230" s="69">
        <v>28</v>
      </c>
      <c r="F1230" s="69" t="s">
        <v>1424</v>
      </c>
    </row>
    <row r="1231" spans="1:6" x14ac:dyDescent="0.2">
      <c r="A1231" s="69">
        <v>20000000511</v>
      </c>
      <c r="E1231" s="69">
        <v>28</v>
      </c>
      <c r="F1231" s="69" t="s">
        <v>1425</v>
      </c>
    </row>
    <row r="1232" spans="1:6" x14ac:dyDescent="0.2">
      <c r="A1232" s="69">
        <v>20000000517</v>
      </c>
      <c r="E1232" s="69">
        <v>28</v>
      </c>
      <c r="F1232" s="69" t="s">
        <v>1427</v>
      </c>
    </row>
    <row r="1233" spans="1:6" x14ac:dyDescent="0.2">
      <c r="A1233" s="69">
        <v>20000000518</v>
      </c>
      <c r="B1233" s="69" t="s">
        <v>220</v>
      </c>
      <c r="D1233" s="69" t="e">
        <v>#N/A</v>
      </c>
      <c r="E1233" s="69" t="e">
        <v>#N/A</v>
      </c>
      <c r="F1233" s="69" t="s">
        <v>403</v>
      </c>
    </row>
    <row r="1234" spans="1:6" x14ac:dyDescent="0.2">
      <c r="A1234" s="69">
        <v>20000000519</v>
      </c>
      <c r="B1234" s="69" t="s">
        <v>221</v>
      </c>
      <c r="D1234" s="69" t="e">
        <v>#N/A</v>
      </c>
      <c r="E1234" s="69" t="e">
        <v>#N/A</v>
      </c>
      <c r="F1234" s="69" t="s">
        <v>402</v>
      </c>
    </row>
    <row r="1235" spans="1:6" x14ac:dyDescent="0.2">
      <c r="A1235" s="69">
        <v>20000000520</v>
      </c>
      <c r="E1235" s="69">
        <v>28</v>
      </c>
      <c r="F1235" s="69" t="s">
        <v>1428</v>
      </c>
    </row>
    <row r="1236" spans="1:6" x14ac:dyDescent="0.2">
      <c r="A1236" s="69">
        <v>20000000525</v>
      </c>
      <c r="E1236" s="69">
        <v>23</v>
      </c>
      <c r="F1236" s="69" t="s">
        <v>1287</v>
      </c>
    </row>
    <row r="1237" spans="1:6" x14ac:dyDescent="0.2">
      <c r="A1237" s="69">
        <v>20000000530</v>
      </c>
      <c r="B1237" s="69" t="s">
        <v>220</v>
      </c>
      <c r="D1237" s="69" t="e">
        <v>#N/A</v>
      </c>
      <c r="E1237" s="69" t="e">
        <v>#N/A</v>
      </c>
      <c r="F1237" s="69" t="s">
        <v>398</v>
      </c>
    </row>
    <row r="1238" spans="1:6" x14ac:dyDescent="0.2">
      <c r="A1238" s="69">
        <v>20000000535</v>
      </c>
      <c r="B1238" s="69" t="s">
        <v>221</v>
      </c>
      <c r="D1238" s="69" t="e">
        <v>#N/A</v>
      </c>
      <c r="E1238" s="69" t="e">
        <v>#N/A</v>
      </c>
      <c r="F1238" s="69" t="s">
        <v>397</v>
      </c>
    </row>
    <row r="1239" spans="1:6" x14ac:dyDescent="0.2">
      <c r="A1239" s="69">
        <v>20000000537</v>
      </c>
      <c r="B1239" s="69" t="s">
        <v>262</v>
      </c>
      <c r="D1239" s="69" t="e">
        <v>#N/A</v>
      </c>
      <c r="E1239" s="69" t="e">
        <v>#N/A</v>
      </c>
      <c r="F1239" s="69" t="s">
        <v>395</v>
      </c>
    </row>
    <row r="1240" spans="1:6" x14ac:dyDescent="0.2">
      <c r="A1240" s="69">
        <v>20000000538</v>
      </c>
      <c r="B1240" s="69" t="s">
        <v>262</v>
      </c>
      <c r="D1240" s="69" t="e">
        <v>#N/A</v>
      </c>
      <c r="E1240" s="69" t="e">
        <v>#N/A</v>
      </c>
      <c r="F1240" s="69" t="s">
        <v>394</v>
      </c>
    </row>
    <row r="1241" spans="1:6" x14ac:dyDescent="0.2">
      <c r="A1241" s="69">
        <v>20000000539</v>
      </c>
      <c r="E1241" s="69">
        <v>28</v>
      </c>
      <c r="F1241" s="69" t="s">
        <v>1429</v>
      </c>
    </row>
    <row r="1242" spans="1:6" x14ac:dyDescent="0.2">
      <c r="A1242" s="69">
        <v>20000000541</v>
      </c>
      <c r="B1242" s="69" t="s">
        <v>221</v>
      </c>
      <c r="D1242" s="69" t="e">
        <v>#N/A</v>
      </c>
      <c r="E1242" s="69" t="e">
        <v>#N/A</v>
      </c>
      <c r="F1242" s="69" t="s">
        <v>393</v>
      </c>
    </row>
    <row r="1243" spans="1:6" x14ac:dyDescent="0.2">
      <c r="A1243" s="69">
        <v>20000000542</v>
      </c>
      <c r="B1243" s="69" t="s">
        <v>221</v>
      </c>
      <c r="D1243" s="69" t="e">
        <v>#N/A</v>
      </c>
      <c r="E1243" s="69" t="e">
        <v>#N/A</v>
      </c>
      <c r="F1243" s="69" t="s">
        <v>392</v>
      </c>
    </row>
    <row r="1244" spans="1:6" x14ac:dyDescent="0.2">
      <c r="A1244" s="69">
        <v>20000000543</v>
      </c>
      <c r="B1244" s="69" t="s">
        <v>262</v>
      </c>
      <c r="D1244" s="69" t="e">
        <v>#N/A</v>
      </c>
      <c r="E1244" s="69" t="e">
        <v>#N/A</v>
      </c>
      <c r="F1244" s="69" t="s">
        <v>391</v>
      </c>
    </row>
    <row r="1245" spans="1:6" x14ac:dyDescent="0.2">
      <c r="A1245" s="69">
        <v>20000000545</v>
      </c>
      <c r="E1245" s="69">
        <v>28</v>
      </c>
      <c r="F1245" s="69" t="s">
        <v>1430</v>
      </c>
    </row>
    <row r="1246" spans="1:6" x14ac:dyDescent="0.2">
      <c r="A1246" s="69">
        <v>20000000546</v>
      </c>
      <c r="B1246" s="69" t="s">
        <v>221</v>
      </c>
      <c r="D1246" s="69" t="e">
        <v>#N/A</v>
      </c>
      <c r="E1246" s="69" t="e">
        <v>#N/A</v>
      </c>
      <c r="F1246" s="69" t="s">
        <v>390</v>
      </c>
    </row>
    <row r="1247" spans="1:6" x14ac:dyDescent="0.2">
      <c r="A1247" s="69">
        <v>20000000547</v>
      </c>
      <c r="B1247" s="69" t="s">
        <v>221</v>
      </c>
      <c r="D1247" s="69" t="e">
        <v>#N/A</v>
      </c>
      <c r="E1247" s="69" t="e">
        <v>#N/A</v>
      </c>
      <c r="F1247" s="69" t="s">
        <v>389</v>
      </c>
    </row>
    <row r="1248" spans="1:6" x14ac:dyDescent="0.2">
      <c r="A1248" s="69">
        <v>20000000548</v>
      </c>
      <c r="B1248" s="69" t="s">
        <v>262</v>
      </c>
      <c r="D1248" s="69" t="e">
        <v>#N/A</v>
      </c>
      <c r="E1248" s="69" t="e">
        <v>#N/A</v>
      </c>
      <c r="F1248" s="69" t="s">
        <v>389</v>
      </c>
    </row>
    <row r="1249" spans="1:6" x14ac:dyDescent="0.2">
      <c r="A1249" s="69">
        <v>20000000549</v>
      </c>
      <c r="E1249" s="69">
        <v>19</v>
      </c>
      <c r="F1249" s="69" t="s">
        <v>1252</v>
      </c>
    </row>
    <row r="1250" spans="1:6" x14ac:dyDescent="0.2">
      <c r="A1250" s="69">
        <v>20000000552</v>
      </c>
      <c r="E1250" s="69">
        <v>19</v>
      </c>
      <c r="F1250" s="69" t="s">
        <v>1253</v>
      </c>
    </row>
    <row r="1251" spans="1:6" x14ac:dyDescent="0.2">
      <c r="A1251" s="69">
        <v>20000000555</v>
      </c>
      <c r="B1251" s="69" t="s">
        <v>387</v>
      </c>
      <c r="D1251" s="69" t="s">
        <v>1245</v>
      </c>
      <c r="E1251" s="69" t="e">
        <v>#N/A</v>
      </c>
      <c r="F1251" s="69" t="s">
        <v>386</v>
      </c>
    </row>
    <row r="1252" spans="1:6" x14ac:dyDescent="0.2">
      <c r="A1252" s="69">
        <v>20000000556</v>
      </c>
      <c r="B1252" s="69" t="s">
        <v>220</v>
      </c>
      <c r="D1252" s="69" t="s">
        <v>1245</v>
      </c>
      <c r="E1252" s="69" t="e">
        <v>#N/A</v>
      </c>
      <c r="F1252" s="69" t="s">
        <v>384</v>
      </c>
    </row>
    <row r="1253" spans="1:6" x14ac:dyDescent="0.2">
      <c r="A1253" s="69">
        <v>20000000557</v>
      </c>
      <c r="B1253" s="69" t="s">
        <v>221</v>
      </c>
      <c r="D1253" s="69" t="e">
        <v>#N/A</v>
      </c>
      <c r="E1253" s="69" t="e">
        <v>#N/A</v>
      </c>
      <c r="F1253" s="69" t="s">
        <v>383</v>
      </c>
    </row>
    <row r="1254" spans="1:6" x14ac:dyDescent="0.2">
      <c r="A1254" s="69">
        <v>20000000558</v>
      </c>
      <c r="B1254" s="69" t="s">
        <v>221</v>
      </c>
      <c r="D1254" s="69" t="e">
        <v>#N/A</v>
      </c>
      <c r="E1254" s="69" t="e">
        <v>#N/A</v>
      </c>
      <c r="F1254" s="69" t="s">
        <v>382</v>
      </c>
    </row>
    <row r="1255" spans="1:6" x14ac:dyDescent="0.2">
      <c r="A1255" s="69">
        <v>20000000559</v>
      </c>
      <c r="B1255" s="69" t="s">
        <v>221</v>
      </c>
      <c r="D1255" s="69" t="e">
        <v>#N/A</v>
      </c>
      <c r="E1255" s="69" t="e">
        <v>#N/A</v>
      </c>
      <c r="F1255" s="69" t="s">
        <v>381</v>
      </c>
    </row>
    <row r="1256" spans="1:6" x14ac:dyDescent="0.2">
      <c r="A1256" s="69">
        <v>20000000562</v>
      </c>
      <c r="B1256" s="69" t="s">
        <v>262</v>
      </c>
      <c r="D1256" s="69" t="e">
        <v>#N/A</v>
      </c>
      <c r="E1256" s="69" t="e">
        <v>#N/A</v>
      </c>
      <c r="F1256" s="69" t="s">
        <v>379</v>
      </c>
    </row>
    <row r="1257" spans="1:6" x14ac:dyDescent="0.2">
      <c r="A1257" s="69">
        <v>20000000564</v>
      </c>
      <c r="B1257" s="69" t="s">
        <v>221</v>
      </c>
      <c r="D1257" s="69" t="e">
        <v>#N/A</v>
      </c>
      <c r="E1257" s="69" t="e">
        <v>#N/A</v>
      </c>
      <c r="F1257" s="69" t="s">
        <v>378</v>
      </c>
    </row>
    <row r="1258" spans="1:6" x14ac:dyDescent="0.2">
      <c r="A1258" s="69">
        <v>20000000565</v>
      </c>
      <c r="B1258" s="69" t="s">
        <v>221</v>
      </c>
      <c r="D1258" s="69" t="e">
        <v>#N/A</v>
      </c>
      <c r="E1258" s="69" t="e">
        <v>#N/A</v>
      </c>
      <c r="F1258" s="69" t="s">
        <v>377</v>
      </c>
    </row>
    <row r="1259" spans="1:6" x14ac:dyDescent="0.2">
      <c r="A1259" s="69">
        <v>20000000567</v>
      </c>
      <c r="B1259" s="69" t="s">
        <v>221</v>
      </c>
      <c r="D1259" s="69" t="e">
        <v>#N/A</v>
      </c>
      <c r="E1259" s="69" t="e">
        <v>#N/A</v>
      </c>
      <c r="F1259" s="69" t="s">
        <v>376</v>
      </c>
    </row>
    <row r="1260" spans="1:6" x14ac:dyDescent="0.2">
      <c r="A1260" s="69">
        <v>20000000569</v>
      </c>
      <c r="B1260" s="69" t="s">
        <v>262</v>
      </c>
      <c r="D1260" s="69" t="e">
        <v>#N/A</v>
      </c>
      <c r="E1260" s="69" t="e">
        <v>#N/A</v>
      </c>
      <c r="F1260" s="69" t="s">
        <v>375</v>
      </c>
    </row>
    <row r="1261" spans="1:6" x14ac:dyDescent="0.2">
      <c r="A1261" s="69">
        <v>20000000570</v>
      </c>
      <c r="B1261" s="69" t="s">
        <v>220</v>
      </c>
      <c r="D1261" s="69" t="e">
        <v>#N/A</v>
      </c>
      <c r="E1261" s="69" t="e">
        <v>#N/A</v>
      </c>
      <c r="F1261" s="69" t="s">
        <v>374</v>
      </c>
    </row>
    <row r="1262" spans="1:6" x14ac:dyDescent="0.2">
      <c r="A1262" s="69">
        <v>20000000571</v>
      </c>
      <c r="B1262" s="69" t="s">
        <v>221</v>
      </c>
      <c r="D1262" s="69" t="s">
        <v>1246</v>
      </c>
      <c r="E1262" s="69" t="e">
        <v>#N/A</v>
      </c>
      <c r="F1262" s="69" t="s">
        <v>373</v>
      </c>
    </row>
    <row r="1263" spans="1:6" x14ac:dyDescent="0.2">
      <c r="A1263" s="69">
        <v>20000000572</v>
      </c>
      <c r="E1263" s="69">
        <v>19</v>
      </c>
      <c r="F1263" s="69" t="s">
        <v>1254</v>
      </c>
    </row>
    <row r="1264" spans="1:6" x14ac:dyDescent="0.2">
      <c r="A1264" s="69">
        <v>20000000574</v>
      </c>
      <c r="B1264" s="69" t="s">
        <v>221</v>
      </c>
      <c r="D1264" s="69" t="s">
        <v>1246</v>
      </c>
      <c r="E1264" s="69" t="e">
        <v>#N/A</v>
      </c>
      <c r="F1264" s="69" t="s">
        <v>370</v>
      </c>
    </row>
    <row r="1265" spans="1:6" x14ac:dyDescent="0.2">
      <c r="A1265" s="69">
        <v>20000000575</v>
      </c>
      <c r="E1265" s="69">
        <v>19</v>
      </c>
      <c r="F1265" s="69" t="s">
        <v>1693</v>
      </c>
    </row>
    <row r="1266" spans="1:6" x14ac:dyDescent="0.2">
      <c r="A1266" s="69">
        <v>20000000577</v>
      </c>
      <c r="B1266" s="69" t="s">
        <v>220</v>
      </c>
      <c r="D1266" s="69" t="e">
        <v>#N/A</v>
      </c>
      <c r="E1266" s="69" t="e">
        <v>#N/A</v>
      </c>
      <c r="F1266" s="69" t="s">
        <v>367</v>
      </c>
    </row>
    <row r="1267" spans="1:6" x14ac:dyDescent="0.2">
      <c r="A1267" s="69">
        <v>20000000578</v>
      </c>
      <c r="B1267" s="69" t="s">
        <v>221</v>
      </c>
      <c r="D1267" s="69" t="e">
        <v>#N/A</v>
      </c>
      <c r="E1267" s="69" t="e">
        <v>#N/A</v>
      </c>
      <c r="F1267" s="69" t="s">
        <v>367</v>
      </c>
    </row>
    <row r="1268" spans="1:6" x14ac:dyDescent="0.2">
      <c r="A1268" s="69">
        <v>20000000579</v>
      </c>
      <c r="E1268" s="69">
        <v>19</v>
      </c>
      <c r="F1268" s="69" t="s">
        <v>1255</v>
      </c>
    </row>
    <row r="1269" spans="1:6" x14ac:dyDescent="0.2">
      <c r="A1269" s="69">
        <v>20000000582</v>
      </c>
      <c r="E1269" s="69">
        <v>19</v>
      </c>
      <c r="F1269" s="69" t="s">
        <v>1256</v>
      </c>
    </row>
    <row r="1270" spans="1:6" x14ac:dyDescent="0.2">
      <c r="A1270" s="69">
        <v>20000000585</v>
      </c>
      <c r="B1270" s="69" t="s">
        <v>221</v>
      </c>
      <c r="D1270" s="69" t="e">
        <v>#N/A</v>
      </c>
      <c r="E1270" s="69" t="e">
        <v>#N/A</v>
      </c>
      <c r="F1270" s="69" t="s">
        <v>365</v>
      </c>
    </row>
    <row r="1271" spans="1:6" x14ac:dyDescent="0.2">
      <c r="A1271" s="69">
        <v>20000000586</v>
      </c>
      <c r="B1271" s="69" t="s">
        <v>221</v>
      </c>
      <c r="D1271" s="69" t="e">
        <v>#N/A</v>
      </c>
      <c r="E1271" s="69" t="e">
        <v>#N/A</v>
      </c>
      <c r="F1271" s="69" t="s">
        <v>364</v>
      </c>
    </row>
    <row r="1272" spans="1:6" x14ac:dyDescent="0.2">
      <c r="A1272" s="69">
        <v>20000000587</v>
      </c>
      <c r="E1272" s="69">
        <v>19</v>
      </c>
      <c r="F1272" s="69" t="s">
        <v>1257</v>
      </c>
    </row>
    <row r="1273" spans="1:6" x14ac:dyDescent="0.2">
      <c r="A1273" s="69">
        <v>20000000588</v>
      </c>
      <c r="B1273" s="69" t="s">
        <v>221</v>
      </c>
      <c r="D1273" s="69" t="s">
        <v>1246</v>
      </c>
      <c r="E1273" s="69" t="e">
        <v>#N/A</v>
      </c>
      <c r="F1273" s="69" t="s">
        <v>363</v>
      </c>
    </row>
    <row r="1274" spans="1:6" x14ac:dyDescent="0.2">
      <c r="A1274" s="69">
        <v>20000000589</v>
      </c>
      <c r="B1274" s="69" t="s">
        <v>221</v>
      </c>
      <c r="D1274" s="69" t="s">
        <v>1246</v>
      </c>
      <c r="E1274" s="69" t="e">
        <v>#N/A</v>
      </c>
      <c r="F1274" s="69" t="s">
        <v>362</v>
      </c>
    </row>
    <row r="1275" spans="1:6" x14ac:dyDescent="0.2">
      <c r="A1275" s="69">
        <v>20000000590</v>
      </c>
      <c r="E1275" s="69">
        <v>19</v>
      </c>
      <c r="F1275" s="69" t="s">
        <v>1258</v>
      </c>
    </row>
    <row r="1276" spans="1:6" x14ac:dyDescent="0.2">
      <c r="A1276" s="69">
        <v>20000000591</v>
      </c>
      <c r="E1276" s="69">
        <v>19</v>
      </c>
      <c r="F1276" s="69" t="s">
        <v>1259</v>
      </c>
    </row>
    <row r="1277" spans="1:6" x14ac:dyDescent="0.2">
      <c r="A1277" s="69">
        <v>20000000592</v>
      </c>
      <c r="B1277" s="69" t="s">
        <v>221</v>
      </c>
      <c r="D1277" s="69" t="s">
        <v>1246</v>
      </c>
      <c r="E1277" s="69" t="e">
        <v>#N/A</v>
      </c>
      <c r="F1277" s="69" t="s">
        <v>157</v>
      </c>
    </row>
    <row r="1278" spans="1:6" x14ac:dyDescent="0.2">
      <c r="A1278" s="69">
        <v>20000000594</v>
      </c>
      <c r="B1278" s="69" t="s">
        <v>220</v>
      </c>
      <c r="D1278" s="69" t="e">
        <v>#N/A</v>
      </c>
      <c r="E1278" s="69" t="e">
        <v>#N/A</v>
      </c>
      <c r="F1278" s="69" t="s">
        <v>360</v>
      </c>
    </row>
    <row r="1279" spans="1:6" x14ac:dyDescent="0.2">
      <c r="A1279" s="69">
        <v>20000000595</v>
      </c>
      <c r="B1279" s="69" t="s">
        <v>221</v>
      </c>
      <c r="D1279" s="69" t="e">
        <v>#N/A</v>
      </c>
      <c r="E1279" s="69" t="e">
        <v>#N/A</v>
      </c>
      <c r="F1279" s="69" t="s">
        <v>359</v>
      </c>
    </row>
    <row r="1280" spans="1:6" x14ac:dyDescent="0.2">
      <c r="A1280" s="69">
        <v>20000000596</v>
      </c>
      <c r="B1280" s="69" t="s">
        <v>220</v>
      </c>
      <c r="D1280" s="69" t="e">
        <v>#N/A</v>
      </c>
      <c r="E1280" s="69" t="e">
        <v>#N/A</v>
      </c>
      <c r="F1280" s="69" t="s">
        <v>358</v>
      </c>
    </row>
    <row r="1281" spans="1:6" x14ac:dyDescent="0.2">
      <c r="A1281" s="69">
        <v>20000000599</v>
      </c>
      <c r="E1281" s="69">
        <v>28</v>
      </c>
      <c r="F1281" s="69" t="s">
        <v>1431</v>
      </c>
    </row>
    <row r="1282" spans="1:6" x14ac:dyDescent="0.2">
      <c r="A1282" s="69">
        <v>20000000600</v>
      </c>
      <c r="B1282" s="69" t="s">
        <v>262</v>
      </c>
      <c r="D1282" s="69" t="e">
        <v>#N/A</v>
      </c>
      <c r="E1282" s="69" t="e">
        <v>#N/A</v>
      </c>
      <c r="F1282" s="69" t="s">
        <v>356</v>
      </c>
    </row>
    <row r="1283" spans="1:6" x14ac:dyDescent="0.2">
      <c r="A1283" s="69">
        <v>20000000601</v>
      </c>
      <c r="B1283" s="69" t="s">
        <v>262</v>
      </c>
      <c r="D1283" s="69" t="e">
        <v>#N/A</v>
      </c>
      <c r="E1283" s="69" t="e">
        <v>#N/A</v>
      </c>
      <c r="F1283" s="69" t="s">
        <v>355</v>
      </c>
    </row>
    <row r="1284" spans="1:6" x14ac:dyDescent="0.2">
      <c r="A1284" s="69">
        <v>20000000602</v>
      </c>
      <c r="B1284" s="69" t="s">
        <v>221</v>
      </c>
      <c r="D1284" s="69" t="e">
        <v>#N/A</v>
      </c>
      <c r="E1284" s="69" t="e">
        <v>#N/A</v>
      </c>
      <c r="F1284" s="69" t="s">
        <v>354</v>
      </c>
    </row>
    <row r="1285" spans="1:6" x14ac:dyDescent="0.2">
      <c r="A1285" s="69">
        <v>20000000603</v>
      </c>
      <c r="B1285" s="69" t="s">
        <v>220</v>
      </c>
      <c r="D1285" s="69" t="e">
        <v>#N/A</v>
      </c>
      <c r="E1285" s="69" t="e">
        <v>#N/A</v>
      </c>
      <c r="F1285" s="69" t="s">
        <v>353</v>
      </c>
    </row>
    <row r="1286" spans="1:6" x14ac:dyDescent="0.2">
      <c r="A1286" s="69">
        <v>20000000604</v>
      </c>
      <c r="B1286" s="69" t="s">
        <v>221</v>
      </c>
      <c r="D1286" s="69" t="e">
        <v>#N/A</v>
      </c>
      <c r="E1286" s="69" t="e">
        <v>#N/A</v>
      </c>
      <c r="F1286" s="69" t="s">
        <v>352</v>
      </c>
    </row>
    <row r="1287" spans="1:6" x14ac:dyDescent="0.2">
      <c r="A1287" s="69">
        <v>20000000605</v>
      </c>
      <c r="B1287" s="69" t="s">
        <v>262</v>
      </c>
      <c r="D1287" s="69" t="e">
        <v>#N/A</v>
      </c>
      <c r="E1287" s="69" t="e">
        <v>#N/A</v>
      </c>
      <c r="F1287" s="69" t="s">
        <v>351</v>
      </c>
    </row>
    <row r="1288" spans="1:6" x14ac:dyDescent="0.2">
      <c r="A1288" s="69">
        <v>20000000606</v>
      </c>
      <c r="E1288" s="69">
        <v>28</v>
      </c>
      <c r="F1288" s="69" t="s">
        <v>1432</v>
      </c>
    </row>
    <row r="1289" spans="1:6" x14ac:dyDescent="0.2">
      <c r="A1289" s="69">
        <v>20000000607</v>
      </c>
      <c r="B1289" s="69" t="s">
        <v>221</v>
      </c>
      <c r="D1289" s="69" t="e">
        <v>#N/A</v>
      </c>
      <c r="E1289" s="69" t="e">
        <v>#N/A</v>
      </c>
      <c r="F1289" s="69" t="s">
        <v>350</v>
      </c>
    </row>
    <row r="1290" spans="1:6" x14ac:dyDescent="0.2">
      <c r="A1290" s="69">
        <v>20000000608</v>
      </c>
      <c r="B1290" s="69" t="s">
        <v>262</v>
      </c>
      <c r="D1290" s="69" t="s">
        <v>1405</v>
      </c>
      <c r="E1290" s="69" t="e">
        <v>#N/A</v>
      </c>
      <c r="F1290" s="69" t="s">
        <v>349</v>
      </c>
    </row>
    <row r="1291" spans="1:6" x14ac:dyDescent="0.2">
      <c r="A1291" s="69">
        <v>20000000613</v>
      </c>
      <c r="E1291" s="69">
        <v>28</v>
      </c>
      <c r="F1291" s="69" t="s">
        <v>1433</v>
      </c>
    </row>
    <row r="1292" spans="1:6" x14ac:dyDescent="0.2">
      <c r="A1292" s="69">
        <v>20000000614</v>
      </c>
      <c r="B1292" s="69" t="s">
        <v>262</v>
      </c>
      <c r="D1292" s="69" t="e">
        <v>#N/A</v>
      </c>
      <c r="E1292" s="69" t="e">
        <v>#N/A</v>
      </c>
      <c r="F1292" s="69" t="s">
        <v>342</v>
      </c>
    </row>
    <row r="1293" spans="1:6" x14ac:dyDescent="0.2">
      <c r="A1293" s="69">
        <v>20000000615</v>
      </c>
      <c r="E1293" s="69">
        <v>28</v>
      </c>
      <c r="F1293" s="69" t="s">
        <v>1434</v>
      </c>
    </row>
    <row r="1294" spans="1:6" x14ac:dyDescent="0.2">
      <c r="A1294" s="69">
        <v>20000000616</v>
      </c>
      <c r="B1294" s="69" t="s">
        <v>220</v>
      </c>
      <c r="D1294" s="69" t="e">
        <v>#N/A</v>
      </c>
      <c r="E1294" s="69" t="e">
        <v>#N/A</v>
      </c>
      <c r="F1294" s="69" t="s">
        <v>339</v>
      </c>
    </row>
    <row r="1295" spans="1:6" x14ac:dyDescent="0.2">
      <c r="A1295" s="69">
        <v>20000000617</v>
      </c>
      <c r="B1295" s="69" t="s">
        <v>221</v>
      </c>
      <c r="D1295" s="69" t="e">
        <v>#N/A</v>
      </c>
      <c r="E1295" s="69" t="e">
        <v>#N/A</v>
      </c>
      <c r="F1295" s="69" t="s">
        <v>338</v>
      </c>
    </row>
    <row r="1296" spans="1:6" x14ac:dyDescent="0.2">
      <c r="A1296" s="69">
        <v>20000000619</v>
      </c>
      <c r="B1296" s="69" t="s">
        <v>262</v>
      </c>
      <c r="D1296" s="69" t="e">
        <v>#N/A</v>
      </c>
      <c r="E1296" s="69" t="e">
        <v>#N/A</v>
      </c>
      <c r="F1296" s="69" t="s">
        <v>335</v>
      </c>
    </row>
    <row r="1297" spans="1:6" x14ac:dyDescent="0.2">
      <c r="A1297" s="69">
        <v>20000000622</v>
      </c>
      <c r="E1297" s="69">
        <v>28</v>
      </c>
      <c r="F1297" s="69" t="s">
        <v>1435</v>
      </c>
    </row>
    <row r="1298" spans="1:6" x14ac:dyDescent="0.2">
      <c r="A1298" s="69">
        <v>20000000634</v>
      </c>
      <c r="B1298" s="69" t="s">
        <v>262</v>
      </c>
      <c r="D1298" s="69" t="e">
        <v>#N/A</v>
      </c>
      <c r="E1298" s="69" t="e">
        <v>#N/A</v>
      </c>
      <c r="F1298" s="69" t="s">
        <v>334</v>
      </c>
    </row>
    <row r="1299" spans="1:6" x14ac:dyDescent="0.2">
      <c r="A1299" s="69">
        <v>20000000635</v>
      </c>
      <c r="B1299" s="69" t="s">
        <v>262</v>
      </c>
      <c r="D1299" s="69" t="e">
        <v>#N/A</v>
      </c>
      <c r="E1299" s="69" t="e">
        <v>#N/A</v>
      </c>
      <c r="F1299" s="69" t="s">
        <v>333</v>
      </c>
    </row>
    <row r="1300" spans="1:6" x14ac:dyDescent="0.2">
      <c r="A1300" s="69">
        <v>20000000643</v>
      </c>
      <c r="B1300" s="69" t="s">
        <v>220</v>
      </c>
      <c r="D1300" s="69" t="e">
        <v>#N/A</v>
      </c>
      <c r="E1300" s="69" t="e">
        <v>#N/A</v>
      </c>
      <c r="F1300" s="69" t="s">
        <v>332</v>
      </c>
    </row>
    <row r="1301" spans="1:6" x14ac:dyDescent="0.2">
      <c r="A1301" s="69">
        <v>20000000644</v>
      </c>
      <c r="E1301" s="69">
        <v>23</v>
      </c>
      <c r="F1301" s="69" t="s">
        <v>1288</v>
      </c>
    </row>
    <row r="1302" spans="1:6" x14ac:dyDescent="0.2">
      <c r="A1302" s="69">
        <v>20000000650</v>
      </c>
      <c r="E1302" s="69">
        <v>23</v>
      </c>
      <c r="F1302" s="69" t="s">
        <v>1623</v>
      </c>
    </row>
    <row r="1303" spans="1:6" x14ac:dyDescent="0.2">
      <c r="A1303" s="69">
        <v>20000000653</v>
      </c>
      <c r="E1303" s="69">
        <v>23</v>
      </c>
      <c r="F1303" s="69" t="s">
        <v>1289</v>
      </c>
    </row>
    <row r="1304" spans="1:6" x14ac:dyDescent="0.2">
      <c r="A1304" s="69">
        <v>20000000660</v>
      </c>
      <c r="B1304" s="69" t="s">
        <v>262</v>
      </c>
      <c r="D1304" s="69" t="s">
        <v>1309</v>
      </c>
      <c r="E1304" s="69" t="e">
        <v>#N/A</v>
      </c>
      <c r="F1304" s="69" t="s">
        <v>331</v>
      </c>
    </row>
    <row r="1305" spans="1:6" x14ac:dyDescent="0.2">
      <c r="A1305" s="69">
        <v>20000000661</v>
      </c>
      <c r="B1305" s="69" t="s">
        <v>262</v>
      </c>
      <c r="D1305" s="69" t="s">
        <v>1309</v>
      </c>
      <c r="E1305" s="69" t="e">
        <v>#N/A</v>
      </c>
      <c r="F1305" s="69" t="s">
        <v>330</v>
      </c>
    </row>
    <row r="1306" spans="1:6" x14ac:dyDescent="0.2">
      <c r="A1306" s="69">
        <v>20000000668</v>
      </c>
      <c r="B1306" s="69" t="s">
        <v>220</v>
      </c>
      <c r="D1306" s="69" t="e">
        <v>#N/A</v>
      </c>
      <c r="E1306" s="69" t="e">
        <v>#N/A</v>
      </c>
      <c r="F1306" s="69" t="s">
        <v>329</v>
      </c>
    </row>
    <row r="1307" spans="1:6" x14ac:dyDescent="0.2">
      <c r="A1307" s="69">
        <v>20000000672</v>
      </c>
      <c r="B1307" s="69" t="s">
        <v>262</v>
      </c>
      <c r="D1307" s="69" t="e">
        <v>#N/A</v>
      </c>
      <c r="E1307" s="69" t="e">
        <v>#N/A</v>
      </c>
      <c r="F1307" s="69" t="s">
        <v>328</v>
      </c>
    </row>
    <row r="1308" spans="1:6" x14ac:dyDescent="0.2">
      <c r="A1308" s="69">
        <v>20000000677</v>
      </c>
      <c r="B1308" s="69" t="s">
        <v>220</v>
      </c>
      <c r="D1308" s="69" t="e">
        <v>#N/A</v>
      </c>
      <c r="E1308" s="69" t="e">
        <v>#N/A</v>
      </c>
      <c r="F1308" s="69" t="s">
        <v>110</v>
      </c>
    </row>
    <row r="1309" spans="1:6" x14ac:dyDescent="0.2">
      <c r="A1309" s="69">
        <v>20000000678</v>
      </c>
      <c r="B1309" s="69" t="s">
        <v>252</v>
      </c>
      <c r="D1309" s="69" t="e">
        <v>#N/A</v>
      </c>
      <c r="E1309" s="69" t="e">
        <v>#N/A</v>
      </c>
      <c r="F1309" s="69" t="s">
        <v>134</v>
      </c>
    </row>
    <row r="1310" spans="1:6" x14ac:dyDescent="0.2">
      <c r="A1310" s="69">
        <v>20000000685</v>
      </c>
      <c r="E1310" s="69">
        <v>23</v>
      </c>
      <c r="F1310" s="69" t="s">
        <v>1290</v>
      </c>
    </row>
    <row r="1311" spans="1:6" x14ac:dyDescent="0.2">
      <c r="A1311" s="69">
        <v>20000000687</v>
      </c>
      <c r="B1311" s="69" t="s">
        <v>221</v>
      </c>
      <c r="D1311" s="69" t="e">
        <v>#N/A</v>
      </c>
      <c r="E1311" s="69" t="e">
        <v>#N/A</v>
      </c>
      <c r="F1311" s="69" t="s">
        <v>327</v>
      </c>
    </row>
    <row r="1312" spans="1:6" x14ac:dyDescent="0.2">
      <c r="A1312" s="69">
        <v>20000000688</v>
      </c>
      <c r="B1312" s="69" t="s">
        <v>262</v>
      </c>
      <c r="D1312" s="69" t="e">
        <v>#N/A</v>
      </c>
      <c r="E1312" s="69" t="e">
        <v>#N/A</v>
      </c>
      <c r="F1312" s="69" t="s">
        <v>327</v>
      </c>
    </row>
    <row r="1313" spans="1:6" x14ac:dyDescent="0.2">
      <c r="A1313" s="69">
        <v>20000000689</v>
      </c>
      <c r="B1313" s="69" t="s">
        <v>221</v>
      </c>
      <c r="D1313" s="69" t="e">
        <v>#N/A</v>
      </c>
      <c r="E1313" s="69" t="e">
        <v>#N/A</v>
      </c>
      <c r="F1313" s="69" t="s">
        <v>326</v>
      </c>
    </row>
    <row r="1314" spans="1:6" x14ac:dyDescent="0.2">
      <c r="A1314" s="69">
        <v>20000000697</v>
      </c>
      <c r="B1314" s="69" t="s">
        <v>220</v>
      </c>
      <c r="D1314" s="69" t="e">
        <v>#N/A</v>
      </c>
      <c r="E1314" s="69" t="e">
        <v>#N/A</v>
      </c>
      <c r="F1314" s="69" t="s">
        <v>325</v>
      </c>
    </row>
    <row r="1315" spans="1:6" x14ac:dyDescent="0.2">
      <c r="A1315" s="69">
        <v>20000000698</v>
      </c>
      <c r="B1315" s="69" t="s">
        <v>262</v>
      </c>
      <c r="D1315" s="69" t="e">
        <v>#N/A</v>
      </c>
      <c r="E1315" s="69" t="e">
        <v>#N/A</v>
      </c>
      <c r="F1315" s="69" t="s">
        <v>324</v>
      </c>
    </row>
    <row r="1316" spans="1:6" x14ac:dyDescent="0.2">
      <c r="A1316" s="69">
        <v>20000000699</v>
      </c>
      <c r="E1316" s="69">
        <v>28</v>
      </c>
      <c r="F1316" s="69" t="s">
        <v>1436</v>
      </c>
    </row>
    <row r="1317" spans="1:6" x14ac:dyDescent="0.2">
      <c r="A1317" s="69">
        <v>20000000704</v>
      </c>
      <c r="E1317" s="69">
        <v>28</v>
      </c>
      <c r="F1317" s="69" t="s">
        <v>182</v>
      </c>
    </row>
    <row r="1318" spans="1:6" x14ac:dyDescent="0.2">
      <c r="A1318" s="69">
        <v>20000000705</v>
      </c>
      <c r="B1318" s="69" t="s">
        <v>220</v>
      </c>
      <c r="D1318" s="69" t="e">
        <v>#N/A</v>
      </c>
      <c r="E1318" s="69" t="e">
        <v>#N/A</v>
      </c>
      <c r="F1318" s="69" t="s">
        <v>323</v>
      </c>
    </row>
    <row r="1319" spans="1:6" x14ac:dyDescent="0.2">
      <c r="A1319" s="69">
        <v>20000000709</v>
      </c>
      <c r="B1319" s="69" t="s">
        <v>262</v>
      </c>
      <c r="D1319" s="69" t="e">
        <v>#N/A</v>
      </c>
      <c r="E1319" s="69" t="e">
        <v>#N/A</v>
      </c>
      <c r="F1319" s="69" t="s">
        <v>322</v>
      </c>
    </row>
    <row r="1320" spans="1:6" x14ac:dyDescent="0.2">
      <c r="A1320" s="69">
        <v>20000000710</v>
      </c>
      <c r="E1320" s="69">
        <v>23</v>
      </c>
      <c r="F1320" s="69" t="s">
        <v>148</v>
      </c>
    </row>
    <row r="1321" spans="1:6" x14ac:dyDescent="0.2">
      <c r="A1321" s="69">
        <v>20000000716</v>
      </c>
      <c r="E1321" s="69">
        <v>23</v>
      </c>
      <c r="F1321" s="69" t="s">
        <v>208</v>
      </c>
    </row>
    <row r="1322" spans="1:6" x14ac:dyDescent="0.2">
      <c r="A1322" s="69">
        <v>20000000720</v>
      </c>
      <c r="B1322" s="69" t="s">
        <v>262</v>
      </c>
      <c r="D1322" s="69" t="e">
        <v>#N/A</v>
      </c>
      <c r="E1322" s="69" t="e">
        <v>#N/A</v>
      </c>
      <c r="F1322" s="69" t="s">
        <v>321</v>
      </c>
    </row>
    <row r="1323" spans="1:6" x14ac:dyDescent="0.2">
      <c r="A1323" s="69">
        <v>20000000729</v>
      </c>
      <c r="E1323" s="69">
        <v>28</v>
      </c>
      <c r="F1323" s="69" t="s">
        <v>147</v>
      </c>
    </row>
    <row r="1324" spans="1:6" x14ac:dyDescent="0.2">
      <c r="A1324" s="69">
        <v>20000000744</v>
      </c>
      <c r="B1324" s="69" t="s">
        <v>221</v>
      </c>
      <c r="D1324" s="69" t="s">
        <v>1268</v>
      </c>
      <c r="E1324" s="69" t="e">
        <v>#N/A</v>
      </c>
      <c r="F1324" s="69" t="s">
        <v>318</v>
      </c>
    </row>
    <row r="1325" spans="1:6" x14ac:dyDescent="0.2">
      <c r="A1325" s="69">
        <v>20000000745</v>
      </c>
      <c r="B1325" s="69" t="s">
        <v>262</v>
      </c>
      <c r="D1325" s="69" t="e">
        <v>#N/A</v>
      </c>
      <c r="E1325" s="69" t="e">
        <v>#N/A</v>
      </c>
      <c r="F1325" s="69" t="s">
        <v>317</v>
      </c>
    </row>
    <row r="1326" spans="1:6" x14ac:dyDescent="0.2">
      <c r="A1326" s="69">
        <v>20000000747</v>
      </c>
      <c r="E1326" s="69">
        <v>28</v>
      </c>
      <c r="F1326" s="69" t="s">
        <v>1437</v>
      </c>
    </row>
    <row r="1327" spans="1:6" x14ac:dyDescent="0.2">
      <c r="A1327" s="69">
        <v>20000000750</v>
      </c>
      <c r="B1327" s="69" t="s">
        <v>220</v>
      </c>
      <c r="D1327" s="69" t="e">
        <v>#N/A</v>
      </c>
      <c r="E1327" s="69" t="e">
        <v>#N/A</v>
      </c>
      <c r="F1327" s="69" t="s">
        <v>316</v>
      </c>
    </row>
    <row r="1328" spans="1:6" x14ac:dyDescent="0.2">
      <c r="A1328" s="69">
        <v>20000000751</v>
      </c>
      <c r="B1328" s="69" t="s">
        <v>254</v>
      </c>
      <c r="D1328" s="69" t="e">
        <v>#N/A</v>
      </c>
      <c r="E1328" s="69">
        <v>28</v>
      </c>
      <c r="F1328" t="s">
        <v>1977</v>
      </c>
    </row>
    <row r="1329" spans="1:6" x14ac:dyDescent="0.2">
      <c r="A1329" s="69">
        <v>20000000752</v>
      </c>
      <c r="B1329" s="69" t="s">
        <v>252</v>
      </c>
      <c r="D1329" s="69" t="e">
        <v>#N/A</v>
      </c>
      <c r="E1329" s="69" t="e">
        <v>#N/A</v>
      </c>
      <c r="F1329" s="69" t="s">
        <v>315</v>
      </c>
    </row>
    <row r="1330" spans="1:6" x14ac:dyDescent="0.2">
      <c r="A1330" s="69">
        <v>20000000753</v>
      </c>
      <c r="B1330" s="69" t="s">
        <v>250</v>
      </c>
      <c r="D1330" s="69" t="e">
        <v>#N/A</v>
      </c>
      <c r="E1330" s="69" t="e">
        <v>#N/A</v>
      </c>
      <c r="F1330" s="69" t="s">
        <v>315</v>
      </c>
    </row>
    <row r="1331" spans="1:6" x14ac:dyDescent="0.2">
      <c r="A1331" s="69">
        <v>20000000756</v>
      </c>
      <c r="E1331" s="69">
        <v>28</v>
      </c>
      <c r="F1331" s="69" t="s">
        <v>162</v>
      </c>
    </row>
    <row r="1332" spans="1:6" x14ac:dyDescent="0.2">
      <c r="A1332" s="69">
        <v>20000000758</v>
      </c>
      <c r="B1332" s="69" t="s">
        <v>221</v>
      </c>
      <c r="D1332" s="69" t="s">
        <v>1438</v>
      </c>
      <c r="E1332" s="69" t="e">
        <v>#N/A</v>
      </c>
      <c r="F1332" s="69" t="s">
        <v>311</v>
      </c>
    </row>
    <row r="1333" spans="1:6" x14ac:dyDescent="0.2">
      <c r="A1333" s="69">
        <v>20000000759</v>
      </c>
      <c r="E1333" s="69">
        <v>28</v>
      </c>
      <c r="F1333" s="69" t="s">
        <v>188</v>
      </c>
    </row>
    <row r="1334" spans="1:6" x14ac:dyDescent="0.2">
      <c r="A1334" s="69">
        <v>20000000773</v>
      </c>
      <c r="E1334" s="69">
        <v>23</v>
      </c>
      <c r="F1334" s="69" t="s">
        <v>1291</v>
      </c>
    </row>
    <row r="1335" spans="1:6" x14ac:dyDescent="0.2">
      <c r="A1335" s="69">
        <v>20000000774</v>
      </c>
      <c r="B1335" s="69" t="s">
        <v>220</v>
      </c>
      <c r="D1335" s="69" t="e">
        <v>#N/A</v>
      </c>
      <c r="E1335" s="69" t="e">
        <v>#N/A</v>
      </c>
      <c r="F1335" s="69" t="s">
        <v>310</v>
      </c>
    </row>
    <row r="1336" spans="1:6" x14ac:dyDescent="0.2">
      <c r="A1336" s="69">
        <v>20000000778</v>
      </c>
      <c r="E1336" s="69">
        <v>23</v>
      </c>
      <c r="F1336" s="69" t="s">
        <v>177</v>
      </c>
    </row>
    <row r="1337" spans="1:6" x14ac:dyDescent="0.2">
      <c r="A1337" s="69">
        <v>20000000787</v>
      </c>
      <c r="E1337" s="69">
        <v>23</v>
      </c>
      <c r="F1337" s="69" t="s">
        <v>1292</v>
      </c>
    </row>
    <row r="1338" spans="1:6" x14ac:dyDescent="0.2">
      <c r="A1338" s="69">
        <v>20000000789</v>
      </c>
      <c r="E1338" s="69">
        <v>23</v>
      </c>
      <c r="F1338" s="69" t="s">
        <v>1293</v>
      </c>
    </row>
    <row r="1339" spans="1:6" x14ac:dyDescent="0.2">
      <c r="A1339" s="69">
        <v>20000000790</v>
      </c>
      <c r="B1339" s="69" t="s">
        <v>220</v>
      </c>
      <c r="D1339" s="69" t="e">
        <v>#N/A</v>
      </c>
      <c r="E1339" s="69" t="e">
        <v>#N/A</v>
      </c>
      <c r="F1339" s="69" t="s">
        <v>309</v>
      </c>
    </row>
    <row r="1340" spans="1:6" x14ac:dyDescent="0.2">
      <c r="A1340" s="69">
        <v>20000000792</v>
      </c>
      <c r="E1340" s="69">
        <v>23</v>
      </c>
      <c r="F1340" s="69" t="s">
        <v>1294</v>
      </c>
    </row>
    <row r="1341" spans="1:6" x14ac:dyDescent="0.2">
      <c r="A1341" s="69">
        <v>20000000800</v>
      </c>
      <c r="E1341" s="69">
        <v>23</v>
      </c>
      <c r="F1341" s="69" t="s">
        <v>1694</v>
      </c>
    </row>
    <row r="1342" spans="1:6" x14ac:dyDescent="0.2">
      <c r="A1342" s="69">
        <v>20000000805</v>
      </c>
      <c r="E1342" s="69">
        <v>28</v>
      </c>
      <c r="F1342" s="69" t="s">
        <v>1439</v>
      </c>
    </row>
    <row r="1343" spans="1:6" x14ac:dyDescent="0.2">
      <c r="A1343" s="69">
        <v>20000000817</v>
      </c>
      <c r="E1343" s="69">
        <v>28</v>
      </c>
      <c r="F1343" s="69" t="s">
        <v>1441</v>
      </c>
    </row>
    <row r="1344" spans="1:6" x14ac:dyDescent="0.2">
      <c r="A1344" s="69">
        <v>20000000821</v>
      </c>
      <c r="B1344" s="69" t="s">
        <v>220</v>
      </c>
      <c r="D1344" s="69" t="e">
        <v>#N/A</v>
      </c>
      <c r="E1344" s="69" t="e">
        <v>#N/A</v>
      </c>
      <c r="F1344" s="69" t="s">
        <v>306</v>
      </c>
    </row>
    <row r="1345" spans="1:6" x14ac:dyDescent="0.2">
      <c r="A1345" s="69">
        <v>20000000822</v>
      </c>
      <c r="E1345" s="69">
        <v>28</v>
      </c>
      <c r="F1345" s="69" t="s">
        <v>1442</v>
      </c>
    </row>
    <row r="1346" spans="1:6" x14ac:dyDescent="0.2">
      <c r="A1346" s="69">
        <v>20000000829</v>
      </c>
      <c r="E1346" s="69">
        <v>28</v>
      </c>
      <c r="F1346" s="69" t="s">
        <v>1443</v>
      </c>
    </row>
    <row r="1347" spans="1:6" x14ac:dyDescent="0.2">
      <c r="A1347" s="69">
        <v>20000000836</v>
      </c>
      <c r="B1347" s="69" t="s">
        <v>220</v>
      </c>
      <c r="D1347" s="69" t="e">
        <v>#N/A</v>
      </c>
      <c r="E1347" s="69" t="e">
        <v>#N/A</v>
      </c>
      <c r="F1347" s="69" t="s">
        <v>305</v>
      </c>
    </row>
    <row r="1348" spans="1:6" x14ac:dyDescent="0.2">
      <c r="A1348" s="69">
        <v>20000000837</v>
      </c>
      <c r="B1348" s="69" t="s">
        <v>254</v>
      </c>
      <c r="D1348" s="69" t="e">
        <v>#N/A</v>
      </c>
      <c r="E1348" s="69" t="e">
        <v>#N/A</v>
      </c>
      <c r="F1348" s="69" t="s">
        <v>304</v>
      </c>
    </row>
    <row r="1349" spans="1:6" x14ac:dyDescent="0.2">
      <c r="A1349" s="69">
        <v>20000000838</v>
      </c>
      <c r="E1349" s="69">
        <v>28</v>
      </c>
      <c r="F1349" s="69" t="s">
        <v>178</v>
      </c>
    </row>
    <row r="1350" spans="1:6" x14ac:dyDescent="0.2">
      <c r="A1350" s="69">
        <v>20000000839</v>
      </c>
      <c r="B1350" s="69" t="s">
        <v>250</v>
      </c>
      <c r="D1350" s="69" t="e">
        <v>#N/A</v>
      </c>
      <c r="E1350" s="69" t="e">
        <v>#N/A</v>
      </c>
      <c r="F1350" s="69" t="s">
        <v>304</v>
      </c>
    </row>
    <row r="1351" spans="1:6" x14ac:dyDescent="0.2">
      <c r="A1351" s="69">
        <v>20000000840</v>
      </c>
      <c r="B1351" s="69" t="s">
        <v>220</v>
      </c>
      <c r="D1351" s="69" t="e">
        <v>#N/A</v>
      </c>
      <c r="E1351" s="69" t="e">
        <v>#N/A</v>
      </c>
      <c r="F1351" s="69" t="s">
        <v>302</v>
      </c>
    </row>
    <row r="1352" spans="1:6" x14ac:dyDescent="0.2">
      <c r="A1352" s="69">
        <v>20000000841</v>
      </c>
      <c r="B1352" s="69" t="s">
        <v>220</v>
      </c>
      <c r="D1352" s="69" t="e">
        <v>#N/A</v>
      </c>
      <c r="E1352" s="69" t="e">
        <v>#N/A</v>
      </c>
      <c r="F1352" s="69" t="s">
        <v>301</v>
      </c>
    </row>
    <row r="1353" spans="1:6" x14ac:dyDescent="0.2">
      <c r="A1353" s="69">
        <v>20000000842</v>
      </c>
      <c r="B1353" s="69" t="s">
        <v>221</v>
      </c>
      <c r="D1353" s="69" t="e">
        <v>#N/A</v>
      </c>
      <c r="E1353" s="69" t="e">
        <v>#N/A</v>
      </c>
      <c r="F1353" s="69" t="s">
        <v>300</v>
      </c>
    </row>
    <row r="1354" spans="1:6" x14ac:dyDescent="0.2">
      <c r="A1354" s="69">
        <v>20000000844</v>
      </c>
      <c r="E1354" s="69">
        <v>28</v>
      </c>
      <c r="F1354" s="69" t="s">
        <v>195</v>
      </c>
    </row>
    <row r="1355" spans="1:6" x14ac:dyDescent="0.2">
      <c r="A1355" s="69">
        <v>20000000847</v>
      </c>
      <c r="B1355" s="69" t="s">
        <v>220</v>
      </c>
      <c r="D1355" s="69" t="e">
        <v>#N/A</v>
      </c>
      <c r="E1355" s="69" t="e">
        <v>#N/A</v>
      </c>
      <c r="F1355" s="69" t="s">
        <v>168</v>
      </c>
    </row>
    <row r="1356" spans="1:6" x14ac:dyDescent="0.2">
      <c r="A1356" s="69">
        <v>20000000850</v>
      </c>
      <c r="E1356" s="69">
        <v>23</v>
      </c>
      <c r="F1356" s="69" t="s">
        <v>189</v>
      </c>
    </row>
    <row r="1357" spans="1:6" x14ac:dyDescent="0.2">
      <c r="A1357" s="69">
        <v>20000000851</v>
      </c>
      <c r="B1357" s="69" t="s">
        <v>220</v>
      </c>
      <c r="D1357" s="69" t="e">
        <v>#N/A</v>
      </c>
      <c r="E1357" s="69" t="e">
        <v>#N/A</v>
      </c>
      <c r="F1357" s="69" t="s">
        <v>299</v>
      </c>
    </row>
    <row r="1358" spans="1:6" x14ac:dyDescent="0.2">
      <c r="A1358" s="69">
        <v>20000000852</v>
      </c>
      <c r="B1358" s="69" t="s">
        <v>262</v>
      </c>
      <c r="D1358" s="69" t="e">
        <v>#N/A</v>
      </c>
      <c r="E1358" s="69" t="e">
        <v>#N/A</v>
      </c>
      <c r="F1358" s="69" t="s">
        <v>298</v>
      </c>
    </row>
    <row r="1359" spans="1:6" x14ac:dyDescent="0.2">
      <c r="A1359" s="69">
        <v>20000000857</v>
      </c>
      <c r="B1359" s="69" t="s">
        <v>220</v>
      </c>
      <c r="D1359" s="69" t="e">
        <v>#N/A</v>
      </c>
      <c r="E1359" s="69" t="e">
        <v>#N/A</v>
      </c>
      <c r="F1359" s="69" t="s">
        <v>297</v>
      </c>
    </row>
    <row r="1360" spans="1:6" x14ac:dyDescent="0.2">
      <c r="A1360" s="69">
        <v>20000000858</v>
      </c>
      <c r="E1360" s="69">
        <v>23</v>
      </c>
      <c r="F1360" s="69" t="s">
        <v>1295</v>
      </c>
    </row>
    <row r="1361" spans="1:6" x14ac:dyDescent="0.2">
      <c r="A1361" s="69">
        <v>20000000863</v>
      </c>
      <c r="E1361" s="69">
        <v>23</v>
      </c>
      <c r="F1361" s="69" t="s">
        <v>183</v>
      </c>
    </row>
    <row r="1362" spans="1:6" x14ac:dyDescent="0.2">
      <c r="A1362" s="69">
        <v>20000000864</v>
      </c>
      <c r="B1362" s="69" t="s">
        <v>290</v>
      </c>
      <c r="D1362" s="69" t="e">
        <v>#N/A</v>
      </c>
      <c r="E1362" s="69" t="e">
        <v>#N/A</v>
      </c>
      <c r="F1362" s="69" t="s">
        <v>295</v>
      </c>
    </row>
    <row r="1363" spans="1:6" x14ac:dyDescent="0.2">
      <c r="A1363" s="69">
        <v>20000000865</v>
      </c>
      <c r="B1363" s="69" t="s">
        <v>220</v>
      </c>
      <c r="D1363" s="69" t="e">
        <v>#N/A</v>
      </c>
      <c r="E1363" s="69" t="e">
        <v>#N/A</v>
      </c>
      <c r="F1363" s="69" t="s">
        <v>295</v>
      </c>
    </row>
    <row r="1364" spans="1:6" x14ac:dyDescent="0.2">
      <c r="A1364" s="69">
        <v>20000000866</v>
      </c>
      <c r="B1364" s="69" t="s">
        <v>262</v>
      </c>
      <c r="D1364" s="69" t="e">
        <v>#N/A</v>
      </c>
      <c r="E1364" s="69" t="e">
        <v>#N/A</v>
      </c>
      <c r="F1364" s="69" t="s">
        <v>294</v>
      </c>
    </row>
    <row r="1365" spans="1:6" x14ac:dyDescent="0.2">
      <c r="A1365" s="69">
        <v>20000000868</v>
      </c>
      <c r="E1365" s="69">
        <v>23</v>
      </c>
      <c r="F1365" s="69" t="s">
        <v>1296</v>
      </c>
    </row>
    <row r="1366" spans="1:6" x14ac:dyDescent="0.2">
      <c r="A1366" s="69">
        <v>20000000878</v>
      </c>
      <c r="B1366" s="69" t="s">
        <v>220</v>
      </c>
      <c r="D1366" s="69" t="e">
        <v>#N/A</v>
      </c>
      <c r="E1366" s="69" t="e">
        <v>#N/A</v>
      </c>
      <c r="F1366" s="69" t="s">
        <v>292</v>
      </c>
    </row>
    <row r="1367" spans="1:6" x14ac:dyDescent="0.2">
      <c r="A1367" s="69">
        <v>20000000879</v>
      </c>
      <c r="B1367" s="69" t="s">
        <v>290</v>
      </c>
      <c r="D1367" s="69" t="s">
        <v>1270</v>
      </c>
      <c r="E1367" s="69" t="e">
        <v>#N/A</v>
      </c>
      <c r="F1367" s="69" t="s">
        <v>291</v>
      </c>
    </row>
    <row r="1368" spans="1:6" x14ac:dyDescent="0.2">
      <c r="A1368" s="69">
        <v>20000000880</v>
      </c>
      <c r="B1368" s="69" t="s">
        <v>220</v>
      </c>
      <c r="D1368" s="69" t="e">
        <v>#N/A</v>
      </c>
      <c r="E1368" s="69" t="e">
        <v>#N/A</v>
      </c>
      <c r="F1368" s="69" t="s">
        <v>291</v>
      </c>
    </row>
    <row r="1369" spans="1:6" x14ac:dyDescent="0.2">
      <c r="A1369" s="69">
        <v>20000000881</v>
      </c>
      <c r="B1369" s="69" t="s">
        <v>290</v>
      </c>
      <c r="D1369" s="69" t="e">
        <v>#N/A</v>
      </c>
      <c r="E1369" s="69" t="e">
        <v>#N/A</v>
      </c>
      <c r="F1369" s="69" t="s">
        <v>288</v>
      </c>
    </row>
    <row r="1370" spans="1:6" x14ac:dyDescent="0.2">
      <c r="A1370" s="69">
        <v>20000000882</v>
      </c>
      <c r="B1370" s="69" t="s">
        <v>220</v>
      </c>
      <c r="D1370" s="69" t="e">
        <v>#N/A</v>
      </c>
      <c r="E1370" s="69" t="e">
        <v>#N/A</v>
      </c>
      <c r="F1370" s="69" t="s">
        <v>288</v>
      </c>
    </row>
    <row r="1371" spans="1:6" x14ac:dyDescent="0.2">
      <c r="A1371" s="69">
        <v>20000000885</v>
      </c>
      <c r="E1371" s="69">
        <v>23</v>
      </c>
      <c r="F1371" s="69" t="s">
        <v>160</v>
      </c>
    </row>
    <row r="1372" spans="1:6" x14ac:dyDescent="0.2">
      <c r="A1372" s="69">
        <v>20000000890</v>
      </c>
      <c r="E1372" s="69">
        <v>23</v>
      </c>
      <c r="F1372" s="69" t="s">
        <v>1297</v>
      </c>
    </row>
    <row r="1373" spans="1:6" x14ac:dyDescent="0.2">
      <c r="A1373" s="69">
        <v>20000000891</v>
      </c>
      <c r="B1373" s="69" t="s">
        <v>252</v>
      </c>
      <c r="D1373" s="69" t="e">
        <v>#N/A</v>
      </c>
      <c r="E1373" s="69" t="e">
        <v>#N/A</v>
      </c>
      <c r="F1373" s="69" t="s">
        <v>287</v>
      </c>
    </row>
    <row r="1374" spans="1:6" x14ac:dyDescent="0.2">
      <c r="A1374" s="69">
        <v>20000000892</v>
      </c>
      <c r="B1374" s="69" t="s">
        <v>220</v>
      </c>
      <c r="D1374" s="69" t="e">
        <v>#N/A</v>
      </c>
      <c r="E1374" s="69" t="e">
        <v>#N/A</v>
      </c>
      <c r="F1374" s="69" t="s">
        <v>286</v>
      </c>
    </row>
    <row r="1375" spans="1:6" x14ac:dyDescent="0.2">
      <c r="A1375" s="69">
        <v>20000000893</v>
      </c>
      <c r="B1375" s="69" t="s">
        <v>221</v>
      </c>
      <c r="D1375" s="69" t="e">
        <v>#N/A</v>
      </c>
      <c r="E1375" s="69" t="e">
        <v>#N/A</v>
      </c>
      <c r="F1375" s="69" t="s">
        <v>285</v>
      </c>
    </row>
    <row r="1376" spans="1:6" x14ac:dyDescent="0.2">
      <c r="A1376" s="69">
        <v>20000000894</v>
      </c>
      <c r="E1376" s="69">
        <v>23</v>
      </c>
      <c r="F1376" s="69" t="s">
        <v>1298</v>
      </c>
    </row>
    <row r="1377" spans="1:6" x14ac:dyDescent="0.2">
      <c r="A1377" s="69">
        <v>20000000897</v>
      </c>
      <c r="E1377" s="69">
        <v>23</v>
      </c>
      <c r="F1377" s="69" t="s">
        <v>1732</v>
      </c>
    </row>
    <row r="1378" spans="1:6" x14ac:dyDescent="0.2">
      <c r="A1378" s="69">
        <v>20000000901</v>
      </c>
      <c r="B1378" s="69" t="s">
        <v>220</v>
      </c>
      <c r="D1378" s="69" t="e">
        <v>#N/A</v>
      </c>
      <c r="E1378" s="69" t="e">
        <v>#N/A</v>
      </c>
      <c r="F1378" s="69" t="s">
        <v>284</v>
      </c>
    </row>
    <row r="1379" spans="1:6" x14ac:dyDescent="0.2">
      <c r="A1379" s="69">
        <v>20000000906</v>
      </c>
      <c r="E1379" s="69">
        <v>19</v>
      </c>
      <c r="F1379" s="69" t="s">
        <v>1260</v>
      </c>
    </row>
    <row r="1380" spans="1:6" x14ac:dyDescent="0.2">
      <c r="A1380" s="69">
        <v>20000000909</v>
      </c>
      <c r="E1380" s="69">
        <v>19</v>
      </c>
      <c r="F1380" s="69" t="s">
        <v>1261</v>
      </c>
    </row>
    <row r="1381" spans="1:6" x14ac:dyDescent="0.2">
      <c r="A1381" s="69">
        <v>20000000913</v>
      </c>
      <c r="B1381" s="69" t="s">
        <v>220</v>
      </c>
      <c r="D1381" s="69" t="s">
        <v>80</v>
      </c>
      <c r="E1381" s="69" t="e">
        <v>#N/A</v>
      </c>
      <c r="F1381" s="69" t="s">
        <v>283</v>
      </c>
    </row>
    <row r="1382" spans="1:6" x14ac:dyDescent="0.2">
      <c r="A1382" s="69">
        <v>20000000974</v>
      </c>
      <c r="E1382" s="69">
        <v>28</v>
      </c>
      <c r="F1382" s="69" t="s">
        <v>1695</v>
      </c>
    </row>
    <row r="1383" spans="1:6" x14ac:dyDescent="0.2">
      <c r="A1383" s="69">
        <v>20000000989</v>
      </c>
      <c r="B1383" s="69" t="s">
        <v>262</v>
      </c>
      <c r="D1383" s="69" t="s">
        <v>1440</v>
      </c>
      <c r="E1383" s="69" t="e">
        <v>#N/A</v>
      </c>
      <c r="F1383" s="69" t="s">
        <v>282</v>
      </c>
    </row>
    <row r="1384" spans="1:6" x14ac:dyDescent="0.2">
      <c r="A1384" s="69">
        <v>20000001077</v>
      </c>
      <c r="E1384" s="69">
        <v>23</v>
      </c>
      <c r="F1384" s="69" t="s">
        <v>1696</v>
      </c>
    </row>
    <row r="1385" spans="1:6" x14ac:dyDescent="0.2">
      <c r="A1385" s="69">
        <v>20000001112</v>
      </c>
      <c r="E1385" s="69">
        <v>23</v>
      </c>
      <c r="F1385" s="69" t="s">
        <v>1299</v>
      </c>
    </row>
    <row r="1386" spans="1:6" x14ac:dyDescent="0.2">
      <c r="A1386" s="69">
        <v>20000001115</v>
      </c>
      <c r="E1386" s="69">
        <v>23</v>
      </c>
      <c r="F1386" s="69" t="s">
        <v>1300</v>
      </c>
    </row>
    <row r="1387" spans="1:6" x14ac:dyDescent="0.2">
      <c r="A1387" s="69">
        <v>20000001136</v>
      </c>
      <c r="E1387" s="69">
        <v>28</v>
      </c>
      <c r="F1387" s="69" t="s">
        <v>1444</v>
      </c>
    </row>
    <row r="1388" spans="1:6" x14ac:dyDescent="0.2">
      <c r="A1388" s="69">
        <v>20000001436</v>
      </c>
      <c r="B1388" s="69" t="s">
        <v>250</v>
      </c>
      <c r="D1388" s="69" t="s">
        <v>84</v>
      </c>
      <c r="E1388" s="69" t="e">
        <v>#N/A</v>
      </c>
      <c r="F1388" s="69" t="s">
        <v>281</v>
      </c>
    </row>
    <row r="1389" spans="1:6" x14ac:dyDescent="0.2">
      <c r="A1389" s="69">
        <v>20000001536</v>
      </c>
      <c r="B1389" s="69" t="s">
        <v>1646</v>
      </c>
      <c r="E1389" s="124" t="s">
        <v>2119</v>
      </c>
      <c r="F1389" s="69" t="s">
        <v>1310</v>
      </c>
    </row>
    <row r="1390" spans="1:6" x14ac:dyDescent="0.2">
      <c r="A1390" s="69">
        <v>20000001537</v>
      </c>
      <c r="E1390" s="69">
        <v>19</v>
      </c>
      <c r="F1390" s="69" t="s">
        <v>1697</v>
      </c>
    </row>
    <row r="1391" spans="1:6" x14ac:dyDescent="0.2">
      <c r="A1391" s="69">
        <v>20000001538</v>
      </c>
      <c r="B1391" s="69" t="s">
        <v>262</v>
      </c>
      <c r="D1391" s="69" t="s">
        <v>1302</v>
      </c>
      <c r="E1391" s="122" t="s">
        <v>1646</v>
      </c>
      <c r="F1391" s="69" t="s">
        <v>280</v>
      </c>
    </row>
    <row r="1392" spans="1:6" x14ac:dyDescent="0.2">
      <c r="A1392" s="69">
        <v>20000001636</v>
      </c>
      <c r="B1392" s="69" t="s">
        <v>1646</v>
      </c>
      <c r="E1392" s="124" t="s">
        <v>2119</v>
      </c>
      <c r="F1392" s="69" t="s">
        <v>1311</v>
      </c>
    </row>
    <row r="1393" spans="1:6" x14ac:dyDescent="0.2">
      <c r="A1393" s="69">
        <v>20000002721</v>
      </c>
      <c r="B1393" s="69" t="s">
        <v>220</v>
      </c>
      <c r="D1393" s="69" t="e">
        <v>#N/A</v>
      </c>
      <c r="E1393" s="69" t="e">
        <v>#N/A</v>
      </c>
      <c r="F1393" s="69" t="s">
        <v>279</v>
      </c>
    </row>
    <row r="1394" spans="1:6" x14ac:dyDescent="0.2">
      <c r="A1394" s="69">
        <v>20000002736</v>
      </c>
      <c r="E1394" s="69">
        <v>28</v>
      </c>
      <c r="F1394" s="69" t="s">
        <v>1698</v>
      </c>
    </row>
    <row r="1395" spans="1:6" x14ac:dyDescent="0.2">
      <c r="A1395" s="69">
        <v>20000003622</v>
      </c>
      <c r="B1395" s="69" t="s">
        <v>220</v>
      </c>
      <c r="D1395" s="69" t="s">
        <v>84</v>
      </c>
      <c r="E1395" s="69" t="e">
        <v>#N/A</v>
      </c>
      <c r="F1395" s="69" t="s">
        <v>278</v>
      </c>
    </row>
    <row r="1396" spans="1:6" x14ac:dyDescent="0.2">
      <c r="A1396" s="69">
        <v>20000003723</v>
      </c>
      <c r="E1396" s="69">
        <v>28</v>
      </c>
      <c r="F1396" s="69" t="s">
        <v>1445</v>
      </c>
    </row>
    <row r="1397" spans="1:6" x14ac:dyDescent="0.2">
      <c r="A1397" s="69">
        <v>20000004223</v>
      </c>
      <c r="E1397" s="69">
        <v>23</v>
      </c>
      <c r="F1397" s="69" t="s">
        <v>1301</v>
      </c>
    </row>
    <row r="1398" spans="1:6" x14ac:dyDescent="0.2">
      <c r="A1398" s="69">
        <v>20000004224</v>
      </c>
      <c r="B1398" s="69" t="s">
        <v>221</v>
      </c>
      <c r="D1398" s="69" t="e">
        <v>#N/A</v>
      </c>
      <c r="E1398" s="69" t="e">
        <v>#N/A</v>
      </c>
      <c r="F1398" s="69" t="s">
        <v>277</v>
      </c>
    </row>
    <row r="1399" spans="1:6" x14ac:dyDescent="0.2">
      <c r="A1399" s="69">
        <v>20000004423</v>
      </c>
      <c r="E1399" s="69">
        <v>28</v>
      </c>
      <c r="F1399" s="69" t="s">
        <v>1446</v>
      </c>
    </row>
    <row r="1400" spans="1:6" x14ac:dyDescent="0.2">
      <c r="A1400" s="69">
        <v>20000004525</v>
      </c>
      <c r="E1400" s="69">
        <v>23</v>
      </c>
      <c r="F1400" s="69" t="s">
        <v>1627</v>
      </c>
    </row>
    <row r="1401" spans="1:6" x14ac:dyDescent="0.2">
      <c r="A1401" s="69">
        <v>20000004529</v>
      </c>
      <c r="E1401" s="69">
        <v>28</v>
      </c>
      <c r="F1401" s="69" t="s">
        <v>1447</v>
      </c>
    </row>
    <row r="1402" spans="1:6" x14ac:dyDescent="0.2">
      <c r="A1402" s="69">
        <v>20000004729</v>
      </c>
      <c r="E1402" s="69">
        <v>23</v>
      </c>
      <c r="F1402" s="69" t="s">
        <v>1735</v>
      </c>
    </row>
    <row r="1403" spans="1:6" x14ac:dyDescent="0.2">
      <c r="A1403" s="69">
        <v>20000004822</v>
      </c>
      <c r="E1403" s="69">
        <v>28</v>
      </c>
      <c r="F1403" s="69" t="s">
        <v>1610</v>
      </c>
    </row>
    <row r="1404" spans="1:6" x14ac:dyDescent="0.2">
      <c r="A1404" s="69">
        <v>20000004830</v>
      </c>
      <c r="B1404" s="69" t="s">
        <v>1646</v>
      </c>
      <c r="E1404" s="124" t="s">
        <v>2119</v>
      </c>
      <c r="F1404" s="69" t="s">
        <v>1636</v>
      </c>
    </row>
    <row r="1405" spans="1:6" x14ac:dyDescent="0.2">
      <c r="A1405" s="69">
        <v>20000004926</v>
      </c>
      <c r="E1405" s="69">
        <v>23</v>
      </c>
      <c r="F1405" s="69" t="s">
        <v>1617</v>
      </c>
    </row>
    <row r="1406" spans="1:6" x14ac:dyDescent="0.2">
      <c r="A1406" s="69">
        <v>20000004929</v>
      </c>
      <c r="E1406" s="69">
        <v>23</v>
      </c>
      <c r="F1406" s="69" t="s">
        <v>1655</v>
      </c>
    </row>
    <row r="1407" spans="1:6" x14ac:dyDescent="0.2">
      <c r="A1407" s="69">
        <v>20000005122</v>
      </c>
      <c r="E1407" s="69">
        <v>28</v>
      </c>
      <c r="F1407" s="69" t="s">
        <v>1654</v>
      </c>
    </row>
    <row r="1408" spans="1:6" x14ac:dyDescent="0.2">
      <c r="A1408" s="69">
        <v>20000005322</v>
      </c>
      <c r="E1408" s="69">
        <v>23</v>
      </c>
      <c r="F1408" s="69" t="s">
        <v>1699</v>
      </c>
    </row>
    <row r="1409" spans="1:6" x14ac:dyDescent="0.2">
      <c r="A1409" s="69">
        <v>20000005834</v>
      </c>
      <c r="B1409" s="69" t="s">
        <v>1646</v>
      </c>
      <c r="E1409" s="69" t="s">
        <v>1646</v>
      </c>
      <c r="F1409" s="69" t="s">
        <v>1648</v>
      </c>
    </row>
    <row r="1410" spans="1:6" x14ac:dyDescent="0.2">
      <c r="A1410" s="69">
        <v>20000005837</v>
      </c>
      <c r="E1410" s="69">
        <v>28</v>
      </c>
      <c r="F1410" s="69" t="s">
        <v>1700</v>
      </c>
    </row>
    <row r="1411" spans="1:6" x14ac:dyDescent="0.2">
      <c r="A1411" s="69">
        <v>20000005923</v>
      </c>
      <c r="E1411" s="69">
        <v>28</v>
      </c>
      <c r="F1411" s="69" t="s">
        <v>1701</v>
      </c>
    </row>
    <row r="1412" spans="1:6" x14ac:dyDescent="0.2">
      <c r="A1412" s="69">
        <v>20000005936</v>
      </c>
      <c r="B1412" s="69" t="s">
        <v>1646</v>
      </c>
      <c r="E1412" s="69" t="s">
        <v>1646</v>
      </c>
      <c r="F1412" s="69" t="s">
        <v>1649</v>
      </c>
    </row>
    <row r="1413" spans="1:6" x14ac:dyDescent="0.2">
      <c r="A1413" s="69">
        <v>20000005937</v>
      </c>
      <c r="E1413" s="69">
        <v>28</v>
      </c>
      <c r="F1413" s="69" t="s">
        <v>1702</v>
      </c>
    </row>
    <row r="1414" spans="1:6" x14ac:dyDescent="0.2">
      <c r="A1414" s="69">
        <v>20000006022</v>
      </c>
      <c r="B1414" s="69" t="s">
        <v>1646</v>
      </c>
      <c r="E1414" s="69" t="s">
        <v>1646</v>
      </c>
      <c r="F1414" s="69" t="s">
        <v>1650</v>
      </c>
    </row>
    <row r="1415" spans="1:6" x14ac:dyDescent="0.2">
      <c r="A1415" s="69">
        <v>20000006025</v>
      </c>
      <c r="B1415" s="69" t="s">
        <v>1646</v>
      </c>
      <c r="E1415" s="124" t="s">
        <v>2119</v>
      </c>
      <c r="F1415" s="69" t="s">
        <v>1651</v>
      </c>
    </row>
    <row r="1416" spans="1:6" x14ac:dyDescent="0.2">
      <c r="A1416" s="69">
        <v>20000006026</v>
      </c>
      <c r="E1416" s="69">
        <v>23</v>
      </c>
      <c r="F1416" s="69" t="s">
        <v>1733</v>
      </c>
    </row>
    <row r="1417" spans="1:6" x14ac:dyDescent="0.2">
      <c r="A1417" s="69">
        <v>20000006038</v>
      </c>
      <c r="E1417" s="69">
        <v>28</v>
      </c>
      <c r="F1417" s="69" t="s">
        <v>1614</v>
      </c>
    </row>
    <row r="1418" spans="1:6" x14ac:dyDescent="0.2">
      <c r="A1418" s="69">
        <v>20000006523</v>
      </c>
      <c r="B1418" s="69" t="s">
        <v>1646</v>
      </c>
      <c r="E1418" s="124" t="s">
        <v>2119</v>
      </c>
      <c r="F1418" s="69" t="s">
        <v>1599</v>
      </c>
    </row>
    <row r="1419" spans="1:6" x14ac:dyDescent="0.2">
      <c r="A1419" s="69">
        <v>20000006538</v>
      </c>
      <c r="E1419" s="69">
        <v>28</v>
      </c>
      <c r="F1419" s="69" t="s">
        <v>1602</v>
      </c>
    </row>
    <row r="1420" spans="1:6" x14ac:dyDescent="0.2">
      <c r="A1420" s="69">
        <v>20000006539</v>
      </c>
      <c r="E1420" s="69">
        <v>28</v>
      </c>
      <c r="F1420" s="69" t="s">
        <v>1603</v>
      </c>
    </row>
    <row r="1421" spans="1:6" x14ac:dyDescent="0.2">
      <c r="A1421" s="69">
        <v>20000006541</v>
      </c>
      <c r="E1421" s="69">
        <v>28</v>
      </c>
      <c r="F1421" s="69" t="s">
        <v>1612</v>
      </c>
    </row>
    <row r="1422" spans="1:6" x14ac:dyDescent="0.2">
      <c r="A1422" s="69">
        <v>40000000051</v>
      </c>
      <c r="E1422" s="69">
        <v>28</v>
      </c>
      <c r="F1422" s="69" t="s">
        <v>1703</v>
      </c>
    </row>
    <row r="1423" spans="1:6" x14ac:dyDescent="0.2">
      <c r="A1423" s="69">
        <v>50000000059</v>
      </c>
      <c r="E1423" s="69">
        <v>28</v>
      </c>
      <c r="F1423" s="69" t="s">
        <v>1449</v>
      </c>
    </row>
    <row r="1424" spans="1:6" x14ac:dyDescent="0.2">
      <c r="A1424" s="69">
        <v>50000000060</v>
      </c>
      <c r="E1424" s="69">
        <v>28</v>
      </c>
      <c r="F1424" s="69" t="s">
        <v>117</v>
      </c>
    </row>
    <row r="1425" spans="1:6" x14ac:dyDescent="0.2">
      <c r="A1425" s="69">
        <v>50000000074</v>
      </c>
      <c r="E1425" s="69">
        <v>28</v>
      </c>
      <c r="F1425" s="69" t="s">
        <v>1450</v>
      </c>
    </row>
    <row r="1426" spans="1:6" x14ac:dyDescent="0.2">
      <c r="A1426" s="69">
        <v>50000000115</v>
      </c>
      <c r="E1426" s="69">
        <v>23</v>
      </c>
      <c r="F1426" s="69" t="s">
        <v>1312</v>
      </c>
    </row>
    <row r="1427" spans="1:6" x14ac:dyDescent="0.2">
      <c r="A1427" s="69">
        <v>50000001139</v>
      </c>
      <c r="E1427" s="69">
        <v>28</v>
      </c>
      <c r="F1427" s="69" t="s">
        <v>1704</v>
      </c>
    </row>
    <row r="1428" spans="1:6" x14ac:dyDescent="0.2">
      <c r="A1428" s="69">
        <v>50000001739</v>
      </c>
      <c r="E1428" s="69">
        <v>23</v>
      </c>
      <c r="F1428" s="69" t="s">
        <v>1734</v>
      </c>
    </row>
    <row r="1429" spans="1:6" x14ac:dyDescent="0.2">
      <c r="A1429" s="69">
        <v>50000001740</v>
      </c>
      <c r="E1429" s="69">
        <v>23</v>
      </c>
      <c r="F1429" s="69" t="s">
        <v>1705</v>
      </c>
    </row>
    <row r="1430" spans="1:6" x14ac:dyDescent="0.2">
      <c r="A1430" s="69">
        <v>50000002139</v>
      </c>
      <c r="E1430" s="69">
        <v>23</v>
      </c>
      <c r="F1430" s="69" t="s">
        <v>1706</v>
      </c>
    </row>
    <row r="1431" spans="1:6" x14ac:dyDescent="0.2">
      <c r="A1431" s="69">
        <v>50000002140</v>
      </c>
      <c r="E1431" s="69">
        <v>23</v>
      </c>
      <c r="F1431" s="69" t="s">
        <v>1707</v>
      </c>
    </row>
    <row r="1432" spans="1:6" x14ac:dyDescent="0.2">
      <c r="A1432" s="69">
        <v>50000002141</v>
      </c>
      <c r="E1432" s="69">
        <v>23</v>
      </c>
      <c r="F1432" s="69" t="s">
        <v>1708</v>
      </c>
    </row>
    <row r="1433" spans="1:6" x14ac:dyDescent="0.2">
      <c r="A1433" s="69">
        <v>10000000918</v>
      </c>
      <c r="E1433" s="69">
        <v>5</v>
      </c>
      <c r="F1433" s="69" t="s">
        <v>730</v>
      </c>
    </row>
    <row r="1434" spans="1:6" x14ac:dyDescent="0.2">
      <c r="A1434" s="69">
        <v>10000001021</v>
      </c>
      <c r="E1434" s="69">
        <v>5</v>
      </c>
      <c r="F1434" s="69" t="s">
        <v>673</v>
      </c>
    </row>
    <row r="1435" spans="1:6" x14ac:dyDescent="0.2">
      <c r="A1435" s="69">
        <v>10000000986</v>
      </c>
      <c r="E1435" s="69">
        <v>20</v>
      </c>
      <c r="F1435" s="69" t="s">
        <v>695</v>
      </c>
    </row>
    <row r="1436" spans="1:6" x14ac:dyDescent="0.2">
      <c r="A1436" s="69">
        <v>10000000583</v>
      </c>
      <c r="E1436" s="69">
        <v>5</v>
      </c>
      <c r="F1436" s="69" t="s">
        <v>983</v>
      </c>
    </row>
    <row r="1437" spans="1:6" x14ac:dyDescent="0.2">
      <c r="A1437" s="69">
        <v>10000000570</v>
      </c>
      <c r="E1437" s="69">
        <v>5</v>
      </c>
      <c r="F1437" s="69" t="s">
        <v>992</v>
      </c>
    </row>
    <row r="1438" spans="1:6" x14ac:dyDescent="0.2">
      <c r="A1438" s="69">
        <v>10000000920</v>
      </c>
      <c r="E1438" s="69">
        <v>20</v>
      </c>
      <c r="F1438" s="69" t="s">
        <v>728</v>
      </c>
    </row>
    <row r="1439" spans="1:6" x14ac:dyDescent="0.2">
      <c r="A1439" s="69">
        <v>10000000227</v>
      </c>
      <c r="E1439" s="69">
        <v>5</v>
      </c>
      <c r="F1439" s="69" t="s">
        <v>1192</v>
      </c>
    </row>
    <row r="1440" spans="1:6" x14ac:dyDescent="0.2">
      <c r="A1440" s="69">
        <v>10000000227</v>
      </c>
      <c r="E1440" s="69">
        <v>5</v>
      </c>
      <c r="F1440" s="69" t="s">
        <v>1192</v>
      </c>
    </row>
    <row r="1441" spans="1:6" x14ac:dyDescent="0.2">
      <c r="A1441" s="69">
        <v>10000000568</v>
      </c>
      <c r="E1441" s="69">
        <v>5</v>
      </c>
      <c r="F1441" s="69" t="s">
        <v>993</v>
      </c>
    </row>
    <row r="1442" spans="1:6" x14ac:dyDescent="0.2">
      <c r="A1442" s="69">
        <v>10000000976</v>
      </c>
      <c r="E1442" s="69">
        <v>20</v>
      </c>
      <c r="F1442" s="69" t="s">
        <v>704</v>
      </c>
    </row>
    <row r="1443" spans="1:6" x14ac:dyDescent="0.2">
      <c r="A1443" s="69">
        <v>10000001331</v>
      </c>
      <c r="E1443" s="69">
        <v>5</v>
      </c>
      <c r="F1443" s="69" t="s">
        <v>524</v>
      </c>
    </row>
    <row r="1444" spans="1:6" x14ac:dyDescent="0.2">
      <c r="A1444" s="69">
        <v>10000003870</v>
      </c>
      <c r="E1444" s="69">
        <v>5</v>
      </c>
      <c r="F1444" s="69" t="s">
        <v>376</v>
      </c>
    </row>
    <row r="1445" spans="1:6" x14ac:dyDescent="0.2">
      <c r="A1445" s="69">
        <v>10000001045</v>
      </c>
      <c r="E1445" s="69">
        <v>5</v>
      </c>
      <c r="F1445" s="69" t="s">
        <v>124</v>
      </c>
    </row>
    <row r="1446" spans="1:6" x14ac:dyDescent="0.2">
      <c r="A1446" s="69">
        <v>10000000548</v>
      </c>
      <c r="E1446" s="69">
        <v>20</v>
      </c>
      <c r="F1446" s="69" t="s">
        <v>1000</v>
      </c>
    </row>
    <row r="1447" spans="1:6" x14ac:dyDescent="0.2">
      <c r="A1447" s="69">
        <v>10000001085</v>
      </c>
      <c r="E1447" s="69">
        <v>5</v>
      </c>
      <c r="F1447" s="69" t="s">
        <v>180</v>
      </c>
    </row>
    <row r="1448" spans="1:6" x14ac:dyDescent="0.2">
      <c r="A1448" s="69">
        <v>10000001033</v>
      </c>
      <c r="E1448" s="69">
        <v>5</v>
      </c>
      <c r="F1448" s="69" t="s">
        <v>666</v>
      </c>
    </row>
    <row r="1449" spans="1:6" x14ac:dyDescent="0.2">
      <c r="A1449" s="69">
        <v>10000001058</v>
      </c>
      <c r="E1449" s="69">
        <v>5</v>
      </c>
      <c r="F1449" s="69" t="s">
        <v>150</v>
      </c>
    </row>
    <row r="1450" spans="1:6" x14ac:dyDescent="0.2">
      <c r="A1450" s="69">
        <v>10000001055</v>
      </c>
      <c r="E1450" s="69">
        <v>5</v>
      </c>
      <c r="F1450" s="69" t="s">
        <v>1611</v>
      </c>
    </row>
    <row r="1451" spans="1:6" x14ac:dyDescent="0.2">
      <c r="A1451" s="69">
        <v>10000001035</v>
      </c>
      <c r="E1451" s="69">
        <v>5</v>
      </c>
      <c r="F1451" s="69" t="s">
        <v>665</v>
      </c>
    </row>
    <row r="1452" spans="1:6" x14ac:dyDescent="0.2">
      <c r="A1452" s="69">
        <v>10000000972</v>
      </c>
      <c r="E1452" s="69">
        <v>5</v>
      </c>
      <c r="F1452" s="69" t="s">
        <v>707</v>
      </c>
    </row>
    <row r="1453" spans="1:6" x14ac:dyDescent="0.2">
      <c r="A1453" s="69">
        <v>20000000499</v>
      </c>
      <c r="E1453" s="69">
        <v>28</v>
      </c>
      <c r="F1453" s="94" t="s">
        <v>1919</v>
      </c>
    </row>
    <row r="1454" spans="1:6" x14ac:dyDescent="0.2">
      <c r="A1454" s="69">
        <v>20000002724</v>
      </c>
      <c r="E1454" s="69">
        <v>28</v>
      </c>
      <c r="F1454" s="69" t="s">
        <v>1920</v>
      </c>
    </row>
    <row r="1455" spans="1:6" x14ac:dyDescent="0.2">
      <c r="A1455" s="69">
        <v>10000011734</v>
      </c>
      <c r="E1455" s="69">
        <v>5</v>
      </c>
      <c r="F1455" s="69" t="s">
        <v>1921</v>
      </c>
    </row>
    <row r="1456" spans="1:6" x14ac:dyDescent="0.2">
      <c r="A1456" s="69">
        <v>10000000264</v>
      </c>
      <c r="E1456" s="69">
        <v>5</v>
      </c>
      <c r="F1456" s="69" t="s">
        <v>1172</v>
      </c>
    </row>
    <row r="1457" spans="1:6" x14ac:dyDescent="0.2">
      <c r="A1457" s="69">
        <v>10000001036</v>
      </c>
      <c r="E1457" s="69">
        <v>10</v>
      </c>
      <c r="F1457" s="69" t="s">
        <v>664</v>
      </c>
    </row>
    <row r="1458" spans="1:6" x14ac:dyDescent="0.2">
      <c r="A1458" s="69">
        <v>10000009842</v>
      </c>
      <c r="E1458" s="69">
        <v>1</v>
      </c>
      <c r="F1458" s="69" t="s">
        <v>1922</v>
      </c>
    </row>
    <row r="1459" spans="1:6" x14ac:dyDescent="0.2">
      <c r="A1459" s="69">
        <v>10000011951</v>
      </c>
      <c r="E1459" s="69">
        <v>1</v>
      </c>
      <c r="F1459" s="69" t="s">
        <v>1923</v>
      </c>
    </row>
    <row r="1460" spans="1:6" x14ac:dyDescent="0.2">
      <c r="A1460" s="69">
        <v>10000001067</v>
      </c>
      <c r="E1460" s="69">
        <v>10</v>
      </c>
      <c r="F1460" s="69" t="s">
        <v>1924</v>
      </c>
    </row>
    <row r="1461" spans="1:6" x14ac:dyDescent="0.2">
      <c r="A1461" s="69">
        <v>10000000919</v>
      </c>
      <c r="E1461" s="69">
        <v>10</v>
      </c>
      <c r="F1461" s="69" t="s">
        <v>729</v>
      </c>
    </row>
    <row r="1462" spans="1:6" x14ac:dyDescent="0.2">
      <c r="A1462" s="69">
        <v>10000000613</v>
      </c>
      <c r="E1462" s="69">
        <v>5</v>
      </c>
      <c r="F1462" s="69" t="s">
        <v>955</v>
      </c>
    </row>
    <row r="1463" spans="1:6" x14ac:dyDescent="0.2">
      <c r="A1463" s="69">
        <v>10000001515</v>
      </c>
      <c r="E1463" s="69">
        <v>5</v>
      </c>
      <c r="F1463" s="69" t="s">
        <v>503</v>
      </c>
    </row>
    <row r="1464" spans="1:6" x14ac:dyDescent="0.2">
      <c r="A1464" s="69">
        <v>10000001034</v>
      </c>
      <c r="E1464" s="69">
        <v>5</v>
      </c>
      <c r="F1464" s="69" t="s">
        <v>210</v>
      </c>
    </row>
    <row r="1465" spans="1:6" x14ac:dyDescent="0.2">
      <c r="A1465" s="69">
        <v>10000011919</v>
      </c>
      <c r="E1465" s="69">
        <v>5</v>
      </c>
      <c r="F1465" s="69" t="s">
        <v>1927</v>
      </c>
    </row>
    <row r="1466" spans="1:6" x14ac:dyDescent="0.2">
      <c r="A1466" s="69">
        <v>10000011920</v>
      </c>
      <c r="E1466" s="69">
        <v>1</v>
      </c>
      <c r="F1466" s="69" t="s">
        <v>1928</v>
      </c>
    </row>
    <row r="1467" spans="1:6" x14ac:dyDescent="0.2">
      <c r="A1467" s="69">
        <v>10000011653</v>
      </c>
      <c r="E1467" s="69">
        <v>5</v>
      </c>
      <c r="F1467" s="69" t="s">
        <v>1929</v>
      </c>
    </row>
    <row r="1468" spans="1:6" x14ac:dyDescent="0.2">
      <c r="A1468" s="69">
        <v>10000000390</v>
      </c>
      <c r="E1468" s="69">
        <v>5</v>
      </c>
      <c r="F1468" s="69" t="s">
        <v>1082</v>
      </c>
    </row>
    <row r="1469" spans="1:6" x14ac:dyDescent="0.2">
      <c r="A1469" s="69">
        <v>10000011530</v>
      </c>
      <c r="E1469" s="69">
        <v>5</v>
      </c>
      <c r="F1469" s="69" t="s">
        <v>1930</v>
      </c>
    </row>
    <row r="1470" spans="1:6" x14ac:dyDescent="0.2">
      <c r="A1470" s="69">
        <v>20000007508</v>
      </c>
      <c r="E1470" s="69">
        <v>28</v>
      </c>
      <c r="F1470" s="69" t="s">
        <v>1423</v>
      </c>
    </row>
    <row r="1471" spans="1:6" x14ac:dyDescent="0.2">
      <c r="A1471" s="69">
        <v>20000007607</v>
      </c>
      <c r="E1471" s="69">
        <v>28</v>
      </c>
      <c r="F1471" s="69" t="s">
        <v>1427</v>
      </c>
    </row>
    <row r="1472" spans="1:6" x14ac:dyDescent="0.2">
      <c r="A1472" s="69">
        <v>20000000729</v>
      </c>
      <c r="E1472" s="69">
        <v>28</v>
      </c>
      <c r="F1472" s="69" t="s">
        <v>1931</v>
      </c>
    </row>
    <row r="1473" spans="1:6" x14ac:dyDescent="0.2">
      <c r="A1473" s="69">
        <v>10000011609</v>
      </c>
      <c r="E1473" s="69">
        <v>5</v>
      </c>
      <c r="F1473" s="69" t="s">
        <v>1932</v>
      </c>
    </row>
    <row r="1474" spans="1:6" x14ac:dyDescent="0.2">
      <c r="A1474" s="69">
        <v>10000000348</v>
      </c>
      <c r="E1474" s="69">
        <v>10</v>
      </c>
      <c r="F1474" s="69" t="s">
        <v>1933</v>
      </c>
    </row>
    <row r="1475" spans="1:6" x14ac:dyDescent="0.2">
      <c r="A1475" s="69">
        <v>10000009995</v>
      </c>
      <c r="E1475" s="69">
        <v>1</v>
      </c>
      <c r="F1475" s="69" t="s">
        <v>1934</v>
      </c>
    </row>
    <row r="1476" spans="1:6" x14ac:dyDescent="0.2">
      <c r="A1476" s="69">
        <v>10000014190</v>
      </c>
      <c r="E1476" s="69" t="s">
        <v>1646</v>
      </c>
      <c r="F1476" s="69" t="s">
        <v>1935</v>
      </c>
    </row>
    <row r="1477" spans="1:6" x14ac:dyDescent="0.2">
      <c r="A1477" s="69">
        <v>10000001054</v>
      </c>
      <c r="E1477" s="69">
        <v>5</v>
      </c>
      <c r="F1477" s="69" t="s">
        <v>1936</v>
      </c>
    </row>
    <row r="1478" spans="1:6" x14ac:dyDescent="0.2">
      <c r="A1478" s="69">
        <v>10000011629</v>
      </c>
      <c r="E1478" s="69">
        <v>1</v>
      </c>
      <c r="F1478" s="69" t="s">
        <v>1937</v>
      </c>
    </row>
    <row r="1479" spans="1:6" x14ac:dyDescent="0.2">
      <c r="A1479" s="69">
        <v>10000000672</v>
      </c>
      <c r="E1479" s="69">
        <v>5</v>
      </c>
      <c r="F1479" s="69" t="s">
        <v>211</v>
      </c>
    </row>
    <row r="1480" spans="1:6" x14ac:dyDescent="0.2">
      <c r="A1480" s="69">
        <v>10000000671</v>
      </c>
      <c r="E1480" s="69">
        <v>5</v>
      </c>
      <c r="F1480" s="69" t="s">
        <v>906</v>
      </c>
    </row>
    <row r="1481" spans="1:6" x14ac:dyDescent="0.2">
      <c r="A1481" s="69">
        <v>10000000669</v>
      </c>
      <c r="E1481" s="69">
        <v>5</v>
      </c>
      <c r="F1481" s="69" t="s">
        <v>908</v>
      </c>
    </row>
    <row r="1482" spans="1:6" x14ac:dyDescent="0.2">
      <c r="A1482" s="69">
        <v>10000010367</v>
      </c>
      <c r="E1482" s="69">
        <v>1</v>
      </c>
      <c r="F1482" s="69" t="s">
        <v>1938</v>
      </c>
    </row>
    <row r="1483" spans="1:6" x14ac:dyDescent="0.2">
      <c r="A1483" s="69">
        <v>10000011785</v>
      </c>
      <c r="E1483" s="69">
        <v>5</v>
      </c>
      <c r="F1483" s="69" t="s">
        <v>1939</v>
      </c>
    </row>
    <row r="1484" spans="1:6" x14ac:dyDescent="0.2">
      <c r="A1484" s="69">
        <v>10000014287</v>
      </c>
      <c r="E1484" s="69">
        <v>5</v>
      </c>
      <c r="F1484" s="69" t="s">
        <v>1940</v>
      </c>
    </row>
    <row r="1485" spans="1:6" x14ac:dyDescent="0.2">
      <c r="A1485" s="69">
        <v>10000011743</v>
      </c>
      <c r="E1485" s="69">
        <v>5</v>
      </c>
      <c r="F1485" s="69" t="s">
        <v>1941</v>
      </c>
    </row>
    <row r="1486" spans="1:6" x14ac:dyDescent="0.2">
      <c r="A1486" s="69">
        <v>10000011929</v>
      </c>
      <c r="E1486" s="69">
        <v>5</v>
      </c>
      <c r="F1486" s="69" t="s">
        <v>1942</v>
      </c>
    </row>
    <row r="1487" spans="1:6" x14ac:dyDescent="0.2">
      <c r="A1487" s="69">
        <v>10000009895</v>
      </c>
      <c r="E1487" s="69">
        <v>1</v>
      </c>
      <c r="F1487" s="69" t="s">
        <v>1943</v>
      </c>
    </row>
    <row r="1488" spans="1:6" x14ac:dyDescent="0.2">
      <c r="A1488" s="69">
        <v>20000007509</v>
      </c>
      <c r="E1488" s="69">
        <v>23</v>
      </c>
      <c r="F1488" s="69" t="s">
        <v>1944</v>
      </c>
    </row>
    <row r="1489" spans="1:6" x14ac:dyDescent="0.2">
      <c r="A1489" s="69">
        <v>10000009993</v>
      </c>
      <c r="E1489" s="69">
        <v>1</v>
      </c>
      <c r="F1489" s="69" t="s">
        <v>1945</v>
      </c>
    </row>
    <row r="1490" spans="1:6" x14ac:dyDescent="0.2">
      <c r="A1490" s="69">
        <v>10000011936</v>
      </c>
      <c r="E1490" s="69">
        <v>1</v>
      </c>
      <c r="F1490" s="69" t="s">
        <v>1946</v>
      </c>
    </row>
    <row r="1491" spans="1:6" x14ac:dyDescent="0.2">
      <c r="A1491" s="69">
        <v>10000001084</v>
      </c>
      <c r="E1491" s="69">
        <v>5</v>
      </c>
      <c r="F1491" s="69" t="s">
        <v>152</v>
      </c>
    </row>
    <row r="1492" spans="1:6" x14ac:dyDescent="0.2">
      <c r="A1492" s="69">
        <v>10000001022</v>
      </c>
      <c r="E1492" s="69">
        <v>5</v>
      </c>
      <c r="F1492" s="69" t="s">
        <v>1947</v>
      </c>
    </row>
    <row r="1493" spans="1:6" x14ac:dyDescent="0.2">
      <c r="A1493" s="69">
        <v>10000001023</v>
      </c>
      <c r="E1493" s="69">
        <v>5</v>
      </c>
      <c r="F1493" s="69" t="s">
        <v>1948</v>
      </c>
    </row>
    <row r="1494" spans="1:6" x14ac:dyDescent="0.2">
      <c r="A1494" s="69">
        <v>10000001020</v>
      </c>
      <c r="E1494" s="69">
        <v>5</v>
      </c>
      <c r="F1494" s="69" t="s">
        <v>674</v>
      </c>
    </row>
    <row r="1495" spans="1:6" x14ac:dyDescent="0.2">
      <c r="A1495" s="69">
        <v>20000000490</v>
      </c>
      <c r="E1495" s="69">
        <v>23</v>
      </c>
      <c r="F1495" s="69" t="s">
        <v>1950</v>
      </c>
    </row>
    <row r="1496" spans="1:6" x14ac:dyDescent="0.2">
      <c r="A1496" s="69">
        <v>10000010365</v>
      </c>
      <c r="E1496" s="69">
        <v>1</v>
      </c>
      <c r="F1496" s="69" t="s">
        <v>1949</v>
      </c>
    </row>
    <row r="1497" spans="1:6" x14ac:dyDescent="0.2">
      <c r="A1497" s="69">
        <v>10000000611</v>
      </c>
      <c r="E1497" s="69">
        <v>5</v>
      </c>
      <c r="F1497" s="69" t="s">
        <v>1951</v>
      </c>
    </row>
    <row r="1498" spans="1:6" x14ac:dyDescent="0.2">
      <c r="A1498" s="69">
        <v>10000001046</v>
      </c>
      <c r="E1498" s="69">
        <v>5</v>
      </c>
      <c r="F1498" s="69" t="s">
        <v>657</v>
      </c>
    </row>
    <row r="1499" spans="1:6" x14ac:dyDescent="0.2">
      <c r="A1499" s="69">
        <v>10000012211</v>
      </c>
      <c r="E1499" s="69">
        <v>5</v>
      </c>
      <c r="F1499" s="69" t="s">
        <v>1952</v>
      </c>
    </row>
    <row r="1500" spans="1:6" x14ac:dyDescent="0.2">
      <c r="A1500" s="69">
        <v>10000010405</v>
      </c>
      <c r="E1500" s="69">
        <v>5</v>
      </c>
      <c r="F1500" s="69" t="s">
        <v>1953</v>
      </c>
    </row>
    <row r="1501" spans="1:6" x14ac:dyDescent="0.2">
      <c r="A1501" s="69">
        <v>10000000225</v>
      </c>
      <c r="E1501" s="69">
        <v>10</v>
      </c>
      <c r="F1501" s="69" t="s">
        <v>1194</v>
      </c>
    </row>
    <row r="1502" spans="1:6" x14ac:dyDescent="0.2">
      <c r="A1502" s="69">
        <v>10000012445</v>
      </c>
      <c r="E1502" s="69">
        <v>5</v>
      </c>
      <c r="F1502" s="69" t="s">
        <v>1954</v>
      </c>
    </row>
    <row r="1503" spans="1:6" x14ac:dyDescent="0.2">
      <c r="A1503" s="69">
        <v>10000000599</v>
      </c>
      <c r="E1503" s="69">
        <v>5</v>
      </c>
      <c r="F1503" s="69" t="s">
        <v>1955</v>
      </c>
    </row>
    <row r="1504" spans="1:6" x14ac:dyDescent="0.2">
      <c r="A1504" s="69">
        <v>20000007623</v>
      </c>
      <c r="E1504" s="69">
        <v>28</v>
      </c>
      <c r="F1504" s="69" t="s">
        <v>1956</v>
      </c>
    </row>
    <row r="1505" spans="1:6" x14ac:dyDescent="0.2">
      <c r="A1505" s="69">
        <v>30000006846</v>
      </c>
      <c r="D1505" s="69" t="s">
        <v>1479</v>
      </c>
      <c r="E1505" s="69" t="s">
        <v>2064</v>
      </c>
      <c r="F1505" s="69" t="s">
        <v>1957</v>
      </c>
    </row>
    <row r="1506" spans="1:6" x14ac:dyDescent="0.2">
      <c r="A1506" s="69">
        <v>10000000168</v>
      </c>
      <c r="E1506" s="69">
        <v>20</v>
      </c>
      <c r="F1506" s="69" t="s">
        <v>1958</v>
      </c>
    </row>
    <row r="1507" spans="1:6" x14ac:dyDescent="0.2">
      <c r="A1507" s="69">
        <v>10000012623</v>
      </c>
      <c r="E1507" s="69">
        <v>28</v>
      </c>
      <c r="F1507" s="69" t="s">
        <v>1960</v>
      </c>
    </row>
    <row r="1508" spans="1:6" x14ac:dyDescent="0.2">
      <c r="A1508" s="69">
        <v>10000000467</v>
      </c>
      <c r="E1508" s="69">
        <v>5</v>
      </c>
      <c r="F1508" s="69" t="s">
        <v>193</v>
      </c>
    </row>
    <row r="1509" spans="1:6" x14ac:dyDescent="0.2">
      <c r="A1509" s="69">
        <v>10000000791</v>
      </c>
      <c r="E1509" s="69">
        <v>10</v>
      </c>
      <c r="F1509" s="69" t="s">
        <v>840</v>
      </c>
    </row>
    <row r="1510" spans="1:6" x14ac:dyDescent="0.2">
      <c r="A1510" s="69">
        <v>10000010039</v>
      </c>
      <c r="E1510" s="69">
        <v>1</v>
      </c>
      <c r="F1510" s="69" t="s">
        <v>1961</v>
      </c>
    </row>
    <row r="1511" spans="1:6" x14ac:dyDescent="0.2">
      <c r="A1511" s="69">
        <v>10000012624</v>
      </c>
      <c r="E1511" s="69" t="s">
        <v>72</v>
      </c>
      <c r="F1511" s="69" t="s">
        <v>1962</v>
      </c>
    </row>
    <row r="1512" spans="1:6" x14ac:dyDescent="0.2">
      <c r="A1512" s="69">
        <v>10000001554</v>
      </c>
      <c r="E1512" s="69">
        <v>5</v>
      </c>
      <c r="F1512" s="69" t="s">
        <v>498</v>
      </c>
    </row>
    <row r="1513" spans="1:6" x14ac:dyDescent="0.2">
      <c r="A1513" s="69">
        <v>10000000592</v>
      </c>
      <c r="E1513" s="69">
        <v>5</v>
      </c>
      <c r="F1513" s="69" t="s">
        <v>975</v>
      </c>
    </row>
    <row r="1514" spans="1:6" x14ac:dyDescent="0.2">
      <c r="A1514" s="69">
        <v>10000001556</v>
      </c>
      <c r="E1514" s="69">
        <v>5</v>
      </c>
      <c r="F1514" s="69" t="s">
        <v>1963</v>
      </c>
    </row>
    <row r="1515" spans="1:6" x14ac:dyDescent="0.2">
      <c r="A1515" s="69">
        <v>10000000593</v>
      </c>
      <c r="E1515" s="69">
        <v>5</v>
      </c>
      <c r="F1515" s="69" t="s">
        <v>974</v>
      </c>
    </row>
    <row r="1516" spans="1:6" x14ac:dyDescent="0.2">
      <c r="A1516" s="69">
        <v>10000000215</v>
      </c>
      <c r="E1516" s="69">
        <v>5</v>
      </c>
      <c r="F1516" s="69" t="s">
        <v>1196</v>
      </c>
    </row>
    <row r="1517" spans="1:6" x14ac:dyDescent="0.2">
      <c r="A1517" s="69">
        <v>10000010110</v>
      </c>
      <c r="E1517" s="69">
        <v>1</v>
      </c>
      <c r="F1517" s="69" t="s">
        <v>1965</v>
      </c>
    </row>
    <row r="1518" spans="1:6" x14ac:dyDescent="0.2">
      <c r="A1518" s="69">
        <v>10000011847</v>
      </c>
      <c r="E1518" s="69">
        <v>1</v>
      </c>
      <c r="F1518" s="69" t="s">
        <v>1968</v>
      </c>
    </row>
    <row r="1519" spans="1:6" x14ac:dyDescent="0.2">
      <c r="A1519" s="69">
        <v>20000007626</v>
      </c>
      <c r="E1519" s="69">
        <v>28</v>
      </c>
      <c r="F1519" s="69" t="s">
        <v>1969</v>
      </c>
    </row>
    <row r="1520" spans="1:6" x14ac:dyDescent="0.2">
      <c r="A1520" s="69">
        <v>10000000971</v>
      </c>
      <c r="E1520" s="69">
        <v>1</v>
      </c>
      <c r="F1520" s="69" t="s">
        <v>1970</v>
      </c>
    </row>
    <row r="1521" spans="1:6" x14ac:dyDescent="0.2">
      <c r="A1521" s="69">
        <v>10000001008</v>
      </c>
      <c r="E1521" s="69">
        <v>5</v>
      </c>
      <c r="F1521" s="69" t="s">
        <v>683</v>
      </c>
    </row>
    <row r="1522" spans="1:6" x14ac:dyDescent="0.2">
      <c r="A1522" s="69">
        <v>10000000360</v>
      </c>
      <c r="E1522" s="69">
        <v>10</v>
      </c>
      <c r="F1522" s="69" t="s">
        <v>1107</v>
      </c>
    </row>
    <row r="1523" spans="1:6" x14ac:dyDescent="0.2">
      <c r="A1523" s="69">
        <v>10000000329</v>
      </c>
      <c r="E1523" s="69">
        <v>5</v>
      </c>
      <c r="F1523" s="69" t="s">
        <v>1134</v>
      </c>
    </row>
    <row r="1524" spans="1:6" x14ac:dyDescent="0.2">
      <c r="A1524" s="69">
        <v>10000000336</v>
      </c>
      <c r="E1524" s="69">
        <v>5</v>
      </c>
      <c r="F1524" s="69" t="s">
        <v>1130</v>
      </c>
    </row>
    <row r="1525" spans="1:6" x14ac:dyDescent="0.2">
      <c r="A1525" s="69">
        <v>20000000724</v>
      </c>
      <c r="E1525" s="69">
        <v>28</v>
      </c>
      <c r="F1525" s="69" t="s">
        <v>1978</v>
      </c>
    </row>
    <row r="1526" spans="1:6" x14ac:dyDescent="0.2">
      <c r="A1526" s="69">
        <v>10000001010</v>
      </c>
      <c r="E1526" s="69">
        <v>5</v>
      </c>
      <c r="F1526" s="69" t="s">
        <v>681</v>
      </c>
    </row>
    <row r="1527" spans="1:6" x14ac:dyDescent="0.2">
      <c r="A1527" s="69">
        <v>10000001004</v>
      </c>
      <c r="E1527" s="69">
        <v>5</v>
      </c>
      <c r="F1527" s="69" t="s">
        <v>685</v>
      </c>
    </row>
    <row r="1528" spans="1:6" x14ac:dyDescent="0.2">
      <c r="A1528" s="69">
        <v>10000014068</v>
      </c>
      <c r="E1528" s="69">
        <v>10</v>
      </c>
      <c r="F1528" s="69" t="s">
        <v>1979</v>
      </c>
    </row>
    <row r="1529" spans="1:6" x14ac:dyDescent="0.2">
      <c r="A1529" s="69">
        <v>10000000621</v>
      </c>
      <c r="E1529" s="69">
        <v>5</v>
      </c>
      <c r="F1529" s="69" t="s">
        <v>1980</v>
      </c>
    </row>
    <row r="1530" spans="1:6" x14ac:dyDescent="0.2">
      <c r="A1530" s="69">
        <v>10000000328</v>
      </c>
      <c r="E1530" s="69">
        <v>1</v>
      </c>
      <c r="F1530" s="69" t="s">
        <v>1135</v>
      </c>
    </row>
    <row r="1531" spans="1:6" x14ac:dyDescent="0.2">
      <c r="A1531" s="69">
        <v>10000000628</v>
      </c>
      <c r="E1531" s="69">
        <v>10</v>
      </c>
      <c r="F1531" s="69" t="s">
        <v>940</v>
      </c>
    </row>
    <row r="1532" spans="1:6" x14ac:dyDescent="0.2">
      <c r="A1532" s="69">
        <v>10000011310</v>
      </c>
      <c r="E1532" s="69">
        <v>5</v>
      </c>
      <c r="F1532" s="69" t="s">
        <v>1981</v>
      </c>
    </row>
    <row r="1533" spans="1:6" x14ac:dyDescent="0.2">
      <c r="A1533" s="69">
        <v>20000007709</v>
      </c>
      <c r="E1533" s="69">
        <v>23</v>
      </c>
      <c r="F1533" s="69" t="s">
        <v>1982</v>
      </c>
    </row>
    <row r="1534" spans="1:6" x14ac:dyDescent="0.2">
      <c r="A1534" s="69">
        <v>20000007726</v>
      </c>
      <c r="E1534" s="69">
        <v>28</v>
      </c>
      <c r="F1534" s="69" t="s">
        <v>1983</v>
      </c>
    </row>
    <row r="1535" spans="1:6" x14ac:dyDescent="0.2">
      <c r="A1535" s="69">
        <v>10000014570</v>
      </c>
      <c r="E1535" s="69">
        <v>23</v>
      </c>
      <c r="F1535" s="69" t="s">
        <v>1985</v>
      </c>
    </row>
    <row r="1536" spans="1:6" x14ac:dyDescent="0.2">
      <c r="A1536" s="69">
        <v>30000000063</v>
      </c>
      <c r="E1536" s="69" t="s">
        <v>81</v>
      </c>
      <c r="F1536" s="69" t="s">
        <v>1986</v>
      </c>
    </row>
    <row r="1537" spans="1:6" x14ac:dyDescent="0.2">
      <c r="A1537" s="69">
        <v>10000001194</v>
      </c>
      <c r="E1537" s="69">
        <v>5</v>
      </c>
      <c r="F1537" s="69" t="s">
        <v>1988</v>
      </c>
    </row>
    <row r="1538" spans="1:6" x14ac:dyDescent="0.2">
      <c r="A1538" s="69">
        <v>10000011943</v>
      </c>
      <c r="E1538" s="124" t="s">
        <v>1652</v>
      </c>
      <c r="F1538" t="s">
        <v>1991</v>
      </c>
    </row>
    <row r="1539" spans="1:6" x14ac:dyDescent="0.2">
      <c r="A1539" s="69">
        <v>10000000352</v>
      </c>
      <c r="E1539" s="69">
        <v>5</v>
      </c>
      <c r="F1539" s="69" t="s">
        <v>1115</v>
      </c>
    </row>
    <row r="1540" spans="1:6" x14ac:dyDescent="0.2">
      <c r="A1540" s="69">
        <v>10000000332</v>
      </c>
      <c r="E1540" s="69">
        <v>5</v>
      </c>
      <c r="F1540" s="69" t="s">
        <v>1999</v>
      </c>
    </row>
    <row r="1541" spans="1:6" x14ac:dyDescent="0.2">
      <c r="A1541" s="69">
        <v>10000000353</v>
      </c>
      <c r="E1541" s="69">
        <v>5</v>
      </c>
      <c r="F1541" s="69" t="s">
        <v>1114</v>
      </c>
    </row>
    <row r="1542" spans="1:6" x14ac:dyDescent="0.2">
      <c r="A1542" s="69">
        <v>20000007734</v>
      </c>
      <c r="E1542" s="69">
        <v>28</v>
      </c>
      <c r="F1542" s="69" t="s">
        <v>2000</v>
      </c>
    </row>
    <row r="1543" spans="1:6" x14ac:dyDescent="0.2">
      <c r="A1543" s="69">
        <v>10000000279</v>
      </c>
      <c r="E1543" s="69">
        <v>10</v>
      </c>
      <c r="F1543" s="69" t="s">
        <v>1159</v>
      </c>
    </row>
    <row r="1544" spans="1:6" x14ac:dyDescent="0.2">
      <c r="A1544" s="69">
        <v>10000003769</v>
      </c>
      <c r="E1544" s="69">
        <v>10</v>
      </c>
      <c r="F1544" s="69" t="s">
        <v>389</v>
      </c>
    </row>
    <row r="1545" spans="1:6" x14ac:dyDescent="0.2">
      <c r="A1545" s="69">
        <v>10000000625</v>
      </c>
      <c r="E1545" s="69">
        <v>5</v>
      </c>
      <c r="F1545" s="69" t="s">
        <v>943</v>
      </c>
    </row>
    <row r="1546" spans="1:6" x14ac:dyDescent="0.2">
      <c r="A1546" s="69">
        <v>10000000612</v>
      </c>
      <c r="E1546" s="69">
        <v>5</v>
      </c>
      <c r="F1546" s="69" t="s">
        <v>956</v>
      </c>
    </row>
    <row r="1547" spans="1:6" x14ac:dyDescent="0.2">
      <c r="A1547" s="69">
        <v>10000000616</v>
      </c>
      <c r="E1547" s="69">
        <v>5</v>
      </c>
      <c r="F1547" s="69" t="s">
        <v>952</v>
      </c>
    </row>
    <row r="1548" spans="1:6" x14ac:dyDescent="0.2">
      <c r="A1548" s="69">
        <v>10000011733</v>
      </c>
      <c r="E1548" s="69">
        <v>5</v>
      </c>
      <c r="F1548" s="69" t="s">
        <v>2003</v>
      </c>
    </row>
    <row r="1549" spans="1:6" x14ac:dyDescent="0.2">
      <c r="A1549" s="69">
        <v>10000001919</v>
      </c>
      <c r="E1549" s="69">
        <v>5</v>
      </c>
      <c r="F1549" s="69" t="s">
        <v>464</v>
      </c>
    </row>
    <row r="1550" spans="1:6" x14ac:dyDescent="0.2">
      <c r="A1550" s="69">
        <v>10000000631</v>
      </c>
      <c r="E1550" s="69">
        <v>20</v>
      </c>
      <c r="F1550" s="69" t="s">
        <v>937</v>
      </c>
    </row>
    <row r="1551" spans="1:6" x14ac:dyDescent="0.2">
      <c r="A1551" s="69">
        <v>10000000216</v>
      </c>
      <c r="E1551" s="69">
        <v>5</v>
      </c>
      <c r="F1551" s="69" t="s">
        <v>155</v>
      </c>
    </row>
    <row r="1552" spans="1:6" x14ac:dyDescent="0.2">
      <c r="A1552" s="69">
        <v>10000000615</v>
      </c>
      <c r="E1552" s="69">
        <v>5</v>
      </c>
      <c r="F1552" s="69" t="s">
        <v>953</v>
      </c>
    </row>
    <row r="1553" spans="1:6" x14ac:dyDescent="0.2">
      <c r="A1553" s="69">
        <v>10000010837</v>
      </c>
      <c r="E1553" s="69">
        <v>10</v>
      </c>
      <c r="F1553" s="69" t="s">
        <v>2004</v>
      </c>
    </row>
    <row r="1554" spans="1:6" x14ac:dyDescent="0.2">
      <c r="A1554" s="69">
        <v>50000003092</v>
      </c>
      <c r="E1554" s="69">
        <v>23</v>
      </c>
      <c r="F1554" s="69" t="s">
        <v>2005</v>
      </c>
    </row>
    <row r="1555" spans="1:6" x14ac:dyDescent="0.2">
      <c r="A1555" s="69">
        <v>50000003091</v>
      </c>
      <c r="E1555" s="69">
        <v>23</v>
      </c>
      <c r="F1555" s="69" t="s">
        <v>2006</v>
      </c>
    </row>
    <row r="1556" spans="1:6" x14ac:dyDescent="0.2">
      <c r="A1556" s="69">
        <v>10000000337</v>
      </c>
      <c r="E1556" s="69">
        <v>5</v>
      </c>
      <c r="F1556" s="69" t="s">
        <v>1129</v>
      </c>
    </row>
    <row r="1557" spans="1:6" x14ac:dyDescent="0.2">
      <c r="A1557" s="69">
        <v>10000000334</v>
      </c>
      <c r="E1557" s="69">
        <v>5</v>
      </c>
      <c r="F1557" s="69" t="s">
        <v>1131</v>
      </c>
    </row>
    <row r="1558" spans="1:6" x14ac:dyDescent="0.2">
      <c r="A1558" s="69">
        <v>20000000265</v>
      </c>
      <c r="E1558" s="69">
        <v>28</v>
      </c>
      <c r="F1558" s="69" t="s">
        <v>2007</v>
      </c>
    </row>
    <row r="1559" spans="1:6" x14ac:dyDescent="0.2">
      <c r="A1559" s="69">
        <v>10000003691</v>
      </c>
      <c r="E1559" s="69">
        <v>5</v>
      </c>
      <c r="F1559" s="69" t="s">
        <v>2008</v>
      </c>
    </row>
    <row r="1560" spans="1:6" x14ac:dyDescent="0.2">
      <c r="A1560" s="69">
        <v>10000000321</v>
      </c>
      <c r="E1560" s="69">
        <v>5</v>
      </c>
      <c r="F1560" s="69" t="s">
        <v>1140</v>
      </c>
    </row>
    <row r="1561" spans="1:6" x14ac:dyDescent="0.2">
      <c r="A1561" s="69">
        <v>10000010838</v>
      </c>
      <c r="E1561" s="69">
        <v>5</v>
      </c>
      <c r="F1561" s="69" t="s">
        <v>2009</v>
      </c>
    </row>
    <row r="1562" spans="1:6" x14ac:dyDescent="0.2">
      <c r="A1562" s="69">
        <v>10000002480</v>
      </c>
      <c r="E1562" s="69">
        <v>5</v>
      </c>
      <c r="F1562" s="69" t="s">
        <v>2010</v>
      </c>
    </row>
    <row r="1563" spans="1:6" x14ac:dyDescent="0.2">
      <c r="A1563" s="69">
        <v>10000014393</v>
      </c>
      <c r="E1563" s="69" t="s">
        <v>1646</v>
      </c>
      <c r="F1563" s="69" t="s">
        <v>2011</v>
      </c>
    </row>
    <row r="1564" spans="1:6" x14ac:dyDescent="0.2">
      <c r="A1564" s="69">
        <v>10000000619</v>
      </c>
      <c r="E1564" s="69">
        <v>5</v>
      </c>
      <c r="F1564" s="69" t="s">
        <v>949</v>
      </c>
    </row>
    <row r="1565" spans="1:6" x14ac:dyDescent="0.2">
      <c r="A1565" s="69">
        <v>10000001017</v>
      </c>
      <c r="E1565" s="69">
        <v>5</v>
      </c>
      <c r="F1565" s="69" t="s">
        <v>676</v>
      </c>
    </row>
    <row r="1566" spans="1:6" x14ac:dyDescent="0.2">
      <c r="A1566" s="69">
        <v>30000005591</v>
      </c>
      <c r="E1566" s="124" t="s">
        <v>81</v>
      </c>
      <c r="F1566" s="69" t="s">
        <v>2012</v>
      </c>
    </row>
    <row r="1567" spans="1:6" x14ac:dyDescent="0.2">
      <c r="A1567" s="69">
        <v>10000014498</v>
      </c>
      <c r="E1567" s="69">
        <v>5</v>
      </c>
      <c r="F1567" s="69" t="s">
        <v>2014</v>
      </c>
    </row>
    <row r="1568" spans="1:6" x14ac:dyDescent="0.2">
      <c r="A1568" s="69">
        <v>10000000218</v>
      </c>
      <c r="E1568" s="69">
        <v>5</v>
      </c>
      <c r="F1568" s="69" t="s">
        <v>1195</v>
      </c>
    </row>
    <row r="1569" spans="1:6" x14ac:dyDescent="0.2">
      <c r="A1569" s="69">
        <v>10000011341</v>
      </c>
      <c r="E1569" s="69">
        <v>5</v>
      </c>
      <c r="F1569" s="69" t="s">
        <v>2015</v>
      </c>
    </row>
    <row r="1570" spans="1:6" x14ac:dyDescent="0.2">
      <c r="A1570" s="69">
        <v>10000012746</v>
      </c>
      <c r="E1570" s="69">
        <v>1</v>
      </c>
      <c r="F1570" s="69" t="s">
        <v>2016</v>
      </c>
    </row>
    <row r="1571" spans="1:6" x14ac:dyDescent="0.2">
      <c r="A1571" s="69">
        <v>20000000222</v>
      </c>
      <c r="E1571" s="69">
        <v>23</v>
      </c>
      <c r="F1571" s="69" t="s">
        <v>2017</v>
      </c>
    </row>
    <row r="1572" spans="1:6" x14ac:dyDescent="0.2">
      <c r="A1572" s="69">
        <v>10000010037</v>
      </c>
      <c r="E1572" s="69">
        <v>1</v>
      </c>
      <c r="F1572" s="69" t="s">
        <v>2018</v>
      </c>
    </row>
    <row r="1573" spans="1:6" x14ac:dyDescent="0.2">
      <c r="A1573" s="69">
        <v>20000007911</v>
      </c>
      <c r="E1573" s="69">
        <v>28</v>
      </c>
      <c r="F1573" s="69" t="s">
        <v>2019</v>
      </c>
    </row>
    <row r="1574" spans="1:6" x14ac:dyDescent="0.2">
      <c r="A1574" s="69">
        <v>20000007910</v>
      </c>
      <c r="E1574" s="69">
        <v>28</v>
      </c>
      <c r="F1574" s="69" t="s">
        <v>2020</v>
      </c>
    </row>
    <row r="1575" spans="1:6" x14ac:dyDescent="0.2">
      <c r="A1575" s="69">
        <v>10000001011</v>
      </c>
      <c r="E1575" s="69">
        <v>5</v>
      </c>
      <c r="F1575" s="69" t="s">
        <v>2022</v>
      </c>
    </row>
    <row r="1576" spans="1:6" x14ac:dyDescent="0.2">
      <c r="A1576" s="69">
        <v>10000000626</v>
      </c>
      <c r="E1576" s="69">
        <v>5</v>
      </c>
      <c r="F1576" s="69" t="s">
        <v>2023</v>
      </c>
    </row>
    <row r="1577" spans="1:6" x14ac:dyDescent="0.2">
      <c r="A1577" s="69">
        <v>10000014237</v>
      </c>
      <c r="E1577" s="69">
        <v>1</v>
      </c>
      <c r="F1577" s="69" t="s">
        <v>2024</v>
      </c>
    </row>
    <row r="1578" spans="1:6" x14ac:dyDescent="0.2">
      <c r="A1578" s="69">
        <v>10000000993</v>
      </c>
      <c r="E1578" s="69">
        <v>20</v>
      </c>
      <c r="F1578" s="69" t="s">
        <v>690</v>
      </c>
    </row>
    <row r="1579" spans="1:6" x14ac:dyDescent="0.2">
      <c r="A1579" s="69">
        <v>10000000571</v>
      </c>
      <c r="E1579" s="69">
        <v>5</v>
      </c>
      <c r="F1579" s="69" t="s">
        <v>991</v>
      </c>
    </row>
    <row r="1580" spans="1:6" x14ac:dyDescent="0.2">
      <c r="A1580" s="69">
        <v>10000010409</v>
      </c>
      <c r="E1580" s="69">
        <v>19</v>
      </c>
      <c r="F1580" s="69" t="s">
        <v>2025</v>
      </c>
    </row>
    <row r="1581" spans="1:6" x14ac:dyDescent="0.2">
      <c r="A1581" s="69">
        <v>10000014207</v>
      </c>
      <c r="E1581" s="69">
        <v>20</v>
      </c>
      <c r="F1581" s="69" t="s">
        <v>2026</v>
      </c>
    </row>
    <row r="1582" spans="1:6" x14ac:dyDescent="0.2">
      <c r="A1582" s="69">
        <v>10000011660</v>
      </c>
      <c r="E1582" s="69">
        <v>1</v>
      </c>
      <c r="F1582" s="69" t="s">
        <v>2027</v>
      </c>
    </row>
    <row r="1583" spans="1:6" x14ac:dyDescent="0.2">
      <c r="A1583" s="69">
        <v>30000007049</v>
      </c>
      <c r="E1583" s="124" t="s">
        <v>81</v>
      </c>
      <c r="F1583" s="69" t="s">
        <v>2028</v>
      </c>
    </row>
    <row r="1584" spans="1:6" x14ac:dyDescent="0.2">
      <c r="A1584" s="69">
        <v>20000005829</v>
      </c>
      <c r="E1584" s="124" t="s">
        <v>71</v>
      </c>
      <c r="F1584" s="69" t="s">
        <v>2029</v>
      </c>
    </row>
    <row r="1585" spans="1:6" x14ac:dyDescent="0.2">
      <c r="A1585" s="69">
        <v>10000014391</v>
      </c>
      <c r="E1585" s="69">
        <v>23</v>
      </c>
      <c r="F1585" s="69" t="s">
        <v>2030</v>
      </c>
    </row>
    <row r="1586" spans="1:6" x14ac:dyDescent="0.2">
      <c r="A1586" s="69">
        <v>10000000389</v>
      </c>
      <c r="E1586" s="69">
        <v>5</v>
      </c>
      <c r="F1586" s="69" t="s">
        <v>1083</v>
      </c>
    </row>
    <row r="1587" spans="1:6" x14ac:dyDescent="0.2">
      <c r="A1587" s="69">
        <v>10000000322</v>
      </c>
      <c r="E1587" s="69">
        <v>5</v>
      </c>
      <c r="F1587" s="69" t="s">
        <v>2031</v>
      </c>
    </row>
    <row r="1588" spans="1:6" x14ac:dyDescent="0.2">
      <c r="A1588" s="69">
        <v>20000006540</v>
      </c>
      <c r="E1588" s="69">
        <v>28</v>
      </c>
      <c r="F1588" s="69" t="s">
        <v>2032</v>
      </c>
    </row>
    <row r="1589" spans="1:6" x14ac:dyDescent="0.2">
      <c r="A1589" s="69">
        <v>10000000331</v>
      </c>
      <c r="E1589" s="69">
        <v>5</v>
      </c>
      <c r="F1589" s="69" t="s">
        <v>2033</v>
      </c>
    </row>
    <row r="1590" spans="1:6" x14ac:dyDescent="0.2">
      <c r="A1590" s="69">
        <v>10000011916</v>
      </c>
      <c r="E1590" s="69">
        <v>5</v>
      </c>
      <c r="F1590" s="69" t="s">
        <v>2034</v>
      </c>
    </row>
    <row r="1591" spans="1:6" x14ac:dyDescent="0.2">
      <c r="A1591" s="69">
        <v>20000000609</v>
      </c>
      <c r="E1591" s="69">
        <v>28</v>
      </c>
      <c r="F1591" s="69" t="s">
        <v>2035</v>
      </c>
    </row>
    <row r="1592" spans="1:6" x14ac:dyDescent="0.2">
      <c r="A1592" s="69">
        <v>10000001131</v>
      </c>
      <c r="E1592" s="69">
        <v>23</v>
      </c>
      <c r="F1592" s="69" t="s">
        <v>2036</v>
      </c>
    </row>
    <row r="1593" spans="1:6" x14ac:dyDescent="0.2">
      <c r="A1593" s="69">
        <v>20000008108</v>
      </c>
      <c r="E1593" s="69">
        <v>28</v>
      </c>
      <c r="F1593" s="69" t="s">
        <v>2037</v>
      </c>
    </row>
    <row r="1594" spans="1:6" x14ac:dyDescent="0.2">
      <c r="A1594" s="69">
        <v>10000000167</v>
      </c>
      <c r="E1594" s="69">
        <v>10</v>
      </c>
      <c r="F1594" s="69" t="s">
        <v>1214</v>
      </c>
    </row>
    <row r="1595" spans="1:6" x14ac:dyDescent="0.2">
      <c r="A1595" s="69">
        <v>10000000922</v>
      </c>
      <c r="E1595" s="124" t="s">
        <v>71</v>
      </c>
      <c r="F1595" s="69" t="s">
        <v>2038</v>
      </c>
    </row>
    <row r="1596" spans="1:6" x14ac:dyDescent="0.2">
      <c r="A1596" s="69">
        <v>20000008110</v>
      </c>
      <c r="E1596" s="69">
        <v>28</v>
      </c>
      <c r="F1596" s="69" t="s">
        <v>2039</v>
      </c>
    </row>
    <row r="1597" spans="1:6" x14ac:dyDescent="0.2">
      <c r="A1597" s="69">
        <v>10000014714</v>
      </c>
      <c r="E1597" s="69">
        <v>1</v>
      </c>
      <c r="F1597" s="69" t="s">
        <v>2040</v>
      </c>
    </row>
    <row r="1598" spans="1:6" x14ac:dyDescent="0.2">
      <c r="A1598" s="69">
        <v>10000010368</v>
      </c>
      <c r="E1598" s="69">
        <v>1</v>
      </c>
      <c r="F1598" s="69" t="s">
        <v>2045</v>
      </c>
    </row>
    <row r="1599" spans="1:6" x14ac:dyDescent="0.2">
      <c r="A1599" s="69">
        <v>20000007632</v>
      </c>
      <c r="E1599" s="69">
        <v>28</v>
      </c>
      <c r="F1599" s="69" t="s">
        <v>2046</v>
      </c>
    </row>
    <row r="1600" spans="1:6" x14ac:dyDescent="0.2">
      <c r="A1600" s="69">
        <v>10000012222</v>
      </c>
      <c r="E1600" s="69">
        <v>5</v>
      </c>
      <c r="F1600" s="69" t="s">
        <v>2047</v>
      </c>
    </row>
    <row r="1601" spans="1:6" x14ac:dyDescent="0.2">
      <c r="A1601" s="69">
        <v>10000011795</v>
      </c>
      <c r="E1601" s="69">
        <v>5</v>
      </c>
      <c r="F1601" s="69" t="s">
        <v>2048</v>
      </c>
    </row>
    <row r="1602" spans="1:6" x14ac:dyDescent="0.2">
      <c r="A1602" s="69">
        <v>20000008007</v>
      </c>
      <c r="E1602" s="69">
        <v>28</v>
      </c>
      <c r="F1602" s="69" t="s">
        <v>2049</v>
      </c>
    </row>
    <row r="1603" spans="1:6" x14ac:dyDescent="0.2">
      <c r="A1603" s="69">
        <v>10000014513</v>
      </c>
      <c r="E1603" s="69">
        <v>5</v>
      </c>
      <c r="F1603" s="69" t="s">
        <v>2050</v>
      </c>
    </row>
    <row r="1604" spans="1:6" x14ac:dyDescent="0.2">
      <c r="A1604" s="69">
        <v>10000002503</v>
      </c>
      <c r="E1604" s="69">
        <v>5</v>
      </c>
      <c r="F1604" s="69" t="s">
        <v>2051</v>
      </c>
    </row>
    <row r="1605" spans="1:6" x14ac:dyDescent="0.2">
      <c r="A1605" s="69">
        <v>10000011918</v>
      </c>
      <c r="E1605" s="69">
        <v>1</v>
      </c>
      <c r="F1605" s="69" t="s">
        <v>2053</v>
      </c>
    </row>
    <row r="1606" spans="1:6" x14ac:dyDescent="0.2">
      <c r="A1606" s="69">
        <v>10000007621</v>
      </c>
      <c r="E1606" s="69">
        <v>5</v>
      </c>
      <c r="F1606" s="69" t="s">
        <v>2054</v>
      </c>
    </row>
    <row r="1607" spans="1:6" x14ac:dyDescent="0.2">
      <c r="A1607" s="69">
        <v>10000011787</v>
      </c>
      <c r="E1607" s="69">
        <v>1</v>
      </c>
      <c r="F1607" s="69" t="s">
        <v>2055</v>
      </c>
    </row>
    <row r="1608" spans="1:6" x14ac:dyDescent="0.2">
      <c r="A1608" s="69">
        <v>10000010292</v>
      </c>
      <c r="E1608" s="69">
        <v>10</v>
      </c>
      <c r="F1608" s="69" t="s">
        <v>2056</v>
      </c>
    </row>
    <row r="1609" spans="1:6" x14ac:dyDescent="0.2">
      <c r="A1609" s="69">
        <v>10000009991</v>
      </c>
      <c r="E1609" s="69">
        <v>1</v>
      </c>
      <c r="F1609" s="69" t="s">
        <v>2057</v>
      </c>
    </row>
    <row r="1610" spans="1:6" x14ac:dyDescent="0.2">
      <c r="A1610" s="69">
        <v>10000001145</v>
      </c>
      <c r="E1610" s="69">
        <v>5</v>
      </c>
      <c r="F1610" s="69" t="s">
        <v>2058</v>
      </c>
    </row>
    <row r="1611" spans="1:6" x14ac:dyDescent="0.2">
      <c r="A1611" s="69">
        <v>10000001142</v>
      </c>
      <c r="E1611" s="69">
        <v>5</v>
      </c>
      <c r="F1611" s="69" t="s">
        <v>606</v>
      </c>
    </row>
    <row r="1612" spans="1:6" x14ac:dyDescent="0.2">
      <c r="A1612" s="69">
        <v>20000007513</v>
      </c>
      <c r="E1612" s="69">
        <v>23</v>
      </c>
      <c r="F1612" s="69" t="s">
        <v>2059</v>
      </c>
    </row>
    <row r="1613" spans="1:6" x14ac:dyDescent="0.2">
      <c r="A1613" s="69">
        <v>10000001007</v>
      </c>
      <c r="E1613" s="69">
        <v>5</v>
      </c>
      <c r="F1613" s="69" t="s">
        <v>2061</v>
      </c>
    </row>
    <row r="1614" spans="1:6" x14ac:dyDescent="0.2">
      <c r="A1614" s="69">
        <v>10000001170</v>
      </c>
      <c r="E1614" s="69">
        <v>5</v>
      </c>
      <c r="F1614" s="69" t="s">
        <v>589</v>
      </c>
    </row>
    <row r="1615" spans="1:6" x14ac:dyDescent="0.2">
      <c r="A1615" s="69">
        <v>20000007633</v>
      </c>
      <c r="E1615" s="69">
        <v>23</v>
      </c>
      <c r="F1615" s="69" t="s">
        <v>2062</v>
      </c>
    </row>
    <row r="1616" spans="1:6" x14ac:dyDescent="0.2">
      <c r="A1616" s="69">
        <v>10000001062</v>
      </c>
      <c r="E1616" s="69">
        <v>10</v>
      </c>
      <c r="F1616" s="69" t="s">
        <v>648</v>
      </c>
    </row>
    <row r="1617" spans="1:6" x14ac:dyDescent="0.2">
      <c r="A1617" s="69">
        <v>10000011651</v>
      </c>
      <c r="E1617" s="69">
        <v>23</v>
      </c>
      <c r="F1617" s="69" t="s">
        <v>2063</v>
      </c>
    </row>
    <row r="1618" spans="1:6" x14ac:dyDescent="0.2">
      <c r="A1618" s="69">
        <v>10000001057</v>
      </c>
      <c r="E1618" s="69">
        <v>5</v>
      </c>
      <c r="F1618" s="69" t="s">
        <v>2066</v>
      </c>
    </row>
    <row r="1619" spans="1:6" x14ac:dyDescent="0.2">
      <c r="A1619" s="69">
        <v>20000000663</v>
      </c>
      <c r="E1619" s="69">
        <v>28</v>
      </c>
      <c r="F1619" s="69" t="s">
        <v>2067</v>
      </c>
    </row>
    <row r="1620" spans="1:6" x14ac:dyDescent="0.2">
      <c r="A1620" s="69">
        <v>10000000500</v>
      </c>
      <c r="E1620" s="69">
        <v>5</v>
      </c>
      <c r="F1620" s="69" t="s">
        <v>2068</v>
      </c>
    </row>
    <row r="1621" spans="1:6" x14ac:dyDescent="0.2">
      <c r="A1621" s="69">
        <v>10000014687</v>
      </c>
      <c r="E1621" s="69">
        <v>5</v>
      </c>
      <c r="F1621" s="69" t="s">
        <v>2069</v>
      </c>
    </row>
    <row r="1622" spans="1:6" x14ac:dyDescent="0.2">
      <c r="A1622" s="69">
        <v>10000012110</v>
      </c>
      <c r="E1622" s="69">
        <v>5</v>
      </c>
      <c r="F1622" s="69" t="s">
        <v>2070</v>
      </c>
    </row>
    <row r="1623" spans="1:6" x14ac:dyDescent="0.2">
      <c r="A1623" s="69">
        <v>10000014585</v>
      </c>
      <c r="E1623" s="69">
        <v>10</v>
      </c>
      <c r="F1623" s="69" t="s">
        <v>2071</v>
      </c>
    </row>
    <row r="1624" spans="1:6" x14ac:dyDescent="0.2">
      <c r="A1624" s="69">
        <v>10000014686</v>
      </c>
      <c r="E1624" s="69">
        <v>5</v>
      </c>
      <c r="F1624" s="69" t="s">
        <v>2072</v>
      </c>
    </row>
    <row r="1625" spans="1:6" x14ac:dyDescent="0.2">
      <c r="A1625" s="69">
        <v>10000010002</v>
      </c>
      <c r="E1625" s="69">
        <v>1</v>
      </c>
      <c r="F1625" s="69" t="s">
        <v>2073</v>
      </c>
    </row>
    <row r="1626" spans="1:6" x14ac:dyDescent="0.2">
      <c r="A1626" s="69">
        <v>10000014776</v>
      </c>
      <c r="E1626" s="69">
        <v>5</v>
      </c>
      <c r="F1626" s="69" t="s">
        <v>2074</v>
      </c>
    </row>
    <row r="1627" spans="1:6" x14ac:dyDescent="0.2">
      <c r="A1627" s="69">
        <v>10000009957</v>
      </c>
      <c r="E1627" s="69">
        <v>1</v>
      </c>
      <c r="F1627" s="69" t="s">
        <v>2075</v>
      </c>
    </row>
    <row r="1628" spans="1:6" x14ac:dyDescent="0.2">
      <c r="A1628" s="69">
        <v>10000012114</v>
      </c>
      <c r="E1628" s="69">
        <v>10</v>
      </c>
      <c r="F1628" s="69" t="s">
        <v>2076</v>
      </c>
    </row>
    <row r="1629" spans="1:6" x14ac:dyDescent="0.2">
      <c r="A1629" s="69">
        <v>10000011342</v>
      </c>
      <c r="E1629" s="69">
        <v>5</v>
      </c>
      <c r="F1629" s="69" t="s">
        <v>2077</v>
      </c>
    </row>
    <row r="1630" spans="1:6" x14ac:dyDescent="0.2">
      <c r="A1630" s="69">
        <v>10000012210</v>
      </c>
      <c r="E1630" s="69">
        <v>10</v>
      </c>
      <c r="F1630" s="69" t="s">
        <v>2078</v>
      </c>
    </row>
    <row r="1631" spans="1:6" x14ac:dyDescent="0.2">
      <c r="A1631" s="69">
        <v>10000014756</v>
      </c>
      <c r="E1631" s="69">
        <v>1</v>
      </c>
      <c r="F1631" s="69" t="s">
        <v>2079</v>
      </c>
    </row>
    <row r="1632" spans="1:6" x14ac:dyDescent="0.2">
      <c r="A1632" s="69">
        <v>10000014494</v>
      </c>
      <c r="E1632" s="69">
        <v>5</v>
      </c>
      <c r="F1632" s="69" t="s">
        <v>2080</v>
      </c>
    </row>
    <row r="1633" spans="1:6" x14ac:dyDescent="0.2">
      <c r="A1633" s="69">
        <v>10000000673</v>
      </c>
      <c r="E1633" s="69">
        <v>5</v>
      </c>
      <c r="F1633" s="69" t="s">
        <v>905</v>
      </c>
    </row>
    <row r="1634" spans="1:6" x14ac:dyDescent="0.2">
      <c r="A1634" s="69">
        <v>20000005425</v>
      </c>
      <c r="E1634" s="69">
        <v>23</v>
      </c>
      <c r="F1634" s="69" t="s">
        <v>2082</v>
      </c>
    </row>
    <row r="1635" spans="1:6" x14ac:dyDescent="0.2">
      <c r="A1635" s="69">
        <v>10000009757</v>
      </c>
      <c r="E1635" s="69">
        <v>5</v>
      </c>
      <c r="F1635" s="69" t="s">
        <v>2083</v>
      </c>
    </row>
    <row r="1636" spans="1:6" x14ac:dyDescent="0.2">
      <c r="A1636" s="69">
        <v>20000008511</v>
      </c>
      <c r="E1636" s="69">
        <v>28</v>
      </c>
      <c r="F1636" s="69" t="s">
        <v>2084</v>
      </c>
    </row>
    <row r="1637" spans="1:6" x14ac:dyDescent="0.2">
      <c r="A1637" s="69">
        <v>10000007505</v>
      </c>
      <c r="E1637" s="69">
        <v>5</v>
      </c>
      <c r="F1637" s="69" t="s">
        <v>367</v>
      </c>
    </row>
    <row r="1638" spans="1:6" x14ac:dyDescent="0.2">
      <c r="A1638" s="69">
        <v>10000014246</v>
      </c>
      <c r="E1638" s="69">
        <v>10</v>
      </c>
      <c r="F1638" s="69" t="s">
        <v>2085</v>
      </c>
    </row>
    <row r="1639" spans="1:6" x14ac:dyDescent="0.2">
      <c r="A1639" s="69">
        <v>10000012453</v>
      </c>
      <c r="E1639" s="69">
        <v>1</v>
      </c>
      <c r="F1639" s="69" t="s">
        <v>2087</v>
      </c>
    </row>
    <row r="1640" spans="1:6" x14ac:dyDescent="0.2">
      <c r="A1640" s="69">
        <v>10000015027</v>
      </c>
      <c r="E1640" s="69">
        <v>5</v>
      </c>
      <c r="F1640" s="69" t="s">
        <v>2088</v>
      </c>
    </row>
    <row r="1641" spans="1:6" x14ac:dyDescent="0.2">
      <c r="A1641" s="69">
        <v>10000014392</v>
      </c>
      <c r="E1641" s="124" t="s">
        <v>75</v>
      </c>
      <c r="F1641" s="69" t="s">
        <v>2089</v>
      </c>
    </row>
    <row r="1642" spans="1:6" x14ac:dyDescent="0.2">
      <c r="A1642" s="69">
        <v>10000014748</v>
      </c>
      <c r="E1642" s="69">
        <v>1</v>
      </c>
      <c r="F1642" s="69" t="s">
        <v>2086</v>
      </c>
    </row>
    <row r="1643" spans="1:6" x14ac:dyDescent="0.2">
      <c r="A1643" s="69">
        <v>10000001066</v>
      </c>
      <c r="E1643" s="69">
        <v>10</v>
      </c>
      <c r="F1643" s="69" t="s">
        <v>644</v>
      </c>
    </row>
    <row r="1644" spans="1:6" x14ac:dyDescent="0.2">
      <c r="A1644" s="69">
        <v>10000014415</v>
      </c>
      <c r="E1644" s="69">
        <v>1</v>
      </c>
      <c r="F1644" s="69" t="s">
        <v>2090</v>
      </c>
    </row>
    <row r="1645" spans="1:6" x14ac:dyDescent="0.2">
      <c r="A1645" s="69">
        <v>10000015595</v>
      </c>
      <c r="E1645" s="69">
        <v>5</v>
      </c>
      <c r="F1645" s="69" t="s">
        <v>2091</v>
      </c>
    </row>
    <row r="1646" spans="1:6" x14ac:dyDescent="0.2">
      <c r="A1646" s="69">
        <v>10000011346</v>
      </c>
      <c r="E1646" s="124" t="s">
        <v>71</v>
      </c>
      <c r="F1646" s="69" t="s">
        <v>2092</v>
      </c>
    </row>
    <row r="1647" spans="1:6" x14ac:dyDescent="0.2">
      <c r="A1647" s="69">
        <v>10000000356</v>
      </c>
      <c r="E1647" s="69">
        <v>5</v>
      </c>
      <c r="F1647" s="69" t="s">
        <v>1111</v>
      </c>
    </row>
    <row r="1648" spans="1:6" x14ac:dyDescent="0.2">
      <c r="A1648" s="69">
        <v>20000008406</v>
      </c>
      <c r="E1648" s="69">
        <v>28</v>
      </c>
      <c r="F1648" s="69" t="s">
        <v>2093</v>
      </c>
    </row>
    <row r="1649" spans="1:6" x14ac:dyDescent="0.2">
      <c r="A1649" s="69">
        <v>10000015095</v>
      </c>
      <c r="E1649" s="69">
        <v>5</v>
      </c>
      <c r="F1649" s="69" t="s">
        <v>2094</v>
      </c>
    </row>
    <row r="1650" spans="1:6" x14ac:dyDescent="0.2">
      <c r="A1650" s="69">
        <v>10000014388</v>
      </c>
      <c r="E1650" s="69">
        <v>5</v>
      </c>
      <c r="F1650" s="69" t="s">
        <v>2095</v>
      </c>
    </row>
    <row r="1651" spans="1:6" x14ac:dyDescent="0.2">
      <c r="A1651" s="69">
        <v>10000010303</v>
      </c>
      <c r="E1651" s="69">
        <v>5</v>
      </c>
      <c r="F1651" s="69" t="s">
        <v>2096</v>
      </c>
    </row>
    <row r="1652" spans="1:6" x14ac:dyDescent="0.2">
      <c r="A1652" s="69">
        <v>10000014484</v>
      </c>
      <c r="E1652" s="69">
        <v>1</v>
      </c>
      <c r="F1652" s="69" t="s">
        <v>2097</v>
      </c>
    </row>
    <row r="1653" spans="1:6" x14ac:dyDescent="0.2">
      <c r="A1653" s="69">
        <v>10000010390</v>
      </c>
      <c r="E1653" s="69">
        <v>1</v>
      </c>
      <c r="F1653" s="69" t="s">
        <v>2098</v>
      </c>
    </row>
    <row r="1654" spans="1:6" x14ac:dyDescent="0.2">
      <c r="A1654" s="69">
        <v>10000014706</v>
      </c>
      <c r="E1654" s="69">
        <v>5</v>
      </c>
      <c r="F1654" s="69" t="s">
        <v>2100</v>
      </c>
    </row>
    <row r="1655" spans="1:6" x14ac:dyDescent="0.2">
      <c r="A1655" s="69">
        <v>10000014200</v>
      </c>
      <c r="E1655" s="69">
        <v>23</v>
      </c>
      <c r="F1655" s="69" t="s">
        <v>2101</v>
      </c>
    </row>
    <row r="1656" spans="1:6" x14ac:dyDescent="0.2">
      <c r="A1656" s="69">
        <v>10000003771</v>
      </c>
      <c r="E1656" s="69">
        <v>5</v>
      </c>
      <c r="F1656" s="69" t="s">
        <v>2102</v>
      </c>
    </row>
    <row r="1657" spans="1:6" x14ac:dyDescent="0.2">
      <c r="A1657" s="69">
        <v>10000009928</v>
      </c>
      <c r="E1657" s="69">
        <v>23</v>
      </c>
      <c r="F1657" s="69" t="s">
        <v>238</v>
      </c>
    </row>
    <row r="1658" spans="1:6" x14ac:dyDescent="0.2">
      <c r="A1658" s="69">
        <v>20000007617</v>
      </c>
      <c r="E1658" s="69" t="s">
        <v>1646</v>
      </c>
      <c r="F1658" s="69" t="s">
        <v>2103</v>
      </c>
    </row>
    <row r="1659" spans="1:6" x14ac:dyDescent="0.2">
      <c r="A1659" s="69">
        <v>10000001193</v>
      </c>
      <c r="E1659" s="69">
        <v>5</v>
      </c>
      <c r="F1659" s="69" t="s">
        <v>2107</v>
      </c>
    </row>
    <row r="1660" spans="1:6" x14ac:dyDescent="0.2">
      <c r="A1660" s="69">
        <v>10000011472</v>
      </c>
      <c r="E1660" s="69">
        <v>1</v>
      </c>
      <c r="F1660" s="69" t="s">
        <v>2108</v>
      </c>
    </row>
    <row r="1661" spans="1:6" x14ac:dyDescent="0.2">
      <c r="A1661" s="69">
        <v>10000000266</v>
      </c>
      <c r="E1661" s="69">
        <v>10</v>
      </c>
      <c r="F1661" s="69" t="s">
        <v>1170</v>
      </c>
    </row>
    <row r="1662" spans="1:6" x14ac:dyDescent="0.2">
      <c r="A1662" s="69">
        <v>10000015630</v>
      </c>
      <c r="E1662" s="69">
        <v>20</v>
      </c>
      <c r="F1662" s="69" t="s">
        <v>2109</v>
      </c>
    </row>
    <row r="1663" spans="1:6" x14ac:dyDescent="0.2">
      <c r="A1663" s="69">
        <v>10000011830</v>
      </c>
      <c r="E1663" s="69">
        <v>1</v>
      </c>
      <c r="F1663" s="69" t="s">
        <v>2110</v>
      </c>
    </row>
    <row r="1664" spans="1:6" x14ac:dyDescent="0.2">
      <c r="A1664" s="69">
        <v>10000015641</v>
      </c>
      <c r="E1664" s="69">
        <v>5</v>
      </c>
      <c r="F1664" s="69" t="s">
        <v>2111</v>
      </c>
    </row>
    <row r="1665" spans="1:6" x14ac:dyDescent="0.2">
      <c r="A1665" s="69">
        <v>20000006544</v>
      </c>
      <c r="E1665" s="69">
        <v>28</v>
      </c>
      <c r="F1665" s="69" t="s">
        <v>2116</v>
      </c>
    </row>
    <row r="1666" spans="1:6" x14ac:dyDescent="0.2">
      <c r="A1666" s="69">
        <v>10000015919</v>
      </c>
      <c r="E1666" s="124" t="s">
        <v>75</v>
      </c>
      <c r="F1666" s="69" t="s">
        <v>2117</v>
      </c>
    </row>
    <row r="1667" spans="1:6" x14ac:dyDescent="0.2">
      <c r="A1667" s="69">
        <v>20000008732</v>
      </c>
      <c r="E1667" s="69">
        <v>23</v>
      </c>
      <c r="F1667" s="69" t="s">
        <v>2118</v>
      </c>
    </row>
    <row r="1668" spans="1:6" x14ac:dyDescent="0.2">
      <c r="A1668" s="69">
        <v>10000015938</v>
      </c>
      <c r="E1668" s="124" t="s">
        <v>75</v>
      </c>
      <c r="F1668" s="69" t="s">
        <v>2120</v>
      </c>
    </row>
    <row r="1669" spans="1:6" x14ac:dyDescent="0.2">
      <c r="A1669" s="69">
        <v>10000015930</v>
      </c>
      <c r="E1669" s="124" t="s">
        <v>75</v>
      </c>
      <c r="F1669" s="69" t="s">
        <v>2122</v>
      </c>
    </row>
    <row r="1670" spans="1:6" x14ac:dyDescent="0.2">
      <c r="A1670" s="69">
        <v>10000009897</v>
      </c>
      <c r="E1670" s="69">
        <v>1</v>
      </c>
      <c r="F1670" s="69" t="s">
        <v>2123</v>
      </c>
    </row>
    <row r="1671" spans="1:6" x14ac:dyDescent="0.2">
      <c r="A1671" s="69">
        <v>10000015312</v>
      </c>
      <c r="E1671" s="69">
        <v>10</v>
      </c>
      <c r="F1671" s="69" t="s">
        <v>2124</v>
      </c>
    </row>
    <row r="1672" spans="1:6" x14ac:dyDescent="0.2">
      <c r="A1672" s="69">
        <v>10000001195</v>
      </c>
      <c r="E1672" s="69">
        <v>5</v>
      </c>
      <c r="F1672" s="69" t="s">
        <v>2125</v>
      </c>
    </row>
    <row r="1673" spans="1:6" x14ac:dyDescent="0.2">
      <c r="A1673" s="69">
        <v>10000015939</v>
      </c>
      <c r="E1673" s="124" t="s">
        <v>75</v>
      </c>
      <c r="F1673" s="69" t="s">
        <v>2126</v>
      </c>
    </row>
    <row r="1674" spans="1:6" x14ac:dyDescent="0.2">
      <c r="A1674" s="69">
        <v>10000000569</v>
      </c>
      <c r="E1674" s="69">
        <v>5</v>
      </c>
      <c r="F1674" s="69" t="s">
        <v>2127</v>
      </c>
    </row>
    <row r="1675" spans="1:6" x14ac:dyDescent="0.2">
      <c r="A1675" s="69">
        <v>10000000354</v>
      </c>
      <c r="E1675" s="69">
        <v>5</v>
      </c>
      <c r="F1675" s="69" t="s">
        <v>1113</v>
      </c>
    </row>
    <row r="1676" spans="1:6" x14ac:dyDescent="0.2">
      <c r="A1676" s="69">
        <v>10000015917</v>
      </c>
      <c r="E1676" s="69">
        <v>28</v>
      </c>
      <c r="F1676" s="69" t="s">
        <v>2128</v>
      </c>
    </row>
    <row r="1677" spans="1:6" x14ac:dyDescent="0.2">
      <c r="A1677" s="69">
        <v>20000000692</v>
      </c>
      <c r="E1677" s="124" t="s">
        <v>71</v>
      </c>
      <c r="F1677" s="69" t="s">
        <v>2129</v>
      </c>
    </row>
    <row r="1678" spans="1:6" x14ac:dyDescent="0.2">
      <c r="A1678" s="69">
        <v>20000002241</v>
      </c>
      <c r="E1678" s="69">
        <v>28</v>
      </c>
      <c r="F1678" s="69" t="s">
        <v>2130</v>
      </c>
    </row>
    <row r="1679" spans="1:6" x14ac:dyDescent="0.2">
      <c r="A1679" s="69">
        <v>10000012477</v>
      </c>
      <c r="E1679" s="69">
        <v>1</v>
      </c>
      <c r="F1679" s="69" t="s">
        <v>2131</v>
      </c>
    </row>
    <row r="1680" spans="1:6" x14ac:dyDescent="0.2">
      <c r="A1680" s="69">
        <v>10000011957</v>
      </c>
      <c r="E1680" s="69">
        <v>23</v>
      </c>
      <c r="F1680" s="69" t="s">
        <v>2150</v>
      </c>
    </row>
  </sheetData>
  <autoFilter ref="A1:F1679" xr:uid="{59495385-F69F-47F8-91D6-EBF8F01F654E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8"/>
  <dimension ref="A1:T2539"/>
  <sheetViews>
    <sheetView zoomScale="90" zoomScaleNormal="90" workbookViewId="0">
      <pane ySplit="1" topLeftCell="A2" activePane="bottomLeft" state="frozen"/>
      <selection activeCell="D17" sqref="A17:R67"/>
      <selection pane="bottomLeft" activeCell="A2" sqref="A2:P35"/>
    </sheetView>
  </sheetViews>
  <sheetFormatPr defaultRowHeight="12.75" x14ac:dyDescent="0.2"/>
  <cols>
    <col min="1" max="1" width="24.85546875" customWidth="1"/>
    <col min="2" max="2" width="50.5703125" customWidth="1"/>
    <col min="3" max="3" width="12" bestFit="1" customWidth="1"/>
    <col min="4" max="4" width="12.42578125" customWidth="1"/>
    <col min="5" max="5" width="9" bestFit="1" customWidth="1"/>
    <col min="6" max="6" width="4.7109375" customWidth="1"/>
    <col min="7" max="7" width="7" bestFit="1" customWidth="1"/>
    <col min="8" max="8" width="10.140625" customWidth="1"/>
    <col min="9" max="10" width="11.42578125" customWidth="1"/>
    <col min="11" max="11" width="9.28515625" customWidth="1"/>
    <col min="12" max="12" width="7" bestFit="1" customWidth="1"/>
    <col min="13" max="13" width="4" customWidth="1"/>
    <col min="14" max="14" width="5.140625" customWidth="1"/>
    <col min="15" max="15" width="6" bestFit="1" customWidth="1"/>
    <col min="16" max="16" width="42" bestFit="1" customWidth="1"/>
    <col min="17" max="17" width="30.140625" customWidth="1"/>
  </cols>
  <sheetData>
    <row r="1" spans="1:20" ht="127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9" t="s">
        <v>6</v>
      </c>
      <c r="H1" s="89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03" t="s">
        <v>1736</v>
      </c>
      <c r="R1" s="32" t="s">
        <v>21</v>
      </c>
      <c r="T1" t="s">
        <v>1581</v>
      </c>
    </row>
    <row r="2" spans="1:20" x14ac:dyDescent="0.2">
      <c r="A2">
        <v>20000007617</v>
      </c>
      <c r="B2" t="s">
        <v>2103</v>
      </c>
      <c r="C2" t="s">
        <v>2144</v>
      </c>
      <c r="D2" s="4">
        <v>46237</v>
      </c>
      <c r="E2" t="s">
        <v>2151</v>
      </c>
      <c r="F2" t="s">
        <v>2105</v>
      </c>
      <c r="G2" s="5">
        <v>4000</v>
      </c>
      <c r="H2" s="5">
        <v>2820</v>
      </c>
      <c r="I2" s="4">
        <v>46233</v>
      </c>
      <c r="J2" s="4">
        <v>46235</v>
      </c>
      <c r="K2" s="5">
        <v>0</v>
      </c>
      <c r="L2" t="s">
        <v>2132</v>
      </c>
      <c r="M2" t="s">
        <v>2104</v>
      </c>
      <c r="N2" t="s">
        <v>2105</v>
      </c>
      <c r="O2" t="s">
        <v>2136</v>
      </c>
      <c r="P2" t="s">
        <v>2133</v>
      </c>
      <c r="Q2" s="78" t="str">
        <f>VLOOKUP(A2,'גיליון דאטה להכל'!A:H,5,0)</f>
        <v>24F</v>
      </c>
      <c r="R2" s="78" t="e">
        <f>VLOOKUP(A2,'לעדכן בסינתזה דאטה אריזה 42+24'!$A:$C,3,0)</f>
        <v>#N/A</v>
      </c>
    </row>
    <row r="3" spans="1:20" x14ac:dyDescent="0.2">
      <c r="A3">
        <v>20000007617</v>
      </c>
      <c r="B3" t="s">
        <v>2103</v>
      </c>
      <c r="C3" t="s">
        <v>2145</v>
      </c>
      <c r="D3" s="4">
        <v>46237</v>
      </c>
      <c r="E3" t="s">
        <v>2152</v>
      </c>
      <c r="F3" t="s">
        <v>2105</v>
      </c>
      <c r="G3" s="5">
        <v>4000</v>
      </c>
      <c r="H3" s="5">
        <v>2550</v>
      </c>
      <c r="I3" s="4">
        <v>46235</v>
      </c>
      <c r="J3" s="4">
        <v>46235</v>
      </c>
      <c r="K3" s="5">
        <v>0</v>
      </c>
      <c r="L3" t="s">
        <v>2132</v>
      </c>
      <c r="M3" t="s">
        <v>2104</v>
      </c>
      <c r="N3" t="s">
        <v>2105</v>
      </c>
      <c r="O3" t="s">
        <v>2136</v>
      </c>
      <c r="P3" t="s">
        <v>2146</v>
      </c>
      <c r="Q3" s="78" t="str">
        <f>VLOOKUP(A3,'גיליון דאטה להכל'!A:H,5,0)</f>
        <v>24F</v>
      </c>
      <c r="R3" s="78" t="e">
        <f>VLOOKUP(A3,'לעדכן בסינתזה דאטה אריזה 42+24'!$A:$C,3,0)</f>
        <v>#N/A</v>
      </c>
    </row>
    <row r="4" spans="1:20" x14ac:dyDescent="0.2">
      <c r="A4">
        <v>20000007726</v>
      </c>
      <c r="B4" t="s">
        <v>1983</v>
      </c>
      <c r="C4" t="s">
        <v>2153</v>
      </c>
      <c r="D4" s="4">
        <v>46237</v>
      </c>
      <c r="E4" t="s">
        <v>2154</v>
      </c>
      <c r="F4" t="s">
        <v>2105</v>
      </c>
      <c r="G4" s="5">
        <v>7000</v>
      </c>
      <c r="H4" s="5">
        <v>7000</v>
      </c>
      <c r="I4" s="4">
        <v>46233</v>
      </c>
      <c r="J4" s="4">
        <v>46235</v>
      </c>
      <c r="K4" s="5">
        <v>0</v>
      </c>
      <c r="L4" t="s">
        <v>2132</v>
      </c>
      <c r="M4" t="s">
        <v>2104</v>
      </c>
      <c r="N4" t="s">
        <v>2105</v>
      </c>
      <c r="O4" t="s">
        <v>1990</v>
      </c>
      <c r="P4" t="s">
        <v>2138</v>
      </c>
      <c r="Q4" s="78">
        <f>VLOOKUP(A4,'גיליון דאטה להכל'!A:H,5,0)</f>
        <v>28</v>
      </c>
      <c r="R4" s="78" t="e">
        <f>VLOOKUP(A4,'לעדכן בסינתזה דאטה אריזה 42+24'!$A:$C,3,0)</f>
        <v>#N/A</v>
      </c>
    </row>
    <row r="5" spans="1:20" x14ac:dyDescent="0.2">
      <c r="A5">
        <v>50000000053</v>
      </c>
      <c r="B5" t="s">
        <v>122</v>
      </c>
      <c r="C5" t="s">
        <v>2155</v>
      </c>
      <c r="D5" s="4">
        <v>46236</v>
      </c>
      <c r="E5" t="s">
        <v>2156</v>
      </c>
      <c r="F5" t="s">
        <v>2105</v>
      </c>
      <c r="G5" s="5">
        <v>6000</v>
      </c>
      <c r="H5" s="5">
        <v>6858</v>
      </c>
      <c r="I5" s="4">
        <v>46233</v>
      </c>
      <c r="J5" s="4">
        <v>46235</v>
      </c>
      <c r="K5" s="5">
        <v>0</v>
      </c>
      <c r="L5" t="s">
        <v>2132</v>
      </c>
      <c r="M5" t="s">
        <v>2106</v>
      </c>
      <c r="N5" t="s">
        <v>2105</v>
      </c>
      <c r="O5" t="s">
        <v>1993</v>
      </c>
      <c r="P5" t="s">
        <v>2139</v>
      </c>
      <c r="Q5" s="78" t="str">
        <f>VLOOKUP(A5,'גיליון דאטה להכל'!A:H,5,0)</f>
        <v>שלבי ביניים לא למדידה</v>
      </c>
      <c r="R5" s="78" t="e">
        <f>VLOOKUP(A5,'לעדכן בסינתזה דאטה אריזה 42+24'!$A:$C,3,0)</f>
        <v>#N/A</v>
      </c>
    </row>
    <row r="6" spans="1:20" x14ac:dyDescent="0.2">
      <c r="A6">
        <v>30000000097</v>
      </c>
      <c r="B6" t="s">
        <v>104</v>
      </c>
      <c r="C6" t="s">
        <v>2157</v>
      </c>
      <c r="D6" s="4">
        <v>46235</v>
      </c>
      <c r="E6" t="s">
        <v>2158</v>
      </c>
      <c r="F6" t="s">
        <v>2105</v>
      </c>
      <c r="G6" s="5">
        <v>2800</v>
      </c>
      <c r="H6" s="5">
        <v>2415</v>
      </c>
      <c r="I6" s="4">
        <v>46227</v>
      </c>
      <c r="J6" s="4">
        <v>46235</v>
      </c>
      <c r="K6" s="5">
        <v>0</v>
      </c>
      <c r="L6" t="s">
        <v>2132</v>
      </c>
      <c r="M6" t="s">
        <v>2106</v>
      </c>
      <c r="N6" t="s">
        <v>2105</v>
      </c>
      <c r="O6" t="s">
        <v>1998</v>
      </c>
      <c r="P6" t="s">
        <v>2139</v>
      </c>
      <c r="Q6" s="78" t="str">
        <f>VLOOKUP(A6,'גיליון דאטה להכל'!A:H,5,0)</f>
        <v>METAZACHLOR</v>
      </c>
      <c r="R6" s="78" t="e">
        <f>VLOOKUP(A6,'לעדכן בסינתזה דאטה אריזה 42+24'!$A:$C,3,0)</f>
        <v>#N/A</v>
      </c>
    </row>
    <row r="7" spans="1:20" x14ac:dyDescent="0.2">
      <c r="A7">
        <v>10000000253</v>
      </c>
      <c r="B7" t="s">
        <v>1177</v>
      </c>
      <c r="C7" t="s">
        <v>2159</v>
      </c>
      <c r="D7" s="4">
        <v>46235</v>
      </c>
      <c r="E7" t="s">
        <v>2160</v>
      </c>
      <c r="F7" t="s">
        <v>2105</v>
      </c>
      <c r="G7" s="5">
        <v>7200</v>
      </c>
      <c r="H7" s="5">
        <v>7200</v>
      </c>
      <c r="I7" s="4">
        <v>46230</v>
      </c>
      <c r="J7" s="4">
        <v>46235</v>
      </c>
      <c r="K7" s="5">
        <v>7200</v>
      </c>
      <c r="L7" t="s">
        <v>2132</v>
      </c>
      <c r="M7" t="s">
        <v>2104</v>
      </c>
      <c r="N7" t="s">
        <v>2105</v>
      </c>
      <c r="O7" t="s">
        <v>1995</v>
      </c>
      <c r="P7" t="s">
        <v>2134</v>
      </c>
      <c r="Q7" s="78">
        <f>VLOOKUP(A7,'גיליון דאטה להכל'!A:H,5,0)</f>
        <v>23</v>
      </c>
      <c r="R7" s="78">
        <f>VLOOKUP(A7,'לעדכן בסינתזה דאטה אריזה 42+24'!$A:$C,3,0)</f>
        <v>23</v>
      </c>
    </row>
    <row r="8" spans="1:20" x14ac:dyDescent="0.2">
      <c r="A8">
        <v>20000000863</v>
      </c>
      <c r="B8" t="s">
        <v>183</v>
      </c>
      <c r="C8" t="s">
        <v>2161</v>
      </c>
      <c r="D8" s="4">
        <v>46235</v>
      </c>
      <c r="E8" t="s">
        <v>2162</v>
      </c>
      <c r="F8" t="s">
        <v>2105</v>
      </c>
      <c r="G8" s="5">
        <v>9600</v>
      </c>
      <c r="H8" s="5">
        <v>9600</v>
      </c>
      <c r="I8" s="4">
        <v>46232</v>
      </c>
      <c r="J8" s="4">
        <v>46235</v>
      </c>
      <c r="K8" s="5">
        <v>9600</v>
      </c>
      <c r="L8" t="s">
        <v>2132</v>
      </c>
      <c r="M8" t="s">
        <v>2104</v>
      </c>
      <c r="N8" t="s">
        <v>2105</v>
      </c>
      <c r="O8" t="s">
        <v>1995</v>
      </c>
      <c r="P8" t="s">
        <v>2135</v>
      </c>
      <c r="Q8" s="78">
        <f>VLOOKUP(A8,'גיליון דאטה להכל'!A:H,5,0)</f>
        <v>23</v>
      </c>
      <c r="R8" s="78">
        <f>VLOOKUP(A8,'לעדכן בסינתזה דאטה אריזה 42+24'!$A:$C,3,0)</f>
        <v>23</v>
      </c>
    </row>
    <row r="9" spans="1:20" x14ac:dyDescent="0.2">
      <c r="A9">
        <v>20000007726</v>
      </c>
      <c r="B9" t="s">
        <v>1983</v>
      </c>
      <c r="C9" t="s">
        <v>2163</v>
      </c>
      <c r="D9" s="4">
        <v>46235</v>
      </c>
      <c r="E9" t="s">
        <v>2164</v>
      </c>
      <c r="F9" t="s">
        <v>2105</v>
      </c>
      <c r="G9" s="5">
        <v>8000</v>
      </c>
      <c r="H9" s="5">
        <v>8000</v>
      </c>
      <c r="I9" s="4">
        <v>46235</v>
      </c>
      <c r="J9" s="4">
        <v>46235</v>
      </c>
      <c r="K9" s="5">
        <v>8000</v>
      </c>
      <c r="L9" t="s">
        <v>2132</v>
      </c>
      <c r="M9" t="s">
        <v>2104</v>
      </c>
      <c r="N9" t="s">
        <v>2105</v>
      </c>
      <c r="O9" t="s">
        <v>1990</v>
      </c>
      <c r="P9" t="s">
        <v>2135</v>
      </c>
      <c r="Q9" s="78">
        <f>VLOOKUP(A9,'גיליון דאטה להכל'!A:H,5,0)</f>
        <v>28</v>
      </c>
      <c r="R9" s="78" t="e">
        <f>VLOOKUP(A9,'לעדכן בסינתזה דאטה אריזה 42+24'!$A:$C,3,0)</f>
        <v>#N/A</v>
      </c>
    </row>
    <row r="10" spans="1:20" x14ac:dyDescent="0.2">
      <c r="A10">
        <v>20000000183</v>
      </c>
      <c r="B10" t="s">
        <v>271</v>
      </c>
      <c r="C10" t="s">
        <v>2165</v>
      </c>
      <c r="D10" s="4">
        <v>46235</v>
      </c>
      <c r="E10" t="s">
        <v>2166</v>
      </c>
      <c r="F10" t="s">
        <v>2105</v>
      </c>
      <c r="G10" s="5">
        <v>5000</v>
      </c>
      <c r="H10" s="5">
        <v>4456</v>
      </c>
      <c r="I10" s="4">
        <v>46235</v>
      </c>
      <c r="J10" s="4">
        <v>46235</v>
      </c>
      <c r="K10" s="5">
        <v>4456</v>
      </c>
      <c r="L10" t="s">
        <v>2132</v>
      </c>
      <c r="M10" t="s">
        <v>2104</v>
      </c>
      <c r="N10" t="s">
        <v>2105</v>
      </c>
      <c r="O10" t="s">
        <v>1995</v>
      </c>
      <c r="P10" t="s">
        <v>2142</v>
      </c>
      <c r="Q10" s="78">
        <f>VLOOKUP(A10,'גיליון דאטה להכל'!A:H,5,0)</f>
        <v>23</v>
      </c>
      <c r="R10" s="78">
        <f>VLOOKUP(A10,'לעדכן בסינתזה דאטה אריזה 42+24'!$A:$C,3,0)</f>
        <v>23</v>
      </c>
    </row>
    <row r="11" spans="1:20" x14ac:dyDescent="0.2">
      <c r="A11">
        <v>20000005837</v>
      </c>
      <c r="B11" t="s">
        <v>1700</v>
      </c>
      <c r="C11" t="s">
        <v>2167</v>
      </c>
      <c r="D11" s="4">
        <v>46235</v>
      </c>
      <c r="E11" t="s">
        <v>2168</v>
      </c>
      <c r="F11" t="s">
        <v>2105</v>
      </c>
      <c r="G11" s="5">
        <v>7000</v>
      </c>
      <c r="H11" s="5">
        <v>7000</v>
      </c>
      <c r="I11" s="4">
        <v>46234</v>
      </c>
      <c r="J11" s="4">
        <v>46235</v>
      </c>
      <c r="K11" s="5">
        <v>7000</v>
      </c>
      <c r="L11" t="s">
        <v>2132</v>
      </c>
      <c r="M11" t="s">
        <v>2104</v>
      </c>
      <c r="N11" t="s">
        <v>2105</v>
      </c>
      <c r="O11" t="s">
        <v>1990</v>
      </c>
      <c r="P11" t="s">
        <v>2139</v>
      </c>
      <c r="Q11" s="78">
        <f>VLOOKUP(A11,'גיליון דאטה להכל'!A:H,5,0)</f>
        <v>28</v>
      </c>
      <c r="R11" s="78">
        <f>VLOOKUP(A11,'לעדכן בסינתזה דאטה אריזה 42+24'!$A:$C,3,0)</f>
        <v>28</v>
      </c>
    </row>
    <row r="12" spans="1:20" x14ac:dyDescent="0.2">
      <c r="A12">
        <v>20000005837</v>
      </c>
      <c r="B12" t="s">
        <v>1700</v>
      </c>
      <c r="C12" t="s">
        <v>2169</v>
      </c>
      <c r="D12" s="4">
        <v>46235</v>
      </c>
      <c r="E12" t="s">
        <v>2170</v>
      </c>
      <c r="F12" t="s">
        <v>2105</v>
      </c>
      <c r="G12" s="5">
        <v>7000</v>
      </c>
      <c r="H12" s="5">
        <v>7000</v>
      </c>
      <c r="I12" s="4">
        <v>46234</v>
      </c>
      <c r="J12" s="4">
        <v>46235</v>
      </c>
      <c r="K12" s="5">
        <v>7000</v>
      </c>
      <c r="L12" t="s">
        <v>2132</v>
      </c>
      <c r="M12" t="s">
        <v>2104</v>
      </c>
      <c r="N12" t="s">
        <v>2105</v>
      </c>
      <c r="O12" t="s">
        <v>1990</v>
      </c>
      <c r="P12" t="s">
        <v>2139</v>
      </c>
      <c r="Q12" s="78">
        <f>VLOOKUP(A12,'גיליון דאטה להכל'!A:H,5,0)</f>
        <v>28</v>
      </c>
      <c r="R12" s="78">
        <f>VLOOKUP(A12,'לעדכן בסינתזה דאטה אריזה 42+24'!$A:$C,3,0)</f>
        <v>28</v>
      </c>
    </row>
    <row r="13" spans="1:20" x14ac:dyDescent="0.2">
      <c r="A13">
        <v>20000005837</v>
      </c>
      <c r="B13" t="s">
        <v>1700</v>
      </c>
      <c r="C13" t="s">
        <v>2171</v>
      </c>
      <c r="D13" s="4">
        <v>46235</v>
      </c>
      <c r="E13" t="s">
        <v>2172</v>
      </c>
      <c r="F13" t="s">
        <v>2105</v>
      </c>
      <c r="G13" s="5">
        <v>7000</v>
      </c>
      <c r="H13" s="5">
        <v>7000</v>
      </c>
      <c r="I13" s="4">
        <v>46235</v>
      </c>
      <c r="J13" s="4">
        <v>46235</v>
      </c>
      <c r="K13" s="5">
        <v>0</v>
      </c>
      <c r="L13" t="s">
        <v>2132</v>
      </c>
      <c r="M13" t="s">
        <v>2104</v>
      </c>
      <c r="N13" t="s">
        <v>2105</v>
      </c>
      <c r="O13" t="s">
        <v>1990</v>
      </c>
      <c r="P13" t="s">
        <v>2137</v>
      </c>
      <c r="Q13" s="78">
        <f>VLOOKUP(A13,'גיליון דאטה להכל'!A:H,5,0)</f>
        <v>28</v>
      </c>
      <c r="R13" s="78">
        <f>VLOOKUP(A13,'לעדכן בסינתזה דאטה אריזה 42+24'!$A:$C,3,0)</f>
        <v>28</v>
      </c>
    </row>
    <row r="14" spans="1:20" x14ac:dyDescent="0.2">
      <c r="A14">
        <v>30000000076</v>
      </c>
      <c r="B14" t="s">
        <v>1349</v>
      </c>
      <c r="C14" t="s">
        <v>2173</v>
      </c>
      <c r="D14" s="4">
        <v>46234</v>
      </c>
      <c r="E14" t="s">
        <v>2174</v>
      </c>
      <c r="F14" t="s">
        <v>2105</v>
      </c>
      <c r="G14" s="5">
        <v>3300</v>
      </c>
      <c r="H14" s="5">
        <v>3300</v>
      </c>
      <c r="I14" s="4">
        <v>46235</v>
      </c>
      <c r="J14" s="4">
        <v>46235</v>
      </c>
      <c r="K14" s="5">
        <v>0</v>
      </c>
      <c r="L14" t="s">
        <v>2132</v>
      </c>
      <c r="M14" t="s">
        <v>2106</v>
      </c>
      <c r="N14" t="s">
        <v>2105</v>
      </c>
      <c r="O14" t="s">
        <v>1994</v>
      </c>
      <c r="P14" t="s">
        <v>2141</v>
      </c>
      <c r="Q14" s="78" t="str">
        <f>VLOOKUP(A14,'גיליון דאטה להכל'!A:H,5,0)</f>
        <v>DIURON</v>
      </c>
      <c r="R14" s="78" t="e">
        <f>VLOOKUP(A14,'לעדכן בסינתזה דאטה אריזה 42+24'!$A:$C,3,0)</f>
        <v>#N/A</v>
      </c>
    </row>
    <row r="15" spans="1:20" x14ac:dyDescent="0.2">
      <c r="A15">
        <v>30000000076</v>
      </c>
      <c r="B15" t="s">
        <v>1349</v>
      </c>
      <c r="C15" t="s">
        <v>2175</v>
      </c>
      <c r="D15" s="4">
        <v>46234</v>
      </c>
      <c r="E15" t="s">
        <v>2176</v>
      </c>
      <c r="F15" t="s">
        <v>2105</v>
      </c>
      <c r="G15" s="5">
        <v>3300</v>
      </c>
      <c r="H15" s="5">
        <v>3300</v>
      </c>
      <c r="I15" s="4">
        <v>46234</v>
      </c>
      <c r="J15" s="4">
        <v>46235</v>
      </c>
      <c r="K15" s="5">
        <v>0</v>
      </c>
      <c r="L15" t="s">
        <v>2132</v>
      </c>
      <c r="M15" t="s">
        <v>2106</v>
      </c>
      <c r="N15" t="s">
        <v>2105</v>
      </c>
      <c r="O15" t="s">
        <v>1994</v>
      </c>
      <c r="P15" t="s">
        <v>2141</v>
      </c>
      <c r="Q15" s="78" t="str">
        <f>VLOOKUP(A15,'גיליון דאטה להכל'!A:H,5,0)</f>
        <v>DIURON</v>
      </c>
      <c r="R15" s="78" t="e">
        <f>VLOOKUP(A15,'לעדכן בסינתזה דאטה אריזה 42+24'!$A:$C,3,0)</f>
        <v>#N/A</v>
      </c>
    </row>
    <row r="16" spans="1:20" x14ac:dyDescent="0.2">
      <c r="A16">
        <v>20000008007</v>
      </c>
      <c r="B16" t="s">
        <v>2049</v>
      </c>
      <c r="C16" t="s">
        <v>2177</v>
      </c>
      <c r="D16" s="4">
        <v>46234</v>
      </c>
      <c r="E16" t="s">
        <v>2178</v>
      </c>
      <c r="F16" t="s">
        <v>2105</v>
      </c>
      <c r="G16" s="5">
        <v>7000</v>
      </c>
      <c r="H16" s="5">
        <v>7000</v>
      </c>
      <c r="I16" s="4">
        <v>46234</v>
      </c>
      <c r="J16" s="4">
        <v>46235</v>
      </c>
      <c r="K16" s="5">
        <v>7000</v>
      </c>
      <c r="L16" t="s">
        <v>2132</v>
      </c>
      <c r="M16" t="s">
        <v>2104</v>
      </c>
      <c r="N16" t="s">
        <v>2105</v>
      </c>
      <c r="O16" t="s">
        <v>1990</v>
      </c>
      <c r="P16" t="s">
        <v>2135</v>
      </c>
      <c r="Q16" s="78">
        <f>VLOOKUP(A16,'גיליון דאטה להכל'!A:H,5,0)</f>
        <v>28</v>
      </c>
      <c r="R16" s="78" t="e">
        <f>VLOOKUP(A16,'לעדכן בסינתזה דאטה אריזה 42+24'!$A:$C,3,0)</f>
        <v>#N/A</v>
      </c>
    </row>
    <row r="17" spans="1:18" x14ac:dyDescent="0.2">
      <c r="A17">
        <v>30000000076</v>
      </c>
      <c r="B17" t="s">
        <v>1349</v>
      </c>
      <c r="C17" t="s">
        <v>2179</v>
      </c>
      <c r="D17" s="4">
        <v>46233</v>
      </c>
      <c r="E17" t="s">
        <v>2180</v>
      </c>
      <c r="F17" t="s">
        <v>2105</v>
      </c>
      <c r="G17" s="5">
        <v>3300</v>
      </c>
      <c r="H17" s="5">
        <v>3300</v>
      </c>
      <c r="I17" s="4">
        <v>46234</v>
      </c>
      <c r="J17" s="4">
        <v>46235</v>
      </c>
      <c r="K17" s="5">
        <v>0</v>
      </c>
      <c r="L17" t="s">
        <v>2132</v>
      </c>
      <c r="M17" t="s">
        <v>2106</v>
      </c>
      <c r="N17" t="s">
        <v>2105</v>
      </c>
      <c r="O17" t="s">
        <v>1994</v>
      </c>
      <c r="P17" t="s">
        <v>2141</v>
      </c>
      <c r="Q17" s="78" t="str">
        <f>VLOOKUP(A17,'גיליון דאטה להכל'!A:H,5,0)</f>
        <v>DIURON</v>
      </c>
      <c r="R17" s="78" t="e">
        <f>VLOOKUP(A17,'לעדכן בסינתזה דאטה אריזה 42+24'!$A:$C,3,0)</f>
        <v>#N/A</v>
      </c>
    </row>
    <row r="18" spans="1:18" x14ac:dyDescent="0.2">
      <c r="A18">
        <v>30000000076</v>
      </c>
      <c r="B18" t="s">
        <v>1349</v>
      </c>
      <c r="C18" t="s">
        <v>2181</v>
      </c>
      <c r="D18" s="4">
        <v>46233</v>
      </c>
      <c r="E18" t="s">
        <v>2182</v>
      </c>
      <c r="F18" t="s">
        <v>2105</v>
      </c>
      <c r="G18" s="5">
        <v>3300</v>
      </c>
      <c r="H18" s="5">
        <v>3300</v>
      </c>
      <c r="I18" s="4">
        <v>46234</v>
      </c>
      <c r="J18" s="4">
        <v>46235</v>
      </c>
      <c r="K18" s="5">
        <v>0</v>
      </c>
      <c r="L18" t="s">
        <v>2132</v>
      </c>
      <c r="M18" t="s">
        <v>2106</v>
      </c>
      <c r="N18" t="s">
        <v>2105</v>
      </c>
      <c r="O18" t="s">
        <v>1994</v>
      </c>
      <c r="P18" t="s">
        <v>2141</v>
      </c>
      <c r="Q18" s="78" t="str">
        <f>VLOOKUP(A18,'גיליון דאטה להכל'!A:H,5,0)</f>
        <v>DIURON</v>
      </c>
      <c r="R18" s="78" t="e">
        <f>VLOOKUP(A18,'לעדכן בסינתזה דאטה אריזה 42+24'!$A:$C,3,0)</f>
        <v>#N/A</v>
      </c>
    </row>
    <row r="19" spans="1:18" x14ac:dyDescent="0.2">
      <c r="A19">
        <v>30000000076</v>
      </c>
      <c r="B19" t="s">
        <v>1349</v>
      </c>
      <c r="C19" t="s">
        <v>2183</v>
      </c>
      <c r="D19" s="4">
        <v>46233</v>
      </c>
      <c r="E19" t="s">
        <v>2184</v>
      </c>
      <c r="F19" t="s">
        <v>2105</v>
      </c>
      <c r="G19" s="5">
        <v>3300</v>
      </c>
      <c r="H19" s="5">
        <v>3300</v>
      </c>
      <c r="I19" s="4">
        <v>46235</v>
      </c>
      <c r="J19" s="4">
        <v>46235</v>
      </c>
      <c r="K19" s="5">
        <v>0</v>
      </c>
      <c r="L19" t="s">
        <v>2132</v>
      </c>
      <c r="M19" t="s">
        <v>2106</v>
      </c>
      <c r="N19" t="s">
        <v>2105</v>
      </c>
      <c r="O19" t="s">
        <v>1994</v>
      </c>
      <c r="P19" t="s">
        <v>2141</v>
      </c>
      <c r="Q19" s="78" t="str">
        <f>VLOOKUP(A19,'גיליון דאטה להכל'!A:H,5,0)</f>
        <v>DIURON</v>
      </c>
      <c r="R19" s="78" t="e">
        <f>VLOOKUP(A19,'לעדכן בסינתזה דאטה אריזה 42+24'!$A:$C,3,0)</f>
        <v>#N/A</v>
      </c>
    </row>
    <row r="20" spans="1:18" x14ac:dyDescent="0.2">
      <c r="A20">
        <v>30000000076</v>
      </c>
      <c r="B20" t="s">
        <v>1349</v>
      </c>
      <c r="C20" t="s">
        <v>2185</v>
      </c>
      <c r="D20" s="4">
        <v>46233</v>
      </c>
      <c r="E20" t="s">
        <v>2186</v>
      </c>
      <c r="F20" t="s">
        <v>2105</v>
      </c>
      <c r="G20" s="5">
        <v>3300</v>
      </c>
      <c r="H20" s="5">
        <v>3300</v>
      </c>
      <c r="I20" s="4">
        <v>46235</v>
      </c>
      <c r="J20" s="4">
        <v>46235</v>
      </c>
      <c r="K20" s="5">
        <v>0</v>
      </c>
      <c r="L20" t="s">
        <v>2132</v>
      </c>
      <c r="M20" t="s">
        <v>2106</v>
      </c>
      <c r="N20" t="s">
        <v>2105</v>
      </c>
      <c r="O20" t="s">
        <v>1994</v>
      </c>
      <c r="P20" t="s">
        <v>2141</v>
      </c>
      <c r="Q20" s="78" t="str">
        <f>VLOOKUP(A20,'גיליון דאטה להכל'!A:H,5,0)</f>
        <v>DIURON</v>
      </c>
      <c r="R20" s="78" t="e">
        <f>VLOOKUP(A20,'לעדכן בסינתזה דאטה אריזה 42+24'!$A:$C,3,0)</f>
        <v>#N/A</v>
      </c>
    </row>
    <row r="21" spans="1:18" x14ac:dyDescent="0.2">
      <c r="A21">
        <v>20000008007</v>
      </c>
      <c r="B21" t="s">
        <v>2049</v>
      </c>
      <c r="C21" t="s">
        <v>2187</v>
      </c>
      <c r="D21" s="4">
        <v>46233</v>
      </c>
      <c r="E21" t="s">
        <v>2188</v>
      </c>
      <c r="F21" t="s">
        <v>2105</v>
      </c>
      <c r="G21" s="5">
        <v>8000</v>
      </c>
      <c r="H21" s="5">
        <v>8000</v>
      </c>
      <c r="I21" s="4">
        <v>46234</v>
      </c>
      <c r="J21" s="4">
        <v>46235</v>
      </c>
      <c r="K21" s="5">
        <v>8000</v>
      </c>
      <c r="L21" t="s">
        <v>2132</v>
      </c>
      <c r="M21" t="s">
        <v>2104</v>
      </c>
      <c r="N21" t="s">
        <v>2105</v>
      </c>
      <c r="O21" t="s">
        <v>1990</v>
      </c>
      <c r="P21" t="s">
        <v>2135</v>
      </c>
      <c r="Q21" s="78">
        <f>VLOOKUP(A21,'גיליון דאטה להכל'!A:H,5,0)</f>
        <v>28</v>
      </c>
      <c r="R21" s="78" t="e">
        <f>VLOOKUP(A21,'לעדכן בסינתזה דאטה אריזה 42+24'!$A:$C,3,0)</f>
        <v>#N/A</v>
      </c>
    </row>
    <row r="22" spans="1:18" x14ac:dyDescent="0.2">
      <c r="A22">
        <v>10000001131</v>
      </c>
      <c r="B22" t="s">
        <v>2036</v>
      </c>
      <c r="C22" t="s">
        <v>2189</v>
      </c>
      <c r="D22" s="4">
        <v>46232</v>
      </c>
      <c r="E22" t="s">
        <v>2190</v>
      </c>
      <c r="F22" t="s">
        <v>2105</v>
      </c>
      <c r="G22" s="5">
        <v>6000</v>
      </c>
      <c r="H22" s="5">
        <v>7200</v>
      </c>
      <c r="I22" s="4">
        <v>46231</v>
      </c>
      <c r="J22" s="4">
        <v>46235</v>
      </c>
      <c r="K22" s="5">
        <v>0</v>
      </c>
      <c r="L22" t="s">
        <v>2132</v>
      </c>
      <c r="M22" t="s">
        <v>2104</v>
      </c>
      <c r="N22" t="s">
        <v>2105</v>
      </c>
      <c r="O22" t="s">
        <v>1995</v>
      </c>
      <c r="P22" t="s">
        <v>2141</v>
      </c>
      <c r="Q22" s="78">
        <f>VLOOKUP(A22,'גיליון דאטה להכל'!A:H,5,0)</f>
        <v>23</v>
      </c>
      <c r="R22" s="78" t="e">
        <f>VLOOKUP(A22,'לעדכן בסינתזה דאטה אריזה 42+24'!$A:$C,3,0)</f>
        <v>#N/A</v>
      </c>
    </row>
    <row r="23" spans="1:18" x14ac:dyDescent="0.2">
      <c r="A23">
        <v>20000007734</v>
      </c>
      <c r="B23" t="s">
        <v>2000</v>
      </c>
      <c r="C23" t="s">
        <v>2191</v>
      </c>
      <c r="D23" s="4">
        <v>46232</v>
      </c>
      <c r="E23" t="s">
        <v>2192</v>
      </c>
      <c r="F23" t="s">
        <v>2105</v>
      </c>
      <c r="G23" s="5">
        <v>7000</v>
      </c>
      <c r="H23" s="5">
        <v>7000</v>
      </c>
      <c r="I23" s="4">
        <v>46234</v>
      </c>
      <c r="J23" s="4">
        <v>46235</v>
      </c>
      <c r="K23" s="5">
        <v>0</v>
      </c>
      <c r="L23" t="s">
        <v>2132</v>
      </c>
      <c r="M23" t="s">
        <v>2104</v>
      </c>
      <c r="N23" t="s">
        <v>2105</v>
      </c>
      <c r="O23" t="s">
        <v>1990</v>
      </c>
      <c r="P23" t="s">
        <v>2138</v>
      </c>
      <c r="Q23" s="78">
        <f>VLOOKUP(A23,'גיליון דאטה להכל'!A:H,5,0)</f>
        <v>28</v>
      </c>
      <c r="R23" s="78" t="e">
        <f>VLOOKUP(A23,'לעדכן בסינתזה דאטה אריזה 42+24'!$A:$C,3,0)</f>
        <v>#N/A</v>
      </c>
    </row>
    <row r="24" spans="1:18" x14ac:dyDescent="0.2">
      <c r="A24">
        <v>20000007734</v>
      </c>
      <c r="B24" t="s">
        <v>2000</v>
      </c>
      <c r="C24" t="s">
        <v>2193</v>
      </c>
      <c r="D24" s="4">
        <v>46232</v>
      </c>
      <c r="E24" t="s">
        <v>2194</v>
      </c>
      <c r="F24" t="s">
        <v>2105</v>
      </c>
      <c r="G24" s="5">
        <v>7000</v>
      </c>
      <c r="H24" s="5">
        <v>7000</v>
      </c>
      <c r="I24" s="4">
        <v>46234</v>
      </c>
      <c r="J24" s="4">
        <v>46235</v>
      </c>
      <c r="K24" s="5">
        <v>0</v>
      </c>
      <c r="L24" t="s">
        <v>2132</v>
      </c>
      <c r="M24" t="s">
        <v>2104</v>
      </c>
      <c r="N24" t="s">
        <v>2105</v>
      </c>
      <c r="O24" t="s">
        <v>1990</v>
      </c>
      <c r="P24" t="s">
        <v>2134</v>
      </c>
      <c r="Q24" s="78">
        <f>VLOOKUP(A24,'גיליון דאטה להכל'!A:H,5,0)</f>
        <v>28</v>
      </c>
      <c r="R24" s="78" t="e">
        <f>VLOOKUP(A24,'לעדכן בסינתזה דאטה אריזה 42+24'!$A:$C,3,0)</f>
        <v>#N/A</v>
      </c>
    </row>
    <row r="25" spans="1:18" x14ac:dyDescent="0.2">
      <c r="A25">
        <v>30000000076</v>
      </c>
      <c r="B25" t="s">
        <v>1349</v>
      </c>
      <c r="C25" t="s">
        <v>2195</v>
      </c>
      <c r="D25" s="4">
        <v>46231</v>
      </c>
      <c r="E25" t="s">
        <v>2196</v>
      </c>
      <c r="F25" t="s">
        <v>2105</v>
      </c>
      <c r="G25" s="5">
        <v>3300</v>
      </c>
      <c r="H25" s="5">
        <v>3300</v>
      </c>
      <c r="I25" s="4">
        <v>46234</v>
      </c>
      <c r="J25" s="4">
        <v>46235</v>
      </c>
      <c r="K25" s="5">
        <v>0</v>
      </c>
      <c r="L25" t="s">
        <v>2132</v>
      </c>
      <c r="M25" t="s">
        <v>2106</v>
      </c>
      <c r="N25" t="s">
        <v>2105</v>
      </c>
      <c r="O25" t="s">
        <v>1994</v>
      </c>
      <c r="P25" t="s">
        <v>2141</v>
      </c>
      <c r="Q25" s="78" t="str">
        <f>VLOOKUP(A25,'גיליון דאטה להכל'!A:H,5,0)</f>
        <v>DIURON</v>
      </c>
      <c r="R25" s="78" t="e">
        <f>VLOOKUP(A25,'לעדכן בסינתזה דאטה אריזה 42+24'!$A:$C,3,0)</f>
        <v>#N/A</v>
      </c>
    </row>
    <row r="26" spans="1:18" x14ac:dyDescent="0.2">
      <c r="A26">
        <v>30000000076</v>
      </c>
      <c r="B26" t="s">
        <v>1349</v>
      </c>
      <c r="C26" t="s">
        <v>2197</v>
      </c>
      <c r="D26" s="4">
        <v>46231</v>
      </c>
      <c r="E26" t="s">
        <v>2198</v>
      </c>
      <c r="F26" t="s">
        <v>2105</v>
      </c>
      <c r="G26" s="5">
        <v>3300</v>
      </c>
      <c r="H26" s="5">
        <v>3300</v>
      </c>
      <c r="I26" s="4">
        <v>46234</v>
      </c>
      <c r="J26" s="4">
        <v>46235</v>
      </c>
      <c r="K26" s="5">
        <v>0</v>
      </c>
      <c r="L26" t="s">
        <v>2132</v>
      </c>
      <c r="M26" t="s">
        <v>2106</v>
      </c>
      <c r="N26" t="s">
        <v>2105</v>
      </c>
      <c r="O26" t="s">
        <v>1994</v>
      </c>
      <c r="P26" t="s">
        <v>2141</v>
      </c>
      <c r="Q26" s="78" t="str">
        <f>VLOOKUP(A26,'גיליון דאטה להכל'!A:H,5,0)</f>
        <v>DIURON</v>
      </c>
      <c r="R26" s="78" t="e">
        <f>VLOOKUP(A26,'לעדכן בסינתזה דאטה אריזה 42+24'!$A:$C,3,0)</f>
        <v>#N/A</v>
      </c>
    </row>
    <row r="27" spans="1:18" x14ac:dyDescent="0.2">
      <c r="A27">
        <v>30000000113</v>
      </c>
      <c r="B27" t="s">
        <v>2140</v>
      </c>
      <c r="C27" t="s">
        <v>2199</v>
      </c>
      <c r="D27" s="4">
        <v>46224</v>
      </c>
      <c r="E27" t="s">
        <v>2200</v>
      </c>
      <c r="F27" t="s">
        <v>2105</v>
      </c>
      <c r="G27" s="5">
        <v>3300</v>
      </c>
      <c r="H27" s="5">
        <v>3300</v>
      </c>
      <c r="I27" s="4">
        <v>46234</v>
      </c>
      <c r="J27" s="4">
        <v>46235</v>
      </c>
      <c r="K27" s="5">
        <v>0</v>
      </c>
      <c r="L27" t="s">
        <v>2132</v>
      </c>
      <c r="M27" t="s">
        <v>2106</v>
      </c>
      <c r="N27" t="s">
        <v>2105</v>
      </c>
      <c r="O27" t="s">
        <v>1994</v>
      </c>
      <c r="P27" t="s">
        <v>2141</v>
      </c>
      <c r="Q27" s="78" t="str">
        <f>VLOOKUP(A27,'גיליון דאטה להכל'!A:H,5,0)</f>
        <v>CHLOROTOLURON TOLUREX</v>
      </c>
      <c r="R27" s="78" t="e">
        <f>VLOOKUP(A27,'לעדכן בסינתזה דאטה אריזה 42+24'!$A:$C,3,0)</f>
        <v>#N/A</v>
      </c>
    </row>
    <row r="28" spans="1:18" x14ac:dyDescent="0.2">
      <c r="A28">
        <v>30000000113</v>
      </c>
      <c r="B28" t="s">
        <v>2140</v>
      </c>
      <c r="C28" t="s">
        <v>2201</v>
      </c>
      <c r="D28" s="4">
        <v>46224</v>
      </c>
      <c r="E28" t="s">
        <v>2202</v>
      </c>
      <c r="F28" t="s">
        <v>2105</v>
      </c>
      <c r="G28" s="5">
        <v>3300</v>
      </c>
      <c r="H28" s="5">
        <v>3300</v>
      </c>
      <c r="I28" s="4">
        <v>46234</v>
      </c>
      <c r="J28" s="4">
        <v>46235</v>
      </c>
      <c r="K28" s="5">
        <v>0</v>
      </c>
      <c r="L28" t="s">
        <v>2132</v>
      </c>
      <c r="M28" t="s">
        <v>2106</v>
      </c>
      <c r="N28" t="s">
        <v>2105</v>
      </c>
      <c r="O28" t="s">
        <v>1994</v>
      </c>
      <c r="P28" t="s">
        <v>2141</v>
      </c>
      <c r="Q28" s="78" t="str">
        <f>VLOOKUP(A28,'גיליון דאטה להכל'!A:H,5,0)</f>
        <v>CHLOROTOLURON TOLUREX</v>
      </c>
      <c r="R28" s="78" t="e">
        <f>VLOOKUP(A28,'לעדכן בסינתזה דאטה אריזה 42+24'!$A:$C,3,0)</f>
        <v>#N/A</v>
      </c>
    </row>
    <row r="29" spans="1:18" x14ac:dyDescent="0.2">
      <c r="A29">
        <v>30000000113</v>
      </c>
      <c r="B29" t="s">
        <v>2140</v>
      </c>
      <c r="C29" t="s">
        <v>2203</v>
      </c>
      <c r="D29" s="4">
        <v>46224</v>
      </c>
      <c r="E29" t="s">
        <v>2204</v>
      </c>
      <c r="F29" t="s">
        <v>2105</v>
      </c>
      <c r="G29" s="5">
        <v>3300</v>
      </c>
      <c r="H29" s="5">
        <v>3300</v>
      </c>
      <c r="I29" s="4">
        <v>46235</v>
      </c>
      <c r="J29" s="4">
        <v>46235</v>
      </c>
      <c r="K29" s="5">
        <v>0</v>
      </c>
      <c r="L29" t="s">
        <v>2132</v>
      </c>
      <c r="M29" t="s">
        <v>2106</v>
      </c>
      <c r="N29" t="s">
        <v>2105</v>
      </c>
      <c r="O29" t="s">
        <v>1994</v>
      </c>
      <c r="P29" t="s">
        <v>2141</v>
      </c>
      <c r="Q29" s="78" t="str">
        <f>VLOOKUP(A29,'גיליון דאטה להכל'!A:H,5,0)</f>
        <v>CHLOROTOLURON TOLUREX</v>
      </c>
      <c r="R29" s="78" t="e">
        <f>VLOOKUP(A29,'לעדכן בסינתזה דאטה אריזה 42+24'!$A:$C,3,0)</f>
        <v>#N/A</v>
      </c>
    </row>
    <row r="30" spans="1:18" x14ac:dyDescent="0.2">
      <c r="A30">
        <v>30000000095</v>
      </c>
      <c r="B30" t="s">
        <v>1454</v>
      </c>
      <c r="C30" t="s">
        <v>2205</v>
      </c>
      <c r="D30" s="4">
        <v>46221</v>
      </c>
      <c r="E30" t="s">
        <v>2206</v>
      </c>
      <c r="F30" t="s">
        <v>2105</v>
      </c>
      <c r="G30" s="5">
        <v>4800</v>
      </c>
      <c r="H30" s="5">
        <v>4800</v>
      </c>
      <c r="I30" s="4">
        <v>46234</v>
      </c>
      <c r="J30" s="4">
        <v>46235</v>
      </c>
      <c r="K30" s="5">
        <v>0</v>
      </c>
      <c r="L30" t="s">
        <v>2132</v>
      </c>
      <c r="M30" t="s">
        <v>2106</v>
      </c>
      <c r="N30" t="s">
        <v>2105</v>
      </c>
      <c r="O30" t="s">
        <v>1994</v>
      </c>
      <c r="P30" t="s">
        <v>2143</v>
      </c>
      <c r="Q30" s="78" t="str">
        <f>VLOOKUP(A30,'גיליון דאטה להכל'!A:H,5,0)</f>
        <v>LINURON</v>
      </c>
      <c r="R30" s="78" t="e">
        <f>VLOOKUP(A30,'לעדכן בסינתזה דאטה אריזה 42+24'!$A:$C,3,0)</f>
        <v>#N/A</v>
      </c>
    </row>
    <row r="31" spans="1:18" x14ac:dyDescent="0.2">
      <c r="A31">
        <v>10000010430</v>
      </c>
      <c r="B31" t="s">
        <v>1523</v>
      </c>
      <c r="C31" t="s">
        <v>2207</v>
      </c>
      <c r="D31" s="4">
        <v>46204</v>
      </c>
      <c r="E31" t="s">
        <v>2208</v>
      </c>
      <c r="F31" t="s">
        <v>2105</v>
      </c>
      <c r="G31" s="5">
        <v>1800</v>
      </c>
      <c r="H31" s="5">
        <v>1700</v>
      </c>
      <c r="I31" s="4">
        <v>46229</v>
      </c>
      <c r="J31" s="4">
        <v>46235</v>
      </c>
      <c r="K31" s="5">
        <v>0</v>
      </c>
      <c r="L31" t="s">
        <v>2132</v>
      </c>
      <c r="M31" t="s">
        <v>2106</v>
      </c>
      <c r="N31" t="s">
        <v>2105</v>
      </c>
      <c r="O31" t="s">
        <v>1998</v>
      </c>
      <c r="P31" t="s">
        <v>2133</v>
      </c>
      <c r="Q31" s="78" t="str">
        <f>VLOOKUP(A31,'גיליון דאטה להכל'!A:H,5,0)</f>
        <v>ATRALONE</v>
      </c>
      <c r="R31" s="78" t="e">
        <f>VLOOKUP(A31,'לעדכן בסינתזה דאטה אריזה 42+24'!$A:$C,3,0)</f>
        <v>#N/A</v>
      </c>
    </row>
    <row r="32" spans="1:18" x14ac:dyDescent="0.2">
      <c r="A32">
        <v>30000005393</v>
      </c>
      <c r="B32" t="s">
        <v>1552</v>
      </c>
      <c r="C32" t="s">
        <v>2209</v>
      </c>
      <c r="D32" s="4">
        <v>46204</v>
      </c>
      <c r="E32" t="s">
        <v>2210</v>
      </c>
      <c r="F32" t="s">
        <v>2105</v>
      </c>
      <c r="G32" s="5">
        <v>2100</v>
      </c>
      <c r="H32" s="5">
        <v>2100</v>
      </c>
      <c r="I32" s="4">
        <v>46234</v>
      </c>
      <c r="J32" s="4">
        <v>46235</v>
      </c>
      <c r="K32" s="5">
        <v>0</v>
      </c>
      <c r="L32" t="s">
        <v>2132</v>
      </c>
      <c r="M32" t="s">
        <v>2106</v>
      </c>
      <c r="N32" t="s">
        <v>2105</v>
      </c>
      <c r="O32" t="s">
        <v>1994</v>
      </c>
      <c r="P32" t="s">
        <v>2141</v>
      </c>
      <c r="Q32" s="78" t="str">
        <f>VLOOKUP(A32,'גיליון דאטה להכל'!A:H,5,0)</f>
        <v>BROMACIL</v>
      </c>
      <c r="R32" s="78" t="e">
        <f>VLOOKUP(A32,'לעדכן בסינתזה דאטה אריזה 42+24'!$A:$C,3,0)</f>
        <v>#N/A</v>
      </c>
    </row>
    <row r="33" spans="1:18" x14ac:dyDescent="0.2">
      <c r="A33">
        <v>10000011957</v>
      </c>
      <c r="B33" t="s">
        <v>2150</v>
      </c>
      <c r="C33" t="s">
        <v>2211</v>
      </c>
      <c r="D33" s="4">
        <v>46204</v>
      </c>
      <c r="E33" t="s">
        <v>2212</v>
      </c>
      <c r="F33" t="s">
        <v>2105</v>
      </c>
      <c r="G33" s="5">
        <v>8000</v>
      </c>
      <c r="H33" s="5">
        <v>8000</v>
      </c>
      <c r="I33" s="4">
        <v>46230</v>
      </c>
      <c r="J33" s="4">
        <v>46235</v>
      </c>
      <c r="K33" s="5">
        <v>8000</v>
      </c>
      <c r="L33" t="s">
        <v>2132</v>
      </c>
      <c r="M33" t="s">
        <v>2104</v>
      </c>
      <c r="N33" t="s">
        <v>2105</v>
      </c>
      <c r="O33" t="s">
        <v>1995</v>
      </c>
      <c r="P33" t="s">
        <v>2134</v>
      </c>
      <c r="Q33" s="78">
        <f>VLOOKUP(A33,'גיליון דאטה להכל'!A:H,5,0)</f>
        <v>23</v>
      </c>
      <c r="R33" s="78" t="e">
        <f>VLOOKUP(A33,'לעדכן בסינתזה דאטה אריזה 42+24'!$A:$C,3,0)</f>
        <v>#N/A</v>
      </c>
    </row>
    <row r="34" spans="1:18" x14ac:dyDescent="0.2">
      <c r="A34">
        <v>10000011957</v>
      </c>
      <c r="B34" t="s">
        <v>2150</v>
      </c>
      <c r="C34" t="s">
        <v>2213</v>
      </c>
      <c r="D34" s="4">
        <v>46204</v>
      </c>
      <c r="E34" t="s">
        <v>2214</v>
      </c>
      <c r="F34" t="s">
        <v>2105</v>
      </c>
      <c r="G34" s="5">
        <v>8000</v>
      </c>
      <c r="H34" s="5">
        <v>8000</v>
      </c>
      <c r="I34" s="4">
        <v>46230</v>
      </c>
      <c r="J34" s="4">
        <v>46235</v>
      </c>
      <c r="K34" s="5">
        <v>8000</v>
      </c>
      <c r="L34" t="s">
        <v>2132</v>
      </c>
      <c r="M34" t="s">
        <v>2104</v>
      </c>
      <c r="N34" t="s">
        <v>2105</v>
      </c>
      <c r="O34" t="s">
        <v>1995</v>
      </c>
      <c r="P34" t="s">
        <v>2134</v>
      </c>
      <c r="Q34" s="78">
        <f>VLOOKUP(A34,'גיליון דאטה להכל'!A:H,5,0)</f>
        <v>23</v>
      </c>
      <c r="R34" s="78" t="e">
        <f>VLOOKUP(A34,'לעדכן בסינתזה דאטה אריזה 42+24'!$A:$C,3,0)</f>
        <v>#N/A</v>
      </c>
    </row>
    <row r="35" spans="1:18" x14ac:dyDescent="0.2">
      <c r="D35" s="4"/>
      <c r="G35" s="5"/>
      <c r="H35" s="5"/>
      <c r="I35" s="4"/>
      <c r="J35" s="4"/>
      <c r="K35" s="5"/>
      <c r="Q35" s="78" t="e">
        <f>VLOOKUP(A35,'גיליון דאטה להכל'!A:H,5,0)</f>
        <v>#N/A</v>
      </c>
      <c r="R35" s="78" t="e">
        <f>VLOOKUP(A35,'לעדכן בסינתזה דאטה אריזה 42+24'!$A:$C,3,0)</f>
        <v>#N/A</v>
      </c>
    </row>
    <row r="36" spans="1:18" x14ac:dyDescent="0.2">
      <c r="D36" s="4"/>
      <c r="G36" s="5"/>
      <c r="H36" s="5"/>
      <c r="I36" s="4"/>
      <c r="J36" s="4"/>
      <c r="K36" s="5"/>
      <c r="Q36" s="78" t="e">
        <f>VLOOKUP(A36,'גיליון דאטה להכל'!A:H,5,0)</f>
        <v>#N/A</v>
      </c>
      <c r="R36" s="78" t="e">
        <f>VLOOKUP(A36,'לעדכן בסינתזה דאטה אריזה 42+24'!$A:$C,3,0)</f>
        <v>#N/A</v>
      </c>
    </row>
    <row r="37" spans="1:18" x14ac:dyDescent="0.2">
      <c r="D37" s="4"/>
      <c r="G37" s="5"/>
      <c r="H37" s="5"/>
      <c r="I37" s="4"/>
      <c r="J37" s="4"/>
      <c r="K37" s="5"/>
      <c r="Q37" s="78" t="e">
        <f>VLOOKUP(A37,'גיליון דאטה להכל'!A:H,5,0)</f>
        <v>#N/A</v>
      </c>
      <c r="R37" s="78" t="e">
        <f>VLOOKUP(A37,'לעדכן בסינתזה דאטה אריזה 42+24'!$A:$C,3,0)</f>
        <v>#N/A</v>
      </c>
    </row>
    <row r="38" spans="1:18" x14ac:dyDescent="0.2">
      <c r="D38" s="4"/>
      <c r="G38" s="5"/>
      <c r="H38" s="5"/>
      <c r="I38" s="4"/>
      <c r="J38" s="4"/>
      <c r="K38" s="5"/>
      <c r="Q38" s="78" t="e">
        <f>VLOOKUP(A38,'גיליון דאטה להכל'!A:H,5,0)</f>
        <v>#N/A</v>
      </c>
      <c r="R38" s="78" t="e">
        <f>VLOOKUP(A38,'לעדכן בסינתזה דאטה אריזה 42+24'!$A:$C,3,0)</f>
        <v>#N/A</v>
      </c>
    </row>
    <row r="39" spans="1:18" x14ac:dyDescent="0.2">
      <c r="D39" s="4"/>
      <c r="G39" s="5"/>
      <c r="H39" s="5"/>
      <c r="I39" s="4"/>
      <c r="J39" s="4"/>
      <c r="K39" s="5"/>
      <c r="Q39" s="78" t="e">
        <f>VLOOKUP(A39,'גיליון דאטה להכל'!A:H,5,0)</f>
        <v>#N/A</v>
      </c>
      <c r="R39" s="78" t="e">
        <f>VLOOKUP(A39,'לעדכן בסינתזה דאטה אריזה 42+24'!$A:$C,3,0)</f>
        <v>#N/A</v>
      </c>
    </row>
    <row r="40" spans="1:18" x14ac:dyDescent="0.2">
      <c r="D40" s="4"/>
      <c r="G40" s="5"/>
      <c r="H40" s="5"/>
      <c r="I40" s="4"/>
      <c r="J40" s="4"/>
      <c r="K40" s="5"/>
      <c r="Q40" s="78" t="e">
        <f>VLOOKUP(A40,'גיליון דאטה להכל'!A:H,5,0)</f>
        <v>#N/A</v>
      </c>
      <c r="R40" s="78" t="e">
        <f>VLOOKUP(A40,'לעדכן בסינתזה דאטה אריזה 42+24'!$A:$C,3,0)</f>
        <v>#N/A</v>
      </c>
    </row>
    <row r="41" spans="1:18" x14ac:dyDescent="0.2">
      <c r="D41" s="4"/>
      <c r="G41" s="5"/>
      <c r="H41" s="5"/>
      <c r="I41" s="4"/>
      <c r="J41" s="4"/>
      <c r="K41" s="5"/>
      <c r="Q41" s="78" t="e">
        <f>VLOOKUP(A41,'גיליון דאטה להכל'!A:H,5,0)</f>
        <v>#N/A</v>
      </c>
      <c r="R41" s="78" t="e">
        <f>VLOOKUP(A41,'לעדכן בסינתזה דאטה אריזה 42+24'!$A:$C,3,0)</f>
        <v>#N/A</v>
      </c>
    </row>
    <row r="42" spans="1:18" x14ac:dyDescent="0.2">
      <c r="D42" s="4"/>
      <c r="G42" s="5"/>
      <c r="H42" s="5"/>
      <c r="I42" s="4"/>
      <c r="J42" s="4"/>
      <c r="K42" s="5"/>
      <c r="Q42" s="78" t="e">
        <f>VLOOKUP(A42,'גיליון דאטה להכל'!A:H,5,0)</f>
        <v>#N/A</v>
      </c>
      <c r="R42" s="78" t="e">
        <f>VLOOKUP(A42,'לעדכן בסינתזה דאטה אריזה 42+24'!$A:$C,3,0)</f>
        <v>#N/A</v>
      </c>
    </row>
    <row r="43" spans="1:18" x14ac:dyDescent="0.2">
      <c r="D43" s="4"/>
      <c r="G43" s="5"/>
      <c r="H43" s="5"/>
      <c r="I43" s="4"/>
      <c r="J43" s="4"/>
      <c r="K43" s="5"/>
      <c r="Q43" s="78" t="e">
        <f>VLOOKUP(A43,'גיליון דאטה להכל'!A:H,5,0)</f>
        <v>#N/A</v>
      </c>
      <c r="R43" s="78" t="e">
        <f>VLOOKUP(A43,'לעדכן בסינתזה דאטה אריזה 42+24'!$A:$C,3,0)</f>
        <v>#N/A</v>
      </c>
    </row>
    <row r="44" spans="1:18" x14ac:dyDescent="0.2">
      <c r="D44" s="4"/>
      <c r="G44" s="5"/>
      <c r="H44" s="5"/>
      <c r="I44" s="4"/>
      <c r="J44" s="4"/>
      <c r="K44" s="5"/>
      <c r="Q44" s="78" t="e">
        <f>VLOOKUP(A44,'גיליון דאטה להכל'!A:H,5,0)</f>
        <v>#N/A</v>
      </c>
      <c r="R44" s="78" t="e">
        <f>VLOOKUP(A44,'לעדכן בסינתזה דאטה אריזה 42+24'!$A:$C,3,0)</f>
        <v>#N/A</v>
      </c>
    </row>
    <row r="45" spans="1:18" x14ac:dyDescent="0.2">
      <c r="D45" s="4"/>
      <c r="G45" s="5"/>
      <c r="H45" s="5"/>
      <c r="I45" s="4"/>
      <c r="J45" s="4"/>
      <c r="K45" s="5"/>
      <c r="Q45" s="78" t="e">
        <f>VLOOKUP(A45,'גיליון דאטה להכל'!A:H,5,0)</f>
        <v>#N/A</v>
      </c>
      <c r="R45" s="78" t="e">
        <f>VLOOKUP(A45,'לעדכן בסינתזה דאטה אריזה 42+24'!$A:$C,3,0)</f>
        <v>#N/A</v>
      </c>
    </row>
    <row r="46" spans="1:18" x14ac:dyDescent="0.2">
      <c r="D46" s="4"/>
      <c r="G46" s="5"/>
      <c r="H46" s="5"/>
      <c r="I46" s="4"/>
      <c r="J46" s="4"/>
      <c r="K46" s="5"/>
      <c r="Q46" s="78" t="e">
        <f>VLOOKUP(A46,'גיליון דאטה להכל'!A:H,5,0)</f>
        <v>#N/A</v>
      </c>
      <c r="R46" s="78" t="e">
        <f>VLOOKUP(A46,'לעדכן בסינתזה דאטה אריזה 42+24'!$A:$C,3,0)</f>
        <v>#N/A</v>
      </c>
    </row>
    <row r="47" spans="1:18" x14ac:dyDescent="0.2">
      <c r="D47" s="4"/>
      <c r="G47" s="5"/>
      <c r="H47" s="5"/>
      <c r="I47" s="4"/>
      <c r="J47" s="4"/>
      <c r="K47" s="5"/>
      <c r="Q47" s="78" t="e">
        <f>VLOOKUP(A47,'גיליון דאטה להכל'!A:H,5,0)</f>
        <v>#N/A</v>
      </c>
      <c r="R47" s="78" t="e">
        <f>VLOOKUP(A47,'לעדכן בסינתזה דאטה אריזה 42+24'!$A:$C,3,0)</f>
        <v>#N/A</v>
      </c>
    </row>
    <row r="48" spans="1:18" x14ac:dyDescent="0.2">
      <c r="D48" s="4"/>
      <c r="G48" s="5"/>
      <c r="H48" s="5"/>
      <c r="I48" s="4"/>
      <c r="J48" s="4"/>
      <c r="K48" s="5"/>
      <c r="Q48" s="78" t="e">
        <f>VLOOKUP(A48,'גיליון דאטה להכל'!A:H,5,0)</f>
        <v>#N/A</v>
      </c>
      <c r="R48" s="78" t="e">
        <f>VLOOKUP(A48,'לעדכן בסינתזה דאטה אריזה 42+24'!$A:$C,3,0)</f>
        <v>#N/A</v>
      </c>
    </row>
    <row r="49" spans="4:18" x14ac:dyDescent="0.2">
      <c r="D49" s="4"/>
      <c r="G49" s="5"/>
      <c r="H49" s="5"/>
      <c r="I49" s="4"/>
      <c r="J49" s="4"/>
      <c r="K49" s="5"/>
      <c r="Q49" s="78" t="e">
        <f>VLOOKUP(A49,'גיליון דאטה להכל'!A:H,5,0)</f>
        <v>#N/A</v>
      </c>
      <c r="R49" s="78" t="e">
        <f>VLOOKUP(A49,'לעדכן בסינתזה דאטה אריזה 42+24'!$A:$C,3,0)</f>
        <v>#N/A</v>
      </c>
    </row>
    <row r="50" spans="4:18" x14ac:dyDescent="0.2">
      <c r="D50" s="4"/>
      <c r="G50" s="5"/>
      <c r="H50" s="5"/>
      <c r="I50" s="4"/>
      <c r="J50" s="4"/>
      <c r="K50" s="5"/>
      <c r="Q50" s="78" t="e">
        <f>VLOOKUP(A50,'גיליון דאטה להכל'!A:H,5,0)</f>
        <v>#N/A</v>
      </c>
      <c r="R50" s="78" t="e">
        <f>VLOOKUP(A50,'לעדכן בסינתזה דאטה אריזה 42+24'!$A:$C,3,0)</f>
        <v>#N/A</v>
      </c>
    </row>
    <row r="51" spans="4:18" x14ac:dyDescent="0.2">
      <c r="D51" s="4"/>
      <c r="G51" s="5"/>
      <c r="H51" s="5"/>
      <c r="I51" s="4"/>
      <c r="J51" s="4"/>
      <c r="K51" s="5"/>
      <c r="Q51" s="78" t="e">
        <f>VLOOKUP(A51,'גיליון דאטה להכל'!A:H,5,0)</f>
        <v>#N/A</v>
      </c>
      <c r="R51" s="78" t="e">
        <f>VLOOKUP(A51,'לעדכן בסינתזה דאטה אריזה 42+24'!$A:$C,3,0)</f>
        <v>#N/A</v>
      </c>
    </row>
    <row r="52" spans="4:18" x14ac:dyDescent="0.2">
      <c r="D52" s="4"/>
      <c r="G52" s="5"/>
      <c r="H52" s="5"/>
      <c r="I52" s="4"/>
      <c r="J52" s="4"/>
      <c r="K52" s="5"/>
      <c r="Q52" s="78" t="e">
        <f>VLOOKUP(A52,'גיליון דאטה להכל'!A:H,5,0)</f>
        <v>#N/A</v>
      </c>
      <c r="R52" s="78" t="e">
        <f>VLOOKUP(A52,'לעדכן בסינתזה דאטה אריזה 42+24'!$A:$C,3,0)</f>
        <v>#N/A</v>
      </c>
    </row>
    <row r="53" spans="4:18" x14ac:dyDescent="0.2">
      <c r="D53" s="4"/>
      <c r="G53" s="5"/>
      <c r="H53" s="5"/>
      <c r="I53" s="4"/>
      <c r="J53" s="4"/>
      <c r="K53" s="5"/>
      <c r="Q53" s="78" t="e">
        <f>VLOOKUP(A53,'גיליון דאטה להכל'!A:H,5,0)</f>
        <v>#N/A</v>
      </c>
      <c r="R53" s="78" t="e">
        <f>VLOOKUP(A53,'לעדכן בסינתזה דאטה אריזה 42+24'!$A:$C,3,0)</f>
        <v>#N/A</v>
      </c>
    </row>
    <row r="54" spans="4:18" x14ac:dyDescent="0.2">
      <c r="D54" s="4"/>
      <c r="G54" s="5"/>
      <c r="H54" s="5"/>
      <c r="I54" s="4"/>
      <c r="J54" s="4"/>
      <c r="K54" s="5"/>
      <c r="Q54" s="78" t="e">
        <f>VLOOKUP(A54,'גיליון דאטה להכל'!A:H,5,0)</f>
        <v>#N/A</v>
      </c>
      <c r="R54" s="78" t="e">
        <f>VLOOKUP(A54,'לעדכן בסינתזה דאטה אריזה 42+24'!$A:$C,3,0)</f>
        <v>#N/A</v>
      </c>
    </row>
    <row r="55" spans="4:18" x14ac:dyDescent="0.2">
      <c r="D55" s="4"/>
      <c r="G55" s="5"/>
      <c r="H55" s="5"/>
      <c r="I55" s="4"/>
      <c r="J55" s="4"/>
      <c r="K55" s="5"/>
      <c r="Q55" s="78" t="e">
        <f>VLOOKUP(A55,'גיליון דאטה להכל'!A:H,5,0)</f>
        <v>#N/A</v>
      </c>
      <c r="R55" s="78" t="e">
        <f>VLOOKUP(A55,'לעדכן בסינתזה דאטה אריזה 42+24'!$A:$C,3,0)</f>
        <v>#N/A</v>
      </c>
    </row>
    <row r="56" spans="4:18" x14ac:dyDescent="0.2">
      <c r="D56" s="4"/>
      <c r="G56" s="5"/>
      <c r="H56" s="5"/>
      <c r="I56" s="4"/>
      <c r="J56" s="4"/>
      <c r="K56" s="5"/>
      <c r="Q56" s="78" t="e">
        <f>VLOOKUP(A56,'גיליון דאטה להכל'!A:H,5,0)</f>
        <v>#N/A</v>
      </c>
      <c r="R56" s="78" t="e">
        <f>VLOOKUP(A56,'לעדכן בסינתזה דאטה אריזה 42+24'!$A:$C,3,0)</f>
        <v>#N/A</v>
      </c>
    </row>
    <row r="57" spans="4:18" x14ac:dyDescent="0.2">
      <c r="D57" s="4"/>
      <c r="G57" s="5"/>
      <c r="H57" s="5"/>
      <c r="I57" s="4"/>
      <c r="J57" s="4"/>
      <c r="K57" s="5"/>
      <c r="Q57" s="78" t="e">
        <f>VLOOKUP(A57,'גיליון דאטה להכל'!A:H,5,0)</f>
        <v>#N/A</v>
      </c>
      <c r="R57" s="78" t="e">
        <f>VLOOKUP(A57,'לעדכן בסינתזה דאטה אריזה 42+24'!$A:$C,3,0)</f>
        <v>#N/A</v>
      </c>
    </row>
    <row r="58" spans="4:18" x14ac:dyDescent="0.2">
      <c r="D58" s="4"/>
      <c r="G58" s="5"/>
      <c r="H58" s="5"/>
      <c r="I58" s="4"/>
      <c r="J58" s="4"/>
      <c r="K58" s="5"/>
      <c r="Q58" s="78" t="e">
        <f>VLOOKUP(A58,'גיליון דאטה להכל'!A:H,5,0)</f>
        <v>#N/A</v>
      </c>
      <c r="R58" s="78" t="e">
        <f>VLOOKUP(A58,'לעדכן בסינתזה דאטה אריזה 42+24'!$A:$C,3,0)</f>
        <v>#N/A</v>
      </c>
    </row>
    <row r="59" spans="4:18" x14ac:dyDescent="0.2">
      <c r="D59" s="4"/>
      <c r="G59" s="5"/>
      <c r="H59" s="5"/>
      <c r="I59" s="4"/>
      <c r="J59" s="4"/>
      <c r="K59" s="5"/>
      <c r="Q59" s="78" t="e">
        <f>VLOOKUP(A59,'גיליון דאטה להכל'!A:H,5,0)</f>
        <v>#N/A</v>
      </c>
      <c r="R59" s="78" t="e">
        <f>VLOOKUP(A59,'לעדכן בסינתזה דאטה אריזה 42+24'!$A:$C,3,0)</f>
        <v>#N/A</v>
      </c>
    </row>
    <row r="60" spans="4:18" x14ac:dyDescent="0.2">
      <c r="D60" s="4"/>
      <c r="G60" s="5"/>
      <c r="H60" s="5"/>
      <c r="I60" s="4"/>
      <c r="J60" s="4"/>
      <c r="K60" s="5"/>
      <c r="Q60" s="78" t="e">
        <f>VLOOKUP(A60,'גיליון דאטה להכל'!A:H,5,0)</f>
        <v>#N/A</v>
      </c>
      <c r="R60" s="78" t="e">
        <f>VLOOKUP(A60,'לעדכן בסינתזה דאטה אריזה 42+24'!$A:$C,3,0)</f>
        <v>#N/A</v>
      </c>
    </row>
    <row r="61" spans="4:18" x14ac:dyDescent="0.2">
      <c r="D61" s="4"/>
      <c r="G61" s="5"/>
      <c r="H61" s="5"/>
      <c r="I61" s="4"/>
      <c r="J61" s="4"/>
      <c r="K61" s="5"/>
      <c r="Q61" s="78" t="e">
        <f>VLOOKUP(A61,'גיליון דאטה להכל'!A:H,5,0)</f>
        <v>#N/A</v>
      </c>
      <c r="R61" s="78" t="e">
        <f>VLOOKUP(A61,'לעדכן בסינתזה דאטה אריזה 42+24'!$A:$C,3,0)</f>
        <v>#N/A</v>
      </c>
    </row>
    <row r="62" spans="4:18" x14ac:dyDescent="0.2">
      <c r="D62" s="4"/>
      <c r="G62" s="5"/>
      <c r="H62" s="5"/>
      <c r="I62" s="4"/>
      <c r="J62" s="4"/>
      <c r="K62" s="5"/>
      <c r="Q62" s="78" t="e">
        <f>VLOOKUP(A62,'גיליון דאטה להכל'!A:H,5,0)</f>
        <v>#N/A</v>
      </c>
      <c r="R62" s="78" t="e">
        <f>VLOOKUP(A62,'לעדכן בסינתזה דאטה אריזה 42+24'!$A:$C,3,0)</f>
        <v>#N/A</v>
      </c>
    </row>
    <row r="63" spans="4:18" x14ac:dyDescent="0.2">
      <c r="D63" s="4"/>
      <c r="G63" s="5"/>
      <c r="H63" s="5"/>
      <c r="I63" s="4"/>
      <c r="J63" s="4"/>
      <c r="K63" s="5"/>
      <c r="Q63" s="78" t="e">
        <f>VLOOKUP(A63,'גיליון דאטה להכל'!A:H,5,0)</f>
        <v>#N/A</v>
      </c>
      <c r="R63" s="78" t="e">
        <f>VLOOKUP(A63,'לעדכן בסינתזה דאטה אריזה 42+24'!$A:$C,3,0)</f>
        <v>#N/A</v>
      </c>
    </row>
    <row r="64" spans="4:18" x14ac:dyDescent="0.2">
      <c r="D64" s="4"/>
      <c r="G64" s="5"/>
      <c r="H64" s="5"/>
      <c r="I64" s="4"/>
      <c r="J64" s="4"/>
      <c r="K64" s="5"/>
      <c r="Q64" s="78" t="e">
        <f>VLOOKUP(A64,'גיליון דאטה להכל'!A:H,5,0)</f>
        <v>#N/A</v>
      </c>
      <c r="R64" s="78" t="e">
        <f>VLOOKUP(A64,'לעדכן בסינתזה דאטה אריזה 42+24'!$A:$C,3,0)</f>
        <v>#N/A</v>
      </c>
    </row>
    <row r="65" spans="4:18" x14ac:dyDescent="0.2">
      <c r="D65" s="4"/>
      <c r="G65" s="5"/>
      <c r="H65" s="5"/>
      <c r="I65" s="4"/>
      <c r="J65" s="4"/>
      <c r="K65" s="5"/>
      <c r="Q65" s="78" t="e">
        <f>VLOOKUP(A65,'גיליון דאטה להכל'!A:H,5,0)</f>
        <v>#N/A</v>
      </c>
      <c r="R65" s="78" t="e">
        <f>VLOOKUP(A65,'לעדכן בסינתזה דאטה אריזה 42+24'!$A:$C,3,0)</f>
        <v>#N/A</v>
      </c>
    </row>
    <row r="66" spans="4:18" x14ac:dyDescent="0.2">
      <c r="D66" s="4"/>
      <c r="G66" s="5"/>
      <c r="H66" s="5"/>
      <c r="I66" s="4"/>
      <c r="J66" s="4"/>
      <c r="K66" s="5"/>
      <c r="Q66" s="78" t="e">
        <f>VLOOKUP(A66,'גיליון דאטה להכל'!A:H,5,0)</f>
        <v>#N/A</v>
      </c>
      <c r="R66" s="78" t="e">
        <f>VLOOKUP(A66,'לעדכן בסינתזה דאטה אריזה 42+24'!$A:$C,3,0)</f>
        <v>#N/A</v>
      </c>
    </row>
    <row r="67" spans="4:18" x14ac:dyDescent="0.2">
      <c r="D67" s="4"/>
      <c r="G67" s="5"/>
      <c r="H67" s="5"/>
      <c r="I67" s="4"/>
      <c r="J67" s="4"/>
      <c r="K67" s="5"/>
      <c r="Q67" s="78" t="e">
        <f>VLOOKUP(A67,'גיליון דאטה להכל'!A:H,5,0)</f>
        <v>#N/A</v>
      </c>
      <c r="R67" s="78" t="e">
        <f>VLOOKUP(A67,'לעדכן בסינתזה דאטה אריזה 42+24'!$A:$C,3,0)</f>
        <v>#N/A</v>
      </c>
    </row>
    <row r="68" spans="4:18" x14ac:dyDescent="0.2">
      <c r="D68" s="4"/>
      <c r="G68" s="5"/>
      <c r="H68" s="5"/>
      <c r="I68" s="4"/>
      <c r="J68" s="4"/>
      <c r="K68" s="5"/>
      <c r="Q68" s="78" t="e">
        <f>VLOOKUP(A68,'גיליון דאטה להכל'!A:H,5,0)</f>
        <v>#N/A</v>
      </c>
      <c r="R68" s="78" t="e">
        <f>VLOOKUP(A68,'לעדכן בסינתזה דאטה אריזה 42+24'!$A:$C,3,0)</f>
        <v>#N/A</v>
      </c>
    </row>
    <row r="69" spans="4:18" x14ac:dyDescent="0.2">
      <c r="D69" s="4"/>
      <c r="G69" s="5"/>
      <c r="H69" s="5"/>
      <c r="I69" s="4"/>
      <c r="J69" s="4"/>
      <c r="K69" s="5"/>
      <c r="Q69" s="78" t="e">
        <f>VLOOKUP(A69,'גיליון דאטה להכל'!A:H,5,0)</f>
        <v>#N/A</v>
      </c>
      <c r="R69" s="78" t="e">
        <f>VLOOKUP(A69,'לעדכן בסינתזה דאטה אריזה 42+24'!$A:$C,3,0)</f>
        <v>#N/A</v>
      </c>
    </row>
    <row r="70" spans="4:18" x14ac:dyDescent="0.2">
      <c r="D70" s="4"/>
      <c r="G70" s="5"/>
      <c r="H70" s="5"/>
      <c r="I70" s="4"/>
      <c r="J70" s="4"/>
      <c r="K70" s="5"/>
      <c r="Q70" s="78" t="e">
        <f>VLOOKUP(A70,'גיליון דאטה להכל'!A:H,5,0)</f>
        <v>#N/A</v>
      </c>
      <c r="R70" s="78" t="e">
        <f>VLOOKUP(A70,'לעדכן בסינתזה דאטה אריזה 42+24'!$A:$C,3,0)</f>
        <v>#N/A</v>
      </c>
    </row>
    <row r="71" spans="4:18" x14ac:dyDescent="0.2">
      <c r="D71" s="4"/>
      <c r="G71" s="5"/>
      <c r="H71" s="5"/>
      <c r="I71" s="4"/>
      <c r="J71" s="4"/>
      <c r="K71" s="5"/>
      <c r="Q71" s="78" t="e">
        <f>VLOOKUP(A71,'גיליון דאטה להכל'!A:H,5,0)</f>
        <v>#N/A</v>
      </c>
      <c r="R71" s="78" t="e">
        <f>VLOOKUP(A71,'לעדכן בסינתזה דאטה אריזה 42+24'!$A:$C,3,0)</f>
        <v>#N/A</v>
      </c>
    </row>
    <row r="72" spans="4:18" x14ac:dyDescent="0.2">
      <c r="D72" s="4"/>
      <c r="G72" s="5"/>
      <c r="H72" s="5"/>
      <c r="I72" s="4"/>
      <c r="J72" s="4"/>
      <c r="K72" s="5"/>
      <c r="Q72" s="78" t="e">
        <f>VLOOKUP(A72,'גיליון דאטה להכל'!A:H,5,0)</f>
        <v>#N/A</v>
      </c>
      <c r="R72" s="78" t="e">
        <f>VLOOKUP(A72,'לעדכן בסינתזה דאטה אריזה 42+24'!$A:$C,3,0)</f>
        <v>#N/A</v>
      </c>
    </row>
    <row r="73" spans="4:18" x14ac:dyDescent="0.2">
      <c r="D73" s="4"/>
      <c r="G73" s="5"/>
      <c r="H73" s="5"/>
      <c r="I73" s="4"/>
      <c r="J73" s="4"/>
      <c r="K73" s="5"/>
      <c r="Q73" s="78" t="e">
        <f>VLOOKUP(A73,'גיליון דאטה להכל'!A:H,5,0)</f>
        <v>#N/A</v>
      </c>
      <c r="R73" s="78" t="e">
        <f>VLOOKUP(A73,'לעדכן בסינתזה דאטה אריזה 42+24'!$A:$C,3,0)</f>
        <v>#N/A</v>
      </c>
    </row>
    <row r="74" spans="4:18" x14ac:dyDescent="0.2">
      <c r="D74" s="4"/>
      <c r="G74" s="5"/>
      <c r="H74" s="5"/>
      <c r="I74" s="4"/>
      <c r="J74" s="4"/>
      <c r="K74" s="5"/>
      <c r="Q74" s="78" t="e">
        <f>VLOOKUP(A74,'גיליון דאטה להכל'!A:H,5,0)</f>
        <v>#N/A</v>
      </c>
      <c r="R74" s="78" t="e">
        <f>VLOOKUP(A74,'לעדכן בסינתזה דאטה אריזה 42+24'!$A:$C,3,0)</f>
        <v>#N/A</v>
      </c>
    </row>
    <row r="75" spans="4:18" x14ac:dyDescent="0.2">
      <c r="D75" s="4"/>
      <c r="G75" s="5"/>
      <c r="H75" s="5"/>
      <c r="I75" s="4"/>
      <c r="J75" s="4"/>
      <c r="K75" s="5"/>
      <c r="Q75" s="78" t="e">
        <f>VLOOKUP(A75,'גיליון דאטה להכל'!A:H,5,0)</f>
        <v>#N/A</v>
      </c>
      <c r="R75" s="78" t="e">
        <f>VLOOKUP(A75,'לעדכן בסינתזה דאטה אריזה 42+24'!$A:$C,3,0)</f>
        <v>#N/A</v>
      </c>
    </row>
    <row r="76" spans="4:18" x14ac:dyDescent="0.2">
      <c r="D76" s="4"/>
      <c r="G76" s="5"/>
      <c r="H76" s="5"/>
      <c r="I76" s="4"/>
      <c r="J76" s="4"/>
      <c r="K76" s="5"/>
      <c r="Q76" s="78" t="e">
        <f>VLOOKUP(A76,'גיליון דאטה להכל'!A:H,5,0)</f>
        <v>#N/A</v>
      </c>
      <c r="R76" s="78" t="e">
        <f>VLOOKUP(A76,'לעדכן בסינתזה דאטה אריזה 42+24'!$A:$C,3,0)</f>
        <v>#N/A</v>
      </c>
    </row>
    <row r="77" spans="4:18" x14ac:dyDescent="0.2">
      <c r="D77" s="4"/>
      <c r="G77" s="5"/>
      <c r="H77" s="5"/>
      <c r="I77" s="4"/>
      <c r="J77" s="4"/>
      <c r="K77" s="5"/>
      <c r="Q77" s="78" t="e">
        <f>VLOOKUP(A77,'גיליון דאטה להכל'!A:H,5,0)</f>
        <v>#N/A</v>
      </c>
      <c r="R77" s="78" t="e">
        <f>VLOOKUP(A77,'לעדכן בסינתזה דאטה אריזה 42+24'!$A:$C,3,0)</f>
        <v>#N/A</v>
      </c>
    </row>
    <row r="78" spans="4:18" x14ac:dyDescent="0.2">
      <c r="D78" s="4"/>
      <c r="G78" s="5"/>
      <c r="H78" s="5"/>
      <c r="I78" s="4"/>
      <c r="J78" s="4"/>
      <c r="K78" s="5"/>
      <c r="Q78" s="78" t="e">
        <f>VLOOKUP(A78,'גיליון דאטה להכל'!A:H,5,0)</f>
        <v>#N/A</v>
      </c>
      <c r="R78" s="78" t="e">
        <f>VLOOKUP(A78,'לעדכן בסינתזה דאטה אריזה 42+24'!$A:$C,3,0)</f>
        <v>#N/A</v>
      </c>
    </row>
    <row r="79" spans="4:18" x14ac:dyDescent="0.2">
      <c r="D79" s="4"/>
      <c r="G79" s="5"/>
      <c r="H79" s="5"/>
      <c r="I79" s="4"/>
      <c r="J79" s="4"/>
      <c r="K79" s="5"/>
      <c r="Q79" s="78" t="e">
        <f>VLOOKUP(A79,'גיליון דאטה להכל'!A:H,5,0)</f>
        <v>#N/A</v>
      </c>
      <c r="R79" s="78" t="e">
        <f>VLOOKUP(A79,'לעדכן בסינתזה דאטה אריזה 42+24'!$A:$C,3,0)</f>
        <v>#N/A</v>
      </c>
    </row>
    <row r="80" spans="4:18" x14ac:dyDescent="0.2">
      <c r="D80" s="4"/>
      <c r="G80" s="5"/>
      <c r="H80" s="5"/>
      <c r="I80" s="4"/>
      <c r="J80" s="4"/>
      <c r="K80" s="5"/>
      <c r="Q80" s="78" t="e">
        <f>VLOOKUP(A80,'גיליון דאטה להכל'!A:H,5,0)</f>
        <v>#N/A</v>
      </c>
      <c r="R80" s="78" t="e">
        <f>VLOOKUP(A80,'לעדכן בסינתזה דאטה אריזה 42+24'!$A:$C,3,0)</f>
        <v>#N/A</v>
      </c>
    </row>
    <row r="81" spans="4:18" x14ac:dyDescent="0.2">
      <c r="D81" s="4"/>
      <c r="G81" s="5"/>
      <c r="H81" s="5"/>
      <c r="I81" s="4"/>
      <c r="J81" s="4"/>
      <c r="K81" s="5"/>
      <c r="Q81" s="78" t="e">
        <f>VLOOKUP(A81,'גיליון דאטה להכל'!A:H,5,0)</f>
        <v>#N/A</v>
      </c>
      <c r="R81" s="78" t="e">
        <f>VLOOKUP(A81,'לעדכן בסינתזה דאטה אריזה 42+24'!$A:$C,3,0)</f>
        <v>#N/A</v>
      </c>
    </row>
    <row r="82" spans="4:18" x14ac:dyDescent="0.2">
      <c r="D82" s="4"/>
      <c r="G82" s="5"/>
      <c r="H82" s="5"/>
      <c r="I82" s="4"/>
      <c r="J82" s="4"/>
      <c r="K82" s="5"/>
      <c r="Q82" s="78" t="e">
        <f>VLOOKUP(A82,'גיליון דאטה להכל'!A:H,5,0)</f>
        <v>#N/A</v>
      </c>
      <c r="R82" s="78" t="e">
        <f>VLOOKUP(A82,'לעדכן בסינתזה דאטה אריזה 42+24'!$A:$C,3,0)</f>
        <v>#N/A</v>
      </c>
    </row>
    <row r="83" spans="4:18" x14ac:dyDescent="0.2">
      <c r="D83" s="4"/>
      <c r="G83" s="5"/>
      <c r="H83" s="5"/>
      <c r="I83" s="4"/>
      <c r="J83" s="4"/>
      <c r="K83" s="5"/>
      <c r="Q83" s="78" t="e">
        <f>VLOOKUP(A83,'גיליון דאטה להכל'!A:H,5,0)</f>
        <v>#N/A</v>
      </c>
      <c r="R83" s="78" t="e">
        <f>VLOOKUP(A83,'לעדכן בסינתזה דאטה אריזה 42+24'!$A:$C,3,0)</f>
        <v>#N/A</v>
      </c>
    </row>
    <row r="84" spans="4:18" x14ac:dyDescent="0.2">
      <c r="D84" s="4"/>
      <c r="G84" s="5"/>
      <c r="H84" s="5"/>
      <c r="I84" s="4"/>
      <c r="J84" s="4"/>
      <c r="K84" s="5"/>
      <c r="Q84" s="78" t="e">
        <f>VLOOKUP(A84,'גיליון דאטה להכל'!A:H,5,0)</f>
        <v>#N/A</v>
      </c>
      <c r="R84" s="78" t="e">
        <f>VLOOKUP(A84,'לעדכן בסינתזה דאטה אריזה 42+24'!$A:$C,3,0)</f>
        <v>#N/A</v>
      </c>
    </row>
    <row r="85" spans="4:18" x14ac:dyDescent="0.2">
      <c r="D85" s="4"/>
      <c r="G85" s="5"/>
      <c r="H85" s="5"/>
      <c r="I85" s="4"/>
      <c r="J85" s="4"/>
      <c r="K85" s="5"/>
      <c r="Q85" s="78" t="e">
        <f>VLOOKUP(A85,'גיליון דאטה להכל'!A:H,5,0)</f>
        <v>#N/A</v>
      </c>
      <c r="R85" s="78" t="e">
        <f>VLOOKUP(A85,'לעדכן בסינתזה דאטה אריזה 42+24'!$A:$C,3,0)</f>
        <v>#N/A</v>
      </c>
    </row>
    <row r="86" spans="4:18" x14ac:dyDescent="0.2">
      <c r="D86" s="4"/>
      <c r="G86" s="5"/>
      <c r="H86" s="5"/>
      <c r="I86" s="4"/>
      <c r="J86" s="4"/>
      <c r="K86" s="5"/>
      <c r="Q86" s="78" t="e">
        <f>VLOOKUP(A86,'גיליון דאטה להכל'!A:H,5,0)</f>
        <v>#N/A</v>
      </c>
      <c r="R86" s="78" t="e">
        <f>VLOOKUP(A86,'לעדכן בסינתזה דאטה אריזה 42+24'!$A:$C,3,0)</f>
        <v>#N/A</v>
      </c>
    </row>
    <row r="87" spans="4:18" x14ac:dyDescent="0.2">
      <c r="D87" s="4"/>
      <c r="G87" s="5"/>
      <c r="H87" s="5"/>
      <c r="I87" s="4"/>
      <c r="J87" s="4"/>
      <c r="K87" s="5"/>
      <c r="Q87" s="78" t="e">
        <f>VLOOKUP(A87,'גיליון דאטה להכל'!A:H,5,0)</f>
        <v>#N/A</v>
      </c>
      <c r="R87" s="78" t="e">
        <f>VLOOKUP(A87,'לעדכן בסינתזה דאטה אריזה 42+24'!$A:$C,3,0)</f>
        <v>#N/A</v>
      </c>
    </row>
    <row r="88" spans="4:18" x14ac:dyDescent="0.2">
      <c r="D88" s="4"/>
      <c r="G88" s="5"/>
      <c r="H88" s="5"/>
      <c r="I88" s="4"/>
      <c r="J88" s="4"/>
      <c r="K88" s="5"/>
      <c r="Q88" s="78" t="e">
        <f>VLOOKUP(A88,'גיליון דאטה להכל'!A:H,5,0)</f>
        <v>#N/A</v>
      </c>
      <c r="R88" s="78" t="e">
        <f>VLOOKUP(A88,'לעדכן בסינתזה דאטה אריזה 42+24'!$A:$C,3,0)</f>
        <v>#N/A</v>
      </c>
    </row>
    <row r="89" spans="4:18" x14ac:dyDescent="0.2">
      <c r="D89" s="4"/>
      <c r="G89" s="5"/>
      <c r="H89" s="5"/>
      <c r="I89" s="4"/>
      <c r="J89" s="4"/>
      <c r="K89" s="5"/>
      <c r="Q89" s="78" t="e">
        <f>VLOOKUP(A89,'גיליון דאטה להכל'!A:H,5,0)</f>
        <v>#N/A</v>
      </c>
      <c r="R89" s="78" t="e">
        <f>VLOOKUP(A89,'לעדכן בסינתזה דאטה אריזה 42+24'!$A:$C,3,0)</f>
        <v>#N/A</v>
      </c>
    </row>
    <row r="90" spans="4:18" x14ac:dyDescent="0.2">
      <c r="D90" s="4"/>
      <c r="G90" s="5"/>
      <c r="H90" s="5"/>
      <c r="I90" s="4"/>
      <c r="J90" s="4"/>
      <c r="K90" s="5"/>
      <c r="Q90" s="78" t="e">
        <f>VLOOKUP(A90,'גיליון דאטה להכל'!A:H,5,0)</f>
        <v>#N/A</v>
      </c>
      <c r="R90" s="78" t="e">
        <f>VLOOKUP(A90,'לעדכן בסינתזה דאטה אריזה 42+24'!$A:$C,3,0)</f>
        <v>#N/A</v>
      </c>
    </row>
    <row r="91" spans="4:18" x14ac:dyDescent="0.2">
      <c r="D91" s="4"/>
      <c r="G91" s="5"/>
      <c r="H91" s="5"/>
      <c r="I91" s="4"/>
      <c r="J91" s="4"/>
      <c r="K91" s="5"/>
      <c r="Q91" s="78" t="e">
        <f>VLOOKUP(A91,'גיליון דאטה להכל'!A:H,5,0)</f>
        <v>#N/A</v>
      </c>
      <c r="R91" s="78" t="e">
        <f>VLOOKUP(A91,'לעדכן בסינתזה דאטה אריזה 42+24'!$A:$C,3,0)</f>
        <v>#N/A</v>
      </c>
    </row>
    <row r="92" spans="4:18" x14ac:dyDescent="0.2">
      <c r="D92" s="4"/>
      <c r="G92" s="5"/>
      <c r="H92" s="5"/>
      <c r="I92" s="4"/>
      <c r="J92" s="4"/>
      <c r="K92" s="5"/>
      <c r="Q92" s="78" t="e">
        <f>VLOOKUP(A92,'גיליון דאטה להכל'!A:H,5,0)</f>
        <v>#N/A</v>
      </c>
      <c r="R92" s="78" t="e">
        <f>VLOOKUP(A92,'לעדכן בסינתזה דאטה אריזה 42+24'!$A:$C,3,0)</f>
        <v>#N/A</v>
      </c>
    </row>
    <row r="93" spans="4:18" x14ac:dyDescent="0.2">
      <c r="D93" s="4"/>
      <c r="G93" s="5"/>
      <c r="H93" s="5"/>
      <c r="I93" s="4"/>
      <c r="J93" s="4"/>
      <c r="K93" s="5"/>
      <c r="Q93" s="78" t="e">
        <f>VLOOKUP(A93,'גיליון דאטה להכל'!A:H,5,0)</f>
        <v>#N/A</v>
      </c>
      <c r="R93" s="78" t="e">
        <f>VLOOKUP(A93,'לעדכן בסינתזה דאטה אריזה 42+24'!$A:$C,3,0)</f>
        <v>#N/A</v>
      </c>
    </row>
    <row r="94" spans="4:18" x14ac:dyDescent="0.2">
      <c r="D94" s="4"/>
      <c r="G94" s="5"/>
      <c r="H94" s="5"/>
      <c r="I94" s="4"/>
      <c r="J94" s="4"/>
      <c r="K94" s="5"/>
      <c r="Q94" s="78" t="e">
        <f>VLOOKUP(A94,'גיליון דאטה להכל'!A:H,5,0)</f>
        <v>#N/A</v>
      </c>
      <c r="R94" s="78" t="e">
        <f>VLOOKUP(A94,'לעדכן בסינתזה דאטה אריזה 42+24'!$A:$C,3,0)</f>
        <v>#N/A</v>
      </c>
    </row>
    <row r="95" spans="4:18" x14ac:dyDescent="0.2">
      <c r="D95" s="4"/>
      <c r="G95" s="5"/>
      <c r="H95" s="5"/>
      <c r="I95" s="4"/>
      <c r="J95" s="4"/>
      <c r="K95" s="5"/>
      <c r="Q95" s="78" t="e">
        <f>VLOOKUP(A95,'גיליון דאטה להכל'!A:H,5,0)</f>
        <v>#N/A</v>
      </c>
      <c r="R95" s="78" t="e">
        <f>VLOOKUP(A95,'לעדכן בסינתזה דאטה אריזה 42+24'!$A:$C,3,0)</f>
        <v>#N/A</v>
      </c>
    </row>
    <row r="96" spans="4:18" x14ac:dyDescent="0.2">
      <c r="D96" s="4"/>
      <c r="G96" s="5"/>
      <c r="H96" s="5"/>
      <c r="I96" s="4"/>
      <c r="J96" s="4"/>
      <c r="K96" s="5"/>
      <c r="Q96" s="78" t="e">
        <f>VLOOKUP(A96,'גיליון דאטה להכל'!A:H,5,0)</f>
        <v>#N/A</v>
      </c>
      <c r="R96" s="78" t="e">
        <f>VLOOKUP(A96,'לעדכן בסינתזה דאטה אריזה 42+24'!$A:$C,3,0)</f>
        <v>#N/A</v>
      </c>
    </row>
    <row r="97" spans="4:18" x14ac:dyDescent="0.2">
      <c r="D97" s="4"/>
      <c r="G97" s="5"/>
      <c r="H97" s="5"/>
      <c r="I97" s="4"/>
      <c r="J97" s="4"/>
      <c r="K97" s="5"/>
      <c r="Q97" s="78" t="e">
        <f>VLOOKUP(A97,'גיליון דאטה להכל'!A:H,5,0)</f>
        <v>#N/A</v>
      </c>
      <c r="R97" s="78" t="e">
        <f>VLOOKUP(A97,'לעדכן בסינתזה דאטה אריזה 42+24'!$A:$C,3,0)</f>
        <v>#N/A</v>
      </c>
    </row>
    <row r="98" spans="4:18" x14ac:dyDescent="0.2">
      <c r="D98" s="4"/>
      <c r="G98" s="5"/>
      <c r="H98" s="5"/>
      <c r="I98" s="4"/>
      <c r="J98" s="4"/>
      <c r="K98" s="5"/>
      <c r="Q98" s="78" t="e">
        <f>VLOOKUP(A98,'גיליון דאטה להכל'!A:H,5,0)</f>
        <v>#N/A</v>
      </c>
      <c r="R98" s="78" t="e">
        <f>VLOOKUP(A98,'לעדכן בסינתזה דאטה אריזה 42+24'!$A:$C,3,0)</f>
        <v>#N/A</v>
      </c>
    </row>
    <row r="99" spans="4:18" x14ac:dyDescent="0.2">
      <c r="D99" s="4"/>
      <c r="G99" s="5"/>
      <c r="H99" s="5"/>
      <c r="I99" s="4"/>
      <c r="J99" s="4"/>
      <c r="K99" s="5"/>
      <c r="Q99" s="78" t="e">
        <f>VLOOKUP(A99,'גיליון דאטה להכל'!A:H,5,0)</f>
        <v>#N/A</v>
      </c>
      <c r="R99" s="78" t="e">
        <f>VLOOKUP(A99,'לעדכן בסינתזה דאטה אריזה 42+24'!$A:$C,3,0)</f>
        <v>#N/A</v>
      </c>
    </row>
    <row r="100" spans="4:18" x14ac:dyDescent="0.2">
      <c r="D100" s="4"/>
      <c r="G100" s="5"/>
      <c r="H100" s="5"/>
      <c r="I100" s="4"/>
      <c r="J100" s="4"/>
      <c r="K100" s="5"/>
      <c r="Q100" s="78" t="e">
        <f>VLOOKUP(A100,'גיליון דאטה להכל'!A:H,5,0)</f>
        <v>#N/A</v>
      </c>
      <c r="R100" s="78" t="e">
        <f>VLOOKUP(A100,'לעדכן בסינתזה דאטה אריזה 42+24'!$A:$C,3,0)</f>
        <v>#N/A</v>
      </c>
    </row>
    <row r="101" spans="4:18" x14ac:dyDescent="0.2">
      <c r="D101" s="4"/>
      <c r="G101" s="5"/>
      <c r="H101" s="5"/>
      <c r="I101" s="4"/>
      <c r="J101" s="4"/>
      <c r="K101" s="5"/>
      <c r="Q101" s="78" t="e">
        <f>VLOOKUP(A101,'גיליון דאטה להכל'!A:H,5,0)</f>
        <v>#N/A</v>
      </c>
      <c r="R101" s="78" t="e">
        <f>VLOOKUP(A101,'לעדכן בסינתזה דאטה אריזה 42+24'!$A:$C,3,0)</f>
        <v>#N/A</v>
      </c>
    </row>
    <row r="102" spans="4:18" x14ac:dyDescent="0.2">
      <c r="D102" s="4"/>
      <c r="G102" s="5"/>
      <c r="H102" s="5"/>
      <c r="I102" s="4"/>
      <c r="J102" s="4"/>
      <c r="K102" s="5"/>
      <c r="Q102" s="78" t="e">
        <f>VLOOKUP(A102,'גיליון דאטה להכל'!A:H,5,0)</f>
        <v>#N/A</v>
      </c>
      <c r="R102" s="78" t="e">
        <f>VLOOKUP(A102,'לעדכן בסינתזה דאטה אריזה 42+24'!$A:$C,3,0)</f>
        <v>#N/A</v>
      </c>
    </row>
    <row r="103" spans="4:18" x14ac:dyDescent="0.2">
      <c r="D103" s="4"/>
      <c r="G103" s="5"/>
      <c r="H103" s="5"/>
      <c r="I103" s="4"/>
      <c r="J103" s="4"/>
      <c r="K103" s="5"/>
      <c r="Q103" s="78" t="e">
        <f>VLOOKUP(A103,'גיליון דאטה להכל'!A:H,5,0)</f>
        <v>#N/A</v>
      </c>
      <c r="R103" s="78" t="e">
        <f>VLOOKUP(A103,'לעדכן בסינתזה דאטה אריזה 42+24'!$A:$C,3,0)</f>
        <v>#N/A</v>
      </c>
    </row>
    <row r="104" spans="4:18" x14ac:dyDescent="0.2">
      <c r="D104" s="4"/>
      <c r="G104" s="5"/>
      <c r="H104" s="5"/>
      <c r="I104" s="4"/>
      <c r="J104" s="4"/>
      <c r="K104" s="5"/>
      <c r="Q104" s="78" t="e">
        <f>VLOOKUP(A104,'גיליון דאטה להכל'!A:H,5,0)</f>
        <v>#N/A</v>
      </c>
      <c r="R104" s="78" t="e">
        <f>VLOOKUP(A104,'לעדכן בסינתזה דאטה אריזה 42+24'!$A:$C,3,0)</f>
        <v>#N/A</v>
      </c>
    </row>
    <row r="105" spans="4:18" x14ac:dyDescent="0.2">
      <c r="D105" s="4"/>
      <c r="G105" s="5"/>
      <c r="H105" s="5"/>
      <c r="I105" s="4"/>
      <c r="J105" s="4"/>
      <c r="K105" s="5"/>
      <c r="Q105" s="78" t="e">
        <f>VLOOKUP(A105,'גיליון דאטה להכל'!A:H,5,0)</f>
        <v>#N/A</v>
      </c>
      <c r="R105" s="78" t="e">
        <f>VLOOKUP(A105,'לעדכן בסינתזה דאטה אריזה 42+24'!$A:$C,3,0)</f>
        <v>#N/A</v>
      </c>
    </row>
    <row r="106" spans="4:18" x14ac:dyDescent="0.2">
      <c r="D106" s="4"/>
      <c r="G106" s="5"/>
      <c r="H106" s="5"/>
      <c r="I106" s="4"/>
      <c r="J106" s="4"/>
      <c r="K106" s="5"/>
      <c r="Q106" s="78" t="e">
        <f>VLOOKUP(A106,'גיליון דאטה להכל'!A:H,5,0)</f>
        <v>#N/A</v>
      </c>
      <c r="R106" s="78" t="e">
        <f>VLOOKUP(A106,'לעדכן בסינתזה דאטה אריזה 42+24'!$A:$C,3,0)</f>
        <v>#N/A</v>
      </c>
    </row>
    <row r="107" spans="4:18" x14ac:dyDescent="0.2">
      <c r="D107" s="4"/>
      <c r="G107" s="5"/>
      <c r="H107" s="5"/>
      <c r="I107" s="4"/>
      <c r="J107" s="4"/>
      <c r="K107" s="5"/>
      <c r="Q107" s="78" t="e">
        <f>VLOOKUP(A107,'גיליון דאטה להכל'!A:H,5,0)</f>
        <v>#N/A</v>
      </c>
      <c r="R107" s="78" t="e">
        <f>VLOOKUP(A107,'לעדכן בסינתזה דאטה אריזה 42+24'!$A:$C,3,0)</f>
        <v>#N/A</v>
      </c>
    </row>
    <row r="108" spans="4:18" x14ac:dyDescent="0.2">
      <c r="D108" s="4"/>
      <c r="G108" s="5"/>
      <c r="H108" s="5"/>
      <c r="I108" s="4"/>
      <c r="J108" s="4"/>
      <c r="K108" s="5"/>
      <c r="Q108" s="78" t="e">
        <f>VLOOKUP(A108,'גיליון דאטה להכל'!A:H,5,0)</f>
        <v>#N/A</v>
      </c>
      <c r="R108" s="78" t="e">
        <f>VLOOKUP(A108,'לעדכן בסינתזה דאטה אריזה 42+24'!$A:$C,3,0)</f>
        <v>#N/A</v>
      </c>
    </row>
    <row r="109" spans="4:18" x14ac:dyDescent="0.2">
      <c r="D109" s="4"/>
      <c r="G109" s="5"/>
      <c r="H109" s="5"/>
      <c r="I109" s="4"/>
      <c r="J109" s="4"/>
      <c r="K109" s="5"/>
      <c r="Q109" s="78" t="e">
        <f>VLOOKUP(A109,'גיליון דאטה להכל'!A:H,5,0)</f>
        <v>#N/A</v>
      </c>
      <c r="R109" s="78" t="e">
        <f>VLOOKUP(A109,'לעדכן בסינתזה דאטה אריזה 42+24'!$A:$C,3,0)</f>
        <v>#N/A</v>
      </c>
    </row>
    <row r="110" spans="4:18" x14ac:dyDescent="0.2">
      <c r="D110" s="4"/>
      <c r="G110" s="5"/>
      <c r="H110" s="5"/>
      <c r="I110" s="4"/>
      <c r="J110" s="4"/>
      <c r="K110" s="5"/>
      <c r="Q110" s="78" t="e">
        <f>VLOOKUP(A110,'גיליון דאטה להכל'!A:H,5,0)</f>
        <v>#N/A</v>
      </c>
      <c r="R110" s="78" t="e">
        <f>VLOOKUP(A110,'לעדכן בסינתזה דאטה אריזה 42+24'!$A:$C,3,0)</f>
        <v>#N/A</v>
      </c>
    </row>
    <row r="111" spans="4:18" x14ac:dyDescent="0.2">
      <c r="D111" s="4"/>
      <c r="G111" s="5"/>
      <c r="H111" s="5"/>
      <c r="I111" s="4"/>
      <c r="J111" s="4"/>
      <c r="K111" s="5"/>
      <c r="Q111" s="78" t="e">
        <f>VLOOKUP(A111,'גיליון דאטה להכל'!A:H,5,0)</f>
        <v>#N/A</v>
      </c>
      <c r="R111" s="78" t="e">
        <f>VLOOKUP(A111,'לעדכן בסינתזה דאטה אריזה 42+24'!$A:$C,3,0)</f>
        <v>#N/A</v>
      </c>
    </row>
    <row r="112" spans="4:18" x14ac:dyDescent="0.2">
      <c r="D112" s="4"/>
      <c r="G112" s="5"/>
      <c r="H112" s="5"/>
      <c r="I112" s="4"/>
      <c r="J112" s="4"/>
      <c r="K112" s="5"/>
      <c r="Q112" s="78" t="e">
        <f>VLOOKUP(A112,'גיליון דאטה להכל'!A:H,5,0)</f>
        <v>#N/A</v>
      </c>
      <c r="R112" s="78" t="e">
        <f>VLOOKUP(A112,'לעדכן בסינתזה דאטה אריזה 42+24'!$A:$C,3,0)</f>
        <v>#N/A</v>
      </c>
    </row>
    <row r="113" spans="4:18" x14ac:dyDescent="0.2">
      <c r="D113" s="4"/>
      <c r="G113" s="5"/>
      <c r="H113" s="5"/>
      <c r="I113" s="4"/>
      <c r="J113" s="4"/>
      <c r="K113" s="5"/>
      <c r="Q113" s="78" t="e">
        <f>VLOOKUP(A113,'גיליון דאטה להכל'!A:H,5,0)</f>
        <v>#N/A</v>
      </c>
      <c r="R113" s="78" t="e">
        <f>VLOOKUP(A113,'לעדכן בסינתזה דאטה אריזה 42+24'!$A:$C,3,0)</f>
        <v>#N/A</v>
      </c>
    </row>
    <row r="114" spans="4:18" x14ac:dyDescent="0.2">
      <c r="D114" s="4"/>
      <c r="G114" s="5"/>
      <c r="H114" s="5"/>
      <c r="I114" s="4"/>
      <c r="J114" s="4"/>
      <c r="K114" s="5"/>
      <c r="Q114" s="78" t="e">
        <f>VLOOKUP(A114,'גיליון דאטה להכל'!A:H,5,0)</f>
        <v>#N/A</v>
      </c>
      <c r="R114" s="78" t="e">
        <f>VLOOKUP(A114,'לעדכן בסינתזה דאטה אריזה 42+24'!$A:$C,3,0)</f>
        <v>#N/A</v>
      </c>
    </row>
    <row r="115" spans="4:18" x14ac:dyDescent="0.2">
      <c r="D115" s="4"/>
      <c r="G115" s="5"/>
      <c r="H115" s="5"/>
      <c r="I115" s="4"/>
      <c r="J115" s="4"/>
      <c r="K115" s="5"/>
      <c r="Q115" s="78" t="e">
        <f>VLOOKUP(A115,'גיליון דאטה להכל'!A:H,5,0)</f>
        <v>#N/A</v>
      </c>
      <c r="R115" s="78" t="e">
        <f>VLOOKUP(A115,'לעדכן בסינתזה דאטה אריזה 42+24'!$A:$C,3,0)</f>
        <v>#N/A</v>
      </c>
    </row>
    <row r="116" spans="4:18" x14ac:dyDescent="0.2">
      <c r="D116" s="4"/>
      <c r="G116" s="5"/>
      <c r="H116" s="5"/>
      <c r="I116" s="4"/>
      <c r="J116" s="4"/>
      <c r="K116" s="5"/>
      <c r="Q116" s="78" t="e">
        <f>VLOOKUP(A116,'גיליון דאטה להכל'!A:H,5,0)</f>
        <v>#N/A</v>
      </c>
      <c r="R116" s="78" t="e">
        <f>VLOOKUP(A116,'לעדכן בסינתזה דאטה אריזה 42+24'!$A:$C,3,0)</f>
        <v>#N/A</v>
      </c>
    </row>
    <row r="117" spans="4:18" x14ac:dyDescent="0.2">
      <c r="D117" s="4"/>
      <c r="G117" s="5"/>
      <c r="H117" s="5"/>
      <c r="I117" s="4"/>
      <c r="J117" s="4"/>
      <c r="K117" s="5"/>
      <c r="Q117" s="78" t="e">
        <f>VLOOKUP(A117,'גיליון דאטה להכל'!A:H,5,0)</f>
        <v>#N/A</v>
      </c>
      <c r="R117" s="78" t="e">
        <f>VLOOKUP(A117,'לעדכן בסינתזה דאטה אריזה 42+24'!$A:$C,3,0)</f>
        <v>#N/A</v>
      </c>
    </row>
    <row r="118" spans="4:18" x14ac:dyDescent="0.2">
      <c r="D118" s="4"/>
      <c r="G118" s="5"/>
      <c r="H118" s="5"/>
      <c r="I118" s="4"/>
      <c r="J118" s="4"/>
      <c r="K118" s="5"/>
      <c r="Q118" s="78" t="e">
        <f>VLOOKUP(A118,'גיליון דאטה להכל'!A:H,5,0)</f>
        <v>#N/A</v>
      </c>
      <c r="R118" s="78" t="e">
        <f>VLOOKUP(A118,'לעדכן בסינתזה דאטה אריזה 42+24'!$A:$C,3,0)</f>
        <v>#N/A</v>
      </c>
    </row>
    <row r="119" spans="4:18" x14ac:dyDescent="0.2">
      <c r="D119" s="4"/>
      <c r="G119" s="5"/>
      <c r="H119" s="5"/>
      <c r="I119" s="4"/>
      <c r="J119" s="4"/>
      <c r="K119" s="5"/>
      <c r="Q119" s="78" t="e">
        <f>VLOOKUP(A119,'גיליון דאטה להכל'!A:H,5,0)</f>
        <v>#N/A</v>
      </c>
      <c r="R119" s="78" t="e">
        <f>VLOOKUP(A119,'לעדכן בסינתזה דאטה אריזה 42+24'!$A:$C,3,0)</f>
        <v>#N/A</v>
      </c>
    </row>
    <row r="120" spans="4:18" x14ac:dyDescent="0.2">
      <c r="D120" s="4"/>
      <c r="G120" s="5"/>
      <c r="H120" s="5"/>
      <c r="I120" s="4"/>
      <c r="J120" s="4"/>
      <c r="K120" s="5"/>
      <c r="Q120" s="78" t="e">
        <f>VLOOKUP(A120,'גיליון דאטה להכל'!A:H,5,0)</f>
        <v>#N/A</v>
      </c>
      <c r="R120" s="78" t="e">
        <f>VLOOKUP(A120,'לעדכן בסינתזה דאטה אריזה 42+24'!$A:$C,3,0)</f>
        <v>#N/A</v>
      </c>
    </row>
    <row r="121" spans="4:18" x14ac:dyDescent="0.2">
      <c r="D121" s="4"/>
      <c r="G121" s="5"/>
      <c r="H121" s="5"/>
      <c r="I121" s="4"/>
      <c r="J121" s="4"/>
      <c r="K121" s="5"/>
      <c r="Q121" s="78" t="e">
        <f>VLOOKUP(A121,'גיליון דאטה להכל'!A:H,5,0)</f>
        <v>#N/A</v>
      </c>
      <c r="R121" s="78" t="e">
        <f>VLOOKUP(A121,'לעדכן בסינתזה דאטה אריזה 42+24'!$A:$C,3,0)</f>
        <v>#N/A</v>
      </c>
    </row>
    <row r="122" spans="4:18" x14ac:dyDescent="0.2">
      <c r="D122" s="4"/>
      <c r="G122" s="5"/>
      <c r="H122" s="5"/>
      <c r="I122" s="4"/>
      <c r="J122" s="4"/>
      <c r="K122" s="5"/>
      <c r="Q122" s="78" t="e">
        <f>VLOOKUP(A122,'גיליון דאטה להכל'!A:H,5,0)</f>
        <v>#N/A</v>
      </c>
      <c r="R122" s="78" t="e">
        <f>VLOOKUP(A122,'לעדכן בסינתזה דאטה אריזה 42+24'!$A:$C,3,0)</f>
        <v>#N/A</v>
      </c>
    </row>
    <row r="123" spans="4:18" x14ac:dyDescent="0.2">
      <c r="D123" s="4"/>
      <c r="G123" s="5"/>
      <c r="H123" s="5"/>
      <c r="I123" s="4"/>
      <c r="J123" s="4"/>
      <c r="K123" s="5"/>
      <c r="Q123" s="78" t="e">
        <f>VLOOKUP(A123,'גיליון דאטה להכל'!A:H,5,0)</f>
        <v>#N/A</v>
      </c>
      <c r="R123" s="78" t="e">
        <f>VLOOKUP(A123,'לעדכן בסינתזה דאטה אריזה 42+24'!$A:$C,3,0)</f>
        <v>#N/A</v>
      </c>
    </row>
    <row r="124" spans="4:18" x14ac:dyDescent="0.2">
      <c r="D124" s="4"/>
      <c r="G124" s="5"/>
      <c r="H124" s="5"/>
      <c r="I124" s="4"/>
      <c r="J124" s="4"/>
      <c r="K124" s="5"/>
      <c r="Q124" s="78" t="e">
        <f>VLOOKUP(A124,'גיליון דאטה להכל'!A:H,5,0)</f>
        <v>#N/A</v>
      </c>
      <c r="R124" s="78" t="e">
        <f>VLOOKUP(A124,'לעדכן בסינתזה דאטה אריזה 42+24'!$A:$C,3,0)</f>
        <v>#N/A</v>
      </c>
    </row>
    <row r="125" spans="4:18" x14ac:dyDescent="0.2">
      <c r="D125" s="4"/>
      <c r="G125" s="5"/>
      <c r="H125" s="5"/>
      <c r="I125" s="4"/>
      <c r="J125" s="4"/>
      <c r="K125" s="5"/>
      <c r="Q125" s="78" t="e">
        <f>VLOOKUP(A125,'גיליון דאטה להכל'!A:H,5,0)</f>
        <v>#N/A</v>
      </c>
      <c r="R125" s="78" t="e">
        <f>VLOOKUP(A125,'לעדכן בסינתזה דאטה אריזה 42+24'!$A:$C,3,0)</f>
        <v>#N/A</v>
      </c>
    </row>
    <row r="126" spans="4:18" x14ac:dyDescent="0.2">
      <c r="D126" s="4"/>
      <c r="G126" s="5"/>
      <c r="H126" s="5"/>
      <c r="I126" s="4"/>
      <c r="J126" s="4"/>
      <c r="K126" s="5"/>
      <c r="Q126" s="78" t="e">
        <f>VLOOKUP(A126,'גיליון דאטה להכל'!A:H,5,0)</f>
        <v>#N/A</v>
      </c>
      <c r="R126" s="78" t="e">
        <f>VLOOKUP(A126,'לעדכן בסינתזה דאטה אריזה 42+24'!$A:$C,3,0)</f>
        <v>#N/A</v>
      </c>
    </row>
    <row r="127" spans="4:18" x14ac:dyDescent="0.2">
      <c r="D127" s="4"/>
      <c r="G127" s="5"/>
      <c r="H127" s="5"/>
      <c r="I127" s="4"/>
      <c r="J127" s="4"/>
      <c r="K127" s="5"/>
      <c r="Q127" s="78" t="e">
        <f>VLOOKUP(A127,'גיליון דאטה להכל'!A:H,5,0)</f>
        <v>#N/A</v>
      </c>
      <c r="R127" s="78" t="e">
        <f>VLOOKUP(A127,'לעדכן בסינתזה דאטה אריזה 42+24'!$A:$C,3,0)</f>
        <v>#N/A</v>
      </c>
    </row>
    <row r="128" spans="4:18" x14ac:dyDescent="0.2">
      <c r="D128" s="4"/>
      <c r="G128" s="5"/>
      <c r="H128" s="5"/>
      <c r="I128" s="4"/>
      <c r="J128" s="4"/>
      <c r="K128" s="5"/>
      <c r="Q128" s="78" t="e">
        <f>VLOOKUP(A128,'גיליון דאטה להכל'!A:H,5,0)</f>
        <v>#N/A</v>
      </c>
      <c r="R128" s="78" t="e">
        <f>VLOOKUP(A128,'לעדכן בסינתזה דאטה אריזה 42+24'!$A:$C,3,0)</f>
        <v>#N/A</v>
      </c>
    </row>
    <row r="129" spans="4:18" x14ac:dyDescent="0.2">
      <c r="D129" s="4"/>
      <c r="G129" s="5"/>
      <c r="H129" s="5"/>
      <c r="I129" s="4"/>
      <c r="J129" s="4"/>
      <c r="K129" s="5"/>
      <c r="Q129" s="78" t="e">
        <f>VLOOKUP(A129,'גיליון דאטה להכל'!A:H,5,0)</f>
        <v>#N/A</v>
      </c>
      <c r="R129" s="78" t="e">
        <f>VLOOKUP(A129,'לעדכן בסינתזה דאטה אריזה 42+24'!$A:$C,3,0)</f>
        <v>#N/A</v>
      </c>
    </row>
    <row r="130" spans="4:18" x14ac:dyDescent="0.2">
      <c r="D130" s="4"/>
      <c r="G130" s="5"/>
      <c r="H130" s="5"/>
      <c r="I130" s="4"/>
      <c r="J130" s="4"/>
      <c r="K130" s="5"/>
      <c r="Q130" s="78" t="e">
        <f>VLOOKUP(A130,'גיליון דאטה להכל'!A:H,5,0)</f>
        <v>#N/A</v>
      </c>
      <c r="R130" s="78" t="e">
        <f>VLOOKUP(A130,'לעדכן בסינתזה דאטה אריזה 42+24'!$A:$C,3,0)</f>
        <v>#N/A</v>
      </c>
    </row>
    <row r="131" spans="4:18" x14ac:dyDescent="0.2">
      <c r="D131" s="4"/>
      <c r="G131" s="5"/>
      <c r="H131" s="5"/>
      <c r="I131" s="4"/>
      <c r="J131" s="4"/>
      <c r="K131" s="5"/>
      <c r="Q131" s="78" t="e">
        <f>VLOOKUP(A131,'גיליון דאטה להכל'!A:H,5,0)</f>
        <v>#N/A</v>
      </c>
      <c r="R131" s="78" t="e">
        <f>VLOOKUP(A131,'לעדכן בסינתזה דאטה אריזה 42+24'!$A:$C,3,0)</f>
        <v>#N/A</v>
      </c>
    </row>
    <row r="132" spans="4:18" x14ac:dyDescent="0.2">
      <c r="D132" s="4"/>
      <c r="G132" s="5"/>
      <c r="H132" s="5"/>
      <c r="I132" s="4"/>
      <c r="J132" s="4"/>
      <c r="K132" s="5"/>
      <c r="Q132" s="78" t="e">
        <f>VLOOKUP(A132,'גיליון דאטה להכל'!A:H,5,0)</f>
        <v>#N/A</v>
      </c>
      <c r="R132" s="78" t="e">
        <f>VLOOKUP(A132,'לעדכן בסינתזה דאטה אריזה 42+24'!$A:$C,3,0)</f>
        <v>#N/A</v>
      </c>
    </row>
    <row r="133" spans="4:18" x14ac:dyDescent="0.2">
      <c r="D133" s="4"/>
      <c r="G133" s="5"/>
      <c r="H133" s="5"/>
      <c r="I133" s="4"/>
      <c r="J133" s="4"/>
      <c r="K133" s="5"/>
      <c r="Q133" s="78" t="e">
        <f>VLOOKUP(A133,'גיליון דאטה להכל'!A:H,5,0)</f>
        <v>#N/A</v>
      </c>
      <c r="R133" s="78" t="e">
        <f>VLOOKUP(A133,'לעדכן בסינתזה דאטה אריזה 42+24'!$A:$C,3,0)</f>
        <v>#N/A</v>
      </c>
    </row>
    <row r="134" spans="4:18" x14ac:dyDescent="0.2">
      <c r="D134" s="4"/>
      <c r="G134" s="5"/>
      <c r="H134" s="5"/>
      <c r="I134" s="4"/>
      <c r="J134" s="4"/>
      <c r="K134" s="5"/>
      <c r="Q134" s="78" t="e">
        <f>VLOOKUP(A134,'גיליון דאטה להכל'!A:H,5,0)</f>
        <v>#N/A</v>
      </c>
      <c r="R134" s="78" t="e">
        <f>VLOOKUP(A134,'לעדכן בסינתזה דאטה אריזה 42+24'!$A:$C,3,0)</f>
        <v>#N/A</v>
      </c>
    </row>
    <row r="135" spans="4:18" x14ac:dyDescent="0.2">
      <c r="D135" s="4"/>
      <c r="G135" s="5"/>
      <c r="H135" s="5"/>
      <c r="I135" s="4"/>
      <c r="J135" s="4"/>
      <c r="K135" s="5"/>
      <c r="Q135" s="78" t="e">
        <f>VLOOKUP(A135,'גיליון דאטה להכל'!A:H,5,0)</f>
        <v>#N/A</v>
      </c>
      <c r="R135" s="78" t="e">
        <f>VLOOKUP(A135,'לעדכן בסינתזה דאטה אריזה 42+24'!$A:$C,3,0)</f>
        <v>#N/A</v>
      </c>
    </row>
    <row r="136" spans="4:18" x14ac:dyDescent="0.2">
      <c r="D136" s="4"/>
      <c r="G136" s="5"/>
      <c r="H136" s="5"/>
      <c r="I136" s="4"/>
      <c r="J136" s="4"/>
      <c r="K136" s="5"/>
      <c r="Q136" s="78" t="e">
        <f>VLOOKUP(A136,'גיליון דאטה להכל'!A:H,5,0)</f>
        <v>#N/A</v>
      </c>
      <c r="R136" s="78" t="e">
        <f>VLOOKUP(A136,'לעדכן בסינתזה דאטה אריזה 42+24'!$A:$C,3,0)</f>
        <v>#N/A</v>
      </c>
    </row>
    <row r="137" spans="4:18" x14ac:dyDescent="0.2">
      <c r="D137" s="4"/>
      <c r="G137" s="5"/>
      <c r="H137" s="5"/>
      <c r="I137" s="4"/>
      <c r="J137" s="4"/>
      <c r="K137" s="5"/>
      <c r="Q137" s="78" t="e">
        <f>VLOOKUP(A137,'גיליון דאטה להכל'!A:H,5,0)</f>
        <v>#N/A</v>
      </c>
      <c r="R137" s="78" t="e">
        <f>VLOOKUP(A137,'לעדכן בסינתזה דאטה אריזה 42+24'!$A:$C,3,0)</f>
        <v>#N/A</v>
      </c>
    </row>
    <row r="138" spans="4:18" x14ac:dyDescent="0.2">
      <c r="D138" s="4"/>
      <c r="G138" s="5"/>
      <c r="H138" s="5"/>
      <c r="I138" s="4"/>
      <c r="J138" s="4"/>
      <c r="K138" s="5"/>
      <c r="Q138" s="78" t="e">
        <f>VLOOKUP(A138,'גיליון דאטה להכל'!A:H,5,0)</f>
        <v>#N/A</v>
      </c>
      <c r="R138" s="78" t="e">
        <f>VLOOKUP(A138,'לעדכן בסינתזה דאטה אריזה 42+24'!$A:$C,3,0)</f>
        <v>#N/A</v>
      </c>
    </row>
    <row r="139" spans="4:18" x14ac:dyDescent="0.2">
      <c r="D139" s="4"/>
      <c r="G139" s="5"/>
      <c r="H139" s="5"/>
      <c r="I139" s="4"/>
      <c r="J139" s="4"/>
      <c r="K139" s="5"/>
      <c r="Q139" s="78" t="e">
        <f>VLOOKUP(A139,'גיליון דאטה להכל'!A:H,5,0)</f>
        <v>#N/A</v>
      </c>
      <c r="R139" s="78" t="e">
        <f>VLOOKUP(A139,'לעדכן בסינתזה דאטה אריזה 42+24'!$A:$C,3,0)</f>
        <v>#N/A</v>
      </c>
    </row>
    <row r="140" spans="4:18" x14ac:dyDescent="0.2">
      <c r="D140" s="4"/>
      <c r="G140" s="5"/>
      <c r="H140" s="5"/>
      <c r="I140" s="4"/>
      <c r="J140" s="4"/>
      <c r="K140" s="5"/>
      <c r="Q140" s="78" t="e">
        <f>VLOOKUP(A140,'גיליון דאטה להכל'!A:H,5,0)</f>
        <v>#N/A</v>
      </c>
      <c r="R140" s="78" t="e">
        <f>VLOOKUP(A140,'לעדכן בסינתזה דאטה אריזה 42+24'!$A:$C,3,0)</f>
        <v>#N/A</v>
      </c>
    </row>
    <row r="141" spans="4:18" x14ac:dyDescent="0.2">
      <c r="D141" s="4"/>
      <c r="G141" s="5"/>
      <c r="H141" s="5"/>
      <c r="I141" s="4"/>
      <c r="J141" s="4"/>
      <c r="K141" s="5"/>
      <c r="Q141" s="78" t="e">
        <f>VLOOKUP(A141,'גיליון דאטה להכל'!A:H,5,0)</f>
        <v>#N/A</v>
      </c>
      <c r="R141" s="78" t="e">
        <f>VLOOKUP(A141,'לעדכן בסינתזה דאטה אריזה 42+24'!$A:$C,3,0)</f>
        <v>#N/A</v>
      </c>
    </row>
    <row r="142" spans="4:18" x14ac:dyDescent="0.2">
      <c r="D142" s="4"/>
      <c r="G142" s="5"/>
      <c r="H142" s="5"/>
      <c r="I142" s="4"/>
      <c r="J142" s="4"/>
      <c r="K142" s="5"/>
      <c r="Q142" s="78" t="e">
        <f>VLOOKUP(A142,'גיליון דאטה להכל'!A:H,5,0)</f>
        <v>#N/A</v>
      </c>
      <c r="R142" s="78" t="e">
        <f>VLOOKUP(A142,'לעדכן בסינתזה דאטה אריזה 42+24'!$A:$C,3,0)</f>
        <v>#N/A</v>
      </c>
    </row>
    <row r="143" spans="4:18" x14ac:dyDescent="0.2">
      <c r="D143" s="4"/>
      <c r="G143" s="5"/>
      <c r="H143" s="5"/>
      <c r="I143" s="4"/>
      <c r="J143" s="4"/>
      <c r="K143" s="5"/>
      <c r="Q143" s="78" t="e">
        <f>VLOOKUP(A143,'גיליון דאטה להכל'!A:H,5,0)</f>
        <v>#N/A</v>
      </c>
      <c r="R143" s="78" t="e">
        <f>VLOOKUP(A143,'לעדכן בסינתזה דאטה אריזה 42+24'!$A:$C,3,0)</f>
        <v>#N/A</v>
      </c>
    </row>
    <row r="144" spans="4:18" x14ac:dyDescent="0.2">
      <c r="D144" s="4"/>
      <c r="G144" s="5"/>
      <c r="H144" s="5"/>
      <c r="I144" s="4"/>
      <c r="J144" s="4"/>
      <c r="K144" s="5"/>
      <c r="Q144" s="78" t="e">
        <f>VLOOKUP(A144,'גיליון דאטה להכל'!A:H,5,0)</f>
        <v>#N/A</v>
      </c>
      <c r="R144" s="78" t="e">
        <f>VLOOKUP(A144,'לעדכן בסינתזה דאטה אריזה 42+24'!$A:$C,3,0)</f>
        <v>#N/A</v>
      </c>
    </row>
    <row r="145" spans="4:18" x14ac:dyDescent="0.2">
      <c r="D145" s="4"/>
      <c r="G145" s="5"/>
      <c r="H145" s="5"/>
      <c r="I145" s="4"/>
      <c r="J145" s="4"/>
      <c r="K145" s="5"/>
      <c r="Q145" s="78" t="e">
        <f>VLOOKUP(A145,'גיליון דאטה להכל'!A:H,5,0)</f>
        <v>#N/A</v>
      </c>
      <c r="R145" s="78" t="e">
        <f>VLOOKUP(A145,'לעדכן בסינתזה דאטה אריזה 42+24'!$A:$C,3,0)</f>
        <v>#N/A</v>
      </c>
    </row>
    <row r="146" spans="4:18" x14ac:dyDescent="0.2">
      <c r="D146" s="4"/>
      <c r="G146" s="5"/>
      <c r="H146" s="5"/>
      <c r="I146" s="4"/>
      <c r="J146" s="4"/>
      <c r="K146" s="5"/>
      <c r="Q146" s="78" t="e">
        <f>VLOOKUP(A146,'גיליון דאטה להכל'!A:H,5,0)</f>
        <v>#N/A</v>
      </c>
      <c r="R146" s="78" t="e">
        <f>VLOOKUP(A146,'לעדכן בסינתזה דאטה אריזה 42+24'!$A:$C,3,0)</f>
        <v>#N/A</v>
      </c>
    </row>
    <row r="147" spans="4:18" x14ac:dyDescent="0.2">
      <c r="D147" s="4"/>
      <c r="G147" s="5"/>
      <c r="H147" s="5"/>
      <c r="I147" s="4"/>
      <c r="J147" s="4"/>
      <c r="K147" s="5"/>
      <c r="Q147" s="78" t="e">
        <f>VLOOKUP(A147,'גיליון דאטה להכל'!A:H,5,0)</f>
        <v>#N/A</v>
      </c>
      <c r="R147" s="78" t="e">
        <f>VLOOKUP(A147,'לעדכן בסינתזה דאטה אריזה 42+24'!$A:$C,3,0)</f>
        <v>#N/A</v>
      </c>
    </row>
    <row r="148" spans="4:18" x14ac:dyDescent="0.2">
      <c r="D148" s="4"/>
      <c r="G148" s="5"/>
      <c r="H148" s="5"/>
      <c r="I148" s="4"/>
      <c r="J148" s="4"/>
      <c r="K148" s="5"/>
      <c r="Q148" s="78" t="e">
        <f>VLOOKUP(A148,'גיליון דאטה להכל'!A:H,5,0)</f>
        <v>#N/A</v>
      </c>
      <c r="R148" s="78" t="e">
        <f>VLOOKUP(A148,'לעדכן בסינתזה דאטה אריזה 42+24'!$A:$C,3,0)</f>
        <v>#N/A</v>
      </c>
    </row>
    <row r="149" spans="4:18" x14ac:dyDescent="0.2">
      <c r="D149" s="4"/>
      <c r="G149" s="5"/>
      <c r="H149" s="5"/>
      <c r="I149" s="4"/>
      <c r="J149" s="4"/>
      <c r="K149" s="5"/>
      <c r="Q149" s="78" t="e">
        <f>VLOOKUP(A149,'גיליון דאטה להכל'!A:H,5,0)</f>
        <v>#N/A</v>
      </c>
      <c r="R149" s="78" t="e">
        <f>VLOOKUP(A149,'לעדכן בסינתזה דאטה אריזה 42+24'!$A:$C,3,0)</f>
        <v>#N/A</v>
      </c>
    </row>
    <row r="150" spans="4:18" x14ac:dyDescent="0.2">
      <c r="D150" s="4"/>
      <c r="G150" s="5"/>
      <c r="H150" s="5"/>
      <c r="I150" s="4"/>
      <c r="J150" s="4"/>
      <c r="K150" s="5"/>
      <c r="Q150" s="78" t="e">
        <f>VLOOKUP(A150,'גיליון דאטה להכל'!A:H,5,0)</f>
        <v>#N/A</v>
      </c>
      <c r="R150" s="78" t="e">
        <f>VLOOKUP(A150,'לעדכן בסינתזה דאטה אריזה 42+24'!$A:$C,3,0)</f>
        <v>#N/A</v>
      </c>
    </row>
    <row r="151" spans="4:18" x14ac:dyDescent="0.2">
      <c r="D151" s="4"/>
      <c r="G151" s="5"/>
      <c r="H151" s="5"/>
      <c r="I151" s="4"/>
      <c r="J151" s="4"/>
      <c r="K151" s="5"/>
      <c r="Q151" s="78" t="e">
        <f>VLOOKUP(A151,'גיליון דאטה להכל'!A:H,5,0)</f>
        <v>#N/A</v>
      </c>
      <c r="R151" s="78" t="e">
        <f>VLOOKUP(A151,'לעדכן בסינתזה דאטה אריזה 42+24'!$A:$C,3,0)</f>
        <v>#N/A</v>
      </c>
    </row>
    <row r="152" spans="4:18" x14ac:dyDescent="0.2">
      <c r="D152" s="4"/>
      <c r="G152" s="5"/>
      <c r="H152" s="5"/>
      <c r="I152" s="4"/>
      <c r="J152" s="4"/>
      <c r="K152" s="5"/>
      <c r="Q152" s="78" t="e">
        <f>VLOOKUP(A152,'גיליון דאטה להכל'!A:H,5,0)</f>
        <v>#N/A</v>
      </c>
      <c r="R152" s="78" t="e">
        <f>VLOOKUP(A152,'לעדכן בסינתזה דאטה אריזה 42+24'!$A:$C,3,0)</f>
        <v>#N/A</v>
      </c>
    </row>
    <row r="153" spans="4:18" x14ac:dyDescent="0.2">
      <c r="D153" s="4"/>
      <c r="G153" s="5"/>
      <c r="H153" s="5"/>
      <c r="I153" s="4"/>
      <c r="J153" s="4"/>
      <c r="K153" s="5"/>
      <c r="Q153" s="78" t="e">
        <f>VLOOKUP(A153,'גיליון דאטה להכל'!A:H,5,0)</f>
        <v>#N/A</v>
      </c>
      <c r="R153" s="78" t="e">
        <f>VLOOKUP(A153,'לעדכן בסינתזה דאטה אריזה 42+24'!$A:$C,3,0)</f>
        <v>#N/A</v>
      </c>
    </row>
    <row r="154" spans="4:18" x14ac:dyDescent="0.2">
      <c r="D154" s="4"/>
      <c r="G154" s="5"/>
      <c r="H154" s="5"/>
      <c r="I154" s="4"/>
      <c r="J154" s="4"/>
      <c r="K154" s="5"/>
      <c r="Q154" s="78" t="e">
        <f>VLOOKUP(A154,'גיליון דאטה להכל'!A:H,5,0)</f>
        <v>#N/A</v>
      </c>
      <c r="R154" s="78" t="e">
        <f>VLOOKUP(A154,'לעדכן בסינתזה דאטה אריזה 42+24'!$A:$C,3,0)</f>
        <v>#N/A</v>
      </c>
    </row>
    <row r="155" spans="4:18" x14ac:dyDescent="0.2">
      <c r="D155" s="4"/>
      <c r="G155" s="5"/>
      <c r="H155" s="5"/>
      <c r="I155" s="4"/>
      <c r="J155" s="4"/>
      <c r="K155" s="5"/>
      <c r="Q155" s="78" t="e">
        <f>VLOOKUP(A155,'גיליון דאטה להכל'!A:H,5,0)</f>
        <v>#N/A</v>
      </c>
      <c r="R155" s="78" t="e">
        <f>VLOOKUP(A155,'לעדכן בסינתזה דאטה אריזה 42+24'!$A:$C,3,0)</f>
        <v>#N/A</v>
      </c>
    </row>
    <row r="156" spans="4:18" x14ac:dyDescent="0.2">
      <c r="D156" s="4"/>
      <c r="G156" s="5"/>
      <c r="H156" s="5"/>
      <c r="I156" s="4"/>
      <c r="J156" s="4"/>
      <c r="K156" s="5"/>
      <c r="Q156" s="78" t="e">
        <f>VLOOKUP(A156,'גיליון דאטה להכל'!A:H,5,0)</f>
        <v>#N/A</v>
      </c>
      <c r="R156" s="78" t="e">
        <f>VLOOKUP(A156,'לעדכן בסינתזה דאטה אריזה 42+24'!$A:$C,3,0)</f>
        <v>#N/A</v>
      </c>
    </row>
    <row r="157" spans="4:18" x14ac:dyDescent="0.2">
      <c r="D157" s="4"/>
      <c r="G157" s="5"/>
      <c r="H157" s="5"/>
      <c r="I157" s="4"/>
      <c r="J157" s="4"/>
      <c r="K157" s="5"/>
      <c r="Q157" s="78" t="e">
        <f>VLOOKUP(A157,'גיליון דאטה להכל'!A:H,5,0)</f>
        <v>#N/A</v>
      </c>
      <c r="R157" s="78" t="e">
        <f>VLOOKUP(A157,'לעדכן בסינתזה דאטה אריזה 42+24'!$A:$C,3,0)</f>
        <v>#N/A</v>
      </c>
    </row>
    <row r="158" spans="4:18" x14ac:dyDescent="0.2">
      <c r="D158" s="4"/>
      <c r="G158" s="5"/>
      <c r="H158" s="5"/>
      <c r="I158" s="4"/>
      <c r="J158" s="4"/>
      <c r="K158" s="5"/>
      <c r="Q158" s="78" t="e">
        <f>VLOOKUP(A158,'גיליון דאטה להכל'!A:H,5,0)</f>
        <v>#N/A</v>
      </c>
      <c r="R158" s="78" t="e">
        <f>VLOOKUP(A158,'לעדכן בסינתזה דאטה אריזה 42+24'!$A:$C,3,0)</f>
        <v>#N/A</v>
      </c>
    </row>
    <row r="159" spans="4:18" x14ac:dyDescent="0.2">
      <c r="D159" s="4"/>
      <c r="G159" s="5"/>
      <c r="H159" s="5"/>
      <c r="I159" s="4"/>
      <c r="J159" s="4"/>
      <c r="K159" s="5"/>
      <c r="Q159" s="78" t="e">
        <f>VLOOKUP(A159,'גיליון דאטה להכל'!A:H,5,0)</f>
        <v>#N/A</v>
      </c>
      <c r="R159" s="78" t="e">
        <f>VLOOKUP(A159,'לעדכן בסינתזה דאטה אריזה 42+24'!$A:$C,3,0)</f>
        <v>#N/A</v>
      </c>
    </row>
    <row r="160" spans="4:18" x14ac:dyDescent="0.2">
      <c r="D160" s="4"/>
      <c r="G160" s="5"/>
      <c r="H160" s="5"/>
      <c r="I160" s="4"/>
      <c r="J160" s="4"/>
      <c r="K160" s="5"/>
      <c r="Q160" s="78" t="e">
        <f>VLOOKUP(A160,'גיליון דאטה להכל'!A:H,5,0)</f>
        <v>#N/A</v>
      </c>
      <c r="R160" s="78" t="e">
        <f>VLOOKUP(A160,'לעדכן בסינתזה דאטה אריזה 42+24'!$A:$C,3,0)</f>
        <v>#N/A</v>
      </c>
    </row>
    <row r="161" spans="4:18" x14ac:dyDescent="0.2">
      <c r="D161" s="4"/>
      <c r="G161" s="5"/>
      <c r="H161" s="5"/>
      <c r="I161" s="4"/>
      <c r="J161" s="4"/>
      <c r="K161" s="5"/>
      <c r="Q161" s="78" t="e">
        <f>VLOOKUP(A161,'גיליון דאטה להכל'!A:H,5,0)</f>
        <v>#N/A</v>
      </c>
      <c r="R161" s="78" t="e">
        <f>VLOOKUP(A161,'לעדכן בסינתזה דאטה אריזה 42+24'!$A:$C,3,0)</f>
        <v>#N/A</v>
      </c>
    </row>
    <row r="162" spans="4:18" x14ac:dyDescent="0.2">
      <c r="D162" s="4"/>
      <c r="G162" s="5"/>
      <c r="H162" s="5"/>
      <c r="I162" s="4"/>
      <c r="J162" s="4"/>
      <c r="K162" s="5"/>
      <c r="Q162" s="78" t="e">
        <f>VLOOKUP(A162,'גיליון דאטה להכל'!A:H,5,0)</f>
        <v>#N/A</v>
      </c>
      <c r="R162" s="78" t="e">
        <f>VLOOKUP(A162,'לעדכן בסינתזה דאטה אריזה 42+24'!$A:$C,3,0)</f>
        <v>#N/A</v>
      </c>
    </row>
    <row r="163" spans="4:18" x14ac:dyDescent="0.2">
      <c r="D163" s="4"/>
      <c r="G163" s="5"/>
      <c r="H163" s="5"/>
      <c r="I163" s="4"/>
      <c r="J163" s="4"/>
      <c r="K163" s="5"/>
      <c r="Q163" s="78" t="e">
        <f>VLOOKUP(A163,'גיליון דאטה להכל'!A:H,5,0)</f>
        <v>#N/A</v>
      </c>
      <c r="R163" s="78" t="e">
        <f>VLOOKUP(A163,'לעדכן בסינתזה דאטה אריזה 42+24'!$A:$C,3,0)</f>
        <v>#N/A</v>
      </c>
    </row>
    <row r="164" spans="4:18" x14ac:dyDescent="0.2">
      <c r="D164" s="4"/>
      <c r="G164" s="5"/>
      <c r="H164" s="5"/>
      <c r="I164" s="4"/>
      <c r="J164" s="4"/>
      <c r="K164" s="5"/>
      <c r="Q164" s="78" t="e">
        <f>VLOOKUP(A164,'גיליון דאטה להכל'!A:H,5,0)</f>
        <v>#N/A</v>
      </c>
      <c r="R164" s="78" t="e">
        <f>VLOOKUP(A164,'לעדכן בסינתזה דאטה אריזה 42+24'!$A:$C,3,0)</f>
        <v>#N/A</v>
      </c>
    </row>
    <row r="165" spans="4:18" x14ac:dyDescent="0.2">
      <c r="D165" s="4"/>
      <c r="G165" s="5"/>
      <c r="H165" s="5"/>
      <c r="I165" s="4"/>
      <c r="J165" s="4"/>
      <c r="K165" s="5"/>
      <c r="Q165" s="78" t="e">
        <f>VLOOKUP(A165,'גיליון דאטה להכל'!A:H,5,0)</f>
        <v>#N/A</v>
      </c>
      <c r="R165" s="78" t="e">
        <f>VLOOKUP(A165,'לעדכן בסינתזה דאטה אריזה 42+24'!$A:$C,3,0)</f>
        <v>#N/A</v>
      </c>
    </row>
    <row r="166" spans="4:18" x14ac:dyDescent="0.2">
      <c r="D166" s="4"/>
      <c r="G166" s="5"/>
      <c r="H166" s="5"/>
      <c r="I166" s="4"/>
      <c r="J166" s="4"/>
      <c r="K166" s="5"/>
      <c r="Q166" s="78" t="e">
        <f>VLOOKUP(A166,'גיליון דאטה להכל'!A:H,5,0)</f>
        <v>#N/A</v>
      </c>
      <c r="R166" s="78" t="e">
        <f>VLOOKUP(A166,'לעדכן בסינתזה דאטה אריזה 42+24'!$A:$C,3,0)</f>
        <v>#N/A</v>
      </c>
    </row>
    <row r="167" spans="4:18" x14ac:dyDescent="0.2">
      <c r="D167" s="4"/>
      <c r="G167" s="5"/>
      <c r="H167" s="5"/>
      <c r="I167" s="4"/>
      <c r="J167" s="4"/>
      <c r="K167" s="5"/>
      <c r="Q167" s="78" t="e">
        <f>VLOOKUP(A167,'גיליון דאטה להכל'!A:H,5,0)</f>
        <v>#N/A</v>
      </c>
      <c r="R167" s="78" t="e">
        <f>VLOOKUP(A167,'לעדכן בסינתזה דאטה אריזה 42+24'!$A:$C,3,0)</f>
        <v>#N/A</v>
      </c>
    </row>
    <row r="168" spans="4:18" x14ac:dyDescent="0.2">
      <c r="D168" s="4"/>
      <c r="G168" s="5"/>
      <c r="H168" s="5"/>
      <c r="I168" s="4"/>
      <c r="J168" s="4"/>
      <c r="K168" s="5"/>
      <c r="Q168" s="78" t="e">
        <f>VLOOKUP(A168,'גיליון דאטה להכל'!A:H,5,0)</f>
        <v>#N/A</v>
      </c>
      <c r="R168" s="78" t="e">
        <f>VLOOKUP(A168,'לעדכן בסינתזה דאטה אריזה 42+24'!$A:$C,3,0)</f>
        <v>#N/A</v>
      </c>
    </row>
    <row r="169" spans="4:18" x14ac:dyDescent="0.2">
      <c r="D169" s="4"/>
      <c r="G169" s="5"/>
      <c r="H169" s="5"/>
      <c r="I169" s="4"/>
      <c r="J169" s="4"/>
      <c r="K169" s="5"/>
      <c r="Q169" s="78" t="e">
        <f>VLOOKUP(A169,'גיליון דאטה להכל'!A:H,5,0)</f>
        <v>#N/A</v>
      </c>
      <c r="R169" s="78" t="e">
        <f>VLOOKUP(A169,'לעדכן בסינתזה דאטה אריזה 42+24'!$A:$C,3,0)</f>
        <v>#N/A</v>
      </c>
    </row>
    <row r="170" spans="4:18" x14ac:dyDescent="0.2">
      <c r="D170" s="4"/>
      <c r="G170" s="5"/>
      <c r="H170" s="5"/>
      <c r="I170" s="4"/>
      <c r="J170" s="4"/>
      <c r="K170" s="5"/>
      <c r="Q170" s="78" t="e">
        <f>VLOOKUP(A170,'גיליון דאטה להכל'!A:H,5,0)</f>
        <v>#N/A</v>
      </c>
      <c r="R170" s="78" t="e">
        <f>VLOOKUP(A170,'לעדכן בסינתזה דאטה אריזה 42+24'!$A:$C,3,0)</f>
        <v>#N/A</v>
      </c>
    </row>
    <row r="171" spans="4:18" x14ac:dyDescent="0.2">
      <c r="D171" s="4"/>
      <c r="G171" s="5"/>
      <c r="H171" s="5"/>
      <c r="I171" s="4"/>
      <c r="J171" s="4"/>
      <c r="K171" s="5"/>
      <c r="Q171" s="78" t="e">
        <f>VLOOKUP(A171,'גיליון דאטה להכל'!A:H,5,0)</f>
        <v>#N/A</v>
      </c>
      <c r="R171" s="78" t="e">
        <f>VLOOKUP(A171,'לעדכן בסינתזה דאטה אריזה 42+24'!$A:$C,3,0)</f>
        <v>#N/A</v>
      </c>
    </row>
    <row r="172" spans="4:18" x14ac:dyDescent="0.2">
      <c r="D172" s="4"/>
      <c r="G172" s="5"/>
      <c r="H172" s="5"/>
      <c r="I172" s="4"/>
      <c r="J172" s="4"/>
      <c r="K172" s="5"/>
      <c r="Q172" s="78" t="e">
        <f>VLOOKUP(A172,'גיליון דאטה להכל'!A:H,5,0)</f>
        <v>#N/A</v>
      </c>
      <c r="R172" s="78" t="e">
        <f>VLOOKUP(A172,'לעדכן בסינתזה דאטה אריזה 42+24'!$A:$C,3,0)</f>
        <v>#N/A</v>
      </c>
    </row>
    <row r="173" spans="4:18" x14ac:dyDescent="0.2">
      <c r="D173" s="4"/>
      <c r="G173" s="5"/>
      <c r="H173" s="5"/>
      <c r="I173" s="4"/>
      <c r="J173" s="4"/>
      <c r="K173" s="5"/>
      <c r="Q173" s="78" t="e">
        <f>VLOOKUP(A173,'גיליון דאטה להכל'!A:H,5,0)</f>
        <v>#N/A</v>
      </c>
      <c r="R173" s="78" t="e">
        <f>VLOOKUP(A173,'לעדכן בסינתזה דאטה אריזה 42+24'!$A:$C,3,0)</f>
        <v>#N/A</v>
      </c>
    </row>
    <row r="174" spans="4:18" x14ac:dyDescent="0.2">
      <c r="D174" s="4"/>
      <c r="G174" s="5"/>
      <c r="H174" s="5"/>
      <c r="I174" s="4"/>
      <c r="J174" s="4"/>
      <c r="K174" s="5"/>
      <c r="Q174" s="78" t="e">
        <f>VLOOKUP(A174,'גיליון דאטה להכל'!A:H,5,0)</f>
        <v>#N/A</v>
      </c>
      <c r="R174" s="78" t="e">
        <f>VLOOKUP(A174,'לעדכן בסינתזה דאטה אריזה 42+24'!$A:$C,3,0)</f>
        <v>#N/A</v>
      </c>
    </row>
    <row r="175" spans="4:18" x14ac:dyDescent="0.2">
      <c r="D175" s="4"/>
      <c r="G175" s="5"/>
      <c r="H175" s="5"/>
      <c r="I175" s="4"/>
      <c r="J175" s="4"/>
      <c r="K175" s="5"/>
      <c r="Q175" s="78" t="e">
        <f>VLOOKUP(A175,'גיליון דאטה להכל'!A:H,5,0)</f>
        <v>#N/A</v>
      </c>
      <c r="R175" s="78" t="e">
        <f>VLOOKUP(A175,'לעדכן בסינתזה דאטה אריזה 42+24'!$A:$C,3,0)</f>
        <v>#N/A</v>
      </c>
    </row>
    <row r="176" spans="4:18" x14ac:dyDescent="0.2">
      <c r="D176" s="4"/>
      <c r="G176" s="5"/>
      <c r="H176" s="5"/>
      <c r="I176" s="4"/>
      <c r="J176" s="4"/>
      <c r="K176" s="5"/>
      <c r="Q176" s="78" t="e">
        <f>VLOOKUP(A176,'גיליון דאטה להכל'!A:H,5,0)</f>
        <v>#N/A</v>
      </c>
      <c r="R176" s="78" t="e">
        <f>VLOOKUP(A176,'לעדכן בסינתזה דאטה אריזה 42+24'!$A:$C,3,0)</f>
        <v>#N/A</v>
      </c>
    </row>
    <row r="177" spans="4:18" x14ac:dyDescent="0.2">
      <c r="D177" s="4"/>
      <c r="G177" s="5"/>
      <c r="H177" s="5"/>
      <c r="I177" s="4"/>
      <c r="J177" s="4"/>
      <c r="K177" s="5"/>
      <c r="Q177" s="78" t="e">
        <f>VLOOKUP(A177,'גיליון דאטה להכל'!A:H,5,0)</f>
        <v>#N/A</v>
      </c>
      <c r="R177" s="78" t="e">
        <f>VLOOKUP(A177,'לעדכן בסינתזה דאטה אריזה 42+24'!$A:$C,3,0)</f>
        <v>#N/A</v>
      </c>
    </row>
    <row r="178" spans="4:18" x14ac:dyDescent="0.2">
      <c r="D178" s="4"/>
      <c r="G178" s="5"/>
      <c r="H178" s="5"/>
      <c r="I178" s="4"/>
      <c r="J178" s="4"/>
      <c r="K178" s="5"/>
      <c r="Q178" s="78" t="e">
        <f>VLOOKUP(A178,'גיליון דאטה להכל'!A:H,5,0)</f>
        <v>#N/A</v>
      </c>
      <c r="R178" s="78" t="e">
        <f>VLOOKUP(A178,'לעדכן בסינתזה דאטה אריזה 42+24'!$A:$C,3,0)</f>
        <v>#N/A</v>
      </c>
    </row>
    <row r="179" spans="4:18" x14ac:dyDescent="0.2">
      <c r="D179" s="4"/>
      <c r="G179" s="5"/>
      <c r="H179" s="5"/>
      <c r="I179" s="4"/>
      <c r="J179" s="4"/>
      <c r="K179" s="5"/>
      <c r="Q179" s="78" t="e">
        <f>VLOOKUP(A179,'גיליון דאטה להכל'!A:H,5,0)</f>
        <v>#N/A</v>
      </c>
      <c r="R179" s="78" t="e">
        <f>VLOOKUP(A179,'לעדכן בסינתזה דאטה אריזה 42+24'!$A:$C,3,0)</f>
        <v>#N/A</v>
      </c>
    </row>
    <row r="180" spans="4:18" x14ac:dyDescent="0.2">
      <c r="D180" s="4"/>
      <c r="G180" s="5"/>
      <c r="H180" s="5"/>
      <c r="I180" s="4"/>
      <c r="J180" s="4"/>
      <c r="K180" s="5"/>
      <c r="Q180" s="78" t="e">
        <f>VLOOKUP(A180,'גיליון דאטה להכל'!A:H,5,0)</f>
        <v>#N/A</v>
      </c>
      <c r="R180" s="78" t="e">
        <f>VLOOKUP(A180,'לעדכן בסינתזה דאטה אריזה 42+24'!$A:$C,3,0)</f>
        <v>#N/A</v>
      </c>
    </row>
    <row r="181" spans="4:18" x14ac:dyDescent="0.2">
      <c r="D181" s="4"/>
      <c r="G181" s="5"/>
      <c r="H181" s="5"/>
      <c r="I181" s="4"/>
      <c r="J181" s="4"/>
      <c r="K181" s="5"/>
      <c r="Q181" s="78" t="e">
        <f>VLOOKUP(A181,'גיליון דאטה להכל'!A:H,5,0)</f>
        <v>#N/A</v>
      </c>
      <c r="R181" s="78" t="e">
        <f>VLOOKUP(A181,'לעדכן בסינתזה דאטה אריזה 42+24'!$A:$C,3,0)</f>
        <v>#N/A</v>
      </c>
    </row>
    <row r="182" spans="4:18" x14ac:dyDescent="0.2">
      <c r="D182" s="4"/>
      <c r="G182" s="5"/>
      <c r="H182" s="5"/>
      <c r="I182" s="4"/>
      <c r="J182" s="4"/>
      <c r="K182" s="5"/>
      <c r="Q182" s="78" t="e">
        <f>VLOOKUP(A182,'גיליון דאטה להכל'!A:H,5,0)</f>
        <v>#N/A</v>
      </c>
      <c r="R182" s="78" t="e">
        <f>VLOOKUP(A182,'לעדכן בסינתזה דאטה אריזה 42+24'!$A:$C,3,0)</f>
        <v>#N/A</v>
      </c>
    </row>
    <row r="183" spans="4:18" x14ac:dyDescent="0.2">
      <c r="D183" s="4"/>
      <c r="G183" s="5"/>
      <c r="H183" s="5"/>
      <c r="I183" s="4"/>
      <c r="J183" s="4"/>
      <c r="K183" s="5"/>
      <c r="Q183" s="78" t="e">
        <f>VLOOKUP(A183,'גיליון דאטה להכל'!A:H,5,0)</f>
        <v>#N/A</v>
      </c>
      <c r="R183" s="78" t="e">
        <f>VLOOKUP(A183,'לעדכן בסינתזה דאטה אריזה 42+24'!$A:$C,3,0)</f>
        <v>#N/A</v>
      </c>
    </row>
    <row r="184" spans="4:18" x14ac:dyDescent="0.2">
      <c r="D184" s="4"/>
      <c r="G184" s="5"/>
      <c r="H184" s="5"/>
      <c r="I184" s="4"/>
      <c r="J184" s="4"/>
      <c r="K184" s="5"/>
      <c r="Q184" s="78" t="e">
        <f>VLOOKUP(A184,'גיליון דאטה להכל'!A:H,5,0)</f>
        <v>#N/A</v>
      </c>
      <c r="R184" s="78" t="e">
        <f>VLOOKUP(A184,'לעדכן בסינתזה דאטה אריזה 42+24'!$A:$C,3,0)</f>
        <v>#N/A</v>
      </c>
    </row>
    <row r="185" spans="4:18" x14ac:dyDescent="0.2">
      <c r="D185" s="4"/>
      <c r="G185" s="5"/>
      <c r="H185" s="5"/>
      <c r="I185" s="4"/>
      <c r="J185" s="4"/>
      <c r="K185" s="5"/>
      <c r="Q185" s="78" t="e">
        <f>VLOOKUP(A185,'גיליון דאטה להכל'!A:H,5,0)</f>
        <v>#N/A</v>
      </c>
      <c r="R185" s="78" t="e">
        <f>VLOOKUP(A185,'לעדכן בסינתזה דאטה אריזה 42+24'!$A:$C,3,0)</f>
        <v>#N/A</v>
      </c>
    </row>
    <row r="186" spans="4:18" x14ac:dyDescent="0.2">
      <c r="D186" s="4"/>
      <c r="G186" s="5"/>
      <c r="H186" s="5"/>
      <c r="I186" s="4"/>
      <c r="J186" s="4"/>
      <c r="K186" s="5"/>
      <c r="Q186" s="78" t="e">
        <f>VLOOKUP(A186,'גיליון דאטה להכל'!A:H,5,0)</f>
        <v>#N/A</v>
      </c>
      <c r="R186" s="78" t="e">
        <f>VLOOKUP(A186,'לעדכן בסינתזה דאטה אריזה 42+24'!$A:$C,3,0)</f>
        <v>#N/A</v>
      </c>
    </row>
    <row r="187" spans="4:18" x14ac:dyDescent="0.2">
      <c r="D187" s="4"/>
      <c r="G187" s="5"/>
      <c r="H187" s="5"/>
      <c r="I187" s="4"/>
      <c r="J187" s="4"/>
      <c r="K187" s="5"/>
      <c r="Q187" s="78" t="e">
        <f>VLOOKUP(A187,'גיליון דאטה להכל'!A:H,5,0)</f>
        <v>#N/A</v>
      </c>
      <c r="R187" s="78" t="e">
        <f>VLOOKUP(A187,'לעדכן בסינתזה דאטה אריזה 42+24'!$A:$C,3,0)</f>
        <v>#N/A</v>
      </c>
    </row>
    <row r="188" spans="4:18" x14ac:dyDescent="0.2">
      <c r="D188" s="4"/>
      <c r="G188" s="5"/>
      <c r="H188" s="5"/>
      <c r="I188" s="4"/>
      <c r="J188" s="4"/>
      <c r="K188" s="5"/>
      <c r="Q188" s="78" t="e">
        <f>VLOOKUP(A188,'גיליון דאטה להכל'!A:H,5,0)</f>
        <v>#N/A</v>
      </c>
      <c r="R188" s="78" t="e">
        <f>VLOOKUP(A188,'לעדכן בסינתזה דאטה אריזה 42+24'!$A:$C,3,0)</f>
        <v>#N/A</v>
      </c>
    </row>
    <row r="189" spans="4:18" x14ac:dyDescent="0.2">
      <c r="D189" s="4"/>
      <c r="G189" s="5"/>
      <c r="H189" s="5"/>
      <c r="I189" s="4"/>
      <c r="J189" s="4"/>
      <c r="K189" s="5"/>
      <c r="Q189" s="78" t="e">
        <f>VLOOKUP(A189,'גיליון דאטה להכל'!A:H,5,0)</f>
        <v>#N/A</v>
      </c>
      <c r="R189" s="78" t="e">
        <f>VLOOKUP(A189,'לעדכן בסינתזה דאטה אריזה 42+24'!$A:$C,3,0)</f>
        <v>#N/A</v>
      </c>
    </row>
    <row r="190" spans="4:18" x14ac:dyDescent="0.2">
      <c r="D190" s="4"/>
      <c r="G190" s="5"/>
      <c r="H190" s="5"/>
      <c r="I190" s="4"/>
      <c r="J190" s="4"/>
      <c r="K190" s="5"/>
      <c r="Q190" s="78" t="e">
        <f>VLOOKUP(A190,'גיליון דאטה להכל'!A:H,5,0)</f>
        <v>#N/A</v>
      </c>
      <c r="R190" s="78" t="e">
        <f>VLOOKUP(A190,'לעדכן בסינתזה דאטה אריזה 42+24'!$A:$C,3,0)</f>
        <v>#N/A</v>
      </c>
    </row>
    <row r="191" spans="4:18" x14ac:dyDescent="0.2">
      <c r="D191" s="4"/>
      <c r="G191" s="5"/>
      <c r="H191" s="5"/>
      <c r="I191" s="4"/>
      <c r="J191" s="4"/>
      <c r="K191" s="5"/>
      <c r="Q191" s="78" t="e">
        <f>VLOOKUP(A191,'גיליון דאטה להכל'!A:H,5,0)</f>
        <v>#N/A</v>
      </c>
      <c r="R191" s="78" t="e">
        <f>VLOOKUP(A191,'לעדכן בסינתזה דאטה אריזה 42+24'!$A:$C,3,0)</f>
        <v>#N/A</v>
      </c>
    </row>
    <row r="192" spans="4:18" x14ac:dyDescent="0.2">
      <c r="D192" s="4"/>
      <c r="G192" s="5"/>
      <c r="H192" s="5"/>
      <c r="I192" s="4"/>
      <c r="J192" s="4"/>
      <c r="K192" s="5"/>
      <c r="Q192" s="78" t="e">
        <f>VLOOKUP(A192,'גיליון דאטה להכל'!A:H,5,0)</f>
        <v>#N/A</v>
      </c>
      <c r="R192" s="78" t="e">
        <f>VLOOKUP(A192,'לעדכן בסינתזה דאטה אריזה 42+24'!$A:$C,3,0)</f>
        <v>#N/A</v>
      </c>
    </row>
    <row r="193" spans="4:18" x14ac:dyDescent="0.2">
      <c r="D193" s="4"/>
      <c r="G193" s="5"/>
      <c r="H193" s="5"/>
      <c r="I193" s="4"/>
      <c r="J193" s="4"/>
      <c r="K193" s="5"/>
      <c r="Q193" s="78" t="e">
        <f>VLOOKUP(A193,'גיליון דאטה להכל'!A:H,5,0)</f>
        <v>#N/A</v>
      </c>
      <c r="R193" s="78" t="e">
        <f>VLOOKUP(A193,'לעדכן בסינתזה דאטה אריזה 42+24'!$A:$C,3,0)</f>
        <v>#N/A</v>
      </c>
    </row>
    <row r="194" spans="4:18" x14ac:dyDescent="0.2">
      <c r="D194" s="4"/>
      <c r="G194" s="5"/>
      <c r="H194" s="5"/>
      <c r="I194" s="4"/>
      <c r="J194" s="4"/>
      <c r="K194" s="5"/>
      <c r="Q194" s="78" t="e">
        <f>VLOOKUP(A194,'גיליון דאטה להכל'!A:H,5,0)</f>
        <v>#N/A</v>
      </c>
      <c r="R194" s="78" t="e">
        <f>VLOOKUP(A194,'לעדכן בסינתזה דאטה אריזה 42+24'!$A:$C,3,0)</f>
        <v>#N/A</v>
      </c>
    </row>
    <row r="195" spans="4:18" x14ac:dyDescent="0.2">
      <c r="D195" s="4"/>
      <c r="G195" s="5"/>
      <c r="H195" s="5"/>
      <c r="I195" s="4"/>
      <c r="J195" s="4"/>
      <c r="K195" s="5"/>
      <c r="Q195" s="78" t="e">
        <f>VLOOKUP(A195,'גיליון דאטה להכל'!A:H,5,0)</f>
        <v>#N/A</v>
      </c>
      <c r="R195" s="78" t="e">
        <f>VLOOKUP(A195,'לעדכן בסינתזה דאטה אריזה 42+24'!$A:$C,3,0)</f>
        <v>#N/A</v>
      </c>
    </row>
    <row r="196" spans="4:18" x14ac:dyDescent="0.2">
      <c r="D196" s="4"/>
      <c r="G196" s="5"/>
      <c r="H196" s="5"/>
      <c r="I196" s="4"/>
      <c r="J196" s="4"/>
      <c r="K196" s="5"/>
      <c r="Q196" s="78" t="e">
        <f>VLOOKUP(A196,'גיליון דאטה להכל'!A:H,5,0)</f>
        <v>#N/A</v>
      </c>
      <c r="R196" s="78" t="e">
        <f>VLOOKUP(A196,'לעדכן בסינתזה דאטה אריזה 42+24'!$A:$C,3,0)</f>
        <v>#N/A</v>
      </c>
    </row>
    <row r="197" spans="4:18" x14ac:dyDescent="0.2">
      <c r="D197" s="4"/>
      <c r="G197" s="5"/>
      <c r="H197" s="5"/>
      <c r="I197" s="4"/>
      <c r="J197" s="4"/>
      <c r="K197" s="5"/>
      <c r="Q197" s="78" t="e">
        <f>VLOOKUP(A197,'גיליון דאטה להכל'!A:H,5,0)</f>
        <v>#N/A</v>
      </c>
      <c r="R197" s="78" t="e">
        <f>VLOOKUP(A197,'לעדכן בסינתזה דאטה אריזה 42+24'!$A:$C,3,0)</f>
        <v>#N/A</v>
      </c>
    </row>
    <row r="198" spans="4:18" x14ac:dyDescent="0.2">
      <c r="D198" s="4"/>
      <c r="G198" s="5"/>
      <c r="H198" s="5"/>
      <c r="I198" s="4"/>
      <c r="J198" s="4"/>
      <c r="K198" s="5"/>
      <c r="Q198" s="78" t="e">
        <f>VLOOKUP(A198,'גיליון דאטה להכל'!A:H,5,0)</f>
        <v>#N/A</v>
      </c>
      <c r="R198" s="78" t="e">
        <f>VLOOKUP(A198,'לעדכן בסינתזה דאטה אריזה 42+24'!$A:$C,3,0)</f>
        <v>#N/A</v>
      </c>
    </row>
    <row r="199" spans="4:18" x14ac:dyDescent="0.2">
      <c r="D199" s="4"/>
      <c r="G199" s="5"/>
      <c r="H199" s="5"/>
      <c r="I199" s="4"/>
      <c r="J199" s="4"/>
      <c r="K199" s="5"/>
      <c r="Q199" s="78" t="e">
        <f>VLOOKUP(A199,'גיליון דאטה להכל'!A:H,5,0)</f>
        <v>#N/A</v>
      </c>
      <c r="R199" s="78" t="e">
        <f>VLOOKUP(A199,'לעדכן בסינתזה דאטה אריזה 42+24'!$A:$C,3,0)</f>
        <v>#N/A</v>
      </c>
    </row>
    <row r="200" spans="4:18" x14ac:dyDescent="0.2">
      <c r="D200" s="4"/>
      <c r="G200" s="5"/>
      <c r="H200" s="5"/>
      <c r="I200" s="4"/>
      <c r="J200" s="4"/>
      <c r="K200" s="5"/>
      <c r="Q200" s="78" t="e">
        <f>VLOOKUP(A200,'גיליון דאטה להכל'!A:H,5,0)</f>
        <v>#N/A</v>
      </c>
      <c r="R200" s="78" t="e">
        <f>VLOOKUP(A200,'לעדכן בסינתזה דאטה אריזה 42+24'!$A:$C,3,0)</f>
        <v>#N/A</v>
      </c>
    </row>
    <row r="201" spans="4:18" x14ac:dyDescent="0.2">
      <c r="D201" s="4"/>
      <c r="G201" s="5"/>
      <c r="H201" s="5"/>
      <c r="I201" s="4"/>
      <c r="J201" s="4"/>
      <c r="K201" s="5"/>
      <c r="Q201" s="78" t="e">
        <f>VLOOKUP(A201,'גיליון דאטה להכל'!A:H,5,0)</f>
        <v>#N/A</v>
      </c>
      <c r="R201" s="78" t="e">
        <f>VLOOKUP(A201,'לעדכן בסינתזה דאטה אריזה 42+24'!$A:$C,3,0)</f>
        <v>#N/A</v>
      </c>
    </row>
    <row r="202" spans="4:18" x14ac:dyDescent="0.2">
      <c r="D202" s="4"/>
      <c r="G202" s="5"/>
      <c r="H202" s="5"/>
      <c r="I202" s="4"/>
      <c r="J202" s="4"/>
      <c r="K202" s="5"/>
      <c r="Q202" s="78" t="e">
        <f>VLOOKUP(A202,'גיליון דאטה להכל'!A:H,5,0)</f>
        <v>#N/A</v>
      </c>
      <c r="R202" s="78" t="e">
        <f>VLOOKUP(A202,'לעדכן בסינתזה דאטה אריזה 42+24'!$A:$C,3,0)</f>
        <v>#N/A</v>
      </c>
    </row>
    <row r="203" spans="4:18" x14ac:dyDescent="0.2">
      <c r="D203" s="4"/>
      <c r="G203" s="5"/>
      <c r="H203" s="5"/>
      <c r="I203" s="4"/>
      <c r="J203" s="4"/>
      <c r="K203" s="5"/>
      <c r="Q203" s="78" t="e">
        <f>VLOOKUP(A203,'גיליון דאטה להכל'!A:H,5,0)</f>
        <v>#N/A</v>
      </c>
      <c r="R203" s="78" t="e">
        <f>VLOOKUP(A203,'לעדכן בסינתזה דאטה אריזה 42+24'!$A:$C,3,0)</f>
        <v>#N/A</v>
      </c>
    </row>
    <row r="204" spans="4:18" x14ac:dyDescent="0.2">
      <c r="D204" s="4"/>
      <c r="G204" s="5"/>
      <c r="H204" s="5"/>
      <c r="I204" s="4"/>
      <c r="J204" s="4"/>
      <c r="K204" s="5"/>
      <c r="Q204" s="78" t="e">
        <f>VLOOKUP(A204,'גיליון דאטה להכל'!A:H,5,0)</f>
        <v>#N/A</v>
      </c>
      <c r="R204" s="78" t="e">
        <f>VLOOKUP(A204,'לעדכן בסינתזה דאטה אריזה 42+24'!$A:$C,3,0)</f>
        <v>#N/A</v>
      </c>
    </row>
    <row r="205" spans="4:18" x14ac:dyDescent="0.2">
      <c r="D205" s="4"/>
      <c r="G205" s="5"/>
      <c r="H205" s="5"/>
      <c r="I205" s="4"/>
      <c r="J205" s="4"/>
      <c r="K205" s="5"/>
      <c r="Q205" s="78" t="e">
        <f>VLOOKUP(A205,'גיליון דאטה להכל'!A:H,5,0)</f>
        <v>#N/A</v>
      </c>
      <c r="R205" s="78" t="e">
        <f>VLOOKUP(A205,'לעדכן בסינתזה דאטה אריזה 42+24'!$A:$C,3,0)</f>
        <v>#N/A</v>
      </c>
    </row>
    <row r="206" spans="4:18" x14ac:dyDescent="0.2">
      <c r="D206" s="4"/>
      <c r="G206" s="5"/>
      <c r="H206" s="5"/>
      <c r="I206" s="4"/>
      <c r="J206" s="4"/>
      <c r="K206" s="5"/>
      <c r="Q206" s="78" t="e">
        <f>VLOOKUP(A206,'גיליון דאטה להכל'!A:H,5,0)</f>
        <v>#N/A</v>
      </c>
      <c r="R206" s="78" t="e">
        <f>VLOOKUP(A206,'לעדכן בסינתזה דאטה אריזה 42+24'!$A:$C,3,0)</f>
        <v>#N/A</v>
      </c>
    </row>
    <row r="207" spans="4:18" x14ac:dyDescent="0.2">
      <c r="D207" s="4"/>
      <c r="G207" s="5"/>
      <c r="H207" s="5"/>
      <c r="I207" s="4"/>
      <c r="J207" s="4"/>
      <c r="K207" s="5"/>
      <c r="Q207" s="78" t="e">
        <f>VLOOKUP(A207,'גיליון דאטה להכל'!A:H,5,0)</f>
        <v>#N/A</v>
      </c>
      <c r="R207" s="78" t="e">
        <f>VLOOKUP(A207,'לעדכן בסינתזה דאטה אריזה 42+24'!$A:$C,3,0)</f>
        <v>#N/A</v>
      </c>
    </row>
    <row r="208" spans="4:18" x14ac:dyDescent="0.2">
      <c r="D208" s="4"/>
      <c r="G208" s="5"/>
      <c r="H208" s="5"/>
      <c r="I208" s="4"/>
      <c r="J208" s="4"/>
      <c r="K208" s="5"/>
      <c r="Q208" s="78" t="e">
        <f>VLOOKUP(A208,'גיליון דאטה להכל'!A:H,5,0)</f>
        <v>#N/A</v>
      </c>
      <c r="R208" s="78" t="e">
        <f>VLOOKUP(A208,'לעדכן בסינתזה דאטה אריזה 42+24'!$A:$C,3,0)</f>
        <v>#N/A</v>
      </c>
    </row>
    <row r="209" spans="4:18" x14ac:dyDescent="0.2">
      <c r="D209" s="4"/>
      <c r="G209" s="5"/>
      <c r="H209" s="5"/>
      <c r="I209" s="4"/>
      <c r="J209" s="4"/>
      <c r="K209" s="5"/>
      <c r="Q209" s="78" t="e">
        <f>VLOOKUP(A209,'גיליון דאטה להכל'!A:H,5,0)</f>
        <v>#N/A</v>
      </c>
      <c r="R209" s="78" t="e">
        <f>VLOOKUP(A209,'לעדכן בסינתזה דאטה אריזה 42+24'!$A:$C,3,0)</f>
        <v>#N/A</v>
      </c>
    </row>
    <row r="210" spans="4:18" x14ac:dyDescent="0.2">
      <c r="D210" s="4"/>
      <c r="G210" s="5"/>
      <c r="H210" s="5"/>
      <c r="I210" s="4"/>
      <c r="J210" s="4"/>
      <c r="K210" s="5"/>
      <c r="Q210" s="78" t="e">
        <f>VLOOKUP(A210,'גיליון דאטה להכל'!A:H,5,0)</f>
        <v>#N/A</v>
      </c>
      <c r="R210" s="78" t="e">
        <f>VLOOKUP(A210,'לעדכן בסינתזה דאטה אריזה 42+24'!$A:$C,3,0)</f>
        <v>#N/A</v>
      </c>
    </row>
    <row r="211" spans="4:18" x14ac:dyDescent="0.2">
      <c r="D211" s="4"/>
      <c r="G211" s="5"/>
      <c r="H211" s="5"/>
      <c r="I211" s="4"/>
      <c r="J211" s="4"/>
      <c r="K211" s="5"/>
      <c r="Q211" s="78" t="e">
        <f>VLOOKUP(A211,'גיליון דאטה להכל'!A:H,5,0)</f>
        <v>#N/A</v>
      </c>
      <c r="R211" s="78" t="e">
        <f>VLOOKUP(A211,'לעדכן בסינתזה דאטה אריזה 42+24'!$A:$C,3,0)</f>
        <v>#N/A</v>
      </c>
    </row>
    <row r="212" spans="4:18" x14ac:dyDescent="0.2">
      <c r="D212" s="4"/>
      <c r="G212" s="5"/>
      <c r="H212" s="5"/>
      <c r="I212" s="4"/>
      <c r="J212" s="4"/>
      <c r="K212" s="5"/>
      <c r="Q212" s="78" t="e">
        <f>VLOOKUP(A212,'גיליון דאטה להכל'!A:H,5,0)</f>
        <v>#N/A</v>
      </c>
      <c r="R212" s="78" t="e">
        <f>VLOOKUP(A212,'לעדכן בסינתזה דאטה אריזה 42+24'!$A:$C,3,0)</f>
        <v>#N/A</v>
      </c>
    </row>
    <row r="213" spans="4:18" x14ac:dyDescent="0.2">
      <c r="D213" s="4"/>
      <c r="G213" s="5"/>
      <c r="H213" s="5"/>
      <c r="I213" s="4"/>
      <c r="J213" s="4"/>
      <c r="K213" s="5"/>
      <c r="Q213" s="78" t="e">
        <f>VLOOKUP(A213,'גיליון דאטה להכל'!A:H,5,0)</f>
        <v>#N/A</v>
      </c>
      <c r="R213" s="78" t="e">
        <f>VLOOKUP(A213,'לעדכן בסינתזה דאטה אריזה 42+24'!$A:$C,3,0)</f>
        <v>#N/A</v>
      </c>
    </row>
    <row r="214" spans="4:18" x14ac:dyDescent="0.2">
      <c r="D214" s="4"/>
      <c r="G214" s="5"/>
      <c r="H214" s="5"/>
      <c r="I214" s="4"/>
      <c r="J214" s="4"/>
      <c r="K214" s="5"/>
      <c r="Q214" s="78" t="e">
        <f>VLOOKUP(A214,'גיליון דאטה להכל'!A:H,5,0)</f>
        <v>#N/A</v>
      </c>
      <c r="R214" s="78" t="e">
        <f>VLOOKUP(A214,'לעדכן בסינתזה דאטה אריזה 42+24'!$A:$C,3,0)</f>
        <v>#N/A</v>
      </c>
    </row>
    <row r="215" spans="4:18" x14ac:dyDescent="0.2">
      <c r="D215" s="4"/>
      <c r="G215" s="5"/>
      <c r="H215" s="5"/>
      <c r="I215" s="4"/>
      <c r="J215" s="4"/>
      <c r="K215" s="5"/>
      <c r="Q215" s="78" t="e">
        <f>VLOOKUP(A215,'גיליון דאטה להכל'!A:H,5,0)</f>
        <v>#N/A</v>
      </c>
      <c r="R215" s="78" t="e">
        <f>VLOOKUP(A215,'לעדכן בסינתזה דאטה אריזה 42+24'!$A:$C,3,0)</f>
        <v>#N/A</v>
      </c>
    </row>
    <row r="216" spans="4:18" x14ac:dyDescent="0.2">
      <c r="D216" s="4"/>
      <c r="G216" s="5"/>
      <c r="H216" s="5"/>
      <c r="I216" s="4"/>
      <c r="J216" s="4"/>
      <c r="K216" s="5"/>
      <c r="Q216" s="78" t="e">
        <f>VLOOKUP(A216,'גיליון דאטה להכל'!A:H,5,0)</f>
        <v>#N/A</v>
      </c>
      <c r="R216" s="78" t="e">
        <f>VLOOKUP(A216,'לעדכן בסינתזה דאטה אריזה 42+24'!$A:$C,3,0)</f>
        <v>#N/A</v>
      </c>
    </row>
    <row r="217" spans="4:18" x14ac:dyDescent="0.2">
      <c r="D217" s="4"/>
      <c r="G217" s="5"/>
      <c r="H217" s="5"/>
      <c r="I217" s="4"/>
      <c r="J217" s="4"/>
      <c r="K217" s="5"/>
      <c r="Q217" s="78" t="e">
        <f>VLOOKUP(A217,'גיליון דאטה להכל'!A:H,5,0)</f>
        <v>#N/A</v>
      </c>
      <c r="R217" s="78" t="e">
        <f>VLOOKUP(A217,'לעדכן בסינתזה דאטה אריזה 42+24'!$A:$C,3,0)</f>
        <v>#N/A</v>
      </c>
    </row>
    <row r="218" spans="4:18" x14ac:dyDescent="0.2">
      <c r="D218" s="4"/>
      <c r="G218" s="5"/>
      <c r="H218" s="5"/>
      <c r="I218" s="4"/>
      <c r="J218" s="4"/>
      <c r="K218" s="5"/>
      <c r="Q218" s="78" t="e">
        <f>VLOOKUP(A218,'גיליון דאטה להכל'!A:H,5,0)</f>
        <v>#N/A</v>
      </c>
      <c r="R218" s="78" t="e">
        <f>VLOOKUP(A218,'לעדכן בסינתזה דאטה אריזה 42+24'!$A:$C,3,0)</f>
        <v>#N/A</v>
      </c>
    </row>
    <row r="219" spans="4:18" x14ac:dyDescent="0.2">
      <c r="D219" s="4"/>
      <c r="G219" s="5"/>
      <c r="H219" s="5"/>
      <c r="I219" s="4"/>
      <c r="J219" s="4"/>
      <c r="K219" s="5"/>
      <c r="Q219" s="78" t="e">
        <f>VLOOKUP(A219,'גיליון דאטה להכל'!A:H,5,0)</f>
        <v>#N/A</v>
      </c>
      <c r="R219" s="78" t="e">
        <f>VLOOKUP(A219,'לעדכן בסינתזה דאטה אריזה 42+24'!$A:$C,3,0)</f>
        <v>#N/A</v>
      </c>
    </row>
    <row r="220" spans="4:18" x14ac:dyDescent="0.2">
      <c r="D220" s="4"/>
      <c r="G220" s="5"/>
      <c r="H220" s="5"/>
      <c r="I220" s="4"/>
      <c r="J220" s="4"/>
      <c r="K220" s="5"/>
      <c r="Q220" s="78" t="e">
        <f>VLOOKUP(A220,'גיליון דאטה להכל'!A:H,5,0)</f>
        <v>#N/A</v>
      </c>
      <c r="R220" s="78" t="e">
        <f>VLOOKUP(A220,'לעדכן בסינתזה דאטה אריזה 42+24'!$A:$C,3,0)</f>
        <v>#N/A</v>
      </c>
    </row>
    <row r="221" spans="4:18" x14ac:dyDescent="0.2">
      <c r="D221" s="4"/>
      <c r="G221" s="5"/>
      <c r="H221" s="5"/>
      <c r="I221" s="4"/>
      <c r="J221" s="4"/>
      <c r="K221" s="5"/>
      <c r="Q221" s="78" t="e">
        <f>VLOOKUP(A221,'גיליון דאטה להכל'!A:H,5,0)</f>
        <v>#N/A</v>
      </c>
      <c r="R221" s="78" t="e">
        <f>VLOOKUP(A221,'לעדכן בסינתזה דאטה אריזה 42+24'!$A:$C,3,0)</f>
        <v>#N/A</v>
      </c>
    </row>
    <row r="222" spans="4:18" x14ac:dyDescent="0.2">
      <c r="D222" s="4"/>
      <c r="G222" s="5"/>
      <c r="H222" s="5"/>
      <c r="I222" s="4"/>
      <c r="J222" s="4"/>
      <c r="K222" s="5"/>
      <c r="Q222" s="78" t="e">
        <f>VLOOKUP(A222,'גיליון דאטה להכל'!A:H,5,0)</f>
        <v>#N/A</v>
      </c>
      <c r="R222" s="78" t="e">
        <f>VLOOKUP(A222,'לעדכן בסינתזה דאטה אריזה 42+24'!$A:$C,3,0)</f>
        <v>#N/A</v>
      </c>
    </row>
    <row r="223" spans="4:18" x14ac:dyDescent="0.2">
      <c r="D223" s="4"/>
      <c r="G223" s="5"/>
      <c r="H223" s="5"/>
      <c r="I223" s="4"/>
      <c r="J223" s="4"/>
      <c r="K223" s="5"/>
      <c r="Q223" s="78" t="e">
        <f>VLOOKUP(A223,'גיליון דאטה להכל'!A:H,5,0)</f>
        <v>#N/A</v>
      </c>
      <c r="R223" s="78" t="e">
        <f>VLOOKUP(A223,'לעדכן בסינתזה דאטה אריזה 42+24'!$A:$C,3,0)</f>
        <v>#N/A</v>
      </c>
    </row>
    <row r="224" spans="4:18" x14ac:dyDescent="0.2">
      <c r="D224" s="4"/>
      <c r="G224" s="5"/>
      <c r="H224" s="5"/>
      <c r="I224" s="4"/>
      <c r="J224" s="4"/>
      <c r="K224" s="5"/>
      <c r="Q224" s="78" t="e">
        <f>VLOOKUP(A224,'גיליון דאטה להכל'!A:H,5,0)</f>
        <v>#N/A</v>
      </c>
      <c r="R224" s="78" t="e">
        <f>VLOOKUP(A224,'לעדכן בסינתזה דאטה אריזה 42+24'!$A:$C,3,0)</f>
        <v>#N/A</v>
      </c>
    </row>
    <row r="225" spans="4:18" x14ac:dyDescent="0.2">
      <c r="D225" s="4"/>
      <c r="G225" s="5"/>
      <c r="H225" s="5"/>
      <c r="I225" s="4"/>
      <c r="J225" s="4"/>
      <c r="K225" s="5"/>
      <c r="Q225" s="78" t="e">
        <f>VLOOKUP(A225,'גיליון דאטה להכל'!A:H,5,0)</f>
        <v>#N/A</v>
      </c>
      <c r="R225" s="78" t="e">
        <f>VLOOKUP(A225,'לעדכן בסינתזה דאטה אריזה 42+24'!$A:$C,3,0)</f>
        <v>#N/A</v>
      </c>
    </row>
    <row r="226" spans="4:18" x14ac:dyDescent="0.2">
      <c r="D226" s="4"/>
      <c r="G226" s="5"/>
      <c r="H226" s="5"/>
      <c r="I226" s="4"/>
      <c r="J226" s="4"/>
      <c r="K226" s="5"/>
      <c r="Q226" s="78" t="e">
        <f>VLOOKUP(A226,'גיליון דאטה להכל'!A:H,5,0)</f>
        <v>#N/A</v>
      </c>
      <c r="R226" s="78" t="e">
        <f>VLOOKUP(A226,'לעדכן בסינתזה דאטה אריזה 42+24'!$A:$C,3,0)</f>
        <v>#N/A</v>
      </c>
    </row>
    <row r="227" spans="4:18" x14ac:dyDescent="0.2">
      <c r="D227" s="4"/>
      <c r="G227" s="5"/>
      <c r="H227" s="5"/>
      <c r="I227" s="4"/>
      <c r="J227" s="4"/>
      <c r="K227" s="5"/>
      <c r="Q227" s="78" t="e">
        <f>VLOOKUP(A227,'גיליון דאטה להכל'!A:H,5,0)</f>
        <v>#N/A</v>
      </c>
      <c r="R227" s="78" t="e">
        <f>VLOOKUP(A227,'לעדכן בסינתזה דאטה אריזה 42+24'!$A:$C,3,0)</f>
        <v>#N/A</v>
      </c>
    </row>
    <row r="228" spans="4:18" x14ac:dyDescent="0.2">
      <c r="D228" s="4"/>
      <c r="G228" s="5"/>
      <c r="H228" s="5"/>
      <c r="I228" s="4"/>
      <c r="J228" s="4"/>
      <c r="K228" s="5"/>
      <c r="Q228" s="78" t="e">
        <f>VLOOKUP(A228,'גיליון דאטה להכל'!A:H,5,0)</f>
        <v>#N/A</v>
      </c>
      <c r="R228" s="78" t="e">
        <f>VLOOKUP(A228,'לעדכן בסינתזה דאטה אריזה 42+24'!$A:$C,3,0)</f>
        <v>#N/A</v>
      </c>
    </row>
    <row r="229" spans="4:18" x14ac:dyDescent="0.2">
      <c r="D229" s="4"/>
      <c r="G229" s="5"/>
      <c r="H229" s="5"/>
      <c r="I229" s="4"/>
      <c r="J229" s="4"/>
      <c r="K229" s="5"/>
      <c r="Q229" s="78" t="e">
        <f>VLOOKUP(A229,'גיליון דאטה להכל'!A:H,5,0)</f>
        <v>#N/A</v>
      </c>
      <c r="R229" s="78" t="e">
        <f>VLOOKUP(A229,'לעדכן בסינתזה דאטה אריזה 42+24'!$A:$C,3,0)</f>
        <v>#N/A</v>
      </c>
    </row>
    <row r="230" spans="4:18" x14ac:dyDescent="0.2">
      <c r="D230" s="4"/>
      <c r="G230" s="5"/>
      <c r="H230" s="5"/>
      <c r="I230" s="4"/>
      <c r="J230" s="4"/>
      <c r="K230" s="5"/>
      <c r="Q230" s="78" t="e">
        <f>VLOOKUP(A230,'גיליון דאטה להכל'!A:H,5,0)</f>
        <v>#N/A</v>
      </c>
      <c r="R230" s="78" t="e">
        <f>VLOOKUP(A230,'לעדכן בסינתזה דאטה אריזה 42+24'!$A:$C,3,0)</f>
        <v>#N/A</v>
      </c>
    </row>
    <row r="231" spans="4:18" x14ac:dyDescent="0.2">
      <c r="D231" s="4"/>
      <c r="G231" s="5"/>
      <c r="H231" s="5"/>
      <c r="I231" s="4"/>
      <c r="J231" s="4"/>
      <c r="K231" s="5"/>
      <c r="Q231" s="78" t="e">
        <f>VLOOKUP(A231,'גיליון דאטה להכל'!A:H,5,0)</f>
        <v>#N/A</v>
      </c>
      <c r="R231" s="78" t="e">
        <f>VLOOKUP(A231,'לעדכן בסינתזה דאטה אריזה 42+24'!$A:$C,3,0)</f>
        <v>#N/A</v>
      </c>
    </row>
    <row r="232" spans="4:18" x14ac:dyDescent="0.2">
      <c r="D232" s="4"/>
      <c r="G232" s="5"/>
      <c r="H232" s="5"/>
      <c r="I232" s="4"/>
      <c r="J232" s="4"/>
      <c r="K232" s="5"/>
      <c r="Q232" s="78" t="e">
        <f>VLOOKUP(A232,'גיליון דאטה להכל'!A:H,5,0)</f>
        <v>#N/A</v>
      </c>
      <c r="R232" s="78" t="e">
        <f>VLOOKUP(A232,'לעדכן בסינתזה דאטה אריזה 42+24'!$A:$C,3,0)</f>
        <v>#N/A</v>
      </c>
    </row>
    <row r="233" spans="4:18" x14ac:dyDescent="0.2">
      <c r="D233" s="4"/>
      <c r="G233" s="5"/>
      <c r="H233" s="5"/>
      <c r="I233" s="4"/>
      <c r="J233" s="4"/>
      <c r="K233" s="5"/>
      <c r="Q233" s="78" t="e">
        <f>VLOOKUP(A233,'גיליון דאטה להכל'!A:H,5,0)</f>
        <v>#N/A</v>
      </c>
      <c r="R233" s="78" t="e">
        <f>VLOOKUP(A233,'לעדכן בסינתזה דאטה אריזה 42+24'!$A:$C,3,0)</f>
        <v>#N/A</v>
      </c>
    </row>
    <row r="234" spans="4:18" x14ac:dyDescent="0.2">
      <c r="D234" s="4"/>
      <c r="G234" s="5"/>
      <c r="H234" s="5"/>
      <c r="I234" s="4"/>
      <c r="J234" s="4"/>
      <c r="K234" s="5"/>
      <c r="Q234" s="78" t="e">
        <f>VLOOKUP(A234,'גיליון דאטה להכל'!A:H,5,0)</f>
        <v>#N/A</v>
      </c>
      <c r="R234" s="78" t="e">
        <f>VLOOKUP(A234,'לעדכן בסינתזה דאטה אריזה 42+24'!$A:$C,3,0)</f>
        <v>#N/A</v>
      </c>
    </row>
    <row r="235" spans="4:18" x14ac:dyDescent="0.2">
      <c r="D235" s="4"/>
      <c r="G235" s="5"/>
      <c r="H235" s="5"/>
      <c r="I235" s="4"/>
      <c r="J235" s="4"/>
      <c r="K235" s="5"/>
      <c r="Q235" s="78" t="e">
        <f>VLOOKUP(A235,'גיליון דאטה להכל'!A:H,5,0)</f>
        <v>#N/A</v>
      </c>
      <c r="R235" s="78" t="e">
        <f>VLOOKUP(A235,'לעדכן בסינתזה דאטה אריזה 42+24'!$A:$C,3,0)</f>
        <v>#N/A</v>
      </c>
    </row>
    <row r="236" spans="4:18" x14ac:dyDescent="0.2">
      <c r="D236" s="4"/>
      <c r="G236" s="5"/>
      <c r="H236" s="5"/>
      <c r="I236" s="4"/>
      <c r="J236" s="4"/>
      <c r="K236" s="5"/>
      <c r="Q236" s="78" t="e">
        <f>VLOOKUP(A236,'גיליון דאטה להכל'!A:H,5,0)</f>
        <v>#N/A</v>
      </c>
      <c r="R236" s="78" t="e">
        <f>VLOOKUP(A236,'לעדכן בסינתזה דאטה אריזה 42+24'!$A:$C,3,0)</f>
        <v>#N/A</v>
      </c>
    </row>
    <row r="237" spans="4:18" x14ac:dyDescent="0.2">
      <c r="D237" s="4"/>
      <c r="G237" s="5"/>
      <c r="H237" s="5"/>
      <c r="I237" s="4"/>
      <c r="J237" s="4"/>
      <c r="K237" s="5"/>
      <c r="Q237" s="78" t="e">
        <f>VLOOKUP(A237,'גיליון דאטה להכל'!A:H,5,0)</f>
        <v>#N/A</v>
      </c>
      <c r="R237" s="78" t="e">
        <f>VLOOKUP(A237,'לעדכן בסינתזה דאטה אריזה 42+24'!$A:$C,3,0)</f>
        <v>#N/A</v>
      </c>
    </row>
    <row r="238" spans="4:18" x14ac:dyDescent="0.2">
      <c r="D238" s="4"/>
      <c r="G238" s="5"/>
      <c r="H238" s="5"/>
      <c r="I238" s="4"/>
      <c r="J238" s="4"/>
      <c r="K238" s="5"/>
      <c r="Q238" s="78" t="e">
        <f>VLOOKUP(A238,'גיליון דאטה להכל'!A:H,5,0)</f>
        <v>#N/A</v>
      </c>
      <c r="R238" s="78" t="e">
        <f>VLOOKUP(A238,'לעדכן בסינתזה דאטה אריזה 42+24'!$A:$C,3,0)</f>
        <v>#N/A</v>
      </c>
    </row>
    <row r="239" spans="4:18" x14ac:dyDescent="0.2">
      <c r="D239" s="4"/>
      <c r="G239" s="5"/>
      <c r="H239" s="5"/>
      <c r="I239" s="4"/>
      <c r="J239" s="4"/>
      <c r="K239" s="5"/>
      <c r="Q239" s="78" t="e">
        <f>VLOOKUP(A239,'גיליון דאטה להכל'!A:H,5,0)</f>
        <v>#N/A</v>
      </c>
      <c r="R239" s="78" t="e">
        <f>VLOOKUP(A239,'לעדכן בסינתזה דאטה אריזה 42+24'!$A:$C,3,0)</f>
        <v>#N/A</v>
      </c>
    </row>
    <row r="240" spans="4:18" x14ac:dyDescent="0.2">
      <c r="D240" s="4"/>
      <c r="G240" s="5"/>
      <c r="H240" s="5"/>
      <c r="I240" s="4"/>
      <c r="J240" s="4"/>
      <c r="K240" s="5"/>
      <c r="Q240" s="78" t="e">
        <f>VLOOKUP(A240,'גיליון דאטה להכל'!A:H,5,0)</f>
        <v>#N/A</v>
      </c>
      <c r="R240" s="78" t="e">
        <f>VLOOKUP(A240,'לעדכן בסינתזה דאטה אריזה 42+24'!$A:$C,3,0)</f>
        <v>#N/A</v>
      </c>
    </row>
    <row r="241" spans="4:18" x14ac:dyDescent="0.2">
      <c r="D241" s="4"/>
      <c r="G241" s="5"/>
      <c r="H241" s="5"/>
      <c r="I241" s="4"/>
      <c r="J241" s="4"/>
      <c r="K241" s="5"/>
      <c r="Q241" s="78" t="e">
        <f>VLOOKUP(A241,'גיליון דאטה להכל'!A:H,5,0)</f>
        <v>#N/A</v>
      </c>
      <c r="R241" s="78" t="e">
        <f>VLOOKUP(A241,'לעדכן בסינתזה דאטה אריזה 42+24'!$A:$C,3,0)</f>
        <v>#N/A</v>
      </c>
    </row>
    <row r="242" spans="4:18" x14ac:dyDescent="0.2">
      <c r="D242" s="4"/>
      <c r="G242" s="5"/>
      <c r="H242" s="5"/>
      <c r="I242" s="4"/>
      <c r="J242" s="4"/>
      <c r="K242" s="5"/>
      <c r="Q242" s="78" t="e">
        <f>VLOOKUP(A242,'גיליון דאטה להכל'!A:H,5,0)</f>
        <v>#N/A</v>
      </c>
      <c r="R242" s="78" t="e">
        <f>VLOOKUP(A242,'לעדכן בסינתזה דאטה אריזה 42+24'!$A:$C,3,0)</f>
        <v>#N/A</v>
      </c>
    </row>
    <row r="243" spans="4:18" x14ac:dyDescent="0.2">
      <c r="D243" s="4"/>
      <c r="G243" s="5"/>
      <c r="H243" s="5"/>
      <c r="I243" s="4"/>
      <c r="J243" s="4"/>
      <c r="K243" s="5"/>
      <c r="Q243" s="78" t="e">
        <f>VLOOKUP(A243,'גיליון דאטה להכל'!A:H,5,0)</f>
        <v>#N/A</v>
      </c>
      <c r="R243" s="78" t="e">
        <f>VLOOKUP(A243,'לעדכן בסינתזה דאטה אריזה 42+24'!$A:$C,3,0)</f>
        <v>#N/A</v>
      </c>
    </row>
    <row r="244" spans="4:18" x14ac:dyDescent="0.2">
      <c r="D244" s="4"/>
      <c r="G244" s="5"/>
      <c r="H244" s="5"/>
      <c r="I244" s="4"/>
      <c r="J244" s="4"/>
      <c r="K244" s="5"/>
      <c r="Q244" s="78" t="e">
        <f>VLOOKUP(A244,'גיליון דאטה להכל'!A:H,5,0)</f>
        <v>#N/A</v>
      </c>
      <c r="R244" s="78" t="e">
        <f>VLOOKUP(A244,'לעדכן בסינתזה דאטה אריזה 42+24'!$A:$C,3,0)</f>
        <v>#N/A</v>
      </c>
    </row>
    <row r="245" spans="4:18" x14ac:dyDescent="0.2">
      <c r="D245" s="4"/>
      <c r="G245" s="5"/>
      <c r="H245" s="5"/>
      <c r="I245" s="4"/>
      <c r="J245" s="4"/>
      <c r="K245" s="5"/>
      <c r="Q245" s="78" t="e">
        <f>VLOOKUP(A245,'גיליון דאטה להכל'!A:H,5,0)</f>
        <v>#N/A</v>
      </c>
      <c r="R245" s="78" t="e">
        <f>VLOOKUP(A245,'לעדכן בסינתזה דאטה אריזה 42+24'!$A:$C,3,0)</f>
        <v>#N/A</v>
      </c>
    </row>
    <row r="246" spans="4:18" x14ac:dyDescent="0.2">
      <c r="D246" s="4"/>
      <c r="G246" s="5"/>
      <c r="H246" s="5"/>
      <c r="I246" s="4"/>
      <c r="J246" s="4"/>
      <c r="K246" s="5"/>
      <c r="Q246" s="78" t="e">
        <f>VLOOKUP(A246,'גיליון דאטה להכל'!A:H,5,0)</f>
        <v>#N/A</v>
      </c>
      <c r="R246" s="78" t="e">
        <f>VLOOKUP(A246,'לעדכן בסינתזה דאטה אריזה 42+24'!$A:$C,3,0)</f>
        <v>#N/A</v>
      </c>
    </row>
    <row r="247" spans="4:18" x14ac:dyDescent="0.2">
      <c r="D247" s="4"/>
      <c r="G247" s="5"/>
      <c r="H247" s="5"/>
      <c r="I247" s="4"/>
      <c r="J247" s="4"/>
      <c r="K247" s="5"/>
      <c r="Q247" s="78" t="e">
        <f>VLOOKUP(A247,'גיליון דאטה להכל'!A:H,5,0)</f>
        <v>#N/A</v>
      </c>
      <c r="R247" s="78" t="e">
        <f>VLOOKUP(A247,'לעדכן בסינתזה דאטה אריזה 42+24'!$A:$C,3,0)</f>
        <v>#N/A</v>
      </c>
    </row>
    <row r="248" spans="4:18" x14ac:dyDescent="0.2">
      <c r="D248" s="4"/>
      <c r="G248" s="5"/>
      <c r="H248" s="5"/>
      <c r="I248" s="4"/>
      <c r="J248" s="4"/>
      <c r="K248" s="5"/>
      <c r="Q248" s="78" t="e">
        <f>VLOOKUP(A248,'גיליון דאטה להכל'!A:H,5,0)</f>
        <v>#N/A</v>
      </c>
      <c r="R248" s="78" t="e">
        <f>VLOOKUP(A248,'לעדכן בסינתזה דאטה אריזה 42+24'!$A:$C,3,0)</f>
        <v>#N/A</v>
      </c>
    </row>
    <row r="249" spans="4:18" x14ac:dyDescent="0.2">
      <c r="D249" s="4"/>
      <c r="G249" s="5"/>
      <c r="H249" s="5"/>
      <c r="I249" s="4"/>
      <c r="J249" s="4"/>
      <c r="K249" s="5"/>
      <c r="Q249" s="78" t="e">
        <f>VLOOKUP(A249,'גיליון דאטה להכל'!A:H,5,0)</f>
        <v>#N/A</v>
      </c>
      <c r="R249" s="78" t="e">
        <f>VLOOKUP(A249,'לעדכן בסינתזה דאטה אריזה 42+24'!$A:$C,3,0)</f>
        <v>#N/A</v>
      </c>
    </row>
    <row r="250" spans="4:18" x14ac:dyDescent="0.2">
      <c r="D250" s="4"/>
      <c r="G250" s="5"/>
      <c r="H250" s="5"/>
      <c r="I250" s="4"/>
      <c r="J250" s="4"/>
      <c r="K250" s="5"/>
      <c r="Q250" s="78" t="e">
        <f>VLOOKUP(A250,'גיליון דאטה להכל'!A:H,5,0)</f>
        <v>#N/A</v>
      </c>
      <c r="R250" s="78" t="e">
        <f>VLOOKUP(A250,'לעדכן בסינתזה דאטה אריזה 42+24'!$A:$C,3,0)</f>
        <v>#N/A</v>
      </c>
    </row>
    <row r="251" spans="4:18" x14ac:dyDescent="0.2">
      <c r="D251" s="4"/>
      <c r="G251" s="5"/>
      <c r="H251" s="5"/>
      <c r="I251" s="4"/>
      <c r="J251" s="4"/>
      <c r="K251" s="5"/>
      <c r="Q251" s="78" t="e">
        <f>VLOOKUP(A251,'גיליון דאטה להכל'!A:H,5,0)</f>
        <v>#N/A</v>
      </c>
      <c r="R251" s="78" t="e">
        <f>VLOOKUP(A251,'לעדכן בסינתזה דאטה אריזה 42+24'!$A:$C,3,0)</f>
        <v>#N/A</v>
      </c>
    </row>
    <row r="252" spans="4:18" x14ac:dyDescent="0.2">
      <c r="D252" s="4"/>
      <c r="G252" s="5"/>
      <c r="H252" s="5"/>
      <c r="I252" s="4"/>
      <c r="J252" s="4"/>
      <c r="K252" s="5"/>
      <c r="Q252" s="78" t="e">
        <f>VLOOKUP(A252,'גיליון דאטה להכל'!A:H,5,0)</f>
        <v>#N/A</v>
      </c>
      <c r="R252" s="78" t="e">
        <f>VLOOKUP(A252,'לעדכן בסינתזה דאטה אריזה 42+24'!$A:$C,3,0)</f>
        <v>#N/A</v>
      </c>
    </row>
    <row r="253" spans="4:18" x14ac:dyDescent="0.2">
      <c r="D253" s="4"/>
      <c r="G253" s="5"/>
      <c r="H253" s="5"/>
      <c r="I253" s="4"/>
      <c r="J253" s="4"/>
      <c r="K253" s="5"/>
      <c r="Q253" s="78" t="e">
        <f>VLOOKUP(A253,'גיליון דאטה להכל'!A:H,5,0)</f>
        <v>#N/A</v>
      </c>
      <c r="R253" s="78" t="e">
        <f>VLOOKUP(A253,'לעדכן בסינתזה דאטה אריזה 42+24'!$A:$C,3,0)</f>
        <v>#N/A</v>
      </c>
    </row>
    <row r="254" spans="4:18" x14ac:dyDescent="0.2">
      <c r="D254" s="4"/>
      <c r="G254" s="5"/>
      <c r="H254" s="5"/>
      <c r="I254" s="4"/>
      <c r="J254" s="4"/>
      <c r="K254" s="5"/>
      <c r="Q254" s="78" t="e">
        <f>VLOOKUP(A254,'גיליון דאטה להכל'!A:H,5,0)</f>
        <v>#N/A</v>
      </c>
      <c r="R254" s="78" t="e">
        <f>VLOOKUP(A254,'לעדכן בסינתזה דאטה אריזה 42+24'!$A:$C,3,0)</f>
        <v>#N/A</v>
      </c>
    </row>
    <row r="255" spans="4:18" x14ac:dyDescent="0.2">
      <c r="D255" s="4"/>
      <c r="G255" s="5"/>
      <c r="H255" s="5"/>
      <c r="I255" s="4"/>
      <c r="J255" s="4"/>
      <c r="K255" s="5"/>
      <c r="Q255" s="78" t="e">
        <f>VLOOKUP(A255,'גיליון דאטה להכל'!A:H,5,0)</f>
        <v>#N/A</v>
      </c>
      <c r="R255" s="78" t="e">
        <f>VLOOKUP(A255,'לעדכן בסינתזה דאטה אריזה 42+24'!$A:$C,3,0)</f>
        <v>#N/A</v>
      </c>
    </row>
    <row r="256" spans="4:18" x14ac:dyDescent="0.2">
      <c r="D256" s="4"/>
      <c r="G256" s="5"/>
      <c r="H256" s="5"/>
      <c r="I256" s="4"/>
      <c r="J256" s="4"/>
      <c r="K256" s="5"/>
      <c r="Q256" s="78" t="e">
        <f>VLOOKUP(A256,'גיליון דאטה להכל'!A:H,5,0)</f>
        <v>#N/A</v>
      </c>
      <c r="R256" s="78" t="e">
        <f>VLOOKUP(A256,'לעדכן בסינתזה דאטה אריזה 42+24'!$A:$C,3,0)</f>
        <v>#N/A</v>
      </c>
    </row>
    <row r="257" spans="4:18" x14ac:dyDescent="0.2">
      <c r="D257" s="4"/>
      <c r="G257" s="5"/>
      <c r="H257" s="5"/>
      <c r="I257" s="4"/>
      <c r="J257" s="4"/>
      <c r="K257" s="5"/>
      <c r="Q257" s="78" t="e">
        <f>VLOOKUP(A257,'גיליון דאטה להכל'!A:H,5,0)</f>
        <v>#N/A</v>
      </c>
      <c r="R257" s="78" t="e">
        <f>VLOOKUP(A257,'לעדכן בסינתזה דאטה אריזה 42+24'!$A:$C,3,0)</f>
        <v>#N/A</v>
      </c>
    </row>
    <row r="258" spans="4:18" x14ac:dyDescent="0.2">
      <c r="D258" s="4"/>
      <c r="G258" s="5"/>
      <c r="H258" s="5"/>
      <c r="I258" s="4"/>
      <c r="J258" s="4"/>
      <c r="K258" s="5"/>
      <c r="Q258" s="78" t="e">
        <f>VLOOKUP(A258,'גיליון דאטה להכל'!A:H,5,0)</f>
        <v>#N/A</v>
      </c>
      <c r="R258" s="78" t="e">
        <f>VLOOKUP(A258,'לעדכן בסינתזה דאטה אריזה 42+24'!$A:$C,3,0)</f>
        <v>#N/A</v>
      </c>
    </row>
    <row r="259" spans="4:18" x14ac:dyDescent="0.2">
      <c r="D259" s="4"/>
      <c r="G259" s="5"/>
      <c r="H259" s="5"/>
      <c r="I259" s="4"/>
      <c r="J259" s="4"/>
      <c r="K259" s="5"/>
      <c r="Q259" s="78" t="e">
        <f>VLOOKUP(A259,'גיליון דאטה להכל'!A:H,5,0)</f>
        <v>#N/A</v>
      </c>
      <c r="R259" s="78" t="e">
        <f>VLOOKUP(A259,'לעדכן בסינתזה דאטה אריזה 42+24'!$A:$C,3,0)</f>
        <v>#N/A</v>
      </c>
    </row>
    <row r="260" spans="4:18" x14ac:dyDescent="0.2">
      <c r="D260" s="4"/>
      <c r="G260" s="5"/>
      <c r="H260" s="5"/>
      <c r="I260" s="4"/>
      <c r="J260" s="4"/>
      <c r="K260" s="5"/>
      <c r="Q260" s="78" t="e">
        <f>VLOOKUP(A260,'גיליון דאטה להכל'!A:H,5,0)</f>
        <v>#N/A</v>
      </c>
      <c r="R260" s="78" t="e">
        <f>VLOOKUP(A260,'לעדכן בסינתזה דאטה אריזה 42+24'!$A:$C,3,0)</f>
        <v>#N/A</v>
      </c>
    </row>
    <row r="261" spans="4:18" x14ac:dyDescent="0.2">
      <c r="D261" s="4"/>
      <c r="G261" s="5"/>
      <c r="H261" s="5"/>
      <c r="I261" s="4"/>
      <c r="J261" s="4"/>
      <c r="K261" s="5"/>
      <c r="Q261" s="78" t="e">
        <f>VLOOKUP(A261,'גיליון דאטה להכל'!A:H,5,0)</f>
        <v>#N/A</v>
      </c>
      <c r="R261" s="78" t="e">
        <f>VLOOKUP(A261,'לעדכן בסינתזה דאטה אריזה 42+24'!$A:$C,3,0)</f>
        <v>#N/A</v>
      </c>
    </row>
    <row r="262" spans="4:18" x14ac:dyDescent="0.2">
      <c r="D262" s="4"/>
      <c r="G262" s="5"/>
      <c r="H262" s="5"/>
      <c r="I262" s="4"/>
      <c r="J262" s="4"/>
      <c r="K262" s="5"/>
      <c r="Q262" s="78" t="e">
        <f>VLOOKUP(A262,'גיליון דאטה להכל'!A:H,5,0)</f>
        <v>#N/A</v>
      </c>
      <c r="R262" s="78" t="e">
        <f>VLOOKUP(A262,'לעדכן בסינתזה דאטה אריזה 42+24'!$A:$C,3,0)</f>
        <v>#N/A</v>
      </c>
    </row>
    <row r="263" spans="4:18" x14ac:dyDescent="0.2">
      <c r="D263" s="4"/>
      <c r="G263" s="5"/>
      <c r="H263" s="5"/>
      <c r="I263" s="4"/>
      <c r="J263" s="4"/>
      <c r="K263" s="5"/>
      <c r="Q263" s="78" t="e">
        <f>VLOOKUP(A263,'גיליון דאטה להכל'!A:H,5,0)</f>
        <v>#N/A</v>
      </c>
      <c r="R263" s="78" t="e">
        <f>VLOOKUP(A263,'לעדכן בסינתזה דאטה אריזה 42+24'!$A:$C,3,0)</f>
        <v>#N/A</v>
      </c>
    </row>
    <row r="264" spans="4:18" x14ac:dyDescent="0.2">
      <c r="D264" s="4"/>
      <c r="G264" s="5"/>
      <c r="H264" s="5"/>
      <c r="I264" s="4"/>
      <c r="J264" s="4"/>
      <c r="K264" s="5"/>
      <c r="Q264" s="78" t="e">
        <f>VLOOKUP(A264,'גיליון דאטה להכל'!A:H,5,0)</f>
        <v>#N/A</v>
      </c>
      <c r="R264" s="78" t="e">
        <f>VLOOKUP(A264,'לעדכן בסינתזה דאטה אריזה 42+24'!$A:$C,3,0)</f>
        <v>#N/A</v>
      </c>
    </row>
    <row r="265" spans="4:18" x14ac:dyDescent="0.2">
      <c r="D265" s="4"/>
      <c r="G265" s="5"/>
      <c r="H265" s="5"/>
      <c r="I265" s="4"/>
      <c r="J265" s="4"/>
      <c r="K265" s="5"/>
      <c r="Q265" s="78" t="e">
        <f>VLOOKUP(A265,'גיליון דאטה להכל'!A:H,5,0)</f>
        <v>#N/A</v>
      </c>
      <c r="R265" s="78" t="e">
        <f>VLOOKUP(A265,'לעדכן בסינתזה דאטה אריזה 42+24'!$A:$C,3,0)</f>
        <v>#N/A</v>
      </c>
    </row>
    <row r="266" spans="4:18" x14ac:dyDescent="0.2">
      <c r="D266" s="4"/>
      <c r="G266" s="5"/>
      <c r="H266" s="5"/>
      <c r="I266" s="4"/>
      <c r="J266" s="4"/>
      <c r="K266" s="5"/>
      <c r="Q266" s="78" t="e">
        <f>VLOOKUP(A266,'גיליון דאטה להכל'!A:H,5,0)</f>
        <v>#N/A</v>
      </c>
      <c r="R266" s="78" t="e">
        <f>VLOOKUP(A266,'לעדכן בסינתזה דאטה אריזה 42+24'!$A:$C,3,0)</f>
        <v>#N/A</v>
      </c>
    </row>
    <row r="267" spans="4:18" x14ac:dyDescent="0.2">
      <c r="D267" s="4"/>
      <c r="G267" s="5"/>
      <c r="H267" s="5"/>
      <c r="I267" s="4"/>
      <c r="J267" s="4"/>
      <c r="K267" s="5"/>
      <c r="Q267" s="78" t="e">
        <f>VLOOKUP(A267,'גיליון דאטה להכל'!A:H,5,0)</f>
        <v>#N/A</v>
      </c>
      <c r="R267" s="78" t="e">
        <f>VLOOKUP(A267,'לעדכן בסינתזה דאטה אריזה 42+24'!$A:$C,3,0)</f>
        <v>#N/A</v>
      </c>
    </row>
    <row r="268" spans="4:18" x14ac:dyDescent="0.2">
      <c r="D268" s="4"/>
      <c r="G268" s="5"/>
      <c r="H268" s="5"/>
      <c r="I268" s="4"/>
      <c r="J268" s="4"/>
      <c r="K268" s="5"/>
      <c r="Q268" s="78" t="e">
        <f>VLOOKUP(A268,'גיליון דאטה להכל'!A:H,5,0)</f>
        <v>#N/A</v>
      </c>
      <c r="R268" s="78" t="e">
        <f>VLOOKUP(A268,'לעדכן בסינתזה דאטה אריזה 42+24'!$A:$C,3,0)</f>
        <v>#N/A</v>
      </c>
    </row>
    <row r="269" spans="4:18" x14ac:dyDescent="0.2">
      <c r="D269" s="4"/>
      <c r="G269" s="5"/>
      <c r="H269" s="5"/>
      <c r="I269" s="4"/>
      <c r="J269" s="4"/>
      <c r="K269" s="5"/>
      <c r="Q269" s="78" t="e">
        <f>VLOOKUP(A269,'גיליון דאטה להכל'!A:H,5,0)</f>
        <v>#N/A</v>
      </c>
      <c r="R269" s="78" t="e">
        <f>VLOOKUP(A269,'לעדכן בסינתזה דאטה אריזה 42+24'!$A:$C,3,0)</f>
        <v>#N/A</v>
      </c>
    </row>
    <row r="270" spans="4:18" x14ac:dyDescent="0.2">
      <c r="D270" s="4"/>
      <c r="G270" s="5"/>
      <c r="H270" s="5"/>
      <c r="I270" s="4"/>
      <c r="J270" s="4"/>
      <c r="K270" s="5"/>
      <c r="Q270" s="78" t="e">
        <f>VLOOKUP(A270,'גיליון דאטה להכל'!A:H,5,0)</f>
        <v>#N/A</v>
      </c>
      <c r="R270" s="78" t="e">
        <f>VLOOKUP(A270,'לעדכן בסינתזה דאטה אריזה 42+24'!$A:$C,3,0)</f>
        <v>#N/A</v>
      </c>
    </row>
    <row r="271" spans="4:18" x14ac:dyDescent="0.2">
      <c r="D271" s="4"/>
      <c r="G271" s="5"/>
      <c r="H271" s="5"/>
      <c r="I271" s="4"/>
      <c r="J271" s="4"/>
      <c r="K271" s="5"/>
      <c r="Q271" s="78" t="e">
        <f>VLOOKUP(A271,'גיליון דאטה להכל'!A:H,5,0)</f>
        <v>#N/A</v>
      </c>
      <c r="R271" s="78" t="e">
        <f>VLOOKUP(A271,'לעדכן בסינתזה דאטה אריזה 42+24'!$A:$C,3,0)</f>
        <v>#N/A</v>
      </c>
    </row>
    <row r="272" spans="4:18" x14ac:dyDescent="0.2">
      <c r="D272" s="4"/>
      <c r="G272" s="5"/>
      <c r="H272" s="5"/>
      <c r="I272" s="4"/>
      <c r="J272" s="4"/>
      <c r="K272" s="5"/>
      <c r="Q272" s="78" t="e">
        <f>VLOOKUP(A272,'גיליון דאטה להכל'!A:H,5,0)</f>
        <v>#N/A</v>
      </c>
      <c r="R272" s="78" t="e">
        <f>VLOOKUP(A272,'לעדכן בסינתזה דאטה אריזה 42+24'!$A:$C,3,0)</f>
        <v>#N/A</v>
      </c>
    </row>
    <row r="273" spans="4:18" x14ac:dyDescent="0.2">
      <c r="D273" s="4"/>
      <c r="G273" s="5"/>
      <c r="H273" s="5"/>
      <c r="I273" s="4"/>
      <c r="J273" s="4"/>
      <c r="K273" s="5"/>
      <c r="Q273" s="78" t="e">
        <f>VLOOKUP(A273,'גיליון דאטה להכל'!A:H,5,0)</f>
        <v>#N/A</v>
      </c>
      <c r="R273" s="78" t="e">
        <f>VLOOKUP(A273,'לעדכן בסינתזה דאטה אריזה 42+24'!$A:$C,3,0)</f>
        <v>#N/A</v>
      </c>
    </row>
    <row r="274" spans="4:18" x14ac:dyDescent="0.2">
      <c r="D274" s="4"/>
      <c r="G274" s="5"/>
      <c r="H274" s="5"/>
      <c r="I274" s="4"/>
      <c r="J274" s="4"/>
      <c r="K274" s="5"/>
      <c r="Q274" s="78" t="e">
        <f>VLOOKUP(A274,'גיליון דאטה להכל'!A:H,5,0)</f>
        <v>#N/A</v>
      </c>
      <c r="R274" s="78" t="e">
        <f>VLOOKUP(A274,'לעדכן בסינתזה דאטה אריזה 42+24'!$A:$C,3,0)</f>
        <v>#N/A</v>
      </c>
    </row>
    <row r="275" spans="4:18" x14ac:dyDescent="0.2">
      <c r="D275" s="4"/>
      <c r="G275" s="5"/>
      <c r="H275" s="5"/>
      <c r="I275" s="4"/>
      <c r="J275" s="4"/>
      <c r="K275" s="5"/>
      <c r="Q275" s="78" t="e">
        <f>VLOOKUP(A275,'גיליון דאטה להכל'!A:H,5,0)</f>
        <v>#N/A</v>
      </c>
      <c r="R275" s="78" t="e">
        <f>VLOOKUP(A275,'לעדכן בסינתזה דאטה אריזה 42+24'!$A:$C,3,0)</f>
        <v>#N/A</v>
      </c>
    </row>
    <row r="276" spans="4:18" x14ac:dyDescent="0.2">
      <c r="D276" s="4"/>
      <c r="G276" s="5"/>
      <c r="H276" s="5"/>
      <c r="I276" s="4"/>
      <c r="J276" s="4"/>
      <c r="K276" s="5"/>
      <c r="Q276" s="78" t="e">
        <f>VLOOKUP(A276,'גיליון דאטה להכל'!A:H,5,0)</f>
        <v>#N/A</v>
      </c>
      <c r="R276" s="78" t="e">
        <f>VLOOKUP(A276,'לעדכן בסינתזה דאטה אריזה 42+24'!$A:$C,3,0)</f>
        <v>#N/A</v>
      </c>
    </row>
    <row r="277" spans="4:18" x14ac:dyDescent="0.2">
      <c r="D277" s="4"/>
      <c r="G277" s="5"/>
      <c r="H277" s="5"/>
      <c r="I277" s="4"/>
      <c r="J277" s="4"/>
      <c r="K277" s="5"/>
      <c r="Q277" s="78" t="e">
        <f>VLOOKUP(A277,'גיליון דאטה להכל'!A:H,5,0)</f>
        <v>#N/A</v>
      </c>
      <c r="R277" s="78" t="e">
        <f>VLOOKUP(A277,'לעדכן בסינתזה דאטה אריזה 42+24'!$A:$C,3,0)</f>
        <v>#N/A</v>
      </c>
    </row>
    <row r="278" spans="4:18" x14ac:dyDescent="0.2">
      <c r="D278" s="4"/>
      <c r="G278" s="5"/>
      <c r="H278" s="5"/>
      <c r="I278" s="4"/>
      <c r="J278" s="4"/>
      <c r="K278" s="5"/>
      <c r="Q278" s="78" t="e">
        <f>VLOOKUP(A278,'גיליון דאטה להכל'!A:H,5,0)</f>
        <v>#N/A</v>
      </c>
      <c r="R278" s="78" t="e">
        <f>VLOOKUP(A278,'לעדכן בסינתזה דאטה אריזה 42+24'!$A:$C,3,0)</f>
        <v>#N/A</v>
      </c>
    </row>
    <row r="279" spans="4:18" x14ac:dyDescent="0.2">
      <c r="D279" s="4"/>
      <c r="G279" s="5"/>
      <c r="H279" s="5"/>
      <c r="I279" s="4"/>
      <c r="J279" s="4"/>
      <c r="K279" s="5"/>
      <c r="Q279" s="78" t="e">
        <f>VLOOKUP(A279,'גיליון דאטה להכל'!A:H,5,0)</f>
        <v>#N/A</v>
      </c>
      <c r="R279" s="78" t="e">
        <f>VLOOKUP(A279,'לעדכן בסינתזה דאטה אריזה 42+24'!$A:$C,3,0)</f>
        <v>#N/A</v>
      </c>
    </row>
    <row r="280" spans="4:18" x14ac:dyDescent="0.2">
      <c r="D280" s="4"/>
      <c r="G280" s="5"/>
      <c r="H280" s="5"/>
      <c r="I280" s="4"/>
      <c r="J280" s="4"/>
      <c r="K280" s="5"/>
      <c r="Q280" s="78" t="e">
        <f>VLOOKUP(A280,'גיליון דאטה להכל'!A:H,5,0)</f>
        <v>#N/A</v>
      </c>
      <c r="R280" s="78" t="e">
        <f>VLOOKUP(A280,'לעדכן בסינתזה דאטה אריזה 42+24'!$A:$C,3,0)</f>
        <v>#N/A</v>
      </c>
    </row>
    <row r="281" spans="4:18" x14ac:dyDescent="0.2">
      <c r="D281" s="4"/>
      <c r="G281" s="5"/>
      <c r="H281" s="5"/>
      <c r="I281" s="4"/>
      <c r="J281" s="4"/>
      <c r="K281" s="5"/>
      <c r="Q281" s="78" t="e">
        <f>VLOOKUP(A281,'גיליון דאטה להכל'!A:H,5,0)</f>
        <v>#N/A</v>
      </c>
      <c r="R281" s="78" t="e">
        <f>VLOOKUP(A281,'לעדכן בסינתזה דאטה אריזה 42+24'!$A:$C,3,0)</f>
        <v>#N/A</v>
      </c>
    </row>
    <row r="282" spans="4:18" x14ac:dyDescent="0.2">
      <c r="D282" s="4"/>
      <c r="G282" s="5"/>
      <c r="H282" s="5"/>
      <c r="I282" s="4"/>
      <c r="J282" s="4"/>
      <c r="K282" s="5"/>
      <c r="Q282" s="78" t="e">
        <f>VLOOKUP(A282,'גיליון דאטה להכל'!A:H,5,0)</f>
        <v>#N/A</v>
      </c>
      <c r="R282" s="78" t="e">
        <f>VLOOKUP(A282,'לעדכן בסינתזה דאטה אריזה 42+24'!$A:$C,3,0)</f>
        <v>#N/A</v>
      </c>
    </row>
    <row r="283" spans="4:18" x14ac:dyDescent="0.2">
      <c r="D283" s="4"/>
      <c r="G283" s="5"/>
      <c r="H283" s="5"/>
      <c r="I283" s="4"/>
      <c r="J283" s="4"/>
      <c r="K283" s="5"/>
      <c r="Q283" s="78" t="e">
        <f>VLOOKUP(A283,'גיליון דאטה להכל'!A:H,5,0)</f>
        <v>#N/A</v>
      </c>
      <c r="R283" s="78" t="e">
        <f>VLOOKUP(A283,'לעדכן בסינתזה דאטה אריזה 42+24'!$A:$C,3,0)</f>
        <v>#N/A</v>
      </c>
    </row>
    <row r="284" spans="4:18" x14ac:dyDescent="0.2">
      <c r="D284" s="4"/>
      <c r="G284" s="5"/>
      <c r="H284" s="5"/>
      <c r="I284" s="4"/>
      <c r="J284" s="4"/>
      <c r="K284" s="5"/>
      <c r="Q284" s="78" t="e">
        <f>VLOOKUP(A284,'גיליון דאטה להכל'!A:H,5,0)</f>
        <v>#N/A</v>
      </c>
      <c r="R284" s="78" t="e">
        <f>VLOOKUP(A284,'לעדכן בסינתזה דאטה אריזה 42+24'!$A:$C,3,0)</f>
        <v>#N/A</v>
      </c>
    </row>
    <row r="285" spans="4:18" x14ac:dyDescent="0.2">
      <c r="D285" s="4"/>
      <c r="G285" s="5"/>
      <c r="H285" s="5"/>
      <c r="I285" s="4"/>
      <c r="J285" s="4"/>
      <c r="K285" s="5"/>
      <c r="Q285" s="78" t="e">
        <f>VLOOKUP(A285,'גיליון דאטה להכל'!A:H,5,0)</f>
        <v>#N/A</v>
      </c>
      <c r="R285" s="78" t="e">
        <f>VLOOKUP(A285,'לעדכן בסינתזה דאטה אריזה 42+24'!$A:$C,3,0)</f>
        <v>#N/A</v>
      </c>
    </row>
    <row r="286" spans="4:18" x14ac:dyDescent="0.2">
      <c r="D286" s="4"/>
      <c r="G286" s="5"/>
      <c r="H286" s="5"/>
      <c r="I286" s="4"/>
      <c r="J286" s="4"/>
      <c r="K286" s="5"/>
      <c r="Q286" s="78" t="e">
        <f>VLOOKUP(A286,'גיליון דאטה להכל'!A:H,5,0)</f>
        <v>#N/A</v>
      </c>
      <c r="R286" s="78" t="e">
        <f>VLOOKUP(A286,'לעדכן בסינתזה דאטה אריזה 42+24'!$A:$C,3,0)</f>
        <v>#N/A</v>
      </c>
    </row>
    <row r="287" spans="4:18" x14ac:dyDescent="0.2">
      <c r="D287" s="4"/>
      <c r="G287" s="5"/>
      <c r="H287" s="5"/>
      <c r="I287" s="4"/>
      <c r="J287" s="4"/>
      <c r="K287" s="5"/>
      <c r="Q287" s="78" t="e">
        <f>VLOOKUP(A287,'גיליון דאטה להכל'!A:H,5,0)</f>
        <v>#N/A</v>
      </c>
      <c r="R287" s="78" t="e">
        <f>VLOOKUP(A287,'לעדכן בסינתזה דאטה אריזה 42+24'!$A:$C,3,0)</f>
        <v>#N/A</v>
      </c>
    </row>
    <row r="288" spans="4:18" x14ac:dyDescent="0.2">
      <c r="D288" s="4"/>
      <c r="G288" s="5"/>
      <c r="H288" s="5"/>
      <c r="I288" s="4"/>
      <c r="J288" s="4"/>
      <c r="K288" s="5"/>
      <c r="Q288" s="78" t="e">
        <f>VLOOKUP(A288,'גיליון דאטה להכל'!A:H,5,0)</f>
        <v>#N/A</v>
      </c>
      <c r="R288" s="78" t="e">
        <f>VLOOKUP(A288,'לעדכן בסינתזה דאטה אריזה 42+24'!$A:$C,3,0)</f>
        <v>#N/A</v>
      </c>
    </row>
    <row r="289" spans="4:18" x14ac:dyDescent="0.2">
      <c r="D289" s="4"/>
      <c r="G289" s="5"/>
      <c r="H289" s="5"/>
      <c r="I289" s="4"/>
      <c r="J289" s="4"/>
      <c r="K289" s="5"/>
      <c r="Q289" s="78" t="e">
        <f>VLOOKUP(A289,'גיליון דאטה להכל'!A:H,5,0)</f>
        <v>#N/A</v>
      </c>
      <c r="R289" s="78" t="e">
        <f>VLOOKUP(A289,'לעדכן בסינתזה דאטה אריזה 42+24'!$A:$C,3,0)</f>
        <v>#N/A</v>
      </c>
    </row>
    <row r="290" spans="4:18" x14ac:dyDescent="0.2">
      <c r="D290" s="4"/>
      <c r="G290" s="5"/>
      <c r="H290" s="5"/>
      <c r="I290" s="4"/>
      <c r="J290" s="4"/>
      <c r="K290" s="5"/>
      <c r="Q290" s="78" t="e">
        <f>VLOOKUP(A290,'גיליון דאטה להכל'!A:H,5,0)</f>
        <v>#N/A</v>
      </c>
      <c r="R290" s="78" t="e">
        <f>VLOOKUP(A290,'לעדכן בסינתזה דאטה אריזה 42+24'!$A:$C,3,0)</f>
        <v>#N/A</v>
      </c>
    </row>
    <row r="291" spans="4:18" x14ac:dyDescent="0.2">
      <c r="D291" s="4"/>
      <c r="G291" s="5"/>
      <c r="H291" s="5"/>
      <c r="I291" s="4"/>
      <c r="J291" s="4"/>
      <c r="K291" s="5"/>
      <c r="Q291" s="78" t="e">
        <f>VLOOKUP(A291,'גיליון דאטה להכל'!A:H,5,0)</f>
        <v>#N/A</v>
      </c>
      <c r="R291" s="78" t="e">
        <f>VLOOKUP(A291,'לעדכן בסינתזה דאטה אריזה 42+24'!$A:$C,3,0)</f>
        <v>#N/A</v>
      </c>
    </row>
    <row r="292" spans="4:18" x14ac:dyDescent="0.2">
      <c r="D292" s="4"/>
      <c r="G292" s="5"/>
      <c r="H292" s="5"/>
      <c r="I292" s="4"/>
      <c r="J292" s="4"/>
      <c r="K292" s="5"/>
      <c r="Q292" s="78" t="e">
        <f>VLOOKUP(A292,'גיליון דאטה להכל'!A:H,5,0)</f>
        <v>#N/A</v>
      </c>
      <c r="R292" s="78" t="e">
        <f>VLOOKUP(A292,'לעדכן בסינתזה דאטה אריזה 42+24'!$A:$C,3,0)</f>
        <v>#N/A</v>
      </c>
    </row>
    <row r="293" spans="4:18" x14ac:dyDescent="0.2">
      <c r="D293" s="4"/>
      <c r="G293" s="5"/>
      <c r="H293" s="5"/>
      <c r="I293" s="4"/>
      <c r="J293" s="4"/>
      <c r="K293" s="5"/>
      <c r="Q293" s="78" t="e">
        <f>VLOOKUP(A293,'גיליון דאטה להכל'!A:H,5,0)</f>
        <v>#N/A</v>
      </c>
      <c r="R293" s="78" t="e">
        <f>VLOOKUP(A293,'לעדכן בסינתזה דאטה אריזה 42+24'!$A:$C,3,0)</f>
        <v>#N/A</v>
      </c>
    </row>
    <row r="294" spans="4:18" x14ac:dyDescent="0.2">
      <c r="D294" s="4"/>
      <c r="G294" s="5"/>
      <c r="H294" s="5"/>
      <c r="I294" s="4"/>
      <c r="J294" s="4"/>
      <c r="K294" s="5"/>
      <c r="Q294" s="78" t="e">
        <f>VLOOKUP(A294,'גיליון דאטה להכל'!A:H,5,0)</f>
        <v>#N/A</v>
      </c>
      <c r="R294" s="78" t="e">
        <f>VLOOKUP(A294,'לעדכן בסינתזה דאטה אריזה 42+24'!$A:$C,3,0)</f>
        <v>#N/A</v>
      </c>
    </row>
    <row r="295" spans="4:18" x14ac:dyDescent="0.2">
      <c r="D295" s="4"/>
      <c r="G295" s="5"/>
      <c r="H295" s="5"/>
      <c r="I295" s="4"/>
      <c r="J295" s="4"/>
      <c r="K295" s="5"/>
      <c r="Q295" s="78" t="e">
        <f>VLOOKUP(A295,'גיליון דאטה להכל'!A:H,5,0)</f>
        <v>#N/A</v>
      </c>
      <c r="R295" s="78" t="e">
        <f>VLOOKUP(A295,'לעדכן בסינתזה דאטה אריזה 42+24'!$A:$C,3,0)</f>
        <v>#N/A</v>
      </c>
    </row>
    <row r="296" spans="4:18" x14ac:dyDescent="0.2">
      <c r="D296" s="4"/>
      <c r="G296" s="5"/>
      <c r="H296" s="5"/>
      <c r="I296" s="4"/>
      <c r="J296" s="4"/>
      <c r="K296" s="5"/>
      <c r="Q296" s="78" t="e">
        <f>VLOOKUP(A296,'גיליון דאטה להכל'!A:H,5,0)</f>
        <v>#N/A</v>
      </c>
      <c r="R296" s="78" t="e">
        <f>VLOOKUP(A296,'לעדכן בסינתזה דאטה אריזה 42+24'!$A:$C,3,0)</f>
        <v>#N/A</v>
      </c>
    </row>
    <row r="297" spans="4:18" x14ac:dyDescent="0.2">
      <c r="D297" s="4"/>
      <c r="G297" s="5"/>
      <c r="H297" s="5"/>
      <c r="I297" s="4"/>
      <c r="J297" s="4"/>
      <c r="K297" s="5"/>
      <c r="Q297" s="78" t="e">
        <f>VLOOKUP(A297,'גיליון דאטה להכל'!A:H,5,0)</f>
        <v>#N/A</v>
      </c>
      <c r="R297" s="78" t="e">
        <f>VLOOKUP(A297,'לעדכן בסינתזה דאטה אריזה 42+24'!$A:$C,3,0)</f>
        <v>#N/A</v>
      </c>
    </row>
    <row r="298" spans="4:18" x14ac:dyDescent="0.2">
      <c r="D298" s="4"/>
      <c r="G298" s="5"/>
      <c r="H298" s="5"/>
      <c r="I298" s="4"/>
      <c r="J298" s="4"/>
      <c r="K298" s="5"/>
      <c r="Q298" s="78" t="e">
        <f>VLOOKUP(A298,'גיליון דאטה להכל'!A:H,5,0)</f>
        <v>#N/A</v>
      </c>
      <c r="R298" s="78" t="e">
        <f>VLOOKUP(A298,'לעדכן בסינתזה דאטה אריזה 42+24'!$A:$C,3,0)</f>
        <v>#N/A</v>
      </c>
    </row>
    <row r="299" spans="4:18" x14ac:dyDescent="0.2">
      <c r="D299" s="4"/>
      <c r="G299" s="5"/>
      <c r="H299" s="5"/>
      <c r="I299" s="4"/>
      <c r="J299" s="4"/>
      <c r="K299" s="5"/>
      <c r="Q299" s="78" t="e">
        <f>VLOOKUP(A299,'גיליון דאטה להכל'!A:H,5,0)</f>
        <v>#N/A</v>
      </c>
      <c r="R299" s="78" t="e">
        <f>VLOOKUP(A299,'לעדכן בסינתזה דאטה אריזה 42+24'!$A:$C,3,0)</f>
        <v>#N/A</v>
      </c>
    </row>
    <row r="300" spans="4:18" x14ac:dyDescent="0.2">
      <c r="D300" s="4"/>
      <c r="G300" s="5"/>
      <c r="H300" s="5"/>
      <c r="I300" s="4"/>
      <c r="J300" s="4"/>
      <c r="K300" s="5"/>
      <c r="Q300" s="78" t="e">
        <f>VLOOKUP(A300,'גיליון דאטה להכל'!A:H,5,0)</f>
        <v>#N/A</v>
      </c>
      <c r="R300" s="78" t="e">
        <f>VLOOKUP(A300,'לעדכן בסינתזה דאטה אריזה 42+24'!$A:$C,3,0)</f>
        <v>#N/A</v>
      </c>
    </row>
    <row r="301" spans="4:18" x14ac:dyDescent="0.2">
      <c r="D301" s="4"/>
      <c r="G301" s="5"/>
      <c r="H301" s="5"/>
      <c r="I301" s="4"/>
      <c r="J301" s="4"/>
      <c r="K301" s="5"/>
      <c r="Q301" s="78" t="e">
        <f>VLOOKUP(A301,'גיליון דאטה להכל'!A:H,5,0)</f>
        <v>#N/A</v>
      </c>
      <c r="R301" s="78" t="e">
        <f>VLOOKUP(A301,'לעדכן בסינתזה דאטה אריזה 42+24'!$A:$C,3,0)</f>
        <v>#N/A</v>
      </c>
    </row>
    <row r="302" spans="4:18" x14ac:dyDescent="0.2">
      <c r="D302" s="4"/>
      <c r="G302" s="5"/>
      <c r="H302" s="5"/>
      <c r="I302" s="4"/>
      <c r="J302" s="4"/>
      <c r="K302" s="5"/>
      <c r="Q302" s="78" t="e">
        <f>VLOOKUP(A302,'גיליון דאטה להכל'!A:H,5,0)</f>
        <v>#N/A</v>
      </c>
      <c r="R302" s="78" t="e">
        <f>VLOOKUP(A302,'לעדכן בסינתזה דאטה אריזה 42+24'!$A:$C,3,0)</f>
        <v>#N/A</v>
      </c>
    </row>
    <row r="303" spans="4:18" x14ac:dyDescent="0.2">
      <c r="D303" s="4"/>
      <c r="G303" s="5"/>
      <c r="H303" s="5"/>
      <c r="I303" s="4"/>
      <c r="J303" s="4"/>
      <c r="K303" s="5"/>
      <c r="Q303" s="78" t="e">
        <f>VLOOKUP(A303,'גיליון דאטה להכל'!A:H,5,0)</f>
        <v>#N/A</v>
      </c>
      <c r="R303" s="78" t="e">
        <f>VLOOKUP(A303,'לעדכן בסינתזה דאטה אריזה 42+24'!$A:$C,3,0)</f>
        <v>#N/A</v>
      </c>
    </row>
    <row r="304" spans="4:18" x14ac:dyDescent="0.2">
      <c r="D304" s="4"/>
      <c r="G304" s="5"/>
      <c r="H304" s="5"/>
      <c r="I304" s="4"/>
      <c r="J304" s="4"/>
      <c r="K304" s="5"/>
      <c r="Q304" s="78" t="e">
        <f>VLOOKUP(A304,'גיליון דאטה להכל'!A:H,5,0)</f>
        <v>#N/A</v>
      </c>
      <c r="R304" s="78" t="e">
        <f>VLOOKUP(A304,'לעדכן בסינתזה דאטה אריזה 42+24'!$A:$C,3,0)</f>
        <v>#N/A</v>
      </c>
    </row>
    <row r="305" spans="4:18" x14ac:dyDescent="0.2">
      <c r="D305" s="4"/>
      <c r="G305" s="5"/>
      <c r="H305" s="5"/>
      <c r="I305" s="4"/>
      <c r="J305" s="4"/>
      <c r="K305" s="5"/>
      <c r="Q305" s="78" t="e">
        <f>VLOOKUP(A305,'גיליון דאטה להכל'!A:H,5,0)</f>
        <v>#N/A</v>
      </c>
      <c r="R305" s="78" t="e">
        <f>VLOOKUP(A305,'לעדכן בסינתזה דאטה אריזה 42+24'!$A:$C,3,0)</f>
        <v>#N/A</v>
      </c>
    </row>
    <row r="306" spans="4:18" x14ac:dyDescent="0.2">
      <c r="D306" s="4"/>
      <c r="G306" s="5"/>
      <c r="H306" s="5"/>
      <c r="I306" s="4"/>
      <c r="J306" s="4"/>
      <c r="K306" s="5"/>
      <c r="Q306" s="78" t="e">
        <f>VLOOKUP(A306,'גיליון דאטה להכל'!A:H,5,0)</f>
        <v>#N/A</v>
      </c>
      <c r="R306" s="78" t="e">
        <f>VLOOKUP(A306,'לעדכן בסינתזה דאטה אריזה 42+24'!$A:$C,3,0)</f>
        <v>#N/A</v>
      </c>
    </row>
    <row r="307" spans="4:18" x14ac:dyDescent="0.2">
      <c r="D307" s="4"/>
      <c r="G307" s="5"/>
      <c r="H307" s="5"/>
      <c r="I307" s="4"/>
      <c r="J307" s="4"/>
      <c r="K307" s="5"/>
      <c r="Q307" s="78" t="e">
        <f>VLOOKUP(A307,'גיליון דאטה להכל'!A:H,5,0)</f>
        <v>#N/A</v>
      </c>
      <c r="R307" s="78" t="e">
        <f>VLOOKUP(A307,'לעדכן בסינתזה דאטה אריזה 42+24'!$A:$C,3,0)</f>
        <v>#N/A</v>
      </c>
    </row>
    <row r="308" spans="4:18" x14ac:dyDescent="0.2">
      <c r="D308" s="4"/>
      <c r="G308" s="5"/>
      <c r="H308" s="5"/>
      <c r="I308" s="4"/>
      <c r="J308" s="4"/>
      <c r="K308" s="5"/>
      <c r="Q308" s="78" t="e">
        <f>VLOOKUP(A308,'גיליון דאטה להכל'!A:H,5,0)</f>
        <v>#N/A</v>
      </c>
      <c r="R308" s="78" t="e">
        <f>VLOOKUP(A308,'לעדכן בסינתזה דאטה אריזה 42+24'!$A:$C,3,0)</f>
        <v>#N/A</v>
      </c>
    </row>
    <row r="309" spans="4:18" x14ac:dyDescent="0.2">
      <c r="D309" s="4"/>
      <c r="G309" s="5"/>
      <c r="H309" s="5"/>
      <c r="I309" s="4"/>
      <c r="J309" s="4"/>
      <c r="K309" s="5"/>
      <c r="Q309" s="78" t="e">
        <f>VLOOKUP(A309,'גיליון דאטה להכל'!A:H,5,0)</f>
        <v>#N/A</v>
      </c>
      <c r="R309" s="78" t="e">
        <f>VLOOKUP(A309,'לעדכן בסינתזה דאטה אריזה 42+24'!$A:$C,3,0)</f>
        <v>#N/A</v>
      </c>
    </row>
    <row r="310" spans="4:18" x14ac:dyDescent="0.2">
      <c r="D310" s="4"/>
      <c r="G310" s="5"/>
      <c r="H310" s="5"/>
      <c r="I310" s="4"/>
      <c r="J310" s="4"/>
      <c r="K310" s="5"/>
      <c r="Q310" s="78" t="e">
        <f>VLOOKUP(A310,'גיליון דאטה להכל'!A:H,5,0)</f>
        <v>#N/A</v>
      </c>
      <c r="R310" s="78" t="e">
        <f>VLOOKUP(A310,'לעדכן בסינתזה דאטה אריזה 42+24'!$A:$C,3,0)</f>
        <v>#N/A</v>
      </c>
    </row>
    <row r="311" spans="4:18" x14ac:dyDescent="0.2">
      <c r="D311" s="4"/>
      <c r="G311" s="5"/>
      <c r="H311" s="5"/>
      <c r="I311" s="4"/>
      <c r="J311" s="4"/>
      <c r="K311" s="5"/>
      <c r="Q311" s="78" t="e">
        <f>VLOOKUP(A311,'גיליון דאטה להכל'!A:H,5,0)</f>
        <v>#N/A</v>
      </c>
      <c r="R311" s="78" t="e">
        <f>VLOOKUP(A311,'לעדכן בסינתזה דאטה אריזה 42+24'!$A:$C,3,0)</f>
        <v>#N/A</v>
      </c>
    </row>
    <row r="312" spans="4:18" x14ac:dyDescent="0.2">
      <c r="D312" s="4"/>
      <c r="G312" s="5"/>
      <c r="H312" s="5"/>
      <c r="I312" s="4"/>
      <c r="J312" s="4"/>
      <c r="K312" s="5"/>
      <c r="Q312" s="78" t="e">
        <f>VLOOKUP(A312,'גיליון דאטה להכל'!A:H,5,0)</f>
        <v>#N/A</v>
      </c>
      <c r="R312" s="78" t="e">
        <f>VLOOKUP(A312,'לעדכן בסינתזה דאטה אריזה 42+24'!$A:$C,3,0)</f>
        <v>#N/A</v>
      </c>
    </row>
    <row r="313" spans="4:18" x14ac:dyDescent="0.2">
      <c r="D313" s="4"/>
      <c r="G313" s="5"/>
      <c r="H313" s="5"/>
      <c r="I313" s="4"/>
      <c r="J313" s="4"/>
      <c r="K313" s="5"/>
      <c r="Q313" s="78" t="e">
        <f>VLOOKUP(A313,'גיליון דאטה להכל'!A:H,5,0)</f>
        <v>#N/A</v>
      </c>
      <c r="R313" s="78" t="e">
        <f>VLOOKUP(A313,'לעדכן בסינתזה דאטה אריזה 42+24'!$A:$C,3,0)</f>
        <v>#N/A</v>
      </c>
    </row>
    <row r="314" spans="4:18" x14ac:dyDescent="0.2">
      <c r="D314" s="4"/>
      <c r="G314" s="5"/>
      <c r="H314" s="5"/>
      <c r="I314" s="4"/>
      <c r="J314" s="4"/>
      <c r="K314" s="5"/>
      <c r="Q314" s="78" t="e">
        <f>VLOOKUP(A314,'גיליון דאטה להכל'!A:H,5,0)</f>
        <v>#N/A</v>
      </c>
      <c r="R314" s="78" t="e">
        <f>VLOOKUP(A314,'לעדכן בסינתזה דאטה אריזה 42+24'!$A:$C,3,0)</f>
        <v>#N/A</v>
      </c>
    </row>
    <row r="315" spans="4:18" x14ac:dyDescent="0.2">
      <c r="D315" s="4"/>
      <c r="G315" s="5"/>
      <c r="H315" s="5"/>
      <c r="I315" s="4"/>
      <c r="J315" s="4"/>
      <c r="K315" s="5"/>
      <c r="Q315" s="78" t="e">
        <f>VLOOKUP(A315,'גיליון דאטה להכל'!A:H,5,0)</f>
        <v>#N/A</v>
      </c>
      <c r="R315" s="78" t="e">
        <f>VLOOKUP(A315,'לעדכן בסינתזה דאטה אריזה 42+24'!$A:$C,3,0)</f>
        <v>#N/A</v>
      </c>
    </row>
    <row r="316" spans="4:18" x14ac:dyDescent="0.2">
      <c r="D316" s="4"/>
      <c r="G316" s="5"/>
      <c r="H316" s="5"/>
      <c r="I316" s="4"/>
      <c r="J316" s="4"/>
      <c r="K316" s="5"/>
      <c r="Q316" s="78" t="e">
        <f>VLOOKUP(A316,'גיליון דאטה להכל'!A:H,5,0)</f>
        <v>#N/A</v>
      </c>
      <c r="R316" s="78" t="e">
        <f>VLOOKUP(A316,'לעדכן בסינתזה דאטה אריזה 42+24'!$A:$C,3,0)</f>
        <v>#N/A</v>
      </c>
    </row>
    <row r="317" spans="4:18" x14ac:dyDescent="0.2">
      <c r="D317" s="4"/>
      <c r="G317" s="5"/>
      <c r="H317" s="5"/>
      <c r="I317" s="4"/>
      <c r="J317" s="4"/>
      <c r="K317" s="5"/>
      <c r="Q317" s="78" t="e">
        <f>VLOOKUP(A317,'גיליון דאטה להכל'!A:H,5,0)</f>
        <v>#N/A</v>
      </c>
      <c r="R317" s="78" t="e">
        <f>VLOOKUP(A317,'לעדכן בסינתזה דאטה אריזה 42+24'!$A:$C,3,0)</f>
        <v>#N/A</v>
      </c>
    </row>
    <row r="318" spans="4:18" x14ac:dyDescent="0.2">
      <c r="D318" s="4"/>
      <c r="G318" s="5"/>
      <c r="H318" s="5"/>
      <c r="I318" s="4"/>
      <c r="J318" s="4"/>
      <c r="K318" s="5"/>
      <c r="Q318" s="78" t="e">
        <f>VLOOKUP(A318,'גיליון דאטה להכל'!A:H,5,0)</f>
        <v>#N/A</v>
      </c>
      <c r="R318" s="78" t="e">
        <f>VLOOKUP(A318,'לעדכן בסינתזה דאטה אריזה 42+24'!$A:$C,3,0)</f>
        <v>#N/A</v>
      </c>
    </row>
    <row r="319" spans="4:18" x14ac:dyDescent="0.2">
      <c r="D319" s="4"/>
      <c r="G319" s="5"/>
      <c r="H319" s="5"/>
      <c r="I319" s="4"/>
      <c r="J319" s="4"/>
      <c r="K319" s="5"/>
      <c r="Q319" s="78" t="e">
        <f>VLOOKUP(A319,'גיליון דאטה להכל'!A:H,5,0)</f>
        <v>#N/A</v>
      </c>
      <c r="R319" s="78" t="e">
        <f>VLOOKUP(A319,'לעדכן בסינתזה דאטה אריזה 42+24'!$A:$C,3,0)</f>
        <v>#N/A</v>
      </c>
    </row>
    <row r="320" spans="4:18" x14ac:dyDescent="0.2">
      <c r="D320" s="4"/>
      <c r="G320" s="5"/>
      <c r="H320" s="5"/>
      <c r="I320" s="4"/>
      <c r="J320" s="4"/>
      <c r="K320" s="5"/>
      <c r="Q320" s="78" t="e">
        <f>VLOOKUP(A320,'גיליון דאטה להכל'!A:H,5,0)</f>
        <v>#N/A</v>
      </c>
      <c r="R320" s="78" t="e">
        <f>VLOOKUP(A320,'לעדכן בסינתזה דאטה אריזה 42+24'!$A:$C,3,0)</f>
        <v>#N/A</v>
      </c>
    </row>
    <row r="321" spans="4:18" x14ac:dyDescent="0.2">
      <c r="D321" s="4"/>
      <c r="G321" s="5"/>
      <c r="H321" s="5"/>
      <c r="I321" s="4"/>
      <c r="J321" s="4"/>
      <c r="K321" s="5"/>
      <c r="Q321" s="78" t="e">
        <f>VLOOKUP(A321,'גיליון דאטה להכל'!A:H,5,0)</f>
        <v>#N/A</v>
      </c>
      <c r="R321" s="78" t="e">
        <f>VLOOKUP(A321,'לעדכן בסינתזה דאטה אריזה 42+24'!$A:$C,3,0)</f>
        <v>#N/A</v>
      </c>
    </row>
    <row r="322" spans="4:18" x14ac:dyDescent="0.2">
      <c r="D322" s="4"/>
      <c r="G322" s="5"/>
      <c r="H322" s="5"/>
      <c r="I322" s="4"/>
      <c r="J322" s="4"/>
      <c r="K322" s="5"/>
      <c r="Q322" s="78" t="e">
        <f>VLOOKUP(A322,'גיליון דאטה להכל'!A:H,5,0)</f>
        <v>#N/A</v>
      </c>
      <c r="R322" s="78" t="e">
        <f>VLOOKUP(A322,'לעדכן בסינתזה דאטה אריזה 42+24'!$A:$C,3,0)</f>
        <v>#N/A</v>
      </c>
    </row>
    <row r="323" spans="4:18" x14ac:dyDescent="0.2">
      <c r="D323" s="4"/>
      <c r="G323" s="5"/>
      <c r="H323" s="5"/>
      <c r="I323" s="4"/>
      <c r="J323" s="4"/>
      <c r="K323" s="5"/>
      <c r="Q323" s="78" t="e">
        <f>VLOOKUP(A323,'גיליון דאטה להכל'!A:H,5,0)</f>
        <v>#N/A</v>
      </c>
      <c r="R323" s="78" t="e">
        <f>VLOOKUP(A323,'לעדכן בסינתזה דאטה אריזה 42+24'!$A:$C,3,0)</f>
        <v>#N/A</v>
      </c>
    </row>
    <row r="324" spans="4:18" x14ac:dyDescent="0.2">
      <c r="D324" s="4"/>
      <c r="G324" s="5"/>
      <c r="H324" s="5"/>
      <c r="I324" s="4"/>
      <c r="J324" s="4"/>
      <c r="K324" s="5"/>
      <c r="Q324" s="78" t="e">
        <f>VLOOKUP(A324,'גיליון דאטה להכל'!A:H,5,0)</f>
        <v>#N/A</v>
      </c>
      <c r="R324" s="78" t="e">
        <f>VLOOKUP(A324,'לעדכן בסינתזה דאטה אריזה 42+24'!$A:$C,3,0)</f>
        <v>#N/A</v>
      </c>
    </row>
    <row r="325" spans="4:18" x14ac:dyDescent="0.2">
      <c r="D325" s="4"/>
      <c r="G325" s="5"/>
      <c r="H325" s="5"/>
      <c r="I325" s="4"/>
      <c r="J325" s="4"/>
      <c r="K325" s="5"/>
      <c r="Q325" s="78" t="e">
        <f>VLOOKUP(A325,'גיליון דאטה להכל'!A:H,5,0)</f>
        <v>#N/A</v>
      </c>
      <c r="R325" s="78" t="e">
        <f>VLOOKUP(A325,'לעדכן בסינתזה דאטה אריזה 42+24'!$A:$C,3,0)</f>
        <v>#N/A</v>
      </c>
    </row>
    <row r="326" spans="4:18" x14ac:dyDescent="0.2">
      <c r="D326" s="4"/>
      <c r="G326" s="5"/>
      <c r="H326" s="5"/>
      <c r="I326" s="4"/>
      <c r="J326" s="4"/>
      <c r="K326" s="5"/>
      <c r="Q326" s="78" t="e">
        <f>VLOOKUP(A326,'גיליון דאטה להכל'!A:H,5,0)</f>
        <v>#N/A</v>
      </c>
      <c r="R326" s="78" t="e">
        <f>VLOOKUP(A326,'לעדכן בסינתזה דאטה אריזה 42+24'!$A:$C,3,0)</f>
        <v>#N/A</v>
      </c>
    </row>
    <row r="327" spans="4:18" x14ac:dyDescent="0.2">
      <c r="D327" s="4"/>
      <c r="G327" s="5"/>
      <c r="H327" s="5"/>
      <c r="I327" s="4"/>
      <c r="J327" s="4"/>
      <c r="K327" s="5"/>
      <c r="Q327" s="78" t="e">
        <f>VLOOKUP(A327,'גיליון דאטה להכל'!A:H,5,0)</f>
        <v>#N/A</v>
      </c>
      <c r="R327" s="78" t="e">
        <f>VLOOKUP(A327,'לעדכן בסינתזה דאטה אריזה 42+24'!$A:$C,3,0)</f>
        <v>#N/A</v>
      </c>
    </row>
    <row r="328" spans="4:18" x14ac:dyDescent="0.2">
      <c r="D328" s="4"/>
      <c r="G328" s="5"/>
      <c r="H328" s="5"/>
      <c r="I328" s="4"/>
      <c r="J328" s="4"/>
      <c r="K328" s="5"/>
      <c r="Q328" s="78" t="e">
        <f>VLOOKUP(A328,'גיליון דאטה להכל'!A:H,5,0)</f>
        <v>#N/A</v>
      </c>
      <c r="R328" s="78" t="e">
        <f>VLOOKUP(A328,'לעדכן בסינתזה דאטה אריזה 42+24'!$A:$C,3,0)</f>
        <v>#N/A</v>
      </c>
    </row>
    <row r="329" spans="4:18" x14ac:dyDescent="0.2">
      <c r="D329" s="4"/>
      <c r="G329" s="5"/>
      <c r="H329" s="5"/>
      <c r="I329" s="4"/>
      <c r="J329" s="4"/>
      <c r="K329" s="5"/>
      <c r="Q329" s="78" t="e">
        <f>VLOOKUP(A329,'גיליון דאטה להכל'!A:H,5,0)</f>
        <v>#N/A</v>
      </c>
      <c r="R329" s="78" t="e">
        <f>VLOOKUP(A329,'לעדכן בסינתזה דאטה אריזה 42+24'!$A:$C,3,0)</f>
        <v>#N/A</v>
      </c>
    </row>
    <row r="330" spans="4:18" x14ac:dyDescent="0.2">
      <c r="D330" s="4"/>
      <c r="G330" s="5"/>
      <c r="H330" s="5"/>
      <c r="I330" s="4"/>
      <c r="J330" s="4"/>
      <c r="K330" s="5"/>
      <c r="Q330" s="78" t="e">
        <f>VLOOKUP(A330,'גיליון דאטה להכל'!A:H,5,0)</f>
        <v>#N/A</v>
      </c>
      <c r="R330" s="78" t="e">
        <f>VLOOKUP(A330,'לעדכן בסינתזה דאטה אריזה 42+24'!$A:$C,3,0)</f>
        <v>#N/A</v>
      </c>
    </row>
    <row r="331" spans="4:18" x14ac:dyDescent="0.2">
      <c r="D331" s="4"/>
      <c r="G331" s="5"/>
      <c r="H331" s="5"/>
      <c r="I331" s="4"/>
      <c r="J331" s="4"/>
      <c r="K331" s="5"/>
      <c r="Q331" s="78" t="e">
        <f>VLOOKUP(A331,'גיליון דאטה להכל'!A:H,5,0)</f>
        <v>#N/A</v>
      </c>
      <c r="R331" s="78" t="e">
        <f>VLOOKUP(A331,'לעדכן בסינתזה דאטה אריזה 42+24'!$A:$C,3,0)</f>
        <v>#N/A</v>
      </c>
    </row>
    <row r="332" spans="4:18" x14ac:dyDescent="0.2">
      <c r="D332" s="4"/>
      <c r="G332" s="5"/>
      <c r="H332" s="5"/>
      <c r="I332" s="4"/>
      <c r="J332" s="4"/>
      <c r="K332" s="5"/>
      <c r="Q332" s="78" t="e">
        <f>VLOOKUP(A332,'גיליון דאטה להכל'!A:H,5,0)</f>
        <v>#N/A</v>
      </c>
      <c r="R332" s="78" t="e">
        <f>VLOOKUP(A332,'לעדכן בסינתזה דאטה אריזה 42+24'!$A:$C,3,0)</f>
        <v>#N/A</v>
      </c>
    </row>
    <row r="333" spans="4:18" x14ac:dyDescent="0.2">
      <c r="D333" s="4"/>
      <c r="G333" s="5"/>
      <c r="H333" s="5"/>
      <c r="I333" s="4"/>
      <c r="J333" s="4"/>
      <c r="K333" s="5"/>
      <c r="Q333" s="78" t="e">
        <f>VLOOKUP(A333,'גיליון דאטה להכל'!A:H,5,0)</f>
        <v>#N/A</v>
      </c>
      <c r="R333" s="78" t="e">
        <f>VLOOKUP(A333,'לעדכן בסינתזה דאטה אריזה 42+24'!$A:$C,3,0)</f>
        <v>#N/A</v>
      </c>
    </row>
    <row r="334" spans="4:18" x14ac:dyDescent="0.2">
      <c r="D334" s="4"/>
      <c r="G334" s="5"/>
      <c r="H334" s="5"/>
      <c r="I334" s="4"/>
      <c r="J334" s="4"/>
      <c r="K334" s="5"/>
      <c r="Q334" s="78" t="e">
        <f>VLOOKUP(A334,'גיליון דאטה להכל'!A:H,5,0)</f>
        <v>#N/A</v>
      </c>
      <c r="R334" s="78" t="e">
        <f>VLOOKUP(A334,'לעדכן בסינתזה דאטה אריזה 42+24'!$A:$C,3,0)</f>
        <v>#N/A</v>
      </c>
    </row>
    <row r="335" spans="4:18" x14ac:dyDescent="0.2">
      <c r="D335" s="4"/>
      <c r="G335" s="5"/>
      <c r="H335" s="5"/>
      <c r="I335" s="4"/>
      <c r="J335" s="4"/>
      <c r="K335" s="5"/>
      <c r="Q335" s="78" t="e">
        <f>VLOOKUP(A335,'גיליון דאטה להכל'!A:H,5,0)</f>
        <v>#N/A</v>
      </c>
      <c r="R335" s="78" t="e">
        <f>VLOOKUP(A335,'לעדכן בסינתזה דאטה אריזה 42+24'!$A:$C,3,0)</f>
        <v>#N/A</v>
      </c>
    </row>
    <row r="336" spans="4:18" x14ac:dyDescent="0.2">
      <c r="D336" s="4"/>
      <c r="G336" s="5"/>
      <c r="H336" s="5"/>
      <c r="I336" s="4"/>
      <c r="J336" s="4"/>
      <c r="K336" s="5"/>
      <c r="Q336" s="78" t="e">
        <f>VLOOKUP(A336,'גיליון דאטה להכל'!A:H,5,0)</f>
        <v>#N/A</v>
      </c>
      <c r="R336" s="78" t="e">
        <f>VLOOKUP(A336,'לעדכן בסינתזה דאטה אריזה 42+24'!$A:$C,3,0)</f>
        <v>#N/A</v>
      </c>
    </row>
    <row r="337" spans="4:18" x14ac:dyDescent="0.2">
      <c r="D337" s="4"/>
      <c r="G337" s="5"/>
      <c r="H337" s="5"/>
      <c r="I337" s="4"/>
      <c r="J337" s="4"/>
      <c r="K337" s="5"/>
      <c r="Q337" s="78" t="e">
        <f>VLOOKUP(A337,'גיליון דאטה להכל'!A:H,5,0)</f>
        <v>#N/A</v>
      </c>
      <c r="R337" s="78" t="e">
        <f>VLOOKUP(A337,'לעדכן בסינתזה דאטה אריזה 42+24'!$A:$C,3,0)</f>
        <v>#N/A</v>
      </c>
    </row>
    <row r="338" spans="4:18" x14ac:dyDescent="0.2">
      <c r="D338" s="4"/>
      <c r="G338" s="5"/>
      <c r="H338" s="5"/>
      <c r="I338" s="4"/>
      <c r="J338" s="4"/>
      <c r="K338" s="5"/>
      <c r="Q338" s="78" t="e">
        <f>VLOOKUP(A338,'גיליון דאטה להכל'!A:H,5,0)</f>
        <v>#N/A</v>
      </c>
      <c r="R338" s="78" t="e">
        <f>VLOOKUP(A338,'לעדכן בסינתזה דאטה אריזה 42+24'!$A:$C,3,0)</f>
        <v>#N/A</v>
      </c>
    </row>
    <row r="339" spans="4:18" x14ac:dyDescent="0.2">
      <c r="D339" s="4"/>
      <c r="G339" s="5"/>
      <c r="H339" s="5"/>
      <c r="I339" s="4"/>
      <c r="J339" s="4"/>
      <c r="K339" s="5"/>
      <c r="Q339" s="78" t="e">
        <f>VLOOKUP(A339,'גיליון דאטה להכל'!A:H,5,0)</f>
        <v>#N/A</v>
      </c>
      <c r="R339" s="78" t="e">
        <f>VLOOKUP(A339,'לעדכן בסינתזה דאטה אריזה 42+24'!$A:$C,3,0)</f>
        <v>#N/A</v>
      </c>
    </row>
    <row r="340" spans="4:18" x14ac:dyDescent="0.2">
      <c r="D340" s="4"/>
      <c r="G340" s="5"/>
      <c r="H340" s="5"/>
      <c r="I340" s="4"/>
      <c r="J340" s="4"/>
      <c r="K340" s="5"/>
      <c r="Q340" s="78" t="e">
        <f>VLOOKUP(A340,'גיליון דאטה להכל'!A:H,5,0)</f>
        <v>#N/A</v>
      </c>
      <c r="R340" s="78" t="e">
        <f>VLOOKUP(A340,'לעדכן בסינתזה דאטה אריזה 42+24'!$A:$C,3,0)</f>
        <v>#N/A</v>
      </c>
    </row>
    <row r="341" spans="4:18" x14ac:dyDescent="0.2">
      <c r="D341" s="4"/>
      <c r="G341" s="5"/>
      <c r="H341" s="5"/>
      <c r="I341" s="4"/>
      <c r="J341" s="4"/>
      <c r="K341" s="5"/>
      <c r="Q341" s="78" t="e">
        <f>VLOOKUP(A341,'גיליון דאטה להכל'!A:H,5,0)</f>
        <v>#N/A</v>
      </c>
      <c r="R341" s="78" t="e">
        <f>VLOOKUP(A341,'לעדכן בסינתזה דאטה אריזה 42+24'!$A:$C,3,0)</f>
        <v>#N/A</v>
      </c>
    </row>
    <row r="342" spans="4:18" x14ac:dyDescent="0.2">
      <c r="D342" s="4"/>
      <c r="G342" s="5"/>
      <c r="H342" s="5"/>
      <c r="I342" s="4"/>
      <c r="J342" s="4"/>
      <c r="K342" s="5"/>
      <c r="Q342" s="78" t="e">
        <f>VLOOKUP(A342,'גיליון דאטה להכל'!A:H,5,0)</f>
        <v>#N/A</v>
      </c>
      <c r="R342" s="78" t="e">
        <f>VLOOKUP(A342,'לעדכן בסינתזה דאטה אריזה 42+24'!$A:$C,3,0)</f>
        <v>#N/A</v>
      </c>
    </row>
    <row r="343" spans="4:18" x14ac:dyDescent="0.2">
      <c r="D343" s="4"/>
      <c r="G343" s="5"/>
      <c r="H343" s="5"/>
      <c r="I343" s="4"/>
      <c r="J343" s="4"/>
      <c r="K343" s="5"/>
      <c r="Q343" s="78" t="e">
        <f>VLOOKUP(A343,'גיליון דאטה להכל'!A:H,5,0)</f>
        <v>#N/A</v>
      </c>
      <c r="R343" s="78" t="e">
        <f>VLOOKUP(A343,'לעדכן בסינתזה דאטה אריזה 42+24'!$A:$C,3,0)</f>
        <v>#N/A</v>
      </c>
    </row>
    <row r="344" spans="4:18" x14ac:dyDescent="0.2">
      <c r="D344" s="4"/>
      <c r="G344" s="5"/>
      <c r="H344" s="5"/>
      <c r="I344" s="4"/>
      <c r="J344" s="4"/>
      <c r="K344" s="5"/>
      <c r="Q344" s="78" t="e">
        <f>VLOOKUP(A344,'גיליון דאטה להכל'!A:H,5,0)</f>
        <v>#N/A</v>
      </c>
      <c r="R344" s="78" t="e">
        <f>VLOOKUP(A344,'לעדכן בסינתזה דאטה אריזה 42+24'!$A:$C,3,0)</f>
        <v>#N/A</v>
      </c>
    </row>
    <row r="345" spans="4:18" x14ac:dyDescent="0.2">
      <c r="D345" s="4"/>
      <c r="G345" s="5"/>
      <c r="H345" s="5"/>
      <c r="I345" s="4"/>
      <c r="J345" s="4"/>
      <c r="K345" s="5"/>
      <c r="Q345" s="78" t="e">
        <f>VLOOKUP(A345,'גיליון דאטה להכל'!A:H,5,0)</f>
        <v>#N/A</v>
      </c>
      <c r="R345" s="78" t="e">
        <f>VLOOKUP(A345,'לעדכן בסינתזה דאטה אריזה 42+24'!$A:$C,3,0)</f>
        <v>#N/A</v>
      </c>
    </row>
    <row r="346" spans="4:18" x14ac:dyDescent="0.2">
      <c r="D346" s="4"/>
      <c r="G346" s="5"/>
      <c r="H346" s="5"/>
      <c r="I346" s="4"/>
      <c r="J346" s="4"/>
      <c r="K346" s="5"/>
      <c r="Q346" s="78" t="e">
        <f>VLOOKUP(A346,'גיליון דאטה להכל'!A:H,5,0)</f>
        <v>#N/A</v>
      </c>
      <c r="R346" s="78" t="e">
        <f>VLOOKUP(A346,'לעדכן בסינתזה דאטה אריזה 42+24'!$A:$C,3,0)</f>
        <v>#N/A</v>
      </c>
    </row>
    <row r="347" spans="4:18" x14ac:dyDescent="0.2">
      <c r="D347" s="4"/>
      <c r="G347" s="5"/>
      <c r="H347" s="5"/>
      <c r="I347" s="4"/>
      <c r="J347" s="4"/>
      <c r="K347" s="5"/>
      <c r="Q347" s="78" t="e">
        <f>VLOOKUP(A347,'גיליון דאטה להכל'!A:H,5,0)</f>
        <v>#N/A</v>
      </c>
      <c r="R347" s="78" t="e">
        <f>VLOOKUP(A347,'לעדכן בסינתזה דאטה אריזה 42+24'!$A:$C,3,0)</f>
        <v>#N/A</v>
      </c>
    </row>
    <row r="348" spans="4:18" x14ac:dyDescent="0.2">
      <c r="D348" s="4"/>
      <c r="G348" s="5"/>
      <c r="H348" s="5"/>
      <c r="I348" s="4"/>
      <c r="J348" s="4"/>
      <c r="K348" s="5"/>
      <c r="Q348" s="78" t="e">
        <f>VLOOKUP(A348,'גיליון דאטה להכל'!A:H,5,0)</f>
        <v>#N/A</v>
      </c>
      <c r="R348" s="78" t="e">
        <f>VLOOKUP(A348,'לעדכן בסינתזה דאטה אריזה 42+24'!$A:$C,3,0)</f>
        <v>#N/A</v>
      </c>
    </row>
    <row r="349" spans="4:18" x14ac:dyDescent="0.2">
      <c r="D349" s="4"/>
      <c r="G349" s="5"/>
      <c r="H349" s="5"/>
      <c r="I349" s="4"/>
      <c r="J349" s="4"/>
      <c r="K349" s="5"/>
      <c r="Q349" s="78" t="e">
        <f>VLOOKUP(A349,'גיליון דאטה להכל'!A:H,5,0)</f>
        <v>#N/A</v>
      </c>
      <c r="R349" s="78" t="e">
        <f>VLOOKUP(A349,'לעדכן בסינתזה דאטה אריזה 42+24'!$A:$C,3,0)</f>
        <v>#N/A</v>
      </c>
    </row>
    <row r="350" spans="4:18" x14ac:dyDescent="0.2">
      <c r="D350" s="4"/>
      <c r="G350" s="5"/>
      <c r="H350" s="5"/>
      <c r="I350" s="4"/>
      <c r="J350" s="4"/>
      <c r="K350" s="5"/>
      <c r="Q350" s="78" t="e">
        <f>VLOOKUP(A350,'גיליון דאטה להכל'!A:H,5,0)</f>
        <v>#N/A</v>
      </c>
      <c r="R350" s="78" t="e">
        <f>VLOOKUP(A350,'לעדכן בסינתזה דאטה אריזה 42+24'!$A:$C,3,0)</f>
        <v>#N/A</v>
      </c>
    </row>
    <row r="351" spans="4:18" x14ac:dyDescent="0.2">
      <c r="D351" s="4"/>
      <c r="G351" s="5"/>
      <c r="H351" s="5"/>
      <c r="I351" s="4"/>
      <c r="J351" s="4"/>
      <c r="K351" s="5"/>
      <c r="Q351" s="78" t="e">
        <f>VLOOKUP(A351,'גיליון דאטה להכל'!A:H,5,0)</f>
        <v>#N/A</v>
      </c>
      <c r="R351" s="78" t="e">
        <f>VLOOKUP(A351,'לעדכן בסינתזה דאטה אריזה 42+24'!$A:$C,3,0)</f>
        <v>#N/A</v>
      </c>
    </row>
    <row r="352" spans="4:18" x14ac:dyDescent="0.2">
      <c r="D352" s="4"/>
      <c r="G352" s="5"/>
      <c r="H352" s="5"/>
      <c r="I352" s="4"/>
      <c r="J352" s="4"/>
      <c r="K352" s="5"/>
      <c r="Q352" s="78" t="e">
        <f>VLOOKUP(A352,'גיליון דאטה להכל'!A:H,5,0)</f>
        <v>#N/A</v>
      </c>
      <c r="R352" s="78" t="e">
        <f>VLOOKUP(A352,'לעדכן בסינתזה דאטה אריזה 42+24'!$A:$C,3,0)</f>
        <v>#N/A</v>
      </c>
    </row>
    <row r="353" spans="4:18" x14ac:dyDescent="0.2">
      <c r="D353" s="4"/>
      <c r="G353" s="5"/>
      <c r="H353" s="5"/>
      <c r="I353" s="4"/>
      <c r="J353" s="4"/>
      <c r="K353" s="5"/>
      <c r="Q353" s="78" t="e">
        <f>VLOOKUP(A353,'גיליון דאטה להכל'!A:H,5,0)</f>
        <v>#N/A</v>
      </c>
      <c r="R353" s="78" t="e">
        <f>VLOOKUP(A353,'לעדכן בסינתזה דאטה אריזה 42+24'!$A:$C,3,0)</f>
        <v>#N/A</v>
      </c>
    </row>
    <row r="354" spans="4:18" x14ac:dyDescent="0.2">
      <c r="D354" s="4"/>
      <c r="G354" s="5"/>
      <c r="H354" s="5"/>
      <c r="I354" s="4"/>
      <c r="J354" s="4"/>
      <c r="K354" s="5"/>
      <c r="Q354" s="78" t="e">
        <f>VLOOKUP(A354,'גיליון דאטה להכל'!A:H,5,0)</f>
        <v>#N/A</v>
      </c>
      <c r="R354" s="78" t="e">
        <f>VLOOKUP(A354,'לעדכן בסינתזה דאטה אריזה 42+24'!$A:$C,3,0)</f>
        <v>#N/A</v>
      </c>
    </row>
    <row r="355" spans="4:18" x14ac:dyDescent="0.2">
      <c r="D355" s="4"/>
      <c r="G355" s="5"/>
      <c r="H355" s="5"/>
      <c r="I355" s="4"/>
      <c r="J355" s="4"/>
      <c r="K355" s="5"/>
      <c r="Q355" s="78" t="e">
        <f>VLOOKUP(A355,'גיליון דאטה להכל'!A:H,5,0)</f>
        <v>#N/A</v>
      </c>
      <c r="R355" s="78" t="e">
        <f>VLOOKUP(A355,'לעדכן בסינתזה דאטה אריזה 42+24'!$A:$C,3,0)</f>
        <v>#N/A</v>
      </c>
    </row>
    <row r="356" spans="4:18" x14ac:dyDescent="0.2">
      <c r="D356" s="4"/>
      <c r="G356" s="5"/>
      <c r="H356" s="5"/>
      <c r="I356" s="4"/>
      <c r="J356" s="4"/>
      <c r="K356" s="5"/>
      <c r="Q356" s="78" t="e">
        <f>VLOOKUP(A356,'גיליון דאטה להכל'!A:H,5,0)</f>
        <v>#N/A</v>
      </c>
      <c r="R356" s="78" t="e">
        <f>VLOOKUP(A356,'לעדכן בסינתזה דאטה אריזה 42+24'!$A:$C,3,0)</f>
        <v>#N/A</v>
      </c>
    </row>
    <row r="357" spans="4:18" x14ac:dyDescent="0.2">
      <c r="D357" s="4"/>
      <c r="G357" s="5"/>
      <c r="H357" s="5"/>
      <c r="I357" s="4"/>
      <c r="J357" s="4"/>
      <c r="K357" s="5"/>
      <c r="Q357" s="78" t="e">
        <f>VLOOKUP(A357,'גיליון דאטה להכל'!A:H,5,0)</f>
        <v>#N/A</v>
      </c>
      <c r="R357" s="78" t="e">
        <f>VLOOKUP(A357,'לעדכן בסינתזה דאטה אריזה 42+24'!$A:$C,3,0)</f>
        <v>#N/A</v>
      </c>
    </row>
    <row r="358" spans="4:18" x14ac:dyDescent="0.2">
      <c r="D358" s="4"/>
      <c r="G358" s="5"/>
      <c r="H358" s="5"/>
      <c r="I358" s="4"/>
      <c r="J358" s="4"/>
      <c r="K358" s="5"/>
      <c r="Q358" s="78" t="e">
        <f>VLOOKUP(A358,'גיליון דאטה להכל'!A:H,5,0)</f>
        <v>#N/A</v>
      </c>
      <c r="R358" s="78" t="e">
        <f>VLOOKUP(A358,'לעדכן בסינתזה דאטה אריזה 42+24'!$A:$C,3,0)</f>
        <v>#N/A</v>
      </c>
    </row>
    <row r="359" spans="4:18" x14ac:dyDescent="0.2">
      <c r="D359" s="4"/>
      <c r="G359" s="5"/>
      <c r="H359" s="5"/>
      <c r="I359" s="4"/>
      <c r="J359" s="4"/>
      <c r="K359" s="5"/>
      <c r="Q359" s="78" t="e">
        <f>VLOOKUP(A359,'גיליון דאטה להכל'!A:H,5,0)</f>
        <v>#N/A</v>
      </c>
      <c r="R359" s="78" t="e">
        <f>VLOOKUP(A359,'לעדכן בסינתזה דאטה אריזה 42+24'!$A:$C,3,0)</f>
        <v>#N/A</v>
      </c>
    </row>
    <row r="360" spans="4:18" x14ac:dyDescent="0.2">
      <c r="D360" s="4"/>
      <c r="G360" s="5"/>
      <c r="H360" s="5"/>
      <c r="I360" s="4"/>
      <c r="J360" s="4"/>
      <c r="K360" s="5"/>
      <c r="Q360" s="78" t="e">
        <f>VLOOKUP(A360,'גיליון דאטה להכל'!A:H,5,0)</f>
        <v>#N/A</v>
      </c>
      <c r="R360" s="78" t="e">
        <f>VLOOKUP(A360,'לעדכן בסינתזה דאטה אריזה 42+24'!$A:$C,3,0)</f>
        <v>#N/A</v>
      </c>
    </row>
    <row r="361" spans="4:18" x14ac:dyDescent="0.2">
      <c r="D361" s="4"/>
      <c r="G361" s="5"/>
      <c r="H361" s="5"/>
      <c r="I361" s="4"/>
      <c r="J361" s="4"/>
      <c r="K361" s="5"/>
      <c r="Q361" s="78" t="e">
        <f>VLOOKUP(A361,'גיליון דאטה להכל'!A:H,5,0)</f>
        <v>#N/A</v>
      </c>
      <c r="R361" s="78" t="e">
        <f>VLOOKUP(A361,'לעדכן בסינתזה דאטה אריזה 42+24'!$A:$C,3,0)</f>
        <v>#N/A</v>
      </c>
    </row>
    <row r="362" spans="4:18" x14ac:dyDescent="0.2">
      <c r="D362" s="4"/>
      <c r="G362" s="5"/>
      <c r="H362" s="5"/>
      <c r="I362" s="4"/>
      <c r="J362" s="4"/>
      <c r="K362" s="5"/>
      <c r="Q362" s="78" t="e">
        <f>VLOOKUP(A362,'גיליון דאטה להכל'!A:H,5,0)</f>
        <v>#N/A</v>
      </c>
      <c r="R362" s="78" t="e">
        <f>VLOOKUP(A362,'לעדכן בסינתזה דאטה אריזה 42+24'!$A:$C,3,0)</f>
        <v>#N/A</v>
      </c>
    </row>
    <row r="363" spans="4:18" x14ac:dyDescent="0.2">
      <c r="D363" s="4"/>
      <c r="G363" s="5"/>
      <c r="H363" s="5"/>
      <c r="I363" s="4"/>
      <c r="J363" s="4"/>
      <c r="K363" s="5"/>
      <c r="Q363" s="78" t="e">
        <f>VLOOKUP(A363,'גיליון דאטה להכל'!A:H,5,0)</f>
        <v>#N/A</v>
      </c>
      <c r="R363" s="78" t="e">
        <f>VLOOKUP(A363,'לעדכן בסינתזה דאטה אריזה 42+24'!$A:$C,3,0)</f>
        <v>#N/A</v>
      </c>
    </row>
    <row r="364" spans="4:18" x14ac:dyDescent="0.2">
      <c r="D364" s="4"/>
      <c r="G364" s="5"/>
      <c r="H364" s="5"/>
      <c r="I364" s="4"/>
      <c r="J364" s="4"/>
      <c r="K364" s="5"/>
      <c r="Q364" s="78" t="e">
        <f>VLOOKUP(A364,'גיליון דאטה להכל'!A:H,5,0)</f>
        <v>#N/A</v>
      </c>
      <c r="R364" s="78" t="e">
        <f>VLOOKUP(A364,'לעדכן בסינתזה דאטה אריזה 42+24'!$A:$C,3,0)</f>
        <v>#N/A</v>
      </c>
    </row>
    <row r="365" spans="4:18" x14ac:dyDescent="0.2">
      <c r="D365" s="4"/>
      <c r="G365" s="5"/>
      <c r="H365" s="5"/>
      <c r="I365" s="4"/>
      <c r="J365" s="4"/>
      <c r="K365" s="5"/>
      <c r="Q365" s="78" t="e">
        <f>VLOOKUP(A365,'גיליון דאטה להכל'!A:H,5,0)</f>
        <v>#N/A</v>
      </c>
      <c r="R365" s="78" t="e">
        <f>VLOOKUP(A365,'לעדכן בסינתזה דאטה אריזה 42+24'!$A:$C,3,0)</f>
        <v>#N/A</v>
      </c>
    </row>
    <row r="366" spans="4:18" x14ac:dyDescent="0.2">
      <c r="D366" s="4"/>
      <c r="G366" s="5"/>
      <c r="H366" s="5"/>
      <c r="I366" s="4"/>
      <c r="J366" s="4"/>
      <c r="K366" s="5"/>
      <c r="Q366" s="78" t="e">
        <f>VLOOKUP(A366,'גיליון דאטה להכל'!A:H,5,0)</f>
        <v>#N/A</v>
      </c>
      <c r="R366" s="78" t="e">
        <f>VLOOKUP(A366,'לעדכן בסינתזה דאטה אריזה 42+24'!$A:$C,3,0)</f>
        <v>#N/A</v>
      </c>
    </row>
    <row r="367" spans="4:18" x14ac:dyDescent="0.2">
      <c r="D367" s="4"/>
      <c r="G367" s="5"/>
      <c r="H367" s="5"/>
      <c r="I367" s="4"/>
      <c r="J367" s="4"/>
      <c r="K367" s="5"/>
      <c r="Q367" s="78" t="e">
        <f>VLOOKUP(A367,'גיליון דאטה להכל'!A:H,5,0)</f>
        <v>#N/A</v>
      </c>
      <c r="R367" s="78" t="e">
        <f>VLOOKUP(A367,'לעדכן בסינתזה דאטה אריזה 42+24'!$A:$C,3,0)</f>
        <v>#N/A</v>
      </c>
    </row>
    <row r="368" spans="4:18" x14ac:dyDescent="0.2">
      <c r="D368" s="4"/>
      <c r="G368" s="5"/>
      <c r="H368" s="5"/>
      <c r="I368" s="4"/>
      <c r="J368" s="4"/>
      <c r="K368" s="5"/>
      <c r="Q368" s="78" t="e">
        <f>VLOOKUP(A368,'גיליון דאטה להכל'!A:H,5,0)</f>
        <v>#N/A</v>
      </c>
      <c r="R368" s="78" t="e">
        <f>VLOOKUP(A368,'לעדכן בסינתזה דאטה אריזה 42+24'!$A:$C,3,0)</f>
        <v>#N/A</v>
      </c>
    </row>
    <row r="369" spans="4:18" x14ac:dyDescent="0.2">
      <c r="D369" s="4"/>
      <c r="G369" s="5"/>
      <c r="H369" s="5"/>
      <c r="I369" s="4"/>
      <c r="J369" s="4"/>
      <c r="K369" s="5"/>
      <c r="Q369" s="78" t="e">
        <f>VLOOKUP(A369,'גיליון דאטה להכל'!A:H,5,0)</f>
        <v>#N/A</v>
      </c>
      <c r="R369" s="78" t="e">
        <f>VLOOKUP(A369,'לעדכן בסינתזה דאטה אריזה 42+24'!$A:$C,3,0)</f>
        <v>#N/A</v>
      </c>
    </row>
    <row r="370" spans="4:18" x14ac:dyDescent="0.2">
      <c r="D370" s="4"/>
      <c r="G370" s="5"/>
      <c r="H370" s="5"/>
      <c r="I370" s="4"/>
      <c r="J370" s="4"/>
      <c r="K370" s="5"/>
      <c r="Q370" s="78" t="e">
        <f>VLOOKUP(A370,'גיליון דאטה להכל'!A:H,5,0)</f>
        <v>#N/A</v>
      </c>
      <c r="R370" s="78" t="e">
        <f>VLOOKUP(A370,'לעדכן בסינתזה דאטה אריזה 42+24'!$A:$C,3,0)</f>
        <v>#N/A</v>
      </c>
    </row>
    <row r="371" spans="4:18" x14ac:dyDescent="0.2">
      <c r="D371" s="4"/>
      <c r="G371" s="5"/>
      <c r="H371" s="5"/>
      <c r="I371" s="4"/>
      <c r="J371" s="4"/>
      <c r="K371" s="5"/>
      <c r="Q371" s="78" t="e">
        <f>VLOOKUP(A371,'גיליון דאטה להכל'!A:H,5,0)</f>
        <v>#N/A</v>
      </c>
      <c r="R371" s="78" t="e">
        <f>VLOOKUP(A371,'לעדכן בסינתזה דאטה אריזה 42+24'!$A:$C,3,0)</f>
        <v>#N/A</v>
      </c>
    </row>
    <row r="372" spans="4:18" x14ac:dyDescent="0.2">
      <c r="D372" s="4"/>
      <c r="G372" s="5"/>
      <c r="H372" s="5"/>
      <c r="I372" s="4"/>
      <c r="J372" s="4"/>
      <c r="K372" s="5"/>
      <c r="Q372" s="78" t="e">
        <f>VLOOKUP(A372,'גיליון דאטה להכל'!A:H,5,0)</f>
        <v>#N/A</v>
      </c>
      <c r="R372" s="78" t="e">
        <f>VLOOKUP(A372,'לעדכן בסינתזה דאטה אריזה 42+24'!$A:$C,3,0)</f>
        <v>#N/A</v>
      </c>
    </row>
    <row r="373" spans="4:18" x14ac:dyDescent="0.2">
      <c r="D373" s="4"/>
      <c r="G373" s="5"/>
      <c r="H373" s="5"/>
      <c r="I373" s="4"/>
      <c r="J373" s="4"/>
      <c r="K373" s="5"/>
      <c r="Q373" s="78" t="e">
        <f>VLOOKUP(A373,'גיליון דאטה להכל'!A:H,5,0)</f>
        <v>#N/A</v>
      </c>
      <c r="R373" s="78" t="e">
        <f>VLOOKUP(A373,'לעדכן בסינתזה דאטה אריזה 42+24'!$A:$C,3,0)</f>
        <v>#N/A</v>
      </c>
    </row>
    <row r="374" spans="4:18" x14ac:dyDescent="0.2">
      <c r="D374" s="4"/>
      <c r="G374" s="5"/>
      <c r="H374" s="5"/>
      <c r="I374" s="4"/>
      <c r="J374" s="4"/>
      <c r="K374" s="5"/>
      <c r="Q374" s="78" t="e">
        <f>VLOOKUP(A374,'גיליון דאטה להכל'!A:H,5,0)</f>
        <v>#N/A</v>
      </c>
      <c r="R374" s="78" t="e">
        <f>VLOOKUP(A374,'לעדכן בסינתזה דאטה אריזה 42+24'!$A:$C,3,0)</f>
        <v>#N/A</v>
      </c>
    </row>
    <row r="375" spans="4:18" x14ac:dyDescent="0.2">
      <c r="D375" s="4"/>
      <c r="G375" s="5"/>
      <c r="H375" s="5"/>
      <c r="I375" s="4"/>
      <c r="J375" s="4"/>
      <c r="K375" s="5"/>
      <c r="Q375" s="78" t="e">
        <f>VLOOKUP(A375,'גיליון דאטה להכל'!A:H,5,0)</f>
        <v>#N/A</v>
      </c>
      <c r="R375" s="78" t="e">
        <f>VLOOKUP(A375,'לעדכן בסינתזה דאטה אריזה 42+24'!$A:$C,3,0)</f>
        <v>#N/A</v>
      </c>
    </row>
    <row r="376" spans="4:18" x14ac:dyDescent="0.2">
      <c r="D376" s="4"/>
      <c r="G376" s="5"/>
      <c r="H376" s="5"/>
      <c r="I376" s="4"/>
      <c r="J376" s="4"/>
      <c r="K376" s="5"/>
      <c r="Q376" s="78" t="e">
        <f>VLOOKUP(A376,'גיליון דאטה להכל'!A:H,5,0)</f>
        <v>#N/A</v>
      </c>
      <c r="R376" s="78" t="e">
        <f>VLOOKUP(A376,'לעדכן בסינתזה דאטה אריזה 42+24'!$A:$C,3,0)</f>
        <v>#N/A</v>
      </c>
    </row>
    <row r="377" spans="4:18" x14ac:dyDescent="0.2">
      <c r="D377" s="4"/>
      <c r="G377" s="5"/>
      <c r="H377" s="5"/>
      <c r="I377" s="4"/>
      <c r="J377" s="4"/>
      <c r="K377" s="5"/>
      <c r="Q377" s="78" t="e">
        <f>VLOOKUP(A377,'גיליון דאטה להכל'!A:H,5,0)</f>
        <v>#N/A</v>
      </c>
      <c r="R377" s="78" t="e">
        <f>VLOOKUP(A377,'לעדכן בסינתזה דאטה אריזה 42+24'!$A:$C,3,0)</f>
        <v>#N/A</v>
      </c>
    </row>
    <row r="378" spans="4:18" x14ac:dyDescent="0.2">
      <c r="D378" s="4"/>
      <c r="G378" s="5"/>
      <c r="H378" s="5"/>
      <c r="I378" s="4"/>
      <c r="J378" s="4"/>
      <c r="K378" s="5"/>
      <c r="Q378" s="78" t="e">
        <f>VLOOKUP(A378,'גיליון דאטה להכל'!A:H,5,0)</f>
        <v>#N/A</v>
      </c>
      <c r="R378" s="78" t="e">
        <f>VLOOKUP(A378,'לעדכן בסינתזה דאטה אריזה 42+24'!$A:$C,3,0)</f>
        <v>#N/A</v>
      </c>
    </row>
    <row r="379" spans="4:18" x14ac:dyDescent="0.2">
      <c r="D379" s="4"/>
      <c r="G379" s="5"/>
      <c r="H379" s="5"/>
      <c r="I379" s="4"/>
      <c r="J379" s="4"/>
      <c r="K379" s="5"/>
      <c r="Q379" s="78" t="e">
        <f>VLOOKUP(A379,'גיליון דאטה להכל'!A:H,5,0)</f>
        <v>#N/A</v>
      </c>
      <c r="R379" s="78" t="e">
        <f>VLOOKUP(A379,'לעדכן בסינתזה דאטה אריזה 42+24'!$A:$C,3,0)</f>
        <v>#N/A</v>
      </c>
    </row>
    <row r="380" spans="4:18" x14ac:dyDescent="0.2">
      <c r="D380" s="4"/>
      <c r="G380" s="5"/>
      <c r="H380" s="5"/>
      <c r="I380" s="4"/>
      <c r="J380" s="4"/>
      <c r="K380" s="5"/>
      <c r="Q380" s="78" t="e">
        <f>VLOOKUP(A380,'גיליון דאטה להכל'!A:H,5,0)</f>
        <v>#N/A</v>
      </c>
      <c r="R380" s="78" t="e">
        <f>VLOOKUP(A380,'לעדכן בסינתזה דאטה אריזה 42+24'!$A:$C,3,0)</f>
        <v>#N/A</v>
      </c>
    </row>
    <row r="381" spans="4:18" x14ac:dyDescent="0.2">
      <c r="D381" s="4"/>
      <c r="G381" s="5"/>
      <c r="H381" s="5"/>
      <c r="I381" s="4"/>
      <c r="J381" s="4"/>
      <c r="K381" s="5"/>
      <c r="Q381" s="78" t="e">
        <f>VLOOKUP(A381,'גיליון דאטה להכל'!A:H,5,0)</f>
        <v>#N/A</v>
      </c>
      <c r="R381" s="78" t="e">
        <f>VLOOKUP(A381,'לעדכן בסינתזה דאטה אריזה 42+24'!$A:$C,3,0)</f>
        <v>#N/A</v>
      </c>
    </row>
    <row r="382" spans="4:18" x14ac:dyDescent="0.2">
      <c r="D382" s="4"/>
      <c r="G382" s="5"/>
      <c r="H382" s="5"/>
      <c r="I382" s="4"/>
      <c r="J382" s="4"/>
      <c r="K382" s="5"/>
      <c r="Q382" s="78" t="e">
        <f>VLOOKUP(A382,'גיליון דאטה להכל'!A:H,5,0)</f>
        <v>#N/A</v>
      </c>
      <c r="R382" s="78" t="e">
        <f>VLOOKUP(A382,'לעדכן בסינתזה דאטה אריזה 42+24'!$A:$C,3,0)</f>
        <v>#N/A</v>
      </c>
    </row>
    <row r="383" spans="4:18" x14ac:dyDescent="0.2">
      <c r="D383" s="4"/>
      <c r="G383" s="5"/>
      <c r="H383" s="5"/>
      <c r="I383" s="4"/>
      <c r="J383" s="4"/>
      <c r="K383" s="5"/>
      <c r="Q383" s="78" t="e">
        <f>VLOOKUP(A383,'גיליון דאטה להכל'!A:H,5,0)</f>
        <v>#N/A</v>
      </c>
      <c r="R383" s="78" t="e">
        <f>VLOOKUP(A383,'לעדכן בסינתזה דאטה אריזה 42+24'!$A:$C,3,0)</f>
        <v>#N/A</v>
      </c>
    </row>
    <row r="384" spans="4:18" x14ac:dyDescent="0.2">
      <c r="D384" s="4"/>
      <c r="G384" s="5"/>
      <c r="H384" s="5"/>
      <c r="I384" s="4"/>
      <c r="J384" s="4"/>
      <c r="K384" s="5"/>
      <c r="Q384" s="78" t="e">
        <f>VLOOKUP(A384,'גיליון דאטה להכל'!A:H,5,0)</f>
        <v>#N/A</v>
      </c>
      <c r="R384" s="78" t="e">
        <f>VLOOKUP(A384,'לעדכן בסינתזה דאטה אריזה 42+24'!$A:$C,3,0)</f>
        <v>#N/A</v>
      </c>
    </row>
    <row r="385" spans="4:18" x14ac:dyDescent="0.2">
      <c r="D385" s="4"/>
      <c r="G385" s="5"/>
      <c r="H385" s="5"/>
      <c r="I385" s="4"/>
      <c r="J385" s="4"/>
      <c r="K385" s="5"/>
      <c r="Q385" s="78" t="e">
        <f>VLOOKUP(A385,'גיליון דאטה להכל'!A:H,5,0)</f>
        <v>#N/A</v>
      </c>
      <c r="R385" s="78" t="e">
        <f>VLOOKUP(A385,'לעדכן בסינתזה דאטה אריזה 42+24'!$A:$C,3,0)</f>
        <v>#N/A</v>
      </c>
    </row>
    <row r="386" spans="4:18" x14ac:dyDescent="0.2">
      <c r="D386" s="4"/>
      <c r="G386" s="5"/>
      <c r="H386" s="5"/>
      <c r="I386" s="4"/>
      <c r="J386" s="4"/>
      <c r="K386" s="5"/>
      <c r="Q386" s="78" t="e">
        <f>VLOOKUP(A386,'גיליון דאטה להכל'!A:H,5,0)</f>
        <v>#N/A</v>
      </c>
      <c r="R386" s="78" t="e">
        <f>VLOOKUP(A386,'לעדכן בסינתזה דאטה אריזה 42+24'!$A:$C,3,0)</f>
        <v>#N/A</v>
      </c>
    </row>
    <row r="387" spans="4:18" x14ac:dyDescent="0.2">
      <c r="D387" s="4"/>
      <c r="G387" s="5"/>
      <c r="H387" s="5"/>
      <c r="I387" s="4"/>
      <c r="J387" s="4"/>
      <c r="K387" s="5"/>
      <c r="Q387" s="78" t="e">
        <f>VLOOKUP(A387,'גיליון דאטה להכל'!A:H,5,0)</f>
        <v>#N/A</v>
      </c>
      <c r="R387" s="78" t="e">
        <f>VLOOKUP(A387,'לעדכן בסינתזה דאטה אריזה 42+24'!$A:$C,3,0)</f>
        <v>#N/A</v>
      </c>
    </row>
    <row r="388" spans="4:18" x14ac:dyDescent="0.2">
      <c r="D388" s="4"/>
      <c r="G388" s="5"/>
      <c r="H388" s="5"/>
      <c r="I388" s="4"/>
      <c r="J388" s="4"/>
      <c r="K388" s="5"/>
      <c r="Q388" s="78" t="e">
        <f>VLOOKUP(A388,'גיליון דאטה להכל'!A:H,5,0)</f>
        <v>#N/A</v>
      </c>
      <c r="R388" s="78" t="e">
        <f>VLOOKUP(A388,'לעדכן בסינתזה דאטה אריזה 42+24'!$A:$C,3,0)</f>
        <v>#N/A</v>
      </c>
    </row>
    <row r="389" spans="4:18" x14ac:dyDescent="0.2">
      <c r="D389" s="4"/>
      <c r="G389" s="5"/>
      <c r="H389" s="5"/>
      <c r="I389" s="4"/>
      <c r="J389" s="4"/>
      <c r="K389" s="5"/>
      <c r="Q389" s="78" t="e">
        <f>VLOOKUP(A389,'גיליון דאטה להכל'!A:H,5,0)</f>
        <v>#N/A</v>
      </c>
      <c r="R389" s="78" t="e">
        <f>VLOOKUP(A389,'לעדכן בסינתזה דאטה אריזה 42+24'!$A:$C,3,0)</f>
        <v>#N/A</v>
      </c>
    </row>
    <row r="390" spans="4:18" x14ac:dyDescent="0.2">
      <c r="D390" s="4"/>
      <c r="G390" s="5"/>
      <c r="H390" s="5"/>
      <c r="I390" s="4"/>
      <c r="J390" s="4"/>
      <c r="K390" s="5"/>
      <c r="Q390" s="78" t="e">
        <f>VLOOKUP(A390,'גיליון דאטה להכל'!A:H,5,0)</f>
        <v>#N/A</v>
      </c>
      <c r="R390" s="78" t="e">
        <f>VLOOKUP(A390,'לעדכן בסינתזה דאטה אריזה 42+24'!$A:$C,3,0)</f>
        <v>#N/A</v>
      </c>
    </row>
    <row r="391" spans="4:18" x14ac:dyDescent="0.2">
      <c r="D391" s="4"/>
      <c r="G391" s="5"/>
      <c r="H391" s="5"/>
      <c r="I391" s="4"/>
      <c r="J391" s="4"/>
      <c r="K391" s="5"/>
      <c r="Q391" s="78" t="e">
        <f>VLOOKUP(A391,'גיליון דאטה להכל'!A:H,5,0)</f>
        <v>#N/A</v>
      </c>
      <c r="R391" s="78" t="e">
        <f>VLOOKUP(A391,'לעדכן בסינתזה דאטה אריזה 42+24'!$A:$C,3,0)</f>
        <v>#N/A</v>
      </c>
    </row>
    <row r="392" spans="4:18" x14ac:dyDescent="0.2">
      <c r="D392" s="4"/>
      <c r="G392" s="5"/>
      <c r="H392" s="5"/>
      <c r="I392" s="4"/>
      <c r="J392" s="4"/>
      <c r="K392" s="5"/>
      <c r="Q392" s="78" t="e">
        <f>VLOOKUP(A392,'גיליון דאטה להכל'!A:H,5,0)</f>
        <v>#N/A</v>
      </c>
      <c r="R392" s="78" t="e">
        <f>VLOOKUP(A392,'לעדכן בסינתזה דאטה אריזה 42+24'!$A:$C,3,0)</f>
        <v>#N/A</v>
      </c>
    </row>
    <row r="393" spans="4:18" x14ac:dyDescent="0.2">
      <c r="D393" s="4"/>
      <c r="G393" s="5"/>
      <c r="H393" s="5"/>
      <c r="I393" s="4"/>
      <c r="J393" s="4"/>
      <c r="K393" s="5"/>
      <c r="Q393" s="78" t="e">
        <f>VLOOKUP(A393,'גיליון דאטה להכל'!A:H,5,0)</f>
        <v>#N/A</v>
      </c>
      <c r="R393" s="78" t="e">
        <f>VLOOKUP(A393,'לעדכן בסינתזה דאטה אריזה 42+24'!$A:$C,3,0)</f>
        <v>#N/A</v>
      </c>
    </row>
    <row r="394" spans="4:18" x14ac:dyDescent="0.2">
      <c r="D394" s="4"/>
      <c r="G394" s="5"/>
      <c r="H394" s="5"/>
      <c r="I394" s="4"/>
      <c r="J394" s="4"/>
      <c r="K394" s="5"/>
      <c r="Q394" s="78" t="e">
        <f>VLOOKUP(A394,'גיליון דאטה להכל'!A:H,5,0)</f>
        <v>#N/A</v>
      </c>
      <c r="R394" s="78" t="e">
        <f>VLOOKUP(A394,'לעדכן בסינתזה דאטה אריזה 42+24'!$A:$C,3,0)</f>
        <v>#N/A</v>
      </c>
    </row>
    <row r="395" spans="4:18" x14ac:dyDescent="0.2">
      <c r="D395" s="4"/>
      <c r="G395" s="5"/>
      <c r="H395" s="5"/>
      <c r="I395" s="4"/>
      <c r="J395" s="4"/>
      <c r="K395" s="5"/>
      <c r="Q395" s="78" t="e">
        <f>VLOOKUP(A395,'גיליון דאטה להכל'!A:H,5,0)</f>
        <v>#N/A</v>
      </c>
      <c r="R395" s="78" t="e">
        <f>VLOOKUP(A395,'לעדכן בסינתזה דאטה אריזה 42+24'!$A:$C,3,0)</f>
        <v>#N/A</v>
      </c>
    </row>
    <row r="396" spans="4:18" x14ac:dyDescent="0.2">
      <c r="D396" s="4"/>
      <c r="G396" s="5"/>
      <c r="H396" s="5"/>
      <c r="I396" s="4"/>
      <c r="J396" s="4"/>
      <c r="K396" s="5"/>
      <c r="Q396" s="78" t="e">
        <f>VLOOKUP(A396,'גיליון דאטה להכל'!A:H,5,0)</f>
        <v>#N/A</v>
      </c>
      <c r="R396" s="78" t="e">
        <f>VLOOKUP(A396,'לעדכן בסינתזה דאטה אריזה 42+24'!$A:$C,3,0)</f>
        <v>#N/A</v>
      </c>
    </row>
    <row r="397" spans="4:18" x14ac:dyDescent="0.2">
      <c r="D397" s="4"/>
      <c r="G397" s="5"/>
      <c r="H397" s="5"/>
      <c r="I397" s="4"/>
      <c r="J397" s="4"/>
      <c r="K397" s="5"/>
      <c r="Q397" s="78" t="e">
        <f>VLOOKUP(A397,'גיליון דאטה להכל'!A:H,5,0)</f>
        <v>#N/A</v>
      </c>
      <c r="R397" s="78" t="e">
        <f>VLOOKUP(A397,'לעדכן בסינתזה דאטה אריזה 42+24'!$A:$C,3,0)</f>
        <v>#N/A</v>
      </c>
    </row>
    <row r="398" spans="4:18" x14ac:dyDescent="0.2">
      <c r="D398" s="4"/>
      <c r="G398" s="5"/>
      <c r="H398" s="5"/>
      <c r="I398" s="4"/>
      <c r="J398" s="4"/>
      <c r="K398" s="5"/>
      <c r="Q398" s="78" t="e">
        <f>VLOOKUP(A398,'גיליון דאטה להכל'!A:H,5,0)</f>
        <v>#N/A</v>
      </c>
      <c r="R398" s="78" t="e">
        <f>VLOOKUP(A398,'לעדכן בסינתזה דאטה אריזה 42+24'!$A:$C,3,0)</f>
        <v>#N/A</v>
      </c>
    </row>
    <row r="399" spans="4:18" x14ac:dyDescent="0.2">
      <c r="D399" s="4"/>
      <c r="G399" s="5"/>
      <c r="H399" s="5"/>
      <c r="I399" s="4"/>
      <c r="J399" s="4"/>
      <c r="K399" s="5"/>
      <c r="Q399" s="78" t="e">
        <f>VLOOKUP(A399,'גיליון דאטה להכל'!A:H,5,0)</f>
        <v>#N/A</v>
      </c>
      <c r="R399" s="78" t="e">
        <f>VLOOKUP(A399,'לעדכן בסינתזה דאטה אריזה 42+24'!$A:$C,3,0)</f>
        <v>#N/A</v>
      </c>
    </row>
    <row r="400" spans="4:18" x14ac:dyDescent="0.2">
      <c r="D400" s="4"/>
      <c r="G400" s="5"/>
      <c r="H400" s="5"/>
      <c r="I400" s="4"/>
      <c r="J400" s="4"/>
      <c r="K400" s="5"/>
      <c r="Q400" s="78" t="e">
        <f>VLOOKUP(A400,'גיליון דאטה להכל'!A:H,5,0)</f>
        <v>#N/A</v>
      </c>
      <c r="R400" s="78" t="e">
        <f>VLOOKUP(A400,'לעדכן בסינתזה דאטה אריזה 42+24'!$A:$C,3,0)</f>
        <v>#N/A</v>
      </c>
    </row>
    <row r="401" spans="4:18" x14ac:dyDescent="0.2">
      <c r="D401" s="4"/>
      <c r="G401" s="5"/>
      <c r="H401" s="5"/>
      <c r="I401" s="4"/>
      <c r="J401" s="4"/>
      <c r="K401" s="5"/>
      <c r="Q401" s="78" t="e">
        <f>VLOOKUP(A401,'גיליון דאטה להכל'!A:H,5,0)</f>
        <v>#N/A</v>
      </c>
      <c r="R401" s="78" t="e">
        <f>VLOOKUP(A401,'לעדכן בסינתזה דאטה אריזה 42+24'!$A:$C,3,0)</f>
        <v>#N/A</v>
      </c>
    </row>
    <row r="402" spans="4:18" x14ac:dyDescent="0.2">
      <c r="D402" s="4"/>
      <c r="G402" s="5"/>
      <c r="H402" s="5"/>
      <c r="I402" s="4"/>
      <c r="J402" s="4"/>
      <c r="K402" s="5"/>
      <c r="Q402" s="78" t="e">
        <f>VLOOKUP(A402,'גיליון דאטה להכל'!A:H,5,0)</f>
        <v>#N/A</v>
      </c>
      <c r="R402" s="78" t="e">
        <f>VLOOKUP(A402,'לעדכן בסינתזה דאטה אריזה 42+24'!$A:$C,3,0)</f>
        <v>#N/A</v>
      </c>
    </row>
    <row r="403" spans="4:18" x14ac:dyDescent="0.2">
      <c r="D403" s="4"/>
      <c r="G403" s="5"/>
      <c r="H403" s="5"/>
      <c r="I403" s="4"/>
      <c r="J403" s="4"/>
      <c r="K403" s="5"/>
      <c r="Q403" s="78" t="e">
        <f>VLOOKUP(A403,'גיליון דאטה להכל'!A:H,5,0)</f>
        <v>#N/A</v>
      </c>
      <c r="R403" s="78" t="e">
        <f>VLOOKUP(A403,'לעדכן בסינתזה דאטה אריזה 42+24'!$A:$C,3,0)</f>
        <v>#N/A</v>
      </c>
    </row>
    <row r="404" spans="4:18" x14ac:dyDescent="0.2">
      <c r="D404" s="4"/>
      <c r="G404" s="5"/>
      <c r="H404" s="5"/>
      <c r="I404" s="4"/>
      <c r="J404" s="4"/>
      <c r="K404" s="5"/>
      <c r="Q404" s="78" t="e">
        <f>VLOOKUP(A404,'גיליון דאטה להכל'!A:H,5,0)</f>
        <v>#N/A</v>
      </c>
      <c r="R404" s="78" t="e">
        <f>VLOOKUP(A404,'לעדכן בסינתזה דאטה אריזה 42+24'!$A:$C,3,0)</f>
        <v>#N/A</v>
      </c>
    </row>
    <row r="405" spans="4:18" x14ac:dyDescent="0.2">
      <c r="D405" s="4"/>
      <c r="G405" s="5"/>
      <c r="H405" s="5"/>
      <c r="I405" s="4"/>
      <c r="J405" s="4"/>
      <c r="K405" s="5"/>
      <c r="Q405" s="78" t="e">
        <f>VLOOKUP(A405,'גיליון דאטה להכל'!A:H,5,0)</f>
        <v>#N/A</v>
      </c>
      <c r="R405" s="78" t="e">
        <f>VLOOKUP(A405,'לעדכן בסינתזה דאטה אריזה 42+24'!$A:$C,3,0)</f>
        <v>#N/A</v>
      </c>
    </row>
    <row r="406" spans="4:18" x14ac:dyDescent="0.2">
      <c r="D406" s="4"/>
      <c r="G406" s="5"/>
      <c r="H406" s="5"/>
      <c r="I406" s="4"/>
      <c r="J406" s="4"/>
      <c r="K406" s="5"/>
      <c r="Q406" s="78" t="e">
        <f>VLOOKUP(A406,'גיליון דאטה להכל'!A:H,5,0)</f>
        <v>#N/A</v>
      </c>
      <c r="R406" s="78" t="e">
        <f>VLOOKUP(A406,'לעדכן בסינתזה דאטה אריזה 42+24'!$A:$C,3,0)</f>
        <v>#N/A</v>
      </c>
    </row>
    <row r="407" spans="4:18" x14ac:dyDescent="0.2">
      <c r="D407" s="4"/>
      <c r="G407" s="5"/>
      <c r="H407" s="5"/>
      <c r="I407" s="4"/>
      <c r="J407" s="4"/>
      <c r="K407" s="5"/>
      <c r="Q407" s="78" t="e">
        <f>VLOOKUP(A407,'גיליון דאטה להכל'!A:H,5,0)</f>
        <v>#N/A</v>
      </c>
      <c r="R407" s="78" t="e">
        <f>VLOOKUP(A407,'לעדכן בסינתזה דאטה אריזה 42+24'!$A:$C,3,0)</f>
        <v>#N/A</v>
      </c>
    </row>
    <row r="408" spans="4:18" x14ac:dyDescent="0.2">
      <c r="D408" s="4"/>
      <c r="G408" s="5"/>
      <c r="H408" s="5"/>
      <c r="I408" s="4"/>
      <c r="J408" s="4"/>
      <c r="K408" s="5"/>
      <c r="Q408" s="78" t="e">
        <f>VLOOKUP(A408,'גיליון דאטה להכל'!A:H,5,0)</f>
        <v>#N/A</v>
      </c>
      <c r="R408" s="78" t="e">
        <f>VLOOKUP(A408,'לעדכן בסינתזה דאטה אריזה 42+24'!$A:$C,3,0)</f>
        <v>#N/A</v>
      </c>
    </row>
    <row r="409" spans="4:18" x14ac:dyDescent="0.2">
      <c r="D409" s="4"/>
      <c r="G409" s="5"/>
      <c r="H409" s="5"/>
      <c r="I409" s="4"/>
      <c r="J409" s="4"/>
      <c r="K409" s="5"/>
      <c r="Q409" s="78" t="e">
        <f>VLOOKUP(A409,'גיליון דאטה להכל'!A:H,5,0)</f>
        <v>#N/A</v>
      </c>
      <c r="R409" s="78" t="e">
        <f>VLOOKUP(A409,'לעדכן בסינתזה דאטה אריזה 42+24'!$A:$C,3,0)</f>
        <v>#N/A</v>
      </c>
    </row>
    <row r="410" spans="4:18" x14ac:dyDescent="0.2">
      <c r="D410" s="4"/>
      <c r="G410" s="5"/>
      <c r="H410" s="5"/>
      <c r="I410" s="4"/>
      <c r="J410" s="4"/>
      <c r="K410" s="5"/>
      <c r="Q410" s="78" t="e">
        <f>VLOOKUP(A410,'גיליון דאטה להכל'!A:H,5,0)</f>
        <v>#N/A</v>
      </c>
      <c r="R410" s="78" t="e">
        <f>VLOOKUP(A410,'לעדכן בסינתזה דאטה אריזה 42+24'!$A:$C,3,0)</f>
        <v>#N/A</v>
      </c>
    </row>
    <row r="411" spans="4:18" x14ac:dyDescent="0.2">
      <c r="D411" s="4"/>
      <c r="G411" s="5"/>
      <c r="H411" s="5"/>
      <c r="I411" s="4"/>
      <c r="J411" s="4"/>
      <c r="K411" s="5"/>
      <c r="Q411" s="78" t="e">
        <f>VLOOKUP(A411,'גיליון דאטה להכל'!A:H,5,0)</f>
        <v>#N/A</v>
      </c>
      <c r="R411" s="78" t="e">
        <f>VLOOKUP(A411,'לעדכן בסינתזה דאטה אריזה 42+24'!$A:$C,3,0)</f>
        <v>#N/A</v>
      </c>
    </row>
    <row r="412" spans="4:18" x14ac:dyDescent="0.2">
      <c r="D412" s="4"/>
      <c r="G412" s="5"/>
      <c r="H412" s="5"/>
      <c r="I412" s="4"/>
      <c r="J412" s="4"/>
      <c r="K412" s="5"/>
      <c r="Q412" s="78" t="e">
        <f>VLOOKUP(A412,'גיליון דאטה להכל'!A:H,5,0)</f>
        <v>#N/A</v>
      </c>
      <c r="R412" s="78" t="e">
        <f>VLOOKUP(A412,'לעדכן בסינתזה דאטה אריזה 42+24'!$A:$C,3,0)</f>
        <v>#N/A</v>
      </c>
    </row>
    <row r="413" spans="4:18" x14ac:dyDescent="0.2">
      <c r="D413" s="4"/>
      <c r="G413" s="5"/>
      <c r="H413" s="5"/>
      <c r="I413" s="4"/>
      <c r="J413" s="4"/>
      <c r="K413" s="5"/>
      <c r="Q413" s="78" t="e">
        <f>VLOOKUP(A413,'גיליון דאטה להכל'!A:H,5,0)</f>
        <v>#N/A</v>
      </c>
      <c r="R413" s="78" t="e">
        <f>VLOOKUP(A413,'לעדכן בסינתזה דאטה אריזה 42+24'!$A:$C,3,0)</f>
        <v>#N/A</v>
      </c>
    </row>
    <row r="414" spans="4:18" x14ac:dyDescent="0.2">
      <c r="D414" s="4"/>
      <c r="G414" s="5"/>
      <c r="H414" s="5"/>
      <c r="I414" s="4"/>
      <c r="J414" s="4"/>
      <c r="K414" s="5"/>
      <c r="Q414" s="78" t="e">
        <f>VLOOKUP(A414,'גיליון דאטה להכל'!A:H,5,0)</f>
        <v>#N/A</v>
      </c>
      <c r="R414" s="78" t="e">
        <f>VLOOKUP(A414,'לעדכן בסינתזה דאטה אריזה 42+24'!$A:$C,3,0)</f>
        <v>#N/A</v>
      </c>
    </row>
    <row r="415" spans="4:18" x14ac:dyDescent="0.2">
      <c r="D415" s="4"/>
      <c r="G415" s="5"/>
      <c r="H415" s="5"/>
      <c r="I415" s="4"/>
      <c r="J415" s="4"/>
      <c r="K415" s="5"/>
      <c r="Q415" s="78" t="e">
        <f>VLOOKUP(A415,'גיליון דאטה להכל'!A:H,5,0)</f>
        <v>#N/A</v>
      </c>
      <c r="R415" s="78" t="e">
        <f>VLOOKUP(A415,'לעדכן בסינתזה דאטה אריזה 42+24'!$A:$C,3,0)</f>
        <v>#N/A</v>
      </c>
    </row>
    <row r="416" spans="4:18" x14ac:dyDescent="0.2">
      <c r="D416" s="4"/>
      <c r="G416" s="5"/>
      <c r="H416" s="5"/>
      <c r="I416" s="4"/>
      <c r="J416" s="4"/>
      <c r="K416" s="5"/>
      <c r="Q416" s="78" t="e">
        <f>VLOOKUP(A416,'גיליון דאטה להכל'!A:H,5,0)</f>
        <v>#N/A</v>
      </c>
      <c r="R416" s="78" t="e">
        <f>VLOOKUP(A416,'לעדכן בסינתזה דאטה אריזה 42+24'!$A:$C,3,0)</f>
        <v>#N/A</v>
      </c>
    </row>
    <row r="417" spans="4:18" x14ac:dyDescent="0.2">
      <c r="D417" s="4"/>
      <c r="G417" s="5"/>
      <c r="H417" s="5"/>
      <c r="I417" s="4"/>
      <c r="J417" s="4"/>
      <c r="K417" s="5"/>
      <c r="Q417" s="78" t="e">
        <f>VLOOKUP(A417,'גיליון דאטה להכל'!A:H,5,0)</f>
        <v>#N/A</v>
      </c>
      <c r="R417" s="78" t="e">
        <f>VLOOKUP(A417,'לעדכן בסינתזה דאטה אריזה 42+24'!$A:$C,3,0)</f>
        <v>#N/A</v>
      </c>
    </row>
    <row r="418" spans="4:18" x14ac:dyDescent="0.2">
      <c r="D418" s="4"/>
      <c r="G418" s="5"/>
      <c r="H418" s="5"/>
      <c r="I418" s="4"/>
      <c r="J418" s="4"/>
      <c r="K418" s="5"/>
      <c r="Q418" s="78" t="e">
        <f>VLOOKUP(A418,'גיליון דאטה להכל'!A:H,5,0)</f>
        <v>#N/A</v>
      </c>
      <c r="R418" s="78" t="e">
        <f>VLOOKUP(A418,'לעדכן בסינתזה דאטה אריזה 42+24'!$A:$C,3,0)</f>
        <v>#N/A</v>
      </c>
    </row>
    <row r="419" spans="4:18" x14ac:dyDescent="0.2">
      <c r="D419" s="4"/>
      <c r="G419" s="5"/>
      <c r="H419" s="5"/>
      <c r="I419" s="4"/>
      <c r="J419" s="4"/>
      <c r="K419" s="5"/>
      <c r="Q419" s="78" t="e">
        <f>VLOOKUP(A419,'גיליון דאטה להכל'!A:H,5,0)</f>
        <v>#N/A</v>
      </c>
      <c r="R419" s="78" t="e">
        <f>VLOOKUP(A419,'לעדכן בסינתזה דאטה אריזה 42+24'!$A:$C,3,0)</f>
        <v>#N/A</v>
      </c>
    </row>
    <row r="420" spans="4:18" x14ac:dyDescent="0.2">
      <c r="D420" s="4"/>
      <c r="G420" s="5"/>
      <c r="H420" s="5"/>
      <c r="I420" s="4"/>
      <c r="J420" s="4"/>
      <c r="K420" s="5"/>
      <c r="Q420" s="78" t="e">
        <f>VLOOKUP(A420,'גיליון דאטה להכל'!A:H,5,0)</f>
        <v>#N/A</v>
      </c>
      <c r="R420" s="78" t="e">
        <f>VLOOKUP(A420,'לעדכן בסינתזה דאטה אריזה 42+24'!$A:$C,3,0)</f>
        <v>#N/A</v>
      </c>
    </row>
    <row r="421" spans="4:18" x14ac:dyDescent="0.2">
      <c r="D421" s="4"/>
      <c r="G421" s="5"/>
      <c r="H421" s="5"/>
      <c r="I421" s="4"/>
      <c r="J421" s="4"/>
      <c r="K421" s="5"/>
      <c r="Q421" s="78" t="e">
        <f>VLOOKUP(A421,'גיליון דאטה להכל'!A:H,5,0)</f>
        <v>#N/A</v>
      </c>
      <c r="R421" s="78" t="e">
        <f>VLOOKUP(A421,'לעדכן בסינתזה דאטה אריזה 42+24'!$A:$C,3,0)</f>
        <v>#N/A</v>
      </c>
    </row>
    <row r="422" spans="4:18" x14ac:dyDescent="0.2">
      <c r="D422" s="4"/>
      <c r="G422" s="5"/>
      <c r="H422" s="5"/>
      <c r="I422" s="4"/>
      <c r="J422" s="4"/>
      <c r="K422" s="5"/>
      <c r="Q422" s="78" t="e">
        <f>VLOOKUP(A422,'גיליון דאטה להכל'!A:H,5,0)</f>
        <v>#N/A</v>
      </c>
      <c r="R422" s="78" t="e">
        <f>VLOOKUP(A422,'לעדכן בסינתזה דאטה אריזה 42+24'!$A:$C,3,0)</f>
        <v>#N/A</v>
      </c>
    </row>
    <row r="423" spans="4:18" x14ac:dyDescent="0.2">
      <c r="D423" s="4"/>
      <c r="G423" s="5"/>
      <c r="H423" s="5"/>
      <c r="I423" s="4"/>
      <c r="J423" s="4"/>
      <c r="K423" s="5"/>
      <c r="Q423" s="78" t="e">
        <f>VLOOKUP(A423,'גיליון דאטה להכל'!A:H,5,0)</f>
        <v>#N/A</v>
      </c>
      <c r="R423" s="78" t="e">
        <f>VLOOKUP(A423,'לעדכן בסינתזה דאטה אריזה 42+24'!$A:$C,3,0)</f>
        <v>#N/A</v>
      </c>
    </row>
    <row r="424" spans="4:18" x14ac:dyDescent="0.2">
      <c r="D424" s="4"/>
      <c r="G424" s="5"/>
      <c r="H424" s="5"/>
      <c r="I424" s="4"/>
      <c r="J424" s="4"/>
      <c r="K424" s="5"/>
      <c r="Q424" s="78" t="e">
        <f>VLOOKUP(A424,'גיליון דאטה להכל'!A:H,5,0)</f>
        <v>#N/A</v>
      </c>
      <c r="R424" s="78" t="e">
        <f>VLOOKUP(A424,'לעדכן בסינתזה דאטה אריזה 42+24'!$A:$C,3,0)</f>
        <v>#N/A</v>
      </c>
    </row>
    <row r="425" spans="4:18" x14ac:dyDescent="0.2">
      <c r="D425" s="4"/>
      <c r="G425" s="5"/>
      <c r="H425" s="5"/>
      <c r="I425" s="4"/>
      <c r="J425" s="4"/>
      <c r="K425" s="5"/>
      <c r="Q425" s="78" t="e">
        <f>VLOOKUP(A425,'גיליון דאטה להכל'!A:H,5,0)</f>
        <v>#N/A</v>
      </c>
      <c r="R425" s="78" t="e">
        <f>VLOOKUP(A425,'לעדכן בסינתזה דאטה אריזה 42+24'!$A:$C,3,0)</f>
        <v>#N/A</v>
      </c>
    </row>
    <row r="426" spans="4:18" x14ac:dyDescent="0.2">
      <c r="D426" s="4"/>
      <c r="G426" s="5"/>
      <c r="H426" s="5"/>
      <c r="I426" s="4"/>
      <c r="J426" s="4"/>
      <c r="K426" s="5"/>
      <c r="Q426" s="78" t="e">
        <f>VLOOKUP(A426,'גיליון דאטה להכל'!A:H,5,0)</f>
        <v>#N/A</v>
      </c>
      <c r="R426" s="78" t="e">
        <f>VLOOKUP(A426,'לעדכן בסינתזה דאטה אריזה 42+24'!$A:$C,3,0)</f>
        <v>#N/A</v>
      </c>
    </row>
    <row r="427" spans="4:18" x14ac:dyDescent="0.2">
      <c r="D427" s="4"/>
      <c r="G427" s="5"/>
      <c r="H427" s="5"/>
      <c r="I427" s="4"/>
      <c r="J427" s="4"/>
      <c r="K427" s="5"/>
      <c r="Q427" s="78" t="e">
        <f>VLOOKUP(A427,'גיליון דאטה להכל'!A:H,5,0)</f>
        <v>#N/A</v>
      </c>
      <c r="R427" s="78" t="e">
        <f>VLOOKUP(A427,'לעדכן בסינתזה דאטה אריזה 42+24'!$A:$C,3,0)</f>
        <v>#N/A</v>
      </c>
    </row>
    <row r="428" spans="4:18" x14ac:dyDescent="0.2">
      <c r="D428" s="4"/>
      <c r="G428" s="5"/>
      <c r="H428" s="5"/>
      <c r="I428" s="4"/>
      <c r="J428" s="4"/>
      <c r="K428" s="5"/>
      <c r="Q428" s="78" t="e">
        <f>VLOOKUP(A428,'גיליון דאטה להכל'!A:H,5,0)</f>
        <v>#N/A</v>
      </c>
      <c r="R428" s="78" t="e">
        <f>VLOOKUP(A428,'לעדכן בסינתזה דאטה אריזה 42+24'!$A:$C,3,0)</f>
        <v>#N/A</v>
      </c>
    </row>
    <row r="429" spans="4:18" x14ac:dyDescent="0.2">
      <c r="D429" s="4"/>
      <c r="G429" s="5"/>
      <c r="H429" s="5"/>
      <c r="I429" s="4"/>
      <c r="J429" s="4"/>
      <c r="K429" s="5"/>
      <c r="Q429" s="78" t="e">
        <f>VLOOKUP(A429,'גיליון דאטה להכל'!A:H,5,0)</f>
        <v>#N/A</v>
      </c>
      <c r="R429" s="78" t="e">
        <f>VLOOKUP(A429,'לעדכן בסינתזה דאטה אריזה 42+24'!$A:$C,3,0)</f>
        <v>#N/A</v>
      </c>
    </row>
    <row r="430" spans="4:18" x14ac:dyDescent="0.2">
      <c r="D430" s="4"/>
      <c r="G430" s="5"/>
      <c r="H430" s="5"/>
      <c r="I430" s="4"/>
      <c r="J430" s="4"/>
      <c r="K430" s="5"/>
      <c r="Q430" s="78" t="e">
        <f>VLOOKUP(A430,'גיליון דאטה להכל'!A:H,5,0)</f>
        <v>#N/A</v>
      </c>
      <c r="R430" s="78" t="e">
        <f>VLOOKUP(A430,'לעדכן בסינתזה דאטה אריזה 42+24'!$A:$C,3,0)</f>
        <v>#N/A</v>
      </c>
    </row>
    <row r="431" spans="4:18" x14ac:dyDescent="0.2">
      <c r="D431" s="4"/>
      <c r="G431" s="5"/>
      <c r="H431" s="5"/>
      <c r="I431" s="4"/>
      <c r="J431" s="4"/>
      <c r="K431" s="5"/>
      <c r="Q431" s="78" t="e">
        <f>VLOOKUP(A431,'גיליון דאטה להכל'!A:H,5,0)</f>
        <v>#N/A</v>
      </c>
      <c r="R431" s="78" t="e">
        <f>VLOOKUP(A431,'לעדכן בסינתזה דאטה אריזה 42+24'!$A:$C,3,0)</f>
        <v>#N/A</v>
      </c>
    </row>
    <row r="432" spans="4:18" x14ac:dyDescent="0.2">
      <c r="D432" s="4"/>
      <c r="G432" s="5"/>
      <c r="H432" s="5"/>
      <c r="I432" s="4"/>
      <c r="J432" s="4"/>
      <c r="K432" s="5"/>
      <c r="Q432" s="78" t="e">
        <f>VLOOKUP(A432,'גיליון דאטה להכל'!A:H,5,0)</f>
        <v>#N/A</v>
      </c>
      <c r="R432" s="78" t="e">
        <f>VLOOKUP(A432,'לעדכן בסינתזה דאטה אריזה 42+24'!$A:$C,3,0)</f>
        <v>#N/A</v>
      </c>
    </row>
    <row r="433" spans="4:18" x14ac:dyDescent="0.2">
      <c r="D433" s="4"/>
      <c r="G433" s="5"/>
      <c r="H433" s="5"/>
      <c r="I433" s="4"/>
      <c r="J433" s="4"/>
      <c r="K433" s="5"/>
      <c r="Q433" s="78" t="e">
        <f>VLOOKUP(A433,'גיליון דאטה להכל'!A:H,5,0)</f>
        <v>#N/A</v>
      </c>
      <c r="R433" s="78" t="e">
        <f>VLOOKUP(A433,'לעדכן בסינתזה דאטה אריזה 42+24'!$A:$C,3,0)</f>
        <v>#N/A</v>
      </c>
    </row>
    <row r="434" spans="4:18" x14ac:dyDescent="0.2">
      <c r="D434" s="4"/>
      <c r="G434" s="5"/>
      <c r="H434" s="5"/>
      <c r="I434" s="4"/>
      <c r="J434" s="4"/>
      <c r="K434" s="5"/>
      <c r="Q434" s="78" t="e">
        <f>VLOOKUP(A434,'גיליון דאטה להכל'!A:H,5,0)</f>
        <v>#N/A</v>
      </c>
      <c r="R434" s="78" t="e">
        <f>VLOOKUP(A434,'לעדכן בסינתזה דאטה אריזה 42+24'!$A:$C,3,0)</f>
        <v>#N/A</v>
      </c>
    </row>
    <row r="435" spans="4:18" x14ac:dyDescent="0.2">
      <c r="D435" s="4"/>
      <c r="G435" s="5"/>
      <c r="H435" s="5"/>
      <c r="I435" s="4"/>
      <c r="J435" s="4"/>
      <c r="K435" s="5"/>
      <c r="Q435" s="78" t="e">
        <f>VLOOKUP(A435,'גיליון דאטה להכל'!A:H,5,0)</f>
        <v>#N/A</v>
      </c>
      <c r="R435" s="78" t="e">
        <f>VLOOKUP(A435,'לעדכן בסינתזה דאטה אריזה 42+24'!$A:$C,3,0)</f>
        <v>#N/A</v>
      </c>
    </row>
    <row r="436" spans="4:18" x14ac:dyDescent="0.2">
      <c r="D436" s="4"/>
      <c r="G436" s="5"/>
      <c r="H436" s="5"/>
      <c r="I436" s="4"/>
      <c r="J436" s="4"/>
      <c r="K436" s="5"/>
      <c r="Q436" s="78" t="e">
        <f>VLOOKUP(A436,'גיליון דאטה להכל'!A:H,5,0)</f>
        <v>#N/A</v>
      </c>
      <c r="R436" s="78" t="e">
        <f>VLOOKUP(A436,'לעדכן בסינתזה דאטה אריזה 42+24'!$A:$C,3,0)</f>
        <v>#N/A</v>
      </c>
    </row>
    <row r="437" spans="4:18" x14ac:dyDescent="0.2">
      <c r="D437" s="4"/>
      <c r="G437" s="5"/>
      <c r="H437" s="5"/>
      <c r="I437" s="4"/>
      <c r="J437" s="4"/>
      <c r="K437" s="5"/>
      <c r="Q437" s="78" t="e">
        <f>VLOOKUP(A437,'גיליון דאטה להכל'!A:H,5,0)</f>
        <v>#N/A</v>
      </c>
      <c r="R437" s="78" t="e">
        <f>VLOOKUP(A437,'לעדכן בסינתזה דאטה אריזה 42+24'!$A:$C,3,0)</f>
        <v>#N/A</v>
      </c>
    </row>
    <row r="438" spans="4:18" x14ac:dyDescent="0.2">
      <c r="D438" s="4"/>
      <c r="G438" s="5"/>
      <c r="H438" s="5"/>
      <c r="I438" s="4"/>
      <c r="J438" s="4"/>
      <c r="K438" s="5"/>
      <c r="Q438" s="78" t="e">
        <f>VLOOKUP(A438,'גיליון דאטה להכל'!A:H,5,0)</f>
        <v>#N/A</v>
      </c>
      <c r="R438" s="78" t="e">
        <f>VLOOKUP(A438,'לעדכן בסינתזה דאטה אריזה 42+24'!$A:$C,3,0)</f>
        <v>#N/A</v>
      </c>
    </row>
    <row r="439" spans="4:18" x14ac:dyDescent="0.2">
      <c r="D439" s="4"/>
      <c r="G439" s="5"/>
      <c r="H439" s="5"/>
      <c r="I439" s="4"/>
      <c r="J439" s="4"/>
      <c r="K439" s="5"/>
      <c r="Q439" s="78" t="e">
        <f>VLOOKUP(A439,'גיליון דאטה להכל'!A:H,5,0)</f>
        <v>#N/A</v>
      </c>
      <c r="R439" s="78" t="e">
        <f>VLOOKUP(A439,'לעדכן בסינתזה דאטה אריזה 42+24'!$A:$C,3,0)</f>
        <v>#N/A</v>
      </c>
    </row>
    <row r="440" spans="4:18" x14ac:dyDescent="0.2">
      <c r="D440" s="4"/>
      <c r="G440" s="5"/>
      <c r="H440" s="5"/>
      <c r="I440" s="4"/>
      <c r="J440" s="4"/>
      <c r="K440" s="5"/>
      <c r="Q440" s="78" t="e">
        <f>VLOOKUP(A440,'גיליון דאטה להכל'!A:H,5,0)</f>
        <v>#N/A</v>
      </c>
      <c r="R440" s="78" t="e">
        <f>VLOOKUP(A440,'לעדכן בסינתזה דאטה אריזה 42+24'!$A:$C,3,0)</f>
        <v>#N/A</v>
      </c>
    </row>
    <row r="441" spans="4:18" x14ac:dyDescent="0.2">
      <c r="D441" s="4"/>
      <c r="G441" s="5"/>
      <c r="H441" s="5"/>
      <c r="I441" s="4"/>
      <c r="J441" s="4"/>
      <c r="K441" s="5"/>
      <c r="Q441" s="78" t="e">
        <f>VLOOKUP(A441,'גיליון דאטה להכל'!A:H,5,0)</f>
        <v>#N/A</v>
      </c>
      <c r="R441" s="78" t="e">
        <f>VLOOKUP(A441,'לעדכן בסינתזה דאטה אריזה 42+24'!$A:$C,3,0)</f>
        <v>#N/A</v>
      </c>
    </row>
    <row r="442" spans="4:18" x14ac:dyDescent="0.2">
      <c r="D442" s="4"/>
      <c r="G442" s="5"/>
      <c r="H442" s="5"/>
      <c r="I442" s="4"/>
      <c r="J442" s="4"/>
      <c r="K442" s="5"/>
      <c r="Q442" s="78" t="e">
        <f>VLOOKUP(A442,'גיליון דאטה להכל'!A:H,5,0)</f>
        <v>#N/A</v>
      </c>
      <c r="R442" s="78" t="e">
        <f>VLOOKUP(A442,'לעדכן בסינתזה דאטה אריזה 42+24'!$A:$C,3,0)</f>
        <v>#N/A</v>
      </c>
    </row>
    <row r="443" spans="4:18" x14ac:dyDescent="0.2">
      <c r="D443" s="4"/>
      <c r="G443" s="5"/>
      <c r="H443" s="5"/>
      <c r="I443" s="4"/>
      <c r="J443" s="4"/>
      <c r="K443" s="5"/>
      <c r="Q443" s="78" t="e">
        <f>VLOOKUP(A443,'גיליון דאטה להכל'!A:H,5,0)</f>
        <v>#N/A</v>
      </c>
      <c r="R443" s="78" t="e">
        <f>VLOOKUP(A443,'לעדכן בסינתזה דאטה אריזה 42+24'!$A:$C,3,0)</f>
        <v>#N/A</v>
      </c>
    </row>
    <row r="444" spans="4:18" x14ac:dyDescent="0.2">
      <c r="D444" s="4"/>
      <c r="G444" s="5"/>
      <c r="H444" s="5"/>
      <c r="I444" s="4"/>
      <c r="J444" s="4"/>
      <c r="K444" s="5"/>
      <c r="Q444" s="78" t="e">
        <f>VLOOKUP(A444,'גיליון דאטה להכל'!A:H,5,0)</f>
        <v>#N/A</v>
      </c>
      <c r="R444" s="78" t="e">
        <f>VLOOKUP(A444,'לעדכן בסינתזה דאטה אריזה 42+24'!$A:$C,3,0)</f>
        <v>#N/A</v>
      </c>
    </row>
    <row r="445" spans="4:18" x14ac:dyDescent="0.2">
      <c r="D445" s="4"/>
      <c r="G445" s="5"/>
      <c r="H445" s="5"/>
      <c r="I445" s="4"/>
      <c r="J445" s="4"/>
      <c r="K445" s="5"/>
      <c r="Q445" s="78" t="e">
        <f>VLOOKUP(A445,'גיליון דאטה להכל'!A:H,5,0)</f>
        <v>#N/A</v>
      </c>
      <c r="R445" s="78" t="e">
        <f>VLOOKUP(A445,'לעדכן בסינתזה דאטה אריזה 42+24'!$A:$C,3,0)</f>
        <v>#N/A</v>
      </c>
    </row>
    <row r="446" spans="4:18" x14ac:dyDescent="0.2">
      <c r="D446" s="4"/>
      <c r="G446" s="5"/>
      <c r="H446" s="5"/>
      <c r="I446" s="4"/>
      <c r="J446" s="4"/>
      <c r="K446" s="5"/>
      <c r="Q446" s="78" t="e">
        <f>VLOOKUP(A446,'גיליון דאטה להכל'!A:H,5,0)</f>
        <v>#N/A</v>
      </c>
      <c r="R446" s="78" t="e">
        <f>VLOOKUP(A446,'לעדכן בסינתזה דאטה אריזה 42+24'!$A:$C,3,0)</f>
        <v>#N/A</v>
      </c>
    </row>
    <row r="447" spans="4:18" x14ac:dyDescent="0.2">
      <c r="D447" s="4"/>
      <c r="G447" s="5"/>
      <c r="H447" s="5"/>
      <c r="I447" s="4"/>
      <c r="J447" s="4"/>
      <c r="K447" s="5"/>
      <c r="Q447" s="78" t="e">
        <f>VLOOKUP(A447,'גיליון דאטה להכל'!A:H,5,0)</f>
        <v>#N/A</v>
      </c>
      <c r="R447" s="78" t="e">
        <f>VLOOKUP(A447,'לעדכן בסינתזה דאטה אריזה 42+24'!$A:$C,3,0)</f>
        <v>#N/A</v>
      </c>
    </row>
    <row r="448" spans="4:18" x14ac:dyDescent="0.2">
      <c r="D448" s="4"/>
      <c r="G448" s="5"/>
      <c r="H448" s="5"/>
      <c r="I448" s="4"/>
      <c r="J448" s="4"/>
      <c r="K448" s="5"/>
      <c r="Q448" s="78" t="e">
        <f>VLOOKUP(A448,'גיליון דאטה להכל'!A:H,5,0)</f>
        <v>#N/A</v>
      </c>
      <c r="R448" s="78" t="e">
        <f>VLOOKUP(A448,'לעדכן בסינתזה דאטה אריזה 42+24'!$A:$C,3,0)</f>
        <v>#N/A</v>
      </c>
    </row>
    <row r="449" spans="4:18" x14ac:dyDescent="0.2">
      <c r="D449" s="4"/>
      <c r="G449" s="5"/>
      <c r="H449" s="5"/>
      <c r="I449" s="4"/>
      <c r="J449" s="4"/>
      <c r="K449" s="5"/>
      <c r="Q449" s="78" t="e">
        <f>VLOOKUP(A449,'גיליון דאטה להכל'!A:H,5,0)</f>
        <v>#N/A</v>
      </c>
      <c r="R449" s="78" t="e">
        <f>VLOOKUP(A449,'לעדכן בסינתזה דאטה אריזה 42+24'!$A:$C,3,0)</f>
        <v>#N/A</v>
      </c>
    </row>
    <row r="450" spans="4:18" x14ac:dyDescent="0.2">
      <c r="D450" s="4"/>
      <c r="G450" s="5"/>
      <c r="H450" s="5"/>
      <c r="I450" s="4"/>
      <c r="J450" s="4"/>
      <c r="K450" s="5"/>
      <c r="Q450" s="78" t="e">
        <f>VLOOKUP(A450,'גיליון דאטה להכל'!A:H,5,0)</f>
        <v>#N/A</v>
      </c>
      <c r="R450" s="78" t="e">
        <f>VLOOKUP(A450,'לעדכן בסינתזה דאטה אריזה 42+24'!$A:$C,3,0)</f>
        <v>#N/A</v>
      </c>
    </row>
    <row r="451" spans="4:18" x14ac:dyDescent="0.2">
      <c r="D451" s="4"/>
      <c r="G451" s="5"/>
      <c r="H451" s="5"/>
      <c r="I451" s="4"/>
      <c r="J451" s="4"/>
      <c r="K451" s="5"/>
      <c r="Q451" s="78" t="e">
        <f>VLOOKUP(A451,'גיליון דאטה להכל'!A:H,5,0)</f>
        <v>#N/A</v>
      </c>
      <c r="R451" s="78" t="e">
        <f>VLOOKUP(A451,'לעדכן בסינתזה דאטה אריזה 42+24'!$A:$C,3,0)</f>
        <v>#N/A</v>
      </c>
    </row>
    <row r="452" spans="4:18" x14ac:dyDescent="0.2">
      <c r="D452" s="4"/>
      <c r="G452" s="5"/>
      <c r="H452" s="5"/>
      <c r="I452" s="4"/>
      <c r="J452" s="4"/>
      <c r="K452" s="5"/>
      <c r="Q452" s="78" t="e">
        <f>VLOOKUP(A452,'גיליון דאטה להכל'!A:H,5,0)</f>
        <v>#N/A</v>
      </c>
      <c r="R452" s="78" t="e">
        <f>VLOOKUP(A452,'לעדכן בסינתזה דאטה אריזה 42+24'!$A:$C,3,0)</f>
        <v>#N/A</v>
      </c>
    </row>
    <row r="453" spans="4:18" x14ac:dyDescent="0.2">
      <c r="D453" s="4"/>
      <c r="G453" s="5"/>
      <c r="H453" s="5"/>
      <c r="I453" s="4"/>
      <c r="J453" s="4"/>
      <c r="K453" s="5"/>
      <c r="Q453" s="78" t="e">
        <f>VLOOKUP(A453,'גיליון דאטה להכל'!A:H,5,0)</f>
        <v>#N/A</v>
      </c>
      <c r="R453" s="78" t="e">
        <f>VLOOKUP(A453,'לעדכן בסינתזה דאטה אריזה 42+24'!$A:$C,3,0)</f>
        <v>#N/A</v>
      </c>
    </row>
    <row r="454" spans="4:18" x14ac:dyDescent="0.2">
      <c r="D454" s="4"/>
      <c r="G454" s="5"/>
      <c r="H454" s="5"/>
      <c r="I454" s="4"/>
      <c r="J454" s="4"/>
      <c r="K454" s="5"/>
      <c r="Q454" s="78" t="e">
        <f>VLOOKUP(A454,'גיליון דאטה להכל'!A:H,5,0)</f>
        <v>#N/A</v>
      </c>
      <c r="R454" s="78" t="e">
        <f>VLOOKUP(A454,'לעדכן בסינתזה דאטה אריזה 42+24'!$A:$C,3,0)</f>
        <v>#N/A</v>
      </c>
    </row>
    <row r="455" spans="4:18" x14ac:dyDescent="0.2">
      <c r="D455" s="4"/>
      <c r="G455" s="5"/>
      <c r="H455" s="5"/>
      <c r="I455" s="4"/>
      <c r="J455" s="4"/>
      <c r="K455" s="5"/>
      <c r="Q455" s="78" t="e">
        <f>VLOOKUP(A455,'גיליון דאטה להכל'!A:H,5,0)</f>
        <v>#N/A</v>
      </c>
      <c r="R455" s="78" t="e">
        <f>VLOOKUP(A455,'לעדכן בסינתזה דאטה אריזה 42+24'!$A:$C,3,0)</f>
        <v>#N/A</v>
      </c>
    </row>
    <row r="456" spans="4:18" x14ac:dyDescent="0.2">
      <c r="D456" s="4"/>
      <c r="G456" s="5"/>
      <c r="H456" s="5"/>
      <c r="I456" s="4"/>
      <c r="J456" s="4"/>
      <c r="K456" s="5"/>
      <c r="Q456" s="78" t="e">
        <f>VLOOKUP(A456,'גיליון דאטה להכל'!A:H,5,0)</f>
        <v>#N/A</v>
      </c>
      <c r="R456" s="78" t="e">
        <f>VLOOKUP(A456,'לעדכן בסינתזה דאטה אריזה 42+24'!$A:$C,3,0)</f>
        <v>#N/A</v>
      </c>
    </row>
    <row r="457" spans="4:18" x14ac:dyDescent="0.2">
      <c r="D457" s="4"/>
      <c r="G457" s="5"/>
      <c r="H457" s="5"/>
      <c r="I457" s="4"/>
      <c r="J457" s="4"/>
      <c r="K457" s="5"/>
      <c r="Q457" s="78" t="e">
        <f>VLOOKUP(A457,'גיליון דאטה להכל'!A:H,5,0)</f>
        <v>#N/A</v>
      </c>
      <c r="R457" s="78" t="e">
        <f>VLOOKUP(A457,'לעדכן בסינתזה דאטה אריזה 42+24'!$A:$C,3,0)</f>
        <v>#N/A</v>
      </c>
    </row>
    <row r="458" spans="4:18" x14ac:dyDescent="0.2">
      <c r="D458" s="4"/>
      <c r="G458" s="5"/>
      <c r="H458" s="5"/>
      <c r="I458" s="4"/>
      <c r="J458" s="4"/>
      <c r="K458" s="5"/>
      <c r="Q458" s="78" t="e">
        <f>VLOOKUP(A458,'גיליון דאטה להכל'!A:H,5,0)</f>
        <v>#N/A</v>
      </c>
      <c r="R458" s="78" t="e">
        <f>VLOOKUP(A458,'לעדכן בסינתזה דאטה אריזה 42+24'!$A:$C,3,0)</f>
        <v>#N/A</v>
      </c>
    </row>
    <row r="459" spans="4:18" x14ac:dyDescent="0.2">
      <c r="D459" s="4"/>
      <c r="G459" s="5"/>
      <c r="H459" s="5"/>
      <c r="I459" s="4"/>
      <c r="J459" s="4"/>
      <c r="K459" s="5"/>
      <c r="Q459" s="78" t="e">
        <f>VLOOKUP(A459,'גיליון דאטה להכל'!A:H,5,0)</f>
        <v>#N/A</v>
      </c>
      <c r="R459" s="78" t="e">
        <f>VLOOKUP(A459,'לעדכן בסינתזה דאטה אריזה 42+24'!$A:$C,3,0)</f>
        <v>#N/A</v>
      </c>
    </row>
    <row r="460" spans="4:18" x14ac:dyDescent="0.2">
      <c r="D460" s="4"/>
      <c r="G460" s="5"/>
      <c r="H460" s="5"/>
      <c r="I460" s="4"/>
      <c r="J460" s="4"/>
      <c r="K460" s="5"/>
      <c r="Q460" s="78" t="e">
        <f>VLOOKUP(A460,'גיליון דאטה להכל'!A:H,5,0)</f>
        <v>#N/A</v>
      </c>
      <c r="R460" s="78" t="e">
        <f>VLOOKUP(A460,'לעדכן בסינתזה דאטה אריזה 42+24'!$A:$C,3,0)</f>
        <v>#N/A</v>
      </c>
    </row>
    <row r="461" spans="4:18" x14ac:dyDescent="0.2">
      <c r="D461" s="4"/>
      <c r="G461" s="5"/>
      <c r="H461" s="5"/>
      <c r="I461" s="4"/>
      <c r="J461" s="4"/>
      <c r="K461" s="5"/>
      <c r="Q461" s="78" t="e">
        <f>VLOOKUP(A461,'גיליון דאטה להכל'!A:H,5,0)</f>
        <v>#N/A</v>
      </c>
      <c r="R461" s="78" t="e">
        <f>VLOOKUP(A461,'לעדכן בסינתזה דאטה אריזה 42+24'!$A:$C,3,0)</f>
        <v>#N/A</v>
      </c>
    </row>
    <row r="462" spans="4:18" x14ac:dyDescent="0.2">
      <c r="D462" s="4"/>
      <c r="G462" s="5"/>
      <c r="H462" s="5"/>
      <c r="I462" s="4"/>
      <c r="J462" s="4"/>
      <c r="K462" s="5"/>
      <c r="Q462" s="78" t="e">
        <f>VLOOKUP(A462,'גיליון דאטה להכל'!A:H,5,0)</f>
        <v>#N/A</v>
      </c>
      <c r="R462" s="78" t="e">
        <f>VLOOKUP(A462,'לעדכן בסינתזה דאטה אריזה 42+24'!$A:$C,3,0)</f>
        <v>#N/A</v>
      </c>
    </row>
    <row r="463" spans="4:18" x14ac:dyDescent="0.2">
      <c r="D463" s="4"/>
      <c r="G463" s="5"/>
      <c r="H463" s="5"/>
      <c r="I463" s="4"/>
      <c r="J463" s="4"/>
      <c r="K463" s="5"/>
      <c r="Q463" s="78" t="e">
        <f>VLOOKUP(A463,'גיליון דאטה להכל'!A:H,5,0)</f>
        <v>#N/A</v>
      </c>
      <c r="R463" s="78" t="e">
        <f>VLOOKUP(A463,'לעדכן בסינתזה דאטה אריזה 42+24'!$A:$C,3,0)</f>
        <v>#N/A</v>
      </c>
    </row>
    <row r="464" spans="4:18" x14ac:dyDescent="0.2">
      <c r="D464" s="4"/>
      <c r="G464" s="5"/>
      <c r="H464" s="5"/>
      <c r="I464" s="4"/>
      <c r="J464" s="4"/>
      <c r="K464" s="5"/>
      <c r="Q464" s="78" t="e">
        <f>VLOOKUP(A464,'גיליון דאטה להכל'!A:H,5,0)</f>
        <v>#N/A</v>
      </c>
      <c r="R464" s="78" t="e">
        <f>VLOOKUP(A464,'לעדכן בסינתזה דאטה אריזה 42+24'!$A:$C,3,0)</f>
        <v>#N/A</v>
      </c>
    </row>
    <row r="465" spans="4:18" x14ac:dyDescent="0.2">
      <c r="D465" s="4"/>
      <c r="G465" s="5"/>
      <c r="H465" s="5"/>
      <c r="I465" s="4"/>
      <c r="J465" s="4"/>
      <c r="K465" s="5"/>
      <c r="Q465" s="78" t="e">
        <f>VLOOKUP(A465,'גיליון דאטה להכל'!A:H,5,0)</f>
        <v>#N/A</v>
      </c>
      <c r="R465" s="78" t="e">
        <f>VLOOKUP(A465,'לעדכן בסינתזה דאטה אריזה 42+24'!$A:$C,3,0)</f>
        <v>#N/A</v>
      </c>
    </row>
    <row r="466" spans="4:18" x14ac:dyDescent="0.2">
      <c r="D466" s="4"/>
      <c r="G466" s="5"/>
      <c r="H466" s="5"/>
      <c r="I466" s="4"/>
      <c r="J466" s="4"/>
      <c r="K466" s="5"/>
      <c r="Q466" s="78" t="e">
        <f>VLOOKUP(A466,'גיליון דאטה להכל'!A:H,5,0)</f>
        <v>#N/A</v>
      </c>
      <c r="R466" s="78" t="e">
        <f>VLOOKUP(A466,'לעדכן בסינתזה דאטה אריזה 42+24'!$A:$C,3,0)</f>
        <v>#N/A</v>
      </c>
    </row>
    <row r="467" spans="4:18" x14ac:dyDescent="0.2">
      <c r="D467" s="4"/>
      <c r="G467" s="5"/>
      <c r="H467" s="5"/>
      <c r="I467" s="4"/>
      <c r="J467" s="4"/>
      <c r="K467" s="5"/>
      <c r="Q467" s="78" t="e">
        <f>VLOOKUP(A467,'גיליון דאטה להכל'!A:H,5,0)</f>
        <v>#N/A</v>
      </c>
      <c r="R467" s="78" t="e">
        <f>VLOOKUP(A467,'לעדכן בסינתזה דאטה אריזה 42+24'!$A:$C,3,0)</f>
        <v>#N/A</v>
      </c>
    </row>
    <row r="468" spans="4:18" x14ac:dyDescent="0.2">
      <c r="D468" s="4"/>
      <c r="G468" s="5"/>
      <c r="H468" s="5"/>
      <c r="I468" s="4"/>
      <c r="J468" s="4"/>
      <c r="K468" s="5"/>
      <c r="Q468" s="78" t="e">
        <f>VLOOKUP(A468,'גיליון דאטה להכל'!A:H,5,0)</f>
        <v>#N/A</v>
      </c>
      <c r="R468" s="78" t="e">
        <f>VLOOKUP(A468,'לעדכן בסינתזה דאטה אריזה 42+24'!$A:$C,3,0)</f>
        <v>#N/A</v>
      </c>
    </row>
    <row r="469" spans="4:18" x14ac:dyDescent="0.2">
      <c r="D469" s="4"/>
      <c r="G469" s="5"/>
      <c r="H469" s="5"/>
      <c r="I469" s="4"/>
      <c r="J469" s="4"/>
      <c r="K469" s="5"/>
      <c r="Q469" s="78" t="e">
        <f>VLOOKUP(A469,'גיליון דאטה להכל'!A:H,5,0)</f>
        <v>#N/A</v>
      </c>
      <c r="R469" s="78" t="e">
        <f>VLOOKUP(A469,'לעדכן בסינתזה דאטה אריזה 42+24'!$A:$C,3,0)</f>
        <v>#N/A</v>
      </c>
    </row>
    <row r="470" spans="4:18" x14ac:dyDescent="0.2">
      <c r="D470" s="4"/>
      <c r="G470" s="5"/>
      <c r="H470" s="5"/>
      <c r="I470" s="4"/>
      <c r="J470" s="4"/>
      <c r="K470" s="5"/>
      <c r="Q470" s="78" t="e">
        <f>VLOOKUP(A470,'גיליון דאטה להכל'!A:H,5,0)</f>
        <v>#N/A</v>
      </c>
      <c r="R470" s="78" t="e">
        <f>VLOOKUP(A470,'לעדכן בסינתזה דאטה אריזה 42+24'!$A:$C,3,0)</f>
        <v>#N/A</v>
      </c>
    </row>
    <row r="471" spans="4:18" x14ac:dyDescent="0.2">
      <c r="D471" s="4"/>
      <c r="G471" s="5"/>
      <c r="H471" s="5"/>
      <c r="I471" s="4"/>
      <c r="J471" s="4"/>
      <c r="K471" s="5"/>
      <c r="Q471" s="78" t="e">
        <f>VLOOKUP(A471,'גיליון דאטה להכל'!A:H,5,0)</f>
        <v>#N/A</v>
      </c>
      <c r="R471" s="78" t="e">
        <f>VLOOKUP(A471,'לעדכן בסינתזה דאטה אריזה 42+24'!$A:$C,3,0)</f>
        <v>#N/A</v>
      </c>
    </row>
    <row r="472" spans="4:18" x14ac:dyDescent="0.2">
      <c r="D472" s="4"/>
      <c r="G472" s="5"/>
      <c r="H472" s="5"/>
      <c r="I472" s="4"/>
      <c r="J472" s="4"/>
      <c r="K472" s="5"/>
      <c r="Q472" s="78" t="e">
        <f>VLOOKUP(A472,'גיליון דאטה להכל'!A:H,5,0)</f>
        <v>#N/A</v>
      </c>
      <c r="R472" s="78" t="e">
        <f>VLOOKUP(A472,'לעדכן בסינתזה דאטה אריזה 42+24'!$A:$C,3,0)</f>
        <v>#N/A</v>
      </c>
    </row>
    <row r="473" spans="4:18" x14ac:dyDescent="0.2">
      <c r="D473" s="4"/>
      <c r="G473" s="5"/>
      <c r="H473" s="5"/>
      <c r="I473" s="4"/>
      <c r="J473" s="4"/>
      <c r="K473" s="5"/>
      <c r="Q473" s="78" t="e">
        <f>VLOOKUP(A473,'גיליון דאטה להכל'!A:H,5,0)</f>
        <v>#N/A</v>
      </c>
      <c r="R473" s="78" t="e">
        <f>VLOOKUP(A473,'לעדכן בסינתזה דאטה אריזה 42+24'!$A:$C,3,0)</f>
        <v>#N/A</v>
      </c>
    </row>
    <row r="474" spans="4:18" x14ac:dyDescent="0.2">
      <c r="D474" s="4"/>
      <c r="G474" s="5"/>
      <c r="H474" s="5"/>
      <c r="I474" s="4"/>
      <c r="J474" s="4"/>
      <c r="K474" s="5"/>
      <c r="Q474" s="78" t="e">
        <f>VLOOKUP(A474,'גיליון דאטה להכל'!A:H,5,0)</f>
        <v>#N/A</v>
      </c>
      <c r="R474" s="78" t="e">
        <f>VLOOKUP(A474,'לעדכן בסינתזה דאטה אריזה 42+24'!$A:$C,3,0)</f>
        <v>#N/A</v>
      </c>
    </row>
    <row r="475" spans="4:18" x14ac:dyDescent="0.2">
      <c r="D475" s="4"/>
      <c r="G475" s="5"/>
      <c r="H475" s="5"/>
      <c r="I475" s="4"/>
      <c r="J475" s="4"/>
      <c r="K475" s="5"/>
      <c r="Q475" s="78" t="e">
        <f>VLOOKUP(A475,'גיליון דאטה להכל'!A:H,5,0)</f>
        <v>#N/A</v>
      </c>
      <c r="R475" s="78" t="e">
        <f>VLOOKUP(A475,'לעדכן בסינתזה דאטה אריזה 42+24'!$A:$C,3,0)</f>
        <v>#N/A</v>
      </c>
    </row>
    <row r="476" spans="4:18" x14ac:dyDescent="0.2">
      <c r="D476" s="4"/>
      <c r="G476" s="5"/>
      <c r="H476" s="5"/>
      <c r="I476" s="4"/>
      <c r="J476" s="4"/>
      <c r="K476" s="5"/>
      <c r="Q476" s="78" t="e">
        <f>VLOOKUP(A476,'גיליון דאטה להכל'!A:H,5,0)</f>
        <v>#N/A</v>
      </c>
      <c r="R476" s="78" t="e">
        <f>VLOOKUP(A476,'לעדכן בסינתזה דאטה אריזה 42+24'!$A:$C,3,0)</f>
        <v>#N/A</v>
      </c>
    </row>
    <row r="477" spans="4:18" x14ac:dyDescent="0.2">
      <c r="D477" s="4"/>
      <c r="G477" s="5"/>
      <c r="H477" s="5"/>
      <c r="I477" s="4"/>
      <c r="J477" s="4"/>
      <c r="K477" s="5"/>
      <c r="Q477" s="78" t="e">
        <f>VLOOKUP(A477,'גיליון דאטה להכל'!A:H,5,0)</f>
        <v>#N/A</v>
      </c>
      <c r="R477" s="78" t="e">
        <f>VLOOKUP(A477,'לעדכן בסינתזה דאטה אריזה 42+24'!$A:$C,3,0)</f>
        <v>#N/A</v>
      </c>
    </row>
    <row r="478" spans="4:18" x14ac:dyDescent="0.2">
      <c r="D478" s="4"/>
      <c r="G478" s="5"/>
      <c r="H478" s="5"/>
      <c r="I478" s="4"/>
      <c r="J478" s="4"/>
      <c r="K478" s="5"/>
      <c r="Q478" s="78" t="e">
        <f>VLOOKUP(A478,'גיליון דאטה להכל'!A:H,5,0)</f>
        <v>#N/A</v>
      </c>
      <c r="R478" s="78" t="e">
        <f>VLOOKUP(A478,'לעדכן בסינתזה דאטה אריזה 42+24'!$A:$C,3,0)</f>
        <v>#N/A</v>
      </c>
    </row>
    <row r="479" spans="4:18" x14ac:dyDescent="0.2">
      <c r="D479" s="4"/>
      <c r="G479" s="5"/>
      <c r="H479" s="5"/>
      <c r="I479" s="4"/>
      <c r="J479" s="4"/>
      <c r="K479" s="5"/>
      <c r="Q479" s="78" t="e">
        <f>VLOOKUP(A479,'גיליון דאטה להכל'!A:H,5,0)</f>
        <v>#N/A</v>
      </c>
      <c r="R479" s="78" t="e">
        <f>VLOOKUP(A479,'לעדכן בסינתזה דאטה אריזה 42+24'!$A:$C,3,0)</f>
        <v>#N/A</v>
      </c>
    </row>
    <row r="480" spans="4:18" x14ac:dyDescent="0.2">
      <c r="D480" s="4"/>
      <c r="G480" s="5"/>
      <c r="H480" s="5"/>
      <c r="I480" s="4"/>
      <c r="J480" s="4"/>
      <c r="K480" s="5"/>
      <c r="Q480" s="78" t="e">
        <f>VLOOKUP(A480,'גיליון דאטה להכל'!A:H,5,0)</f>
        <v>#N/A</v>
      </c>
      <c r="R480" s="78" t="e">
        <f>VLOOKUP(A480,'לעדכן בסינתזה דאטה אריזה 42+24'!$A:$C,3,0)</f>
        <v>#N/A</v>
      </c>
    </row>
    <row r="481" spans="4:18" x14ac:dyDescent="0.2">
      <c r="D481" s="4"/>
      <c r="G481" s="5"/>
      <c r="H481" s="5"/>
      <c r="I481" s="4"/>
      <c r="J481" s="4"/>
      <c r="K481" s="5"/>
      <c r="Q481" s="78" t="e">
        <f>VLOOKUP(A481,'גיליון דאטה להכל'!A:H,5,0)</f>
        <v>#N/A</v>
      </c>
      <c r="R481" s="78" t="e">
        <f>VLOOKUP(A481,'לעדכן בסינתזה דאטה אריזה 42+24'!$A:$C,3,0)</f>
        <v>#N/A</v>
      </c>
    </row>
    <row r="482" spans="4:18" x14ac:dyDescent="0.2">
      <c r="D482" s="4"/>
      <c r="G482" s="5"/>
      <c r="H482" s="5"/>
      <c r="I482" s="4"/>
      <c r="J482" s="4"/>
      <c r="K482" s="5"/>
      <c r="Q482" s="78" t="e">
        <f>VLOOKUP(A482,'גיליון דאטה להכל'!A:H,5,0)</f>
        <v>#N/A</v>
      </c>
      <c r="R482" s="78" t="e">
        <f>VLOOKUP(A482,'לעדכן בסינתזה דאטה אריזה 42+24'!$A:$C,3,0)</f>
        <v>#N/A</v>
      </c>
    </row>
    <row r="483" spans="4:18" x14ac:dyDescent="0.2">
      <c r="D483" s="4"/>
      <c r="G483" s="5"/>
      <c r="H483" s="5"/>
      <c r="I483" s="4"/>
      <c r="J483" s="4"/>
      <c r="K483" s="5"/>
      <c r="Q483" s="78" t="e">
        <f>VLOOKUP(A483,'גיליון דאטה להכל'!A:H,5,0)</f>
        <v>#N/A</v>
      </c>
      <c r="R483" s="78" t="e">
        <f>VLOOKUP(A483,'לעדכן בסינתזה דאטה אריזה 42+24'!$A:$C,3,0)</f>
        <v>#N/A</v>
      </c>
    </row>
    <row r="484" spans="4:18" x14ac:dyDescent="0.2">
      <c r="D484" s="4"/>
      <c r="G484" s="5"/>
      <c r="H484" s="5"/>
      <c r="I484" s="4"/>
      <c r="J484" s="4"/>
      <c r="K484" s="5"/>
      <c r="Q484" s="78" t="e">
        <f>VLOOKUP(A484,'גיליון דאטה להכל'!A:H,5,0)</f>
        <v>#N/A</v>
      </c>
      <c r="R484" s="78" t="e">
        <f>VLOOKUP(A484,'לעדכן בסינתזה דאטה אריזה 42+24'!$A:$C,3,0)</f>
        <v>#N/A</v>
      </c>
    </row>
    <row r="485" spans="4:18" x14ac:dyDescent="0.2">
      <c r="D485" s="4"/>
      <c r="G485" s="5"/>
      <c r="H485" s="5"/>
      <c r="I485" s="4"/>
      <c r="J485" s="4"/>
      <c r="K485" s="5"/>
      <c r="Q485" s="78" t="e">
        <f>VLOOKUP(A485,'גיליון דאטה להכל'!A:H,5,0)</f>
        <v>#N/A</v>
      </c>
      <c r="R485" s="78" t="e">
        <f>VLOOKUP(A485,'לעדכן בסינתזה דאטה אריזה 42+24'!$A:$C,3,0)</f>
        <v>#N/A</v>
      </c>
    </row>
    <row r="486" spans="4:18" x14ac:dyDescent="0.2">
      <c r="D486" s="4"/>
      <c r="G486" s="5"/>
      <c r="H486" s="5"/>
      <c r="I486" s="4"/>
      <c r="J486" s="4"/>
      <c r="K486" s="5"/>
      <c r="Q486" s="78" t="e">
        <f>VLOOKUP(A486,'גיליון דאטה להכל'!A:H,5,0)</f>
        <v>#N/A</v>
      </c>
      <c r="R486" s="78" t="e">
        <f>VLOOKUP(A486,'לעדכן בסינתזה דאטה אריזה 42+24'!$A:$C,3,0)</f>
        <v>#N/A</v>
      </c>
    </row>
    <row r="487" spans="4:18" x14ac:dyDescent="0.2">
      <c r="D487" s="4"/>
      <c r="G487" s="5"/>
      <c r="H487" s="5"/>
      <c r="I487" s="4"/>
      <c r="J487" s="4"/>
      <c r="K487" s="5"/>
      <c r="Q487" s="78" t="e">
        <f>VLOOKUP(A487,'גיליון דאטה להכל'!A:H,5,0)</f>
        <v>#N/A</v>
      </c>
      <c r="R487" s="78" t="e">
        <f>VLOOKUP(A487,'לעדכן בסינתזה דאטה אריזה 42+24'!$A:$C,3,0)</f>
        <v>#N/A</v>
      </c>
    </row>
    <row r="488" spans="4:18" x14ac:dyDescent="0.2">
      <c r="D488" s="4"/>
      <c r="G488" s="5"/>
      <c r="H488" s="5"/>
      <c r="I488" s="4"/>
      <c r="J488" s="4"/>
      <c r="K488" s="5"/>
      <c r="Q488" s="78" t="e">
        <f>VLOOKUP(A488,'גיליון דאטה להכל'!A:H,5,0)</f>
        <v>#N/A</v>
      </c>
      <c r="R488" s="78" t="e">
        <f>VLOOKUP(A488,'לעדכן בסינתזה דאטה אריזה 42+24'!$A:$C,3,0)</f>
        <v>#N/A</v>
      </c>
    </row>
    <row r="489" spans="4:18" x14ac:dyDescent="0.2">
      <c r="D489" s="4"/>
      <c r="G489" s="5"/>
      <c r="H489" s="5"/>
      <c r="I489" s="4"/>
      <c r="J489" s="4"/>
      <c r="K489" s="5"/>
      <c r="Q489" s="78" t="e">
        <f>VLOOKUP(A489,'גיליון דאטה להכל'!A:H,5,0)</f>
        <v>#N/A</v>
      </c>
      <c r="R489" s="78" t="e">
        <f>VLOOKUP(A489,'לעדכן בסינתזה דאטה אריזה 42+24'!$A:$C,3,0)</f>
        <v>#N/A</v>
      </c>
    </row>
    <row r="490" spans="4:18" x14ac:dyDescent="0.2">
      <c r="D490" s="4"/>
      <c r="G490" s="5"/>
      <c r="H490" s="5"/>
      <c r="I490" s="4"/>
      <c r="J490" s="4"/>
      <c r="K490" s="5"/>
      <c r="Q490" s="78" t="e">
        <f>VLOOKUP(A490,'גיליון דאטה להכל'!A:H,5,0)</f>
        <v>#N/A</v>
      </c>
      <c r="R490" s="78" t="e">
        <f>VLOOKUP(A490,'לעדכן בסינתזה דאטה אריזה 42+24'!$A:$C,3,0)</f>
        <v>#N/A</v>
      </c>
    </row>
    <row r="491" spans="4:18" x14ac:dyDescent="0.2">
      <c r="D491" s="4"/>
      <c r="G491" s="5"/>
      <c r="H491" s="5"/>
      <c r="I491" s="4"/>
      <c r="J491" s="4"/>
      <c r="K491" s="5"/>
      <c r="Q491" s="78" t="e">
        <f>VLOOKUP(A491,'גיליון דאטה להכל'!A:H,5,0)</f>
        <v>#N/A</v>
      </c>
      <c r="R491" s="78" t="e">
        <f>VLOOKUP(A491,'לעדכן בסינתזה דאטה אריזה 42+24'!$A:$C,3,0)</f>
        <v>#N/A</v>
      </c>
    </row>
    <row r="492" spans="4:18" x14ac:dyDescent="0.2">
      <c r="D492" s="4"/>
      <c r="G492" s="5"/>
      <c r="H492" s="5"/>
      <c r="I492" s="4"/>
      <c r="J492" s="4"/>
      <c r="K492" s="5"/>
      <c r="Q492" s="78" t="e">
        <f>VLOOKUP(A492,'גיליון דאטה להכל'!A:H,5,0)</f>
        <v>#N/A</v>
      </c>
      <c r="R492" s="78" t="e">
        <f>VLOOKUP(A492,'לעדכן בסינתזה דאטה אריזה 42+24'!$A:$C,3,0)</f>
        <v>#N/A</v>
      </c>
    </row>
    <row r="493" spans="4:18" x14ac:dyDescent="0.2">
      <c r="D493" s="4"/>
      <c r="G493" s="5"/>
      <c r="H493" s="5"/>
      <c r="I493" s="4"/>
      <c r="J493" s="4"/>
      <c r="K493" s="5"/>
      <c r="Q493" s="78" t="e">
        <f>VLOOKUP(A493,'גיליון דאטה להכל'!A:H,5,0)</f>
        <v>#N/A</v>
      </c>
      <c r="R493" s="78" t="e">
        <f>VLOOKUP(A493,'לעדכן בסינתזה דאטה אריזה 42+24'!$A:$C,3,0)</f>
        <v>#N/A</v>
      </c>
    </row>
    <row r="494" spans="4:18" x14ac:dyDescent="0.2">
      <c r="D494" s="4"/>
      <c r="G494" s="5"/>
      <c r="H494" s="5"/>
      <c r="I494" s="4"/>
      <c r="J494" s="4"/>
      <c r="K494" s="5"/>
      <c r="Q494" s="78" t="e">
        <f>VLOOKUP(A494,'גיליון דאטה להכל'!A:H,5,0)</f>
        <v>#N/A</v>
      </c>
      <c r="R494" s="78" t="e">
        <f>VLOOKUP(A494,'לעדכן בסינתזה דאטה אריזה 42+24'!$A:$C,3,0)</f>
        <v>#N/A</v>
      </c>
    </row>
    <row r="495" spans="4:18" x14ac:dyDescent="0.2">
      <c r="D495" s="4"/>
      <c r="G495" s="5"/>
      <c r="H495" s="5"/>
      <c r="I495" s="4"/>
      <c r="J495" s="4"/>
      <c r="K495" s="5"/>
      <c r="Q495" s="78" t="e">
        <f>VLOOKUP(A495,'גיליון דאטה להכל'!A:H,5,0)</f>
        <v>#N/A</v>
      </c>
      <c r="R495" s="78" t="e">
        <f>VLOOKUP(A495,'לעדכן בסינתזה דאטה אריזה 42+24'!$A:$C,3,0)</f>
        <v>#N/A</v>
      </c>
    </row>
    <row r="496" spans="4:18" x14ac:dyDescent="0.2">
      <c r="D496" s="4"/>
      <c r="G496" s="5"/>
      <c r="H496" s="5"/>
      <c r="I496" s="4"/>
      <c r="J496" s="4"/>
      <c r="K496" s="5"/>
      <c r="Q496" s="78" t="e">
        <f>VLOOKUP(A496,'גיליון דאטה להכל'!A:H,5,0)</f>
        <v>#N/A</v>
      </c>
      <c r="R496" s="78" t="e">
        <f>VLOOKUP(A496,'לעדכן בסינתזה דאטה אריזה 42+24'!$A:$C,3,0)</f>
        <v>#N/A</v>
      </c>
    </row>
    <row r="497" spans="4:18" x14ac:dyDescent="0.2">
      <c r="D497" s="4"/>
      <c r="G497" s="5"/>
      <c r="H497" s="5"/>
      <c r="I497" s="4"/>
      <c r="J497" s="4"/>
      <c r="K497" s="5"/>
      <c r="Q497" s="78" t="e">
        <f>VLOOKUP(A497,'גיליון דאטה להכל'!A:H,5,0)</f>
        <v>#N/A</v>
      </c>
      <c r="R497" s="78" t="e">
        <f>VLOOKUP(A497,'לעדכן בסינתזה דאטה אריזה 42+24'!$A:$C,3,0)</f>
        <v>#N/A</v>
      </c>
    </row>
    <row r="498" spans="4:18" x14ac:dyDescent="0.2">
      <c r="D498" s="4"/>
      <c r="G498" s="5"/>
      <c r="H498" s="5"/>
      <c r="I498" s="4"/>
      <c r="J498" s="4"/>
      <c r="K498" s="5"/>
      <c r="Q498" s="78" t="e">
        <f>VLOOKUP(A498,'גיליון דאטה להכל'!A:H,5,0)</f>
        <v>#N/A</v>
      </c>
      <c r="R498" s="78" t="e">
        <f>VLOOKUP(A498,'לעדכן בסינתזה דאטה אריזה 42+24'!$A:$C,3,0)</f>
        <v>#N/A</v>
      </c>
    </row>
    <row r="499" spans="4:18" x14ac:dyDescent="0.2">
      <c r="D499" s="4"/>
      <c r="G499" s="5"/>
      <c r="H499" s="5"/>
      <c r="I499" s="4"/>
      <c r="J499" s="4"/>
      <c r="K499" s="5"/>
      <c r="Q499" s="78" t="e">
        <f>VLOOKUP(A499,'גיליון דאטה להכל'!A:H,5,0)</f>
        <v>#N/A</v>
      </c>
      <c r="R499" s="78" t="e">
        <f>VLOOKUP(A499,'לעדכן בסינתזה דאטה אריזה 42+24'!$A:$C,3,0)</f>
        <v>#N/A</v>
      </c>
    </row>
    <row r="500" spans="4:18" x14ac:dyDescent="0.2">
      <c r="D500" s="4"/>
      <c r="G500" s="5"/>
      <c r="H500" s="5"/>
      <c r="I500" s="4"/>
      <c r="J500" s="4"/>
      <c r="K500" s="5"/>
      <c r="Q500" s="78" t="e">
        <f>VLOOKUP(A500,'גיליון דאטה להכל'!A:H,5,0)</f>
        <v>#N/A</v>
      </c>
      <c r="R500" s="78" t="e">
        <f>VLOOKUP(A500,'לעדכן בסינתזה דאטה אריזה 42+24'!$A:$C,3,0)</f>
        <v>#N/A</v>
      </c>
    </row>
    <row r="501" spans="4:18" x14ac:dyDescent="0.2">
      <c r="D501" s="4"/>
      <c r="G501" s="5"/>
      <c r="H501" s="5"/>
      <c r="I501" s="4"/>
      <c r="J501" s="4"/>
      <c r="K501" s="5"/>
      <c r="Q501" s="78" t="e">
        <f>VLOOKUP(A501,'גיליון דאטה להכל'!A:H,5,0)</f>
        <v>#N/A</v>
      </c>
      <c r="R501" s="78" t="e">
        <f>VLOOKUP(A501,'לעדכן בסינתזה דאטה אריזה 42+24'!$A:$C,3,0)</f>
        <v>#N/A</v>
      </c>
    </row>
    <row r="502" spans="4:18" x14ac:dyDescent="0.2">
      <c r="D502" s="4"/>
      <c r="G502" s="5"/>
      <c r="H502" s="5"/>
      <c r="I502" s="4"/>
      <c r="J502" s="4"/>
      <c r="K502" s="5"/>
      <c r="Q502" s="78" t="e">
        <f>VLOOKUP(A502,'גיליון דאטה להכל'!A:H,5,0)</f>
        <v>#N/A</v>
      </c>
      <c r="R502" s="78" t="e">
        <f>VLOOKUP(A502,'לעדכן בסינתזה דאטה אריזה 42+24'!$A:$C,3,0)</f>
        <v>#N/A</v>
      </c>
    </row>
    <row r="503" spans="4:18" x14ac:dyDescent="0.2">
      <c r="D503" s="4"/>
      <c r="G503" s="5"/>
      <c r="H503" s="5"/>
      <c r="I503" s="4"/>
      <c r="J503" s="4"/>
      <c r="K503" s="5"/>
      <c r="Q503" s="78" t="e">
        <f>VLOOKUP(A503,'גיליון דאטה להכל'!A:H,5,0)</f>
        <v>#N/A</v>
      </c>
      <c r="R503" s="78" t="e">
        <f>VLOOKUP(A503,'לעדכן בסינתזה דאטה אריזה 42+24'!$A:$C,3,0)</f>
        <v>#N/A</v>
      </c>
    </row>
    <row r="504" spans="4:18" x14ac:dyDescent="0.2">
      <c r="D504" s="4"/>
      <c r="G504" s="5"/>
      <c r="H504" s="5"/>
      <c r="I504" s="4"/>
      <c r="J504" s="4"/>
      <c r="K504" s="5"/>
      <c r="Q504" s="78" t="e">
        <f>VLOOKUP(A504,'גיליון דאטה להכל'!A:H,5,0)</f>
        <v>#N/A</v>
      </c>
      <c r="R504" s="78" t="e">
        <f>VLOOKUP(A504,'לעדכן בסינתזה דאטה אריזה 42+24'!$A:$C,3,0)</f>
        <v>#N/A</v>
      </c>
    </row>
    <row r="505" spans="4:18" x14ac:dyDescent="0.2">
      <c r="D505" s="4"/>
      <c r="G505" s="5"/>
      <c r="H505" s="5"/>
      <c r="I505" s="4"/>
      <c r="J505" s="4"/>
      <c r="K505" s="5"/>
      <c r="Q505" s="78" t="e">
        <f>VLOOKUP(A505,'גיליון דאטה להכל'!A:H,5,0)</f>
        <v>#N/A</v>
      </c>
      <c r="R505" s="78" t="e">
        <f>VLOOKUP(A505,'לעדכן בסינתזה דאטה אריזה 42+24'!$A:$C,3,0)</f>
        <v>#N/A</v>
      </c>
    </row>
    <row r="506" spans="4:18" x14ac:dyDescent="0.2">
      <c r="D506" s="4"/>
      <c r="G506" s="5"/>
      <c r="H506" s="5"/>
      <c r="I506" s="4"/>
      <c r="J506" s="4"/>
      <c r="K506" s="5"/>
      <c r="Q506" s="78" t="e">
        <f>VLOOKUP(A506,'גיליון דאטה להכל'!A:H,5,0)</f>
        <v>#N/A</v>
      </c>
      <c r="R506" s="78" t="e">
        <f>VLOOKUP(A506,'לעדכן בסינתזה דאטה אריזה 42+24'!$A:$C,3,0)</f>
        <v>#N/A</v>
      </c>
    </row>
    <row r="507" spans="4:18" x14ac:dyDescent="0.2">
      <c r="D507" s="4"/>
      <c r="G507" s="5"/>
      <c r="H507" s="5"/>
      <c r="I507" s="4"/>
      <c r="J507" s="4"/>
      <c r="K507" s="5"/>
      <c r="Q507" s="78" t="e">
        <f>VLOOKUP(A507,'גיליון דאטה להכל'!A:H,5,0)</f>
        <v>#N/A</v>
      </c>
      <c r="R507" s="78" t="e">
        <f>VLOOKUP(A507,'לעדכן בסינתזה דאטה אריזה 42+24'!$A:$C,3,0)</f>
        <v>#N/A</v>
      </c>
    </row>
    <row r="508" spans="4:18" x14ac:dyDescent="0.2">
      <c r="D508" s="4"/>
      <c r="G508" s="5"/>
      <c r="H508" s="5"/>
      <c r="I508" s="4"/>
      <c r="J508" s="4"/>
      <c r="K508" s="5"/>
      <c r="Q508" s="78" t="e">
        <f>VLOOKUP(A508,'גיליון דאטה להכל'!A:H,5,0)</f>
        <v>#N/A</v>
      </c>
      <c r="R508" s="78" t="e">
        <f>VLOOKUP(A508,'לעדכן בסינתזה דאטה אריזה 42+24'!$A:$C,3,0)</f>
        <v>#N/A</v>
      </c>
    </row>
    <row r="509" spans="4:18" x14ac:dyDescent="0.2">
      <c r="D509" s="4"/>
      <c r="G509" s="5"/>
      <c r="H509" s="5"/>
      <c r="I509" s="4"/>
      <c r="J509" s="4"/>
      <c r="K509" s="5"/>
      <c r="Q509" s="78" t="e">
        <f>VLOOKUP(A509,'גיליון דאטה להכל'!A:H,5,0)</f>
        <v>#N/A</v>
      </c>
      <c r="R509" s="78" t="e">
        <f>VLOOKUP(A509,'לעדכן בסינתזה דאטה אריזה 42+24'!$A:$C,3,0)</f>
        <v>#N/A</v>
      </c>
    </row>
    <row r="510" spans="4:18" x14ac:dyDescent="0.2">
      <c r="D510" s="4"/>
      <c r="G510" s="5"/>
      <c r="H510" s="5"/>
      <c r="I510" s="4"/>
      <c r="J510" s="4"/>
      <c r="K510" s="5"/>
      <c r="Q510" s="78" t="e">
        <f>VLOOKUP(A510,'גיליון דאטה להכל'!A:H,5,0)</f>
        <v>#N/A</v>
      </c>
      <c r="R510" s="78" t="e">
        <f>VLOOKUP(A510,'לעדכן בסינתזה דאטה אריזה 42+24'!$A:$C,3,0)</f>
        <v>#N/A</v>
      </c>
    </row>
    <row r="511" spans="4:18" x14ac:dyDescent="0.2">
      <c r="D511" s="4"/>
      <c r="G511" s="5"/>
      <c r="H511" s="5"/>
      <c r="I511" s="4"/>
      <c r="J511" s="4"/>
      <c r="K511" s="5"/>
      <c r="Q511" s="78" t="e">
        <f>VLOOKUP(A511,'גיליון דאטה להכל'!A:H,5,0)</f>
        <v>#N/A</v>
      </c>
      <c r="R511" s="78" t="e">
        <f>VLOOKUP(A511,'לעדכן בסינתזה דאטה אריזה 42+24'!$A:$C,3,0)</f>
        <v>#N/A</v>
      </c>
    </row>
    <row r="512" spans="4:18" x14ac:dyDescent="0.2">
      <c r="D512" s="4"/>
      <c r="G512" s="5"/>
      <c r="H512" s="7"/>
      <c r="I512" s="4"/>
      <c r="J512" s="4"/>
      <c r="K512" s="5"/>
      <c r="Q512" s="78" t="e">
        <f>VLOOKUP(A512,'גיליון דאטה להכל'!A:H,5,0)</f>
        <v>#N/A</v>
      </c>
      <c r="R512" s="78" t="e">
        <f>VLOOKUP(A512,'לעדכן בסינתזה דאטה אריזה 42+24'!$A:$C,3,0)</f>
        <v>#N/A</v>
      </c>
    </row>
    <row r="513" spans="4:18" x14ac:dyDescent="0.2">
      <c r="D513" s="4"/>
      <c r="G513" s="5"/>
      <c r="H513" s="5"/>
      <c r="I513" s="4"/>
      <c r="J513" s="4"/>
      <c r="K513" s="5"/>
      <c r="Q513" s="78" t="e">
        <f>VLOOKUP(A513,'גיליון דאטה להכל'!A:H,5,0)</f>
        <v>#N/A</v>
      </c>
      <c r="R513" s="78" t="e">
        <f>VLOOKUP(A513,'לעדכן בסינתזה דאטה אריזה 42+24'!$A:$C,3,0)</f>
        <v>#N/A</v>
      </c>
    </row>
    <row r="514" spans="4:18" x14ac:dyDescent="0.2">
      <c r="D514" s="4"/>
      <c r="G514" s="5"/>
      <c r="H514" s="5"/>
      <c r="I514" s="4"/>
      <c r="J514" s="4"/>
      <c r="K514" s="5"/>
      <c r="Q514" s="78" t="e">
        <f>VLOOKUP(A514,'גיליון דאטה להכל'!A:H,5,0)</f>
        <v>#N/A</v>
      </c>
      <c r="R514" s="78" t="e">
        <f>VLOOKUP(A514,'לעדכן בסינתזה דאטה אריזה 42+24'!$A:$C,3,0)</f>
        <v>#N/A</v>
      </c>
    </row>
    <row r="515" spans="4:18" x14ac:dyDescent="0.2">
      <c r="D515" s="4"/>
      <c r="G515" s="5"/>
      <c r="H515" s="5"/>
      <c r="I515" s="4"/>
      <c r="J515" s="4"/>
      <c r="K515" s="5"/>
      <c r="Q515" s="78" t="e">
        <f>VLOOKUP(A515,'גיליון דאטה להכל'!A:H,5,0)</f>
        <v>#N/A</v>
      </c>
      <c r="R515" s="78" t="e">
        <f>VLOOKUP(A515,'לעדכן בסינתזה דאטה אריזה 42+24'!$A:$C,3,0)</f>
        <v>#N/A</v>
      </c>
    </row>
    <row r="516" spans="4:18" x14ac:dyDescent="0.2">
      <c r="D516" s="4"/>
      <c r="G516" s="5"/>
      <c r="H516" s="5"/>
      <c r="I516" s="4"/>
      <c r="J516" s="4"/>
      <c r="K516" s="5"/>
      <c r="Q516" s="78" t="e">
        <f>VLOOKUP(A516,'גיליון דאטה להכל'!A:H,5,0)</f>
        <v>#N/A</v>
      </c>
      <c r="R516" s="78" t="e">
        <f>VLOOKUP(A516,'לעדכן בסינתזה דאטה אריזה 42+24'!$A:$C,3,0)</f>
        <v>#N/A</v>
      </c>
    </row>
    <row r="517" spans="4:18" x14ac:dyDescent="0.2">
      <c r="D517" s="4"/>
      <c r="G517" s="5"/>
      <c r="H517" s="5"/>
      <c r="I517" s="4"/>
      <c r="J517" s="4"/>
      <c r="K517" s="5"/>
      <c r="Q517" s="78" t="e">
        <f>VLOOKUP(A517,'גיליון דאטה להכל'!A:H,5,0)</f>
        <v>#N/A</v>
      </c>
      <c r="R517" s="78" t="e">
        <f>VLOOKUP(A517,'לעדכן בסינתזה דאטה אריזה 42+24'!$A:$C,3,0)</f>
        <v>#N/A</v>
      </c>
    </row>
    <row r="518" spans="4:18" x14ac:dyDescent="0.2">
      <c r="D518" s="4"/>
      <c r="G518" s="5"/>
      <c r="H518" s="5"/>
      <c r="I518" s="4"/>
      <c r="J518" s="4"/>
      <c r="K518" s="5"/>
      <c r="Q518" s="78" t="e">
        <f>VLOOKUP(A518,'גיליון דאטה להכל'!A:H,5,0)</f>
        <v>#N/A</v>
      </c>
      <c r="R518" s="78" t="e">
        <f>VLOOKUP(A518,'לעדכן בסינתזה דאטה אריזה 42+24'!$A:$C,3,0)</f>
        <v>#N/A</v>
      </c>
    </row>
    <row r="519" spans="4:18" x14ac:dyDescent="0.2">
      <c r="D519" s="4"/>
      <c r="G519" s="5"/>
      <c r="H519" s="5"/>
      <c r="I519" s="4"/>
      <c r="J519" s="4"/>
      <c r="K519" s="5"/>
      <c r="Q519" s="78" t="e">
        <f>VLOOKUP(A519,'גיליון דאטה להכל'!A:H,5,0)</f>
        <v>#N/A</v>
      </c>
      <c r="R519" s="78" t="e">
        <f>VLOOKUP(A519,'לעדכן בסינתזה דאטה אריזה 42+24'!$A:$C,3,0)</f>
        <v>#N/A</v>
      </c>
    </row>
    <row r="520" spans="4:18" x14ac:dyDescent="0.2">
      <c r="D520" s="4"/>
      <c r="G520" s="5"/>
      <c r="H520" s="5"/>
      <c r="I520" s="4"/>
      <c r="J520" s="4"/>
      <c r="K520" s="5"/>
      <c r="Q520" s="78" t="e">
        <f>VLOOKUP(A520,'גיליון דאטה להכל'!A:H,5,0)</f>
        <v>#N/A</v>
      </c>
      <c r="R520" s="78" t="e">
        <f>VLOOKUP(A520,'לעדכן בסינתזה דאטה אריזה 42+24'!$A:$C,3,0)</f>
        <v>#N/A</v>
      </c>
    </row>
    <row r="521" spans="4:18" x14ac:dyDescent="0.2">
      <c r="D521" s="4"/>
      <c r="G521" s="5"/>
      <c r="H521" s="5"/>
      <c r="I521" s="4"/>
      <c r="J521" s="4"/>
      <c r="K521" s="5"/>
      <c r="Q521" s="78" t="e">
        <f>VLOOKUP(A521,'גיליון דאטה להכל'!A:H,5,0)</f>
        <v>#N/A</v>
      </c>
      <c r="R521" s="78" t="e">
        <f>VLOOKUP(A521,'לעדכן בסינתזה דאטה אריזה 42+24'!$A:$C,3,0)</f>
        <v>#N/A</v>
      </c>
    </row>
    <row r="522" spans="4:18" x14ac:dyDescent="0.2">
      <c r="D522" s="4"/>
      <c r="G522" s="5"/>
      <c r="H522" s="5"/>
      <c r="I522" s="4"/>
      <c r="J522" s="4"/>
      <c r="K522" s="5"/>
      <c r="Q522" s="78" t="e">
        <f>VLOOKUP(A522,'גיליון דאטה להכל'!A:H,5,0)</f>
        <v>#N/A</v>
      </c>
      <c r="R522" s="78" t="e">
        <f>VLOOKUP(A522,'לעדכן בסינתזה דאטה אריזה 42+24'!$A:$C,3,0)</f>
        <v>#N/A</v>
      </c>
    </row>
    <row r="523" spans="4:18" x14ac:dyDescent="0.2">
      <c r="D523" s="4"/>
      <c r="G523" s="5"/>
      <c r="H523" s="5"/>
      <c r="I523" s="4"/>
      <c r="J523" s="4"/>
      <c r="K523" s="5"/>
      <c r="Q523" s="78" t="e">
        <f>VLOOKUP(A523,'גיליון דאטה להכל'!A:H,5,0)</f>
        <v>#N/A</v>
      </c>
      <c r="R523" s="78" t="e">
        <f>VLOOKUP(A523,'לעדכן בסינתזה דאטה אריזה 42+24'!$A:$C,3,0)</f>
        <v>#N/A</v>
      </c>
    </row>
    <row r="524" spans="4:18" x14ac:dyDescent="0.2">
      <c r="D524" s="4"/>
      <c r="G524" s="5"/>
      <c r="H524" s="5"/>
      <c r="I524" s="4"/>
      <c r="J524" s="4"/>
      <c r="K524" s="5"/>
      <c r="Q524" s="78" t="e">
        <f>VLOOKUP(A524,'גיליון דאטה להכל'!A:H,5,0)</f>
        <v>#N/A</v>
      </c>
      <c r="R524" s="78" t="e">
        <f>VLOOKUP(A524,'לעדכן בסינתזה דאטה אריזה 42+24'!$A:$C,3,0)</f>
        <v>#N/A</v>
      </c>
    </row>
    <row r="525" spans="4:18" x14ac:dyDescent="0.2">
      <c r="D525" s="4"/>
      <c r="G525" s="5"/>
      <c r="H525" s="5"/>
      <c r="I525" s="4"/>
      <c r="J525" s="4"/>
      <c r="K525" s="5"/>
      <c r="Q525" s="78" t="e">
        <f>VLOOKUP(A525,'גיליון דאטה להכל'!A:H,5,0)</f>
        <v>#N/A</v>
      </c>
      <c r="R525" s="78" t="e">
        <f>VLOOKUP(A525,'לעדכן בסינתזה דאטה אריזה 42+24'!$A:$C,3,0)</f>
        <v>#N/A</v>
      </c>
    </row>
    <row r="526" spans="4:18" x14ac:dyDescent="0.2">
      <c r="D526" s="4"/>
      <c r="G526" s="5"/>
      <c r="H526" s="5"/>
      <c r="I526" s="4"/>
      <c r="J526" s="4"/>
      <c r="K526" s="5"/>
      <c r="Q526" s="78" t="e">
        <f>VLOOKUP(A526,'גיליון דאטה להכל'!A:H,5,0)</f>
        <v>#N/A</v>
      </c>
      <c r="R526" s="78" t="e">
        <f>VLOOKUP(A526,'לעדכן בסינתזה דאטה אריזה 42+24'!$A:$C,3,0)</f>
        <v>#N/A</v>
      </c>
    </row>
    <row r="527" spans="4:18" x14ac:dyDescent="0.2">
      <c r="D527" s="4"/>
      <c r="G527" s="5"/>
      <c r="H527" s="5"/>
      <c r="I527" s="4"/>
      <c r="J527" s="4"/>
      <c r="K527" s="5"/>
      <c r="Q527" s="78" t="e">
        <f>VLOOKUP(A527,'גיליון דאטה להכל'!A:H,5,0)</f>
        <v>#N/A</v>
      </c>
      <c r="R527" s="78" t="e">
        <f>VLOOKUP(A527,'לעדכן בסינתזה דאטה אריזה 42+24'!$A:$C,3,0)</f>
        <v>#N/A</v>
      </c>
    </row>
    <row r="528" spans="4:18" x14ac:dyDescent="0.2">
      <c r="D528" s="4"/>
      <c r="G528" s="5"/>
      <c r="H528" s="5"/>
      <c r="I528" s="4"/>
      <c r="J528" s="4"/>
      <c r="K528" s="5"/>
      <c r="Q528" s="78" t="e">
        <f>VLOOKUP(A528,'גיליון דאטה להכל'!A:H,5,0)</f>
        <v>#N/A</v>
      </c>
      <c r="R528" s="78" t="e">
        <f>VLOOKUP(A528,'לעדכן בסינתזה דאטה אריזה 42+24'!$A:$C,3,0)</f>
        <v>#N/A</v>
      </c>
    </row>
    <row r="529" spans="4:18" x14ac:dyDescent="0.2">
      <c r="D529" s="4"/>
      <c r="G529" s="5"/>
      <c r="H529" s="5"/>
      <c r="I529" s="4"/>
      <c r="J529" s="4"/>
      <c r="K529" s="5"/>
      <c r="Q529" s="78" t="e">
        <f>VLOOKUP(A529,'גיליון דאטה להכל'!A:H,5,0)</f>
        <v>#N/A</v>
      </c>
      <c r="R529" s="78" t="e">
        <f>VLOOKUP(A529,'לעדכן בסינתזה דאטה אריזה 42+24'!$A:$C,3,0)</f>
        <v>#N/A</v>
      </c>
    </row>
    <row r="530" spans="4:18" x14ac:dyDescent="0.2">
      <c r="D530" s="4"/>
      <c r="G530" s="5"/>
      <c r="H530" s="5"/>
      <c r="I530" s="4"/>
      <c r="J530" s="4"/>
      <c r="K530" s="5"/>
      <c r="Q530" s="78" t="e">
        <f>VLOOKUP(A530,'גיליון דאטה להכל'!A:H,5,0)</f>
        <v>#N/A</v>
      </c>
      <c r="R530" s="78" t="e">
        <f>VLOOKUP(A530,'לעדכן בסינתזה דאטה אריזה 42+24'!$A:$C,3,0)</f>
        <v>#N/A</v>
      </c>
    </row>
    <row r="531" spans="4:18" x14ac:dyDescent="0.2">
      <c r="D531" s="4"/>
      <c r="G531" s="5"/>
      <c r="H531" s="5"/>
      <c r="I531" s="4"/>
      <c r="J531" s="4"/>
      <c r="K531" s="5"/>
      <c r="Q531" s="78" t="e">
        <f>VLOOKUP(A531,'גיליון דאטה להכל'!A:H,5,0)</f>
        <v>#N/A</v>
      </c>
      <c r="R531" s="78" t="e">
        <f>VLOOKUP(A531,'לעדכן בסינתזה דאטה אריזה 42+24'!$A:$C,3,0)</f>
        <v>#N/A</v>
      </c>
    </row>
    <row r="532" spans="4:18" x14ac:dyDescent="0.2">
      <c r="D532" s="4"/>
      <c r="G532" s="5"/>
      <c r="H532" s="5"/>
      <c r="I532" s="4"/>
      <c r="J532" s="4"/>
      <c r="K532" s="5"/>
      <c r="Q532" s="78" t="e">
        <f>VLOOKUP(A532,'גיליון דאטה להכל'!A:H,5,0)</f>
        <v>#N/A</v>
      </c>
      <c r="R532" s="78" t="e">
        <f>VLOOKUP(A532,'לעדכן בסינתזה דאטה אריזה 42+24'!$A:$C,3,0)</f>
        <v>#N/A</v>
      </c>
    </row>
    <row r="533" spans="4:18" x14ac:dyDescent="0.2">
      <c r="D533" s="4"/>
      <c r="G533" s="5"/>
      <c r="H533" s="5"/>
      <c r="I533" s="4"/>
      <c r="J533" s="4"/>
      <c r="K533" s="5"/>
      <c r="Q533" s="78" t="e">
        <f>VLOOKUP(A533,'גיליון דאטה להכל'!A:H,5,0)</f>
        <v>#N/A</v>
      </c>
      <c r="R533" s="78" t="e">
        <f>VLOOKUP(A533,'לעדכן בסינתזה דאטה אריזה 42+24'!$A:$C,3,0)</f>
        <v>#N/A</v>
      </c>
    </row>
    <row r="534" spans="4:18" x14ac:dyDescent="0.2">
      <c r="D534" s="4"/>
      <c r="G534" s="5"/>
      <c r="H534" s="5"/>
      <c r="I534" s="4"/>
      <c r="J534" s="4"/>
      <c r="K534" s="5"/>
      <c r="Q534" s="78" t="e">
        <f>VLOOKUP(A534,'גיליון דאטה להכל'!A:H,5,0)</f>
        <v>#N/A</v>
      </c>
      <c r="R534" s="78" t="e">
        <f>VLOOKUP(A534,'לעדכן בסינתזה דאטה אריזה 42+24'!$A:$C,3,0)</f>
        <v>#N/A</v>
      </c>
    </row>
    <row r="535" spans="4:18" x14ac:dyDescent="0.2">
      <c r="D535" s="4"/>
      <c r="G535" s="5"/>
      <c r="H535" s="5"/>
      <c r="I535" s="4"/>
      <c r="J535" s="4"/>
      <c r="K535" s="5"/>
      <c r="Q535" s="78" t="e">
        <f>VLOOKUP(A535,'גיליון דאטה להכל'!A:H,5,0)</f>
        <v>#N/A</v>
      </c>
      <c r="R535" s="78" t="e">
        <f>VLOOKUP(A535,'לעדכן בסינתזה דאטה אריזה 42+24'!$A:$C,3,0)</f>
        <v>#N/A</v>
      </c>
    </row>
    <row r="536" spans="4:18" x14ac:dyDescent="0.2">
      <c r="D536" s="4"/>
      <c r="G536" s="5"/>
      <c r="H536" s="5"/>
      <c r="I536" s="4"/>
      <c r="J536" s="4"/>
      <c r="K536" s="5"/>
      <c r="Q536" s="78" t="e">
        <f>VLOOKUP(A536,'גיליון דאטה להכל'!A:H,5,0)</f>
        <v>#N/A</v>
      </c>
      <c r="R536" s="78" t="e">
        <f>VLOOKUP(A536,'לעדכן בסינתזה דאטה אריזה 42+24'!$A:$C,3,0)</f>
        <v>#N/A</v>
      </c>
    </row>
    <row r="537" spans="4:18" x14ac:dyDescent="0.2">
      <c r="D537" s="4"/>
      <c r="G537" s="5"/>
      <c r="H537" s="5"/>
      <c r="I537" s="4"/>
      <c r="J537" s="4"/>
      <c r="K537" s="5"/>
      <c r="Q537" s="78" t="e">
        <f>VLOOKUP(A537,'גיליון דאטה להכל'!A:H,5,0)</f>
        <v>#N/A</v>
      </c>
      <c r="R537" s="78" t="e">
        <f>VLOOKUP(A537,'לעדכן בסינתזה דאטה אריזה 42+24'!$A:$C,3,0)</f>
        <v>#N/A</v>
      </c>
    </row>
    <row r="538" spans="4:18" x14ac:dyDescent="0.2">
      <c r="D538" s="4"/>
      <c r="G538" s="5"/>
      <c r="H538" s="5"/>
      <c r="I538" s="4"/>
      <c r="J538" s="4"/>
      <c r="K538" s="5"/>
      <c r="Q538" s="78" t="e">
        <f>VLOOKUP(A538,'גיליון דאטה להכל'!A:H,5,0)</f>
        <v>#N/A</v>
      </c>
      <c r="R538" s="78" t="e">
        <f>VLOOKUP(A538,'לעדכן בסינתזה דאטה אריזה 42+24'!$A:$C,3,0)</f>
        <v>#N/A</v>
      </c>
    </row>
    <row r="539" spans="4:18" x14ac:dyDescent="0.2">
      <c r="D539" s="4"/>
      <c r="G539" s="5"/>
      <c r="H539" s="5"/>
      <c r="I539" s="4"/>
      <c r="J539" s="4"/>
      <c r="K539" s="5"/>
      <c r="Q539" s="78" t="e">
        <f>VLOOKUP(A539,'גיליון דאטה להכל'!A:H,5,0)</f>
        <v>#N/A</v>
      </c>
      <c r="R539" s="78" t="e">
        <f>VLOOKUP(A539,'לעדכן בסינתזה דאטה אריזה 42+24'!$A:$C,3,0)</f>
        <v>#N/A</v>
      </c>
    </row>
    <row r="540" spans="4:18" x14ac:dyDescent="0.2">
      <c r="D540" s="4"/>
      <c r="G540" s="5"/>
      <c r="H540" s="5"/>
      <c r="I540" s="4"/>
      <c r="J540" s="4"/>
      <c r="K540" s="5"/>
      <c r="Q540" s="78" t="e">
        <f>VLOOKUP(A540,'גיליון דאטה להכל'!A:H,5,0)</f>
        <v>#N/A</v>
      </c>
      <c r="R540" s="78" t="e">
        <f>VLOOKUP(A540,'לעדכן בסינתזה דאטה אריזה 42+24'!$A:$C,3,0)</f>
        <v>#N/A</v>
      </c>
    </row>
    <row r="541" spans="4:18" x14ac:dyDescent="0.2">
      <c r="D541" s="4"/>
      <c r="G541" s="5"/>
      <c r="H541" s="5"/>
      <c r="I541" s="4"/>
      <c r="J541" s="4"/>
      <c r="K541" s="5"/>
      <c r="Q541" s="78" t="e">
        <f>VLOOKUP(A541,'גיליון דאטה להכל'!A:H,5,0)</f>
        <v>#N/A</v>
      </c>
      <c r="R541" s="78" t="e">
        <f>VLOOKUP(A541,'לעדכן בסינתזה דאטה אריזה 42+24'!$A:$C,3,0)</f>
        <v>#N/A</v>
      </c>
    </row>
    <row r="542" spans="4:18" x14ac:dyDescent="0.2">
      <c r="D542" s="4"/>
      <c r="G542" s="5"/>
      <c r="H542" s="5"/>
      <c r="I542" s="4"/>
      <c r="J542" s="4"/>
      <c r="K542" s="5"/>
      <c r="Q542" s="78" t="e">
        <f>VLOOKUP(A542,'גיליון דאטה להכל'!A:H,5,0)</f>
        <v>#N/A</v>
      </c>
      <c r="R542" s="78" t="e">
        <f>VLOOKUP(A542,'לעדכן בסינתזה דאטה אריזה 42+24'!$A:$C,3,0)</f>
        <v>#N/A</v>
      </c>
    </row>
    <row r="543" spans="4:18" x14ac:dyDescent="0.2">
      <c r="D543" s="4"/>
      <c r="G543" s="5"/>
      <c r="H543" s="5"/>
      <c r="I543" s="4"/>
      <c r="J543" s="4"/>
      <c r="K543" s="5"/>
      <c r="Q543" s="78" t="e">
        <f>VLOOKUP(A543,'גיליון דאטה להכל'!A:H,5,0)</f>
        <v>#N/A</v>
      </c>
      <c r="R543" s="78" t="e">
        <f>VLOOKUP(A543,'לעדכן בסינתזה דאטה אריזה 42+24'!$A:$C,3,0)</f>
        <v>#N/A</v>
      </c>
    </row>
    <row r="544" spans="4:18" x14ac:dyDescent="0.2">
      <c r="D544" s="4"/>
      <c r="G544" s="5"/>
      <c r="H544" s="5"/>
      <c r="I544" s="4"/>
      <c r="J544" s="4"/>
      <c r="K544" s="5"/>
      <c r="Q544" s="78" t="e">
        <f>VLOOKUP(A544,'גיליון דאטה להכל'!A:H,5,0)</f>
        <v>#N/A</v>
      </c>
      <c r="R544" s="78" t="e">
        <f>VLOOKUP(A544,'לעדכן בסינתזה דאטה אריזה 42+24'!$A:$C,3,0)</f>
        <v>#N/A</v>
      </c>
    </row>
    <row r="545" spans="4:18" x14ac:dyDescent="0.2">
      <c r="D545" s="4"/>
      <c r="G545" s="5"/>
      <c r="H545" s="5"/>
      <c r="I545" s="4"/>
      <c r="J545" s="4"/>
      <c r="K545" s="5"/>
      <c r="Q545" s="78" t="e">
        <f>VLOOKUP(A545,'גיליון דאטה להכל'!A:H,5,0)</f>
        <v>#N/A</v>
      </c>
      <c r="R545" s="78" t="e">
        <f>VLOOKUP(A545,'לעדכן בסינתזה דאטה אריזה 42+24'!$A:$C,3,0)</f>
        <v>#N/A</v>
      </c>
    </row>
    <row r="546" spans="4:18" x14ac:dyDescent="0.2">
      <c r="D546" s="4"/>
      <c r="G546" s="5"/>
      <c r="H546" s="5"/>
      <c r="I546" s="4"/>
      <c r="J546" s="4"/>
      <c r="K546" s="5"/>
      <c r="Q546" s="78" t="e">
        <f>VLOOKUP(A546,'גיליון דאטה להכל'!A:H,5,0)</f>
        <v>#N/A</v>
      </c>
      <c r="R546" s="78" t="e">
        <f>VLOOKUP(A546,'לעדכן בסינתזה דאטה אריזה 42+24'!$A:$C,3,0)</f>
        <v>#N/A</v>
      </c>
    </row>
    <row r="547" spans="4:18" x14ac:dyDescent="0.2">
      <c r="D547" s="4"/>
      <c r="G547" s="5"/>
      <c r="H547" s="5"/>
      <c r="I547" s="4"/>
      <c r="J547" s="4"/>
      <c r="K547" s="5"/>
      <c r="Q547" s="78" t="e">
        <f>VLOOKUP(A547,'גיליון דאטה להכל'!A:H,5,0)</f>
        <v>#N/A</v>
      </c>
      <c r="R547" s="78" t="e">
        <f>VLOOKUP(A547,'לעדכן בסינתזה דאטה אריזה 42+24'!$A:$C,3,0)</f>
        <v>#N/A</v>
      </c>
    </row>
    <row r="548" spans="4:18" x14ac:dyDescent="0.2">
      <c r="D548" s="4"/>
      <c r="G548" s="5"/>
      <c r="H548" s="5"/>
      <c r="I548" s="4"/>
      <c r="J548" s="4"/>
      <c r="K548" s="5"/>
      <c r="Q548" s="78" t="e">
        <f>VLOOKUP(A548,'גיליון דאטה להכל'!A:H,5,0)</f>
        <v>#N/A</v>
      </c>
      <c r="R548" s="78" t="e">
        <f>VLOOKUP(A548,'לעדכן בסינתזה דאטה אריזה 42+24'!$A:$C,3,0)</f>
        <v>#N/A</v>
      </c>
    </row>
    <row r="549" spans="4:18" x14ac:dyDescent="0.2">
      <c r="D549" s="4"/>
      <c r="G549" s="5"/>
      <c r="H549" s="5"/>
      <c r="I549" s="4"/>
      <c r="J549" s="4"/>
      <c r="K549" s="5"/>
      <c r="Q549" s="78" t="e">
        <f>VLOOKUP(A549,'גיליון דאטה להכל'!A:H,5,0)</f>
        <v>#N/A</v>
      </c>
      <c r="R549" s="78" t="e">
        <f>VLOOKUP(A549,'לעדכן בסינתזה דאטה אריזה 42+24'!$A:$C,3,0)</f>
        <v>#N/A</v>
      </c>
    </row>
    <row r="550" spans="4:18" x14ac:dyDescent="0.2">
      <c r="D550" s="4"/>
      <c r="G550" s="5"/>
      <c r="H550" s="5"/>
      <c r="I550" s="4"/>
      <c r="J550" s="4"/>
      <c r="K550" s="5"/>
      <c r="Q550" s="78" t="e">
        <f>VLOOKUP(A550,'גיליון דאטה להכל'!A:H,5,0)</f>
        <v>#N/A</v>
      </c>
      <c r="R550" s="78" t="e">
        <f>VLOOKUP(A550,'לעדכן בסינתזה דאטה אריזה 42+24'!$A:$C,3,0)</f>
        <v>#N/A</v>
      </c>
    </row>
    <row r="551" spans="4:18" x14ac:dyDescent="0.2">
      <c r="D551" s="4"/>
      <c r="G551" s="5"/>
      <c r="H551" s="5"/>
      <c r="I551" s="4"/>
      <c r="J551" s="4"/>
      <c r="K551" s="5"/>
      <c r="Q551" s="78" t="e">
        <f>VLOOKUP(A551,'גיליון דאטה להכל'!A:H,5,0)</f>
        <v>#N/A</v>
      </c>
      <c r="R551" s="78" t="e">
        <f>VLOOKUP(A551,'לעדכן בסינתזה דאטה אריזה 42+24'!$A:$C,3,0)</f>
        <v>#N/A</v>
      </c>
    </row>
    <row r="552" spans="4:18" x14ac:dyDescent="0.2">
      <c r="D552" s="4"/>
      <c r="G552" s="5"/>
      <c r="H552" s="5"/>
      <c r="I552" s="4"/>
      <c r="J552" s="4"/>
      <c r="K552" s="5"/>
      <c r="Q552" s="78" t="e">
        <f>VLOOKUP(A552,'גיליון דאטה להכל'!A:H,5,0)</f>
        <v>#N/A</v>
      </c>
      <c r="R552" s="78" t="e">
        <f>VLOOKUP(A552,'לעדכן בסינתזה דאטה אריזה 42+24'!$A:$C,3,0)</f>
        <v>#N/A</v>
      </c>
    </row>
    <row r="553" spans="4:18" x14ac:dyDescent="0.2">
      <c r="D553" s="4"/>
      <c r="G553" s="5"/>
      <c r="H553" s="5"/>
      <c r="I553" s="4"/>
      <c r="J553" s="4"/>
      <c r="K553" s="5"/>
      <c r="Q553" s="78" t="e">
        <f>VLOOKUP(A553,'גיליון דאטה להכל'!A:H,5,0)</f>
        <v>#N/A</v>
      </c>
      <c r="R553" s="78" t="e">
        <f>VLOOKUP(A553,'לעדכן בסינתזה דאטה אריזה 42+24'!$A:$C,3,0)</f>
        <v>#N/A</v>
      </c>
    </row>
    <row r="554" spans="4:18" x14ac:dyDescent="0.2">
      <c r="D554" s="4"/>
      <c r="G554" s="5"/>
      <c r="H554" s="5"/>
      <c r="I554" s="4"/>
      <c r="J554" s="4"/>
      <c r="K554" s="5"/>
      <c r="Q554" s="78" t="e">
        <f>VLOOKUP(A554,'גיליון דאטה להכל'!A:H,5,0)</f>
        <v>#N/A</v>
      </c>
      <c r="R554" s="78" t="e">
        <f>VLOOKUP(A554,'לעדכן בסינתזה דאטה אריזה 42+24'!$A:$C,3,0)</f>
        <v>#N/A</v>
      </c>
    </row>
    <row r="555" spans="4:18" x14ac:dyDescent="0.2">
      <c r="D555" s="4"/>
      <c r="G555" s="5"/>
      <c r="H555" s="5"/>
      <c r="I555" s="4"/>
      <c r="J555" s="4"/>
      <c r="K555" s="5"/>
      <c r="Q555" s="78" t="e">
        <f>VLOOKUP(A555,'גיליון דאטה להכל'!A:H,5,0)</f>
        <v>#N/A</v>
      </c>
      <c r="R555" s="78" t="e">
        <f>VLOOKUP(A555,'לעדכן בסינתזה דאטה אריזה 42+24'!$A:$C,3,0)</f>
        <v>#N/A</v>
      </c>
    </row>
    <row r="556" spans="4:18" x14ac:dyDescent="0.2">
      <c r="D556" s="4"/>
      <c r="G556" s="5"/>
      <c r="H556" s="5"/>
      <c r="I556" s="4"/>
      <c r="J556" s="4"/>
      <c r="K556" s="5"/>
      <c r="Q556" s="78" t="e">
        <f>VLOOKUP(A556,'גיליון דאטה להכל'!A:H,5,0)</f>
        <v>#N/A</v>
      </c>
      <c r="R556" s="78" t="e">
        <f>VLOOKUP(A556,'לעדכן בסינתזה דאטה אריזה 42+24'!$A:$C,3,0)</f>
        <v>#N/A</v>
      </c>
    </row>
    <row r="557" spans="4:18" x14ac:dyDescent="0.2">
      <c r="D557" s="4"/>
      <c r="G557" s="5"/>
      <c r="H557" s="5"/>
      <c r="I557" s="4"/>
      <c r="J557" s="4"/>
      <c r="K557" s="5"/>
      <c r="Q557" s="78" t="e">
        <f>VLOOKUP(A557,'גיליון דאטה להכל'!A:H,5,0)</f>
        <v>#N/A</v>
      </c>
      <c r="R557" s="78" t="e">
        <f>VLOOKUP(A557,'לעדכן בסינתזה דאטה אריזה 42+24'!$A:$C,3,0)</f>
        <v>#N/A</v>
      </c>
    </row>
    <row r="558" spans="4:18" x14ac:dyDescent="0.2">
      <c r="D558" s="4"/>
      <c r="G558" s="5"/>
      <c r="H558" s="5"/>
      <c r="I558" s="4"/>
      <c r="J558" s="4"/>
      <c r="K558" s="5"/>
      <c r="Q558" s="78" t="e">
        <f>VLOOKUP(A558,'גיליון דאטה להכל'!A:H,5,0)</f>
        <v>#N/A</v>
      </c>
      <c r="R558" s="78" t="e">
        <f>VLOOKUP(A558,'לעדכן בסינתזה דאטה אריזה 42+24'!$A:$C,3,0)</f>
        <v>#N/A</v>
      </c>
    </row>
    <row r="559" spans="4:18" x14ac:dyDescent="0.2">
      <c r="D559" s="4"/>
      <c r="G559" s="5"/>
      <c r="H559" s="5"/>
      <c r="I559" s="4"/>
      <c r="J559" s="4"/>
      <c r="K559" s="5"/>
      <c r="Q559" s="78" t="e">
        <f>VLOOKUP(A559,'גיליון דאטה להכל'!A:H,5,0)</f>
        <v>#N/A</v>
      </c>
      <c r="R559" s="78" t="e">
        <f>VLOOKUP(A559,'לעדכן בסינתזה דאטה אריזה 42+24'!$A:$C,3,0)</f>
        <v>#N/A</v>
      </c>
    </row>
    <row r="560" spans="4:18" x14ac:dyDescent="0.2">
      <c r="D560" s="4"/>
      <c r="G560" s="5"/>
      <c r="H560" s="5"/>
      <c r="I560" s="4"/>
      <c r="J560" s="4"/>
      <c r="K560" s="5"/>
      <c r="Q560" s="78" t="e">
        <f>VLOOKUP(A560,'גיליון דאטה להכל'!A:H,5,0)</f>
        <v>#N/A</v>
      </c>
      <c r="R560" s="78" t="e">
        <f>VLOOKUP(A560,'לעדכן בסינתזה דאטה אריזה 42+24'!$A:$C,3,0)</f>
        <v>#N/A</v>
      </c>
    </row>
    <row r="561" spans="4:18" x14ac:dyDescent="0.2">
      <c r="D561" s="4"/>
      <c r="G561" s="5"/>
      <c r="H561" s="5"/>
      <c r="I561" s="4"/>
      <c r="J561" s="4"/>
      <c r="K561" s="5"/>
      <c r="Q561" s="78" t="e">
        <f>VLOOKUP(A561,'גיליון דאטה להכל'!A:H,5,0)</f>
        <v>#N/A</v>
      </c>
      <c r="R561" s="78" t="e">
        <f>VLOOKUP(A561,'לעדכן בסינתזה דאטה אריזה 42+24'!$A:$C,3,0)</f>
        <v>#N/A</v>
      </c>
    </row>
    <row r="562" spans="4:18" x14ac:dyDescent="0.2">
      <c r="D562" s="4"/>
      <c r="G562" s="5"/>
      <c r="H562" s="5"/>
      <c r="I562" s="4"/>
      <c r="J562" s="4"/>
      <c r="K562" s="5"/>
      <c r="Q562" s="78" t="e">
        <f>VLOOKUP(A562,'גיליון דאטה להכל'!A:H,5,0)</f>
        <v>#N/A</v>
      </c>
      <c r="R562" s="78" t="e">
        <f>VLOOKUP(A562,'לעדכן בסינתזה דאטה אריזה 42+24'!$A:$C,3,0)</f>
        <v>#N/A</v>
      </c>
    </row>
    <row r="563" spans="4:18" x14ac:dyDescent="0.2">
      <c r="D563" s="4"/>
      <c r="G563" s="5"/>
      <c r="H563" s="5"/>
      <c r="I563" s="4"/>
      <c r="J563" s="4"/>
      <c r="K563" s="5"/>
      <c r="Q563" s="78" t="e">
        <f>VLOOKUP(A563,'גיליון דאטה להכל'!A:H,5,0)</f>
        <v>#N/A</v>
      </c>
      <c r="R563" s="78" t="e">
        <f>VLOOKUP(A563,'לעדכן בסינתזה דאטה אריזה 42+24'!$A:$C,3,0)</f>
        <v>#N/A</v>
      </c>
    </row>
    <row r="564" spans="4:18" x14ac:dyDescent="0.2">
      <c r="D564" s="4"/>
      <c r="G564" s="5"/>
      <c r="H564" s="5"/>
      <c r="I564" s="4"/>
      <c r="J564" s="4"/>
      <c r="K564" s="5"/>
      <c r="Q564" s="78" t="e">
        <f>VLOOKUP(A564,'גיליון דאטה להכל'!A:H,5,0)</f>
        <v>#N/A</v>
      </c>
      <c r="R564" s="78" t="e">
        <f>VLOOKUP(A564,'לעדכן בסינתזה דאטה אריזה 42+24'!$A:$C,3,0)</f>
        <v>#N/A</v>
      </c>
    </row>
    <row r="565" spans="4:18" x14ac:dyDescent="0.2">
      <c r="D565" s="4"/>
      <c r="G565" s="5"/>
      <c r="H565" s="5"/>
      <c r="I565" s="4"/>
      <c r="J565" s="4"/>
      <c r="K565" s="5"/>
      <c r="Q565" s="78" t="e">
        <f>VLOOKUP(A565,'גיליון דאטה להכל'!A:H,5,0)</f>
        <v>#N/A</v>
      </c>
      <c r="R565" s="78" t="e">
        <f>VLOOKUP(A565,'לעדכן בסינתזה דאטה אריזה 42+24'!$A:$C,3,0)</f>
        <v>#N/A</v>
      </c>
    </row>
    <row r="566" spans="4:18" x14ac:dyDescent="0.2">
      <c r="D566" s="4"/>
      <c r="G566" s="5"/>
      <c r="H566" s="5"/>
      <c r="I566" s="4"/>
      <c r="J566" s="4"/>
      <c r="K566" s="5"/>
      <c r="Q566" s="78" t="e">
        <f>VLOOKUP(A566,'גיליון דאטה להכל'!A:H,5,0)</f>
        <v>#N/A</v>
      </c>
      <c r="R566" s="78" t="e">
        <f>VLOOKUP(A566,'לעדכן בסינתזה דאטה אריזה 42+24'!$A:$C,3,0)</f>
        <v>#N/A</v>
      </c>
    </row>
    <row r="567" spans="4:18" x14ac:dyDescent="0.2">
      <c r="D567" s="4"/>
      <c r="G567" s="5"/>
      <c r="H567" s="5"/>
      <c r="I567" s="4"/>
      <c r="J567" s="4"/>
      <c r="K567" s="5"/>
      <c r="Q567" s="78" t="e">
        <f>VLOOKUP(A567,'גיליון דאטה להכל'!A:H,5,0)</f>
        <v>#N/A</v>
      </c>
      <c r="R567" s="78" t="e">
        <f>VLOOKUP(A567,'לעדכן בסינתזה דאטה אריזה 42+24'!$A:$C,3,0)</f>
        <v>#N/A</v>
      </c>
    </row>
    <row r="568" spans="4:18" x14ac:dyDescent="0.2">
      <c r="D568" s="4"/>
      <c r="G568" s="5"/>
      <c r="H568" s="5"/>
      <c r="I568" s="4"/>
      <c r="J568" s="4"/>
      <c r="K568" s="5"/>
      <c r="Q568" s="78" t="e">
        <f>VLOOKUP(A568,'גיליון דאטה להכל'!A:H,5,0)</f>
        <v>#N/A</v>
      </c>
      <c r="R568" s="78" t="e">
        <f>VLOOKUP(A568,'לעדכן בסינתזה דאטה אריזה 42+24'!$A:$C,3,0)</f>
        <v>#N/A</v>
      </c>
    </row>
    <row r="569" spans="4:18" x14ac:dyDescent="0.2">
      <c r="D569" s="4"/>
      <c r="G569" s="5"/>
      <c r="H569" s="5"/>
      <c r="I569" s="4"/>
      <c r="J569" s="4"/>
      <c r="K569" s="5"/>
      <c r="Q569" s="78" t="e">
        <f>VLOOKUP(A569,'גיליון דאטה להכל'!A:H,5,0)</f>
        <v>#N/A</v>
      </c>
      <c r="R569" s="78" t="e">
        <f>VLOOKUP(A569,'לעדכן בסינתזה דאטה אריזה 42+24'!$A:$C,3,0)</f>
        <v>#N/A</v>
      </c>
    </row>
    <row r="570" spans="4:18" x14ac:dyDescent="0.2">
      <c r="D570" s="4"/>
      <c r="G570" s="5"/>
      <c r="H570" s="5"/>
      <c r="I570" s="4"/>
      <c r="J570" s="4"/>
      <c r="K570" s="5"/>
      <c r="Q570" s="78" t="e">
        <f>VLOOKUP(A570,'גיליון דאטה להכל'!A:H,5,0)</f>
        <v>#N/A</v>
      </c>
      <c r="R570" s="78" t="e">
        <f>VLOOKUP(A570,'לעדכן בסינתזה דאטה אריזה 42+24'!$A:$C,3,0)</f>
        <v>#N/A</v>
      </c>
    </row>
    <row r="571" spans="4:18" x14ac:dyDescent="0.2">
      <c r="D571" s="4"/>
      <c r="G571" s="5"/>
      <c r="H571" s="5"/>
      <c r="I571" s="4"/>
      <c r="J571" s="4"/>
      <c r="K571" s="5"/>
      <c r="Q571" s="78" t="e">
        <f>VLOOKUP(A571,'גיליון דאטה להכל'!A:H,5,0)</f>
        <v>#N/A</v>
      </c>
      <c r="R571" s="78" t="e">
        <f>VLOOKUP(A571,'לעדכן בסינתזה דאטה אריזה 42+24'!$A:$C,3,0)</f>
        <v>#N/A</v>
      </c>
    </row>
    <row r="572" spans="4:18" x14ac:dyDescent="0.2">
      <c r="D572" s="4"/>
      <c r="G572" s="5"/>
      <c r="H572" s="5"/>
      <c r="I572" s="4"/>
      <c r="J572" s="4"/>
      <c r="K572" s="5"/>
      <c r="Q572" s="78" t="e">
        <f>VLOOKUP(A572,'גיליון דאטה להכל'!A:H,5,0)</f>
        <v>#N/A</v>
      </c>
      <c r="R572" s="78" t="e">
        <f>VLOOKUP(A572,'לעדכן בסינתזה דאטה אריזה 42+24'!$A:$C,3,0)</f>
        <v>#N/A</v>
      </c>
    </row>
    <row r="573" spans="4:18" x14ac:dyDescent="0.2">
      <c r="D573" s="4"/>
      <c r="G573" s="5"/>
      <c r="H573" s="5"/>
      <c r="I573" s="4"/>
      <c r="J573" s="4"/>
      <c r="K573" s="5"/>
      <c r="Q573" s="78" t="e">
        <f>VLOOKUP(A573,'גיליון דאטה להכל'!A:H,5,0)</f>
        <v>#N/A</v>
      </c>
      <c r="R573" s="78" t="e">
        <f>VLOOKUP(A573,'לעדכן בסינתזה דאטה אריזה 42+24'!$A:$C,3,0)</f>
        <v>#N/A</v>
      </c>
    </row>
    <row r="574" spans="4:18" x14ac:dyDescent="0.2">
      <c r="D574" s="4"/>
      <c r="G574" s="5"/>
      <c r="H574" s="5"/>
      <c r="I574" s="4"/>
      <c r="J574" s="4"/>
      <c r="K574" s="5"/>
      <c r="Q574" s="78" t="e">
        <f>VLOOKUP(A574,'גיליון דאטה להכל'!A:H,5,0)</f>
        <v>#N/A</v>
      </c>
      <c r="R574" s="78" t="e">
        <f>VLOOKUP(A574,'לעדכן בסינתזה דאטה אריזה 42+24'!$A:$C,3,0)</f>
        <v>#N/A</v>
      </c>
    </row>
    <row r="575" spans="4:18" x14ac:dyDescent="0.2">
      <c r="D575" s="4"/>
      <c r="G575" s="5"/>
      <c r="H575" s="5"/>
      <c r="I575" s="4"/>
      <c r="J575" s="4"/>
      <c r="K575" s="5"/>
      <c r="Q575" s="78" t="e">
        <f>VLOOKUP(A575,'גיליון דאטה להכל'!A:H,5,0)</f>
        <v>#N/A</v>
      </c>
      <c r="R575" s="78" t="e">
        <f>VLOOKUP(A575,'לעדכן בסינתזה דאטה אריזה 42+24'!$A:$C,3,0)</f>
        <v>#N/A</v>
      </c>
    </row>
    <row r="576" spans="4:18" x14ac:dyDescent="0.2">
      <c r="D576" s="4"/>
      <c r="G576" s="5"/>
      <c r="H576" s="5"/>
      <c r="I576" s="4"/>
      <c r="J576" s="4"/>
      <c r="K576" s="5"/>
      <c r="Q576" s="78" t="e">
        <f>VLOOKUP(A576,'גיליון דאטה להכל'!A:H,5,0)</f>
        <v>#N/A</v>
      </c>
      <c r="R576" s="78" t="e">
        <f>VLOOKUP(A576,'לעדכן בסינתזה דאטה אריזה 42+24'!$A:$C,3,0)</f>
        <v>#N/A</v>
      </c>
    </row>
    <row r="577" spans="4:18" x14ac:dyDescent="0.2">
      <c r="D577" s="4"/>
      <c r="G577" s="5"/>
      <c r="H577" s="5"/>
      <c r="I577" s="4"/>
      <c r="J577" s="4"/>
      <c r="K577" s="5"/>
      <c r="Q577" s="78" t="e">
        <f>VLOOKUP(A577,'גיליון דאטה להכל'!A:H,5,0)</f>
        <v>#N/A</v>
      </c>
      <c r="R577" s="78" t="e">
        <f>VLOOKUP(A577,'לעדכן בסינתזה דאטה אריזה 42+24'!$A:$C,3,0)</f>
        <v>#N/A</v>
      </c>
    </row>
    <row r="578" spans="4:18" x14ac:dyDescent="0.2">
      <c r="D578" s="4"/>
      <c r="G578" s="5"/>
      <c r="H578" s="5"/>
      <c r="I578" s="4"/>
      <c r="J578" s="4"/>
      <c r="K578" s="5"/>
      <c r="Q578" s="78" t="e">
        <f>VLOOKUP(A578,'גיליון דאטה להכל'!A:H,5,0)</f>
        <v>#N/A</v>
      </c>
      <c r="R578" s="78" t="e">
        <f>VLOOKUP(A578,'לעדכן בסינתזה דאטה אריזה 42+24'!$A:$C,3,0)</f>
        <v>#N/A</v>
      </c>
    </row>
    <row r="579" spans="4:18" x14ac:dyDescent="0.2">
      <c r="D579" s="4"/>
      <c r="G579" s="5"/>
      <c r="H579" s="5"/>
      <c r="I579" s="4"/>
      <c r="J579" s="4"/>
      <c r="K579" s="5"/>
      <c r="Q579" s="78" t="e">
        <f>VLOOKUP(A579,'גיליון דאטה להכל'!A:H,5,0)</f>
        <v>#N/A</v>
      </c>
      <c r="R579" s="78" t="e">
        <f>VLOOKUP(A579,'לעדכן בסינתזה דאטה אריזה 42+24'!$A:$C,3,0)</f>
        <v>#N/A</v>
      </c>
    </row>
    <row r="580" spans="4:18" x14ac:dyDescent="0.2">
      <c r="D580" s="4"/>
      <c r="G580" s="5"/>
      <c r="H580" s="5"/>
      <c r="I580" s="4"/>
      <c r="J580" s="4"/>
      <c r="K580" s="5"/>
      <c r="Q580" s="78" t="e">
        <f>VLOOKUP(A580,'גיליון דאטה להכל'!A:H,5,0)</f>
        <v>#N/A</v>
      </c>
      <c r="R580" s="78" t="e">
        <f>VLOOKUP(A580,'לעדכן בסינתזה דאטה אריזה 42+24'!$A:$C,3,0)</f>
        <v>#N/A</v>
      </c>
    </row>
    <row r="581" spans="4:18" x14ac:dyDescent="0.2">
      <c r="D581" s="4"/>
      <c r="G581" s="5"/>
      <c r="H581" s="5"/>
      <c r="I581" s="4"/>
      <c r="J581" s="4"/>
      <c r="K581" s="5"/>
      <c r="Q581" s="78" t="e">
        <f>VLOOKUP(A581,'גיליון דאטה להכל'!A:H,5,0)</f>
        <v>#N/A</v>
      </c>
      <c r="R581" s="78" t="e">
        <f>VLOOKUP(A581,'לעדכן בסינתזה דאטה אריזה 42+24'!$A:$C,3,0)</f>
        <v>#N/A</v>
      </c>
    </row>
    <row r="582" spans="4:18" x14ac:dyDescent="0.2">
      <c r="D582" s="4"/>
      <c r="G582" s="5"/>
      <c r="H582" s="5"/>
      <c r="I582" s="4"/>
      <c r="J582" s="4"/>
      <c r="K582" s="5"/>
      <c r="Q582" s="78" t="e">
        <f>VLOOKUP(A582,'גיליון דאטה להכל'!A:H,5,0)</f>
        <v>#N/A</v>
      </c>
      <c r="R582" s="78" t="e">
        <f>VLOOKUP(A582,'לעדכן בסינתזה דאטה אריזה 42+24'!$A:$C,3,0)</f>
        <v>#N/A</v>
      </c>
    </row>
    <row r="583" spans="4:18" x14ac:dyDescent="0.2">
      <c r="D583" s="4"/>
      <c r="G583" s="5"/>
      <c r="H583" s="5"/>
      <c r="I583" s="4"/>
      <c r="J583" s="4"/>
      <c r="K583" s="5"/>
      <c r="Q583" s="78" t="e">
        <f>VLOOKUP(A583,'גיליון דאטה להכל'!A:H,5,0)</f>
        <v>#N/A</v>
      </c>
      <c r="R583" s="78" t="e">
        <f>VLOOKUP(A583,'לעדכן בסינתזה דאטה אריזה 42+24'!$A:$C,3,0)</f>
        <v>#N/A</v>
      </c>
    </row>
    <row r="584" spans="4:18" x14ac:dyDescent="0.2">
      <c r="D584" s="4"/>
      <c r="G584" s="5"/>
      <c r="H584" s="5"/>
      <c r="I584" s="4"/>
      <c r="J584" s="4"/>
      <c r="K584" s="5"/>
      <c r="Q584" s="78" t="e">
        <f>VLOOKUP(A584,'גיליון דאטה להכל'!A:H,5,0)</f>
        <v>#N/A</v>
      </c>
      <c r="R584" s="78" t="e">
        <f>VLOOKUP(A584,'לעדכן בסינתזה דאטה אריזה 42+24'!$A:$C,3,0)</f>
        <v>#N/A</v>
      </c>
    </row>
    <row r="585" spans="4:18" x14ac:dyDescent="0.2">
      <c r="D585" s="4"/>
      <c r="G585" s="5"/>
      <c r="H585" s="5"/>
      <c r="I585" s="4"/>
      <c r="J585" s="4"/>
      <c r="K585" s="5"/>
      <c r="Q585" s="78" t="e">
        <f>VLOOKUP(A585,'גיליון דאטה להכל'!A:H,5,0)</f>
        <v>#N/A</v>
      </c>
      <c r="R585" s="78" t="e">
        <f>VLOOKUP(A585,'לעדכן בסינתזה דאטה אריזה 42+24'!$A:$C,3,0)</f>
        <v>#N/A</v>
      </c>
    </row>
    <row r="586" spans="4:18" x14ac:dyDescent="0.2">
      <c r="D586" s="4"/>
      <c r="G586" s="5"/>
      <c r="H586" s="5"/>
      <c r="I586" s="4"/>
      <c r="J586" s="4"/>
      <c r="K586" s="5"/>
      <c r="Q586" s="78" t="e">
        <f>VLOOKUP(A586,'גיליון דאטה להכל'!A:H,5,0)</f>
        <v>#N/A</v>
      </c>
      <c r="R586" s="78" t="e">
        <f>VLOOKUP(A586,'לעדכן בסינתזה דאטה אריזה 42+24'!$A:$C,3,0)</f>
        <v>#N/A</v>
      </c>
    </row>
    <row r="587" spans="4:18" x14ac:dyDescent="0.2">
      <c r="D587" s="4"/>
      <c r="G587" s="5"/>
      <c r="H587" s="5"/>
      <c r="I587" s="4"/>
      <c r="J587" s="4"/>
      <c r="K587" s="5"/>
      <c r="Q587" s="78" t="e">
        <f>VLOOKUP(A587,'גיליון דאטה להכל'!A:H,5,0)</f>
        <v>#N/A</v>
      </c>
      <c r="R587" s="78" t="e">
        <f>VLOOKUP(A587,'לעדכן בסינתזה דאטה אריזה 42+24'!$A:$C,3,0)</f>
        <v>#N/A</v>
      </c>
    </row>
    <row r="588" spans="4:18" x14ac:dyDescent="0.2">
      <c r="D588" s="4"/>
      <c r="G588" s="5"/>
      <c r="H588" s="5"/>
      <c r="I588" s="4"/>
      <c r="J588" s="4"/>
      <c r="K588" s="5"/>
      <c r="Q588" s="78" t="e">
        <f>VLOOKUP(A588,'גיליון דאטה להכל'!A:H,5,0)</f>
        <v>#N/A</v>
      </c>
      <c r="R588" s="78" t="e">
        <f>VLOOKUP(A588,'לעדכן בסינתזה דאטה אריזה 42+24'!$A:$C,3,0)</f>
        <v>#N/A</v>
      </c>
    </row>
    <row r="589" spans="4:18" x14ac:dyDescent="0.2">
      <c r="D589" s="4"/>
      <c r="G589" s="5"/>
      <c r="H589" s="5"/>
      <c r="I589" s="4"/>
      <c r="J589" s="4"/>
      <c r="K589" s="5"/>
      <c r="Q589" s="78" t="e">
        <f>VLOOKUP(A589,'גיליון דאטה להכל'!A:H,5,0)</f>
        <v>#N/A</v>
      </c>
      <c r="R589" s="78" t="e">
        <f>VLOOKUP(A589,'לעדכן בסינתזה דאטה אריזה 42+24'!$A:$C,3,0)</f>
        <v>#N/A</v>
      </c>
    </row>
    <row r="590" spans="4:18" x14ac:dyDescent="0.2">
      <c r="D590" s="4"/>
      <c r="G590" s="5"/>
      <c r="H590" s="5"/>
      <c r="I590" s="4"/>
      <c r="J590" s="4"/>
      <c r="K590" s="5"/>
      <c r="Q590" s="78" t="e">
        <f>VLOOKUP(A590,'גיליון דאטה להכל'!A:H,5,0)</f>
        <v>#N/A</v>
      </c>
      <c r="R590" s="78" t="e">
        <f>VLOOKUP(A590,'לעדכן בסינתזה דאטה אריזה 42+24'!$A:$C,3,0)</f>
        <v>#N/A</v>
      </c>
    </row>
    <row r="591" spans="4:18" x14ac:dyDescent="0.2">
      <c r="D591" s="4"/>
      <c r="G591" s="5"/>
      <c r="H591" s="5"/>
      <c r="I591" s="4"/>
      <c r="J591" s="4"/>
      <c r="K591" s="5"/>
      <c r="Q591" s="78" t="e">
        <f>VLOOKUP(A591,'גיליון דאטה להכל'!A:H,5,0)</f>
        <v>#N/A</v>
      </c>
      <c r="R591" s="78" t="e">
        <f>VLOOKUP(A591,'לעדכן בסינתזה דאטה אריזה 42+24'!$A:$C,3,0)</f>
        <v>#N/A</v>
      </c>
    </row>
    <row r="592" spans="4:18" x14ac:dyDescent="0.2">
      <c r="D592" s="4"/>
      <c r="G592" s="5"/>
      <c r="H592" s="5"/>
      <c r="I592" s="4"/>
      <c r="J592" s="4"/>
      <c r="K592" s="5"/>
      <c r="Q592" s="78" t="e">
        <f>VLOOKUP(A592,'גיליון דאטה להכל'!A:H,5,0)</f>
        <v>#N/A</v>
      </c>
      <c r="R592" s="78" t="e">
        <f>VLOOKUP(A592,'לעדכן בסינתזה דאטה אריזה 42+24'!$A:$C,3,0)</f>
        <v>#N/A</v>
      </c>
    </row>
    <row r="593" spans="4:18" x14ac:dyDescent="0.2">
      <c r="D593" s="4"/>
      <c r="G593" s="5"/>
      <c r="H593" s="5"/>
      <c r="I593" s="4"/>
      <c r="J593" s="4"/>
      <c r="K593" s="5"/>
      <c r="Q593" s="78" t="e">
        <f>VLOOKUP(A593,'גיליון דאטה להכל'!A:H,5,0)</f>
        <v>#N/A</v>
      </c>
      <c r="R593" s="78" t="e">
        <f>VLOOKUP(A593,'לעדכן בסינתזה דאטה אריזה 42+24'!$A:$C,3,0)</f>
        <v>#N/A</v>
      </c>
    </row>
    <row r="594" spans="4:18" x14ac:dyDescent="0.2">
      <c r="D594" s="4"/>
      <c r="G594" s="5"/>
      <c r="H594" s="5"/>
      <c r="I594" s="4"/>
      <c r="J594" s="4"/>
      <c r="K594" s="5"/>
      <c r="Q594" s="78" t="e">
        <f>VLOOKUP(A594,'גיליון דאטה להכל'!A:H,5,0)</f>
        <v>#N/A</v>
      </c>
      <c r="R594" s="78" t="e">
        <f>VLOOKUP(A594,'לעדכן בסינתזה דאטה אריזה 42+24'!$A:$C,3,0)</f>
        <v>#N/A</v>
      </c>
    </row>
    <row r="595" spans="4:18" x14ac:dyDescent="0.2">
      <c r="D595" s="4"/>
      <c r="G595" s="5"/>
      <c r="H595" s="5"/>
      <c r="I595" s="4"/>
      <c r="J595" s="4"/>
      <c r="K595" s="5"/>
      <c r="Q595" s="78" t="e">
        <f>VLOOKUP(A595,'גיליון דאטה להכל'!A:H,5,0)</f>
        <v>#N/A</v>
      </c>
      <c r="R595" s="78" t="e">
        <f>VLOOKUP(A595,'לעדכן בסינתזה דאטה אריזה 42+24'!$A:$C,3,0)</f>
        <v>#N/A</v>
      </c>
    </row>
    <row r="596" spans="4:18" x14ac:dyDescent="0.2">
      <c r="D596" s="4"/>
      <c r="G596" s="5"/>
      <c r="H596" s="5"/>
      <c r="I596" s="4"/>
      <c r="J596" s="4"/>
      <c r="K596" s="5"/>
      <c r="Q596" s="78" t="e">
        <f>VLOOKUP(A596,'גיליון דאטה להכל'!A:H,5,0)</f>
        <v>#N/A</v>
      </c>
      <c r="R596" s="78" t="e">
        <f>VLOOKUP(A596,'לעדכן בסינתזה דאטה אריזה 42+24'!$A:$C,3,0)</f>
        <v>#N/A</v>
      </c>
    </row>
    <row r="597" spans="4:18" x14ac:dyDescent="0.2">
      <c r="D597" s="4"/>
      <c r="G597" s="5"/>
      <c r="H597" s="5"/>
      <c r="I597" s="4"/>
      <c r="J597" s="4"/>
      <c r="K597" s="5"/>
      <c r="Q597" s="78" t="e">
        <f>VLOOKUP(A597,'גיליון דאטה להכל'!A:H,5,0)</f>
        <v>#N/A</v>
      </c>
      <c r="R597" s="78" t="e">
        <f>VLOOKUP(A597,'לעדכן בסינתזה דאטה אריזה 42+24'!$A:$C,3,0)</f>
        <v>#N/A</v>
      </c>
    </row>
    <row r="598" spans="4:18" x14ac:dyDescent="0.2">
      <c r="D598" s="4"/>
      <c r="G598" s="5"/>
      <c r="H598" s="5"/>
      <c r="I598" s="4"/>
      <c r="J598" s="4"/>
      <c r="K598" s="5"/>
      <c r="Q598" s="78" t="e">
        <f>VLOOKUP(A598,'גיליון דאטה להכל'!A:H,5,0)</f>
        <v>#N/A</v>
      </c>
      <c r="R598" s="78" t="e">
        <f>VLOOKUP(A598,'לעדכן בסינתזה דאטה אריזה 42+24'!$A:$C,3,0)</f>
        <v>#N/A</v>
      </c>
    </row>
    <row r="599" spans="4:18" x14ac:dyDescent="0.2">
      <c r="D599" s="4"/>
      <c r="G599" s="5"/>
      <c r="H599" s="5"/>
      <c r="I599" s="4"/>
      <c r="J599" s="4"/>
      <c r="K599" s="5"/>
      <c r="Q599" s="78" t="e">
        <f>VLOOKUP(A599,'גיליון דאטה להכל'!A:H,5,0)</f>
        <v>#N/A</v>
      </c>
      <c r="R599" s="78" t="e">
        <f>VLOOKUP(A599,'לעדכן בסינתזה דאטה אריזה 42+24'!$A:$C,3,0)</f>
        <v>#N/A</v>
      </c>
    </row>
    <row r="600" spans="4:18" x14ac:dyDescent="0.2">
      <c r="D600" s="4"/>
      <c r="G600" s="5"/>
      <c r="H600" s="5"/>
      <c r="I600" s="4"/>
      <c r="J600" s="4"/>
      <c r="K600" s="5"/>
      <c r="Q600" s="78" t="e">
        <f>VLOOKUP(A600,'גיליון דאטה להכל'!A:H,5,0)</f>
        <v>#N/A</v>
      </c>
      <c r="R600" s="78" t="e">
        <f>VLOOKUP(A600,'לעדכן בסינתזה דאטה אריזה 42+24'!$A:$C,3,0)</f>
        <v>#N/A</v>
      </c>
    </row>
    <row r="601" spans="4:18" x14ac:dyDescent="0.2">
      <c r="D601" s="4"/>
      <c r="G601" s="5"/>
      <c r="H601" s="5"/>
      <c r="I601" s="4"/>
      <c r="J601" s="4"/>
      <c r="K601" s="5"/>
      <c r="Q601" s="78" t="e">
        <f>VLOOKUP(A601,'גיליון דאטה להכל'!A:H,5,0)</f>
        <v>#N/A</v>
      </c>
      <c r="R601" s="78" t="e">
        <f>VLOOKUP(A601,'לעדכן בסינתזה דאטה אריזה 42+24'!$A:$C,3,0)</f>
        <v>#N/A</v>
      </c>
    </row>
    <row r="602" spans="4:18" x14ac:dyDescent="0.2">
      <c r="D602" s="4"/>
      <c r="G602" s="5"/>
      <c r="H602" s="5"/>
      <c r="I602" s="4"/>
      <c r="J602" s="4"/>
      <c r="K602" s="5"/>
      <c r="Q602" s="78" t="e">
        <f>VLOOKUP(A602,'גיליון דאטה להכל'!A:H,5,0)</f>
        <v>#N/A</v>
      </c>
      <c r="R602" s="78" t="e">
        <f>VLOOKUP(A602,'לעדכן בסינתזה דאטה אריזה 42+24'!$A:$C,3,0)</f>
        <v>#N/A</v>
      </c>
    </row>
    <row r="603" spans="4:18" x14ac:dyDescent="0.2">
      <c r="D603" s="4"/>
      <c r="G603" s="5"/>
      <c r="H603" s="5"/>
      <c r="I603" s="4"/>
      <c r="J603" s="4"/>
      <c r="K603" s="5"/>
      <c r="Q603" s="78" t="e">
        <f>VLOOKUP(A603,'גיליון דאטה להכל'!A:H,5,0)</f>
        <v>#N/A</v>
      </c>
      <c r="R603" s="78" t="e">
        <f>VLOOKUP(A603,'לעדכן בסינתזה דאטה אריזה 42+24'!$A:$C,3,0)</f>
        <v>#N/A</v>
      </c>
    </row>
    <row r="604" spans="4:18" x14ac:dyDescent="0.2">
      <c r="D604" s="4"/>
      <c r="G604" s="5"/>
      <c r="H604" s="5"/>
      <c r="I604" s="4"/>
      <c r="J604" s="4"/>
      <c r="K604" s="5"/>
      <c r="Q604" s="78" t="e">
        <f>VLOOKUP(A604,'גיליון דאטה להכל'!A:H,5,0)</f>
        <v>#N/A</v>
      </c>
      <c r="R604" s="78" t="e">
        <f>VLOOKUP(A604,'לעדכן בסינתזה דאטה אריזה 42+24'!$A:$C,3,0)</f>
        <v>#N/A</v>
      </c>
    </row>
    <row r="605" spans="4:18" x14ac:dyDescent="0.2">
      <c r="D605" s="4"/>
      <c r="G605" s="5"/>
      <c r="H605" s="5"/>
      <c r="I605" s="4"/>
      <c r="J605" s="4"/>
      <c r="K605" s="5"/>
      <c r="Q605" s="78" t="e">
        <f>VLOOKUP(A605,'גיליון דאטה להכל'!A:H,5,0)</f>
        <v>#N/A</v>
      </c>
      <c r="R605" s="78" t="e">
        <f>VLOOKUP(A605,'לעדכן בסינתזה דאטה אריזה 42+24'!$A:$C,3,0)</f>
        <v>#N/A</v>
      </c>
    </row>
    <row r="606" spans="4:18" x14ac:dyDescent="0.2">
      <c r="D606" s="4"/>
      <c r="G606" s="5"/>
      <c r="H606" s="5"/>
      <c r="I606" s="4"/>
      <c r="J606" s="4"/>
      <c r="K606" s="5"/>
      <c r="Q606" s="78" t="e">
        <f>VLOOKUP(A606,'גיליון דאטה להכל'!A:H,5,0)</f>
        <v>#N/A</v>
      </c>
      <c r="R606" s="78" t="e">
        <f>VLOOKUP(A606,'לעדכן בסינתזה דאטה אריזה 42+24'!$A:$C,3,0)</f>
        <v>#N/A</v>
      </c>
    </row>
    <row r="607" spans="4:18" x14ac:dyDescent="0.2">
      <c r="D607" s="4"/>
      <c r="G607" s="5"/>
      <c r="H607" s="5"/>
      <c r="I607" s="4"/>
      <c r="J607" s="4"/>
      <c r="K607" s="5"/>
      <c r="Q607" s="78" t="e">
        <f>VLOOKUP(A607,'גיליון דאטה להכל'!A:H,5,0)</f>
        <v>#N/A</v>
      </c>
      <c r="R607" s="78" t="e">
        <f>VLOOKUP(A607,'לעדכן בסינתזה דאטה אריזה 42+24'!$A:$C,3,0)</f>
        <v>#N/A</v>
      </c>
    </row>
    <row r="608" spans="4:18" x14ac:dyDescent="0.2">
      <c r="D608" s="4"/>
      <c r="G608" s="5"/>
      <c r="H608" s="5"/>
      <c r="I608" s="4"/>
      <c r="J608" s="4"/>
      <c r="K608" s="5"/>
      <c r="Q608" s="78" t="e">
        <f>VLOOKUP(A608,'גיליון דאטה להכל'!A:H,5,0)</f>
        <v>#N/A</v>
      </c>
      <c r="R608" s="78" t="e">
        <f>VLOOKUP(A608,'לעדכן בסינתזה דאטה אריזה 42+24'!$A:$C,3,0)</f>
        <v>#N/A</v>
      </c>
    </row>
    <row r="609" spans="4:18" x14ac:dyDescent="0.2">
      <c r="D609" s="4"/>
      <c r="G609" s="5"/>
      <c r="H609" s="5"/>
      <c r="I609" s="4"/>
      <c r="J609" s="4"/>
      <c r="K609" s="5"/>
      <c r="Q609" s="78" t="e">
        <f>VLOOKUP(A609,'גיליון דאטה להכל'!A:H,5,0)</f>
        <v>#N/A</v>
      </c>
      <c r="R609" s="78" t="e">
        <f>VLOOKUP(A609,'לעדכן בסינתזה דאטה אריזה 42+24'!$A:$C,3,0)</f>
        <v>#N/A</v>
      </c>
    </row>
    <row r="610" spans="4:18" x14ac:dyDescent="0.2">
      <c r="D610" s="4"/>
      <c r="G610" s="5"/>
      <c r="H610" s="5"/>
      <c r="I610" s="4"/>
      <c r="J610" s="4"/>
      <c r="K610" s="5"/>
      <c r="Q610" s="78" t="e">
        <f>VLOOKUP(A610,'גיליון דאטה להכל'!A:H,5,0)</f>
        <v>#N/A</v>
      </c>
      <c r="R610" s="78" t="e">
        <f>VLOOKUP(A610,'לעדכן בסינתזה דאטה אריזה 42+24'!$A:$C,3,0)</f>
        <v>#N/A</v>
      </c>
    </row>
    <row r="611" spans="4:18" x14ac:dyDescent="0.2">
      <c r="D611" s="4"/>
      <c r="G611" s="5"/>
      <c r="H611" s="5"/>
      <c r="I611" s="4"/>
      <c r="J611" s="4"/>
      <c r="K611" s="5"/>
      <c r="Q611" s="78" t="e">
        <f>VLOOKUP(A611,'גיליון דאטה להכל'!A:H,5,0)</f>
        <v>#N/A</v>
      </c>
      <c r="R611" s="78" t="e">
        <f>VLOOKUP(A611,'לעדכן בסינתזה דאטה אריזה 42+24'!$A:$C,3,0)</f>
        <v>#N/A</v>
      </c>
    </row>
    <row r="612" spans="4:18" x14ac:dyDescent="0.2">
      <c r="D612" s="4"/>
      <c r="G612" s="5"/>
      <c r="H612" s="5"/>
      <c r="I612" s="4"/>
      <c r="J612" s="4"/>
      <c r="K612" s="5"/>
      <c r="Q612" s="78" t="e">
        <f>VLOOKUP(A612,'גיליון דאטה להכל'!A:H,5,0)</f>
        <v>#N/A</v>
      </c>
      <c r="R612" s="78" t="e">
        <f>VLOOKUP(A612,'לעדכן בסינתזה דאטה אריזה 42+24'!$A:$C,3,0)</f>
        <v>#N/A</v>
      </c>
    </row>
    <row r="613" spans="4:18" x14ac:dyDescent="0.2">
      <c r="D613" s="4"/>
      <c r="G613" s="5"/>
      <c r="H613" s="5"/>
      <c r="I613" s="4"/>
      <c r="J613" s="4"/>
      <c r="K613" s="5"/>
      <c r="Q613" s="78" t="e">
        <f>VLOOKUP(A613,'גיליון דאטה להכל'!A:H,5,0)</f>
        <v>#N/A</v>
      </c>
      <c r="R613" s="78" t="e">
        <f>VLOOKUP(A613,'לעדכן בסינתזה דאטה אריזה 42+24'!$A:$C,3,0)</f>
        <v>#N/A</v>
      </c>
    </row>
    <row r="614" spans="4:18" x14ac:dyDescent="0.2">
      <c r="D614" s="4"/>
      <c r="G614" s="5"/>
      <c r="H614" s="5"/>
      <c r="I614" s="4"/>
      <c r="J614" s="4"/>
      <c r="K614" s="5"/>
      <c r="Q614" s="78" t="e">
        <f>VLOOKUP(A614,'גיליון דאטה להכל'!A:H,5,0)</f>
        <v>#N/A</v>
      </c>
      <c r="R614" s="78" t="e">
        <f>VLOOKUP(A614,'לעדכן בסינתזה דאטה אריזה 42+24'!$A:$C,3,0)</f>
        <v>#N/A</v>
      </c>
    </row>
    <row r="615" spans="4:18" x14ac:dyDescent="0.2">
      <c r="D615" s="4"/>
      <c r="G615" s="5"/>
      <c r="H615" s="5"/>
      <c r="I615" s="4"/>
      <c r="J615" s="4"/>
      <c r="K615" s="5"/>
      <c r="Q615" s="78" t="e">
        <f>VLOOKUP(A615,'גיליון דאטה להכל'!A:H,5,0)</f>
        <v>#N/A</v>
      </c>
      <c r="R615" s="78" t="e">
        <f>VLOOKUP(A615,'לעדכן בסינתזה דאטה אריזה 42+24'!$A:$C,3,0)</f>
        <v>#N/A</v>
      </c>
    </row>
    <row r="616" spans="4:18" x14ac:dyDescent="0.2">
      <c r="D616" s="4"/>
      <c r="G616" s="5"/>
      <c r="H616" s="5"/>
      <c r="I616" s="4"/>
      <c r="J616" s="4"/>
      <c r="K616" s="5"/>
      <c r="Q616" s="78" t="e">
        <f>VLOOKUP(A616,'גיליון דאטה להכל'!A:H,5,0)</f>
        <v>#N/A</v>
      </c>
      <c r="R616" s="78" t="e">
        <f>VLOOKUP(A616,'לעדכן בסינתזה דאטה אריזה 42+24'!$A:$C,3,0)</f>
        <v>#N/A</v>
      </c>
    </row>
    <row r="617" spans="4:18" x14ac:dyDescent="0.2">
      <c r="D617" s="4"/>
      <c r="G617" s="5"/>
      <c r="H617" s="5"/>
      <c r="I617" s="4"/>
      <c r="J617" s="4"/>
      <c r="K617" s="5"/>
      <c r="Q617" s="78" t="e">
        <f>VLOOKUP(A617,'גיליון דאטה להכל'!A:H,5,0)</f>
        <v>#N/A</v>
      </c>
      <c r="R617" s="78" t="e">
        <f>VLOOKUP(A617,'לעדכן בסינתזה דאטה אריזה 42+24'!$A:$C,3,0)</f>
        <v>#N/A</v>
      </c>
    </row>
    <row r="618" spans="4:18" x14ac:dyDescent="0.2">
      <c r="D618" s="4"/>
      <c r="G618" s="5"/>
      <c r="H618" s="5"/>
      <c r="I618" s="4"/>
      <c r="J618" s="4"/>
      <c r="K618" s="5"/>
      <c r="Q618" s="78" t="e">
        <f>VLOOKUP(A618,'גיליון דאטה להכל'!A:H,5,0)</f>
        <v>#N/A</v>
      </c>
      <c r="R618" s="78" t="e">
        <f>VLOOKUP(A618,'לעדכן בסינתזה דאטה אריזה 42+24'!$A:$C,3,0)</f>
        <v>#N/A</v>
      </c>
    </row>
    <row r="619" spans="4:18" x14ac:dyDescent="0.2">
      <c r="D619" s="4"/>
      <c r="G619" s="5"/>
      <c r="H619" s="5"/>
      <c r="I619" s="4"/>
      <c r="J619" s="4"/>
      <c r="K619" s="5"/>
      <c r="Q619" s="78" t="e">
        <f>VLOOKUP(A619,'גיליון דאטה להכל'!A:H,5,0)</f>
        <v>#N/A</v>
      </c>
      <c r="R619" s="78" t="e">
        <f>VLOOKUP(A619,'לעדכן בסינתזה דאטה אריזה 42+24'!$A:$C,3,0)</f>
        <v>#N/A</v>
      </c>
    </row>
    <row r="620" spans="4:18" x14ac:dyDescent="0.2">
      <c r="D620" s="4"/>
      <c r="G620" s="5"/>
      <c r="H620" s="5"/>
      <c r="I620" s="4"/>
      <c r="J620" s="4"/>
      <c r="K620" s="5"/>
      <c r="Q620" s="78" t="e">
        <f>VLOOKUP(A620,'גיליון דאטה להכל'!A:H,5,0)</f>
        <v>#N/A</v>
      </c>
      <c r="R620" s="78" t="e">
        <f>VLOOKUP(A620,'לעדכן בסינתזה דאטה אריזה 42+24'!$A:$C,3,0)</f>
        <v>#N/A</v>
      </c>
    </row>
    <row r="621" spans="4:18" x14ac:dyDescent="0.2">
      <c r="D621" s="4"/>
      <c r="G621" s="5"/>
      <c r="H621" s="5"/>
      <c r="I621" s="4"/>
      <c r="J621" s="4"/>
      <c r="K621" s="5"/>
      <c r="Q621" s="78" t="e">
        <f>VLOOKUP(A621,'גיליון דאטה להכל'!A:H,5,0)</f>
        <v>#N/A</v>
      </c>
      <c r="R621" s="78" t="e">
        <f>VLOOKUP(A621,'לעדכן בסינתזה דאטה אריזה 42+24'!$A:$C,3,0)</f>
        <v>#N/A</v>
      </c>
    </row>
    <row r="622" spans="4:18" x14ac:dyDescent="0.2">
      <c r="D622" s="4"/>
      <c r="G622" s="5"/>
      <c r="H622" s="5"/>
      <c r="I622" s="4"/>
      <c r="J622" s="4"/>
      <c r="K622" s="5"/>
      <c r="Q622" s="78" t="e">
        <f>VLOOKUP(A622,'גיליון דאטה להכל'!A:H,5,0)</f>
        <v>#N/A</v>
      </c>
      <c r="R622" s="78" t="e">
        <f>VLOOKUP(A622,'לעדכן בסינתזה דאטה אריזה 42+24'!$A:$C,3,0)</f>
        <v>#N/A</v>
      </c>
    </row>
    <row r="623" spans="4:18" x14ac:dyDescent="0.2">
      <c r="D623" s="4"/>
      <c r="G623" s="5"/>
      <c r="H623" s="5"/>
      <c r="I623" s="4"/>
      <c r="J623" s="4"/>
      <c r="K623" s="5"/>
      <c r="Q623" s="78" t="e">
        <f>VLOOKUP(A623,'גיליון דאטה להכל'!A:H,5,0)</f>
        <v>#N/A</v>
      </c>
      <c r="R623" s="78" t="e">
        <f>VLOOKUP(A623,'לעדכן בסינתזה דאטה אריזה 42+24'!$A:$C,3,0)</f>
        <v>#N/A</v>
      </c>
    </row>
    <row r="624" spans="4:18" x14ac:dyDescent="0.2">
      <c r="D624" s="4"/>
      <c r="G624" s="5"/>
      <c r="H624" s="5"/>
      <c r="I624" s="4"/>
      <c r="J624" s="4"/>
      <c r="K624" s="5"/>
      <c r="Q624" s="78" t="e">
        <f>VLOOKUP(A624,'גיליון דאטה להכל'!A:H,5,0)</f>
        <v>#N/A</v>
      </c>
      <c r="R624" s="78" t="e">
        <f>VLOOKUP(A624,'לעדכן בסינתזה דאטה אריזה 42+24'!$A:$C,3,0)</f>
        <v>#N/A</v>
      </c>
    </row>
    <row r="625" spans="4:18" x14ac:dyDescent="0.2">
      <c r="D625" s="4"/>
      <c r="G625" s="5"/>
      <c r="H625" s="5"/>
      <c r="I625" s="4"/>
      <c r="J625" s="4"/>
      <c r="K625" s="5"/>
      <c r="Q625" s="78" t="e">
        <f>VLOOKUP(A625,'גיליון דאטה להכל'!A:H,5,0)</f>
        <v>#N/A</v>
      </c>
      <c r="R625" s="78" t="e">
        <f>VLOOKUP(A625,'לעדכן בסינתזה דאטה אריזה 42+24'!$A:$C,3,0)</f>
        <v>#N/A</v>
      </c>
    </row>
    <row r="626" spans="4:18" x14ac:dyDescent="0.2">
      <c r="D626" s="4"/>
      <c r="G626" s="5"/>
      <c r="H626" s="5"/>
      <c r="I626" s="4"/>
      <c r="J626" s="4"/>
      <c r="K626" s="5"/>
      <c r="Q626" s="78" t="e">
        <f>VLOOKUP(A626,'גיליון דאטה להכל'!A:H,5,0)</f>
        <v>#N/A</v>
      </c>
      <c r="R626" s="78" t="e">
        <f>VLOOKUP(A626,'לעדכן בסינתזה דאטה אריזה 42+24'!$A:$C,3,0)</f>
        <v>#N/A</v>
      </c>
    </row>
    <row r="627" spans="4:18" x14ac:dyDescent="0.2">
      <c r="D627" s="4"/>
      <c r="G627" s="5"/>
      <c r="H627" s="5"/>
      <c r="I627" s="4"/>
      <c r="J627" s="4"/>
      <c r="K627" s="5"/>
      <c r="Q627" s="78" t="e">
        <f>VLOOKUP(A627,'גיליון דאטה להכל'!A:H,5,0)</f>
        <v>#N/A</v>
      </c>
      <c r="R627" s="78" t="e">
        <f>VLOOKUP(A627,'לעדכן בסינתזה דאטה אריזה 42+24'!$A:$C,3,0)</f>
        <v>#N/A</v>
      </c>
    </row>
    <row r="628" spans="4:18" x14ac:dyDescent="0.2">
      <c r="D628" s="4"/>
      <c r="G628" s="5"/>
      <c r="H628" s="5"/>
      <c r="I628" s="4"/>
      <c r="J628" s="4"/>
      <c r="K628" s="5"/>
      <c r="Q628" s="78" t="e">
        <f>VLOOKUP(A628,'גיליון דאטה להכל'!A:H,5,0)</f>
        <v>#N/A</v>
      </c>
      <c r="R628" s="78" t="e">
        <f>VLOOKUP(A628,'לעדכן בסינתזה דאטה אריזה 42+24'!$A:$C,3,0)</f>
        <v>#N/A</v>
      </c>
    </row>
    <row r="629" spans="4:18" x14ac:dyDescent="0.2">
      <c r="D629" s="4"/>
      <c r="G629" s="5"/>
      <c r="H629" s="5"/>
      <c r="I629" s="4"/>
      <c r="J629" s="4"/>
      <c r="K629" s="5"/>
      <c r="Q629" s="78" t="e">
        <f>VLOOKUP(A629,'גיליון דאטה להכל'!A:H,5,0)</f>
        <v>#N/A</v>
      </c>
      <c r="R629" s="78" t="e">
        <f>VLOOKUP(A629,'לעדכן בסינתזה דאטה אריזה 42+24'!$A:$C,3,0)</f>
        <v>#N/A</v>
      </c>
    </row>
    <row r="630" spans="4:18" x14ac:dyDescent="0.2">
      <c r="D630" s="4"/>
      <c r="G630" s="5"/>
      <c r="H630" s="5"/>
      <c r="I630" s="4"/>
      <c r="J630" s="4"/>
      <c r="K630" s="5"/>
      <c r="Q630" s="78" t="e">
        <f>VLOOKUP(A630,'גיליון דאטה להכל'!A:H,5,0)</f>
        <v>#N/A</v>
      </c>
      <c r="R630" s="78" t="e">
        <f>VLOOKUP(A630,'לעדכן בסינתזה דאטה אריזה 42+24'!$A:$C,3,0)</f>
        <v>#N/A</v>
      </c>
    </row>
    <row r="631" spans="4:18" x14ac:dyDescent="0.2">
      <c r="D631" s="4"/>
      <c r="G631" s="5"/>
      <c r="H631" s="5"/>
      <c r="I631" s="4"/>
      <c r="J631" s="4"/>
      <c r="K631" s="5"/>
      <c r="Q631" s="78" t="e">
        <f>VLOOKUP(A631,'גיליון דאטה להכל'!A:H,5,0)</f>
        <v>#N/A</v>
      </c>
      <c r="R631" s="78" t="e">
        <f>VLOOKUP(A631,'לעדכן בסינתזה דאטה אריזה 42+24'!$A:$C,3,0)</f>
        <v>#N/A</v>
      </c>
    </row>
    <row r="632" spans="4:18" x14ac:dyDescent="0.2">
      <c r="D632" s="4"/>
      <c r="G632" s="5"/>
      <c r="H632" s="5"/>
      <c r="I632" s="4"/>
      <c r="J632" s="4"/>
      <c r="K632" s="5"/>
      <c r="Q632" s="78" t="e">
        <f>VLOOKUP(A632,'גיליון דאטה להכל'!A:H,5,0)</f>
        <v>#N/A</v>
      </c>
      <c r="R632" s="78" t="e">
        <f>VLOOKUP(A632,'לעדכן בסינתזה דאטה אריזה 42+24'!$A:$C,3,0)</f>
        <v>#N/A</v>
      </c>
    </row>
    <row r="633" spans="4:18" x14ac:dyDescent="0.2">
      <c r="D633" s="4"/>
      <c r="G633" s="5"/>
      <c r="H633" s="5"/>
      <c r="I633" s="4"/>
      <c r="J633" s="4"/>
      <c r="K633" s="5"/>
      <c r="Q633" s="78" t="e">
        <f>VLOOKUP(A633,'גיליון דאטה להכל'!A:H,5,0)</f>
        <v>#N/A</v>
      </c>
      <c r="R633" s="78" t="e">
        <f>VLOOKUP(A633,'לעדכן בסינתזה דאטה אריזה 42+24'!$A:$C,3,0)</f>
        <v>#N/A</v>
      </c>
    </row>
    <row r="634" spans="4:18" x14ac:dyDescent="0.2">
      <c r="D634" s="4"/>
      <c r="G634" s="5"/>
      <c r="H634" s="5"/>
      <c r="I634" s="4"/>
      <c r="J634" s="4"/>
      <c r="K634" s="5"/>
      <c r="Q634" s="78" t="e">
        <f>VLOOKUP(A634,'גיליון דאטה להכל'!A:H,5,0)</f>
        <v>#N/A</v>
      </c>
      <c r="R634" s="78" t="e">
        <f>VLOOKUP(A634,'לעדכן בסינתזה דאטה אריזה 42+24'!$A:$C,3,0)</f>
        <v>#N/A</v>
      </c>
    </row>
    <row r="635" spans="4:18" x14ac:dyDescent="0.2">
      <c r="D635" s="4"/>
      <c r="G635" s="5"/>
      <c r="H635" s="5"/>
      <c r="I635" s="4"/>
      <c r="J635" s="4"/>
      <c r="K635" s="5"/>
      <c r="Q635" s="78" t="e">
        <f>VLOOKUP(A635,'גיליון דאטה להכל'!A:H,5,0)</f>
        <v>#N/A</v>
      </c>
      <c r="R635" s="78" t="e">
        <f>VLOOKUP(A635,'לעדכן בסינתזה דאטה אריזה 42+24'!$A:$C,3,0)</f>
        <v>#N/A</v>
      </c>
    </row>
    <row r="636" spans="4:18" x14ac:dyDescent="0.2">
      <c r="D636" s="4"/>
      <c r="G636" s="5"/>
      <c r="H636" s="5"/>
      <c r="I636" s="4"/>
      <c r="J636" s="4"/>
      <c r="K636" s="5"/>
      <c r="Q636" s="78" t="e">
        <f>VLOOKUP(A636,'גיליון דאטה להכל'!A:H,5,0)</f>
        <v>#N/A</v>
      </c>
      <c r="R636" s="78" t="e">
        <f>VLOOKUP(A636,'לעדכן בסינתזה דאטה אריזה 42+24'!$A:$C,3,0)</f>
        <v>#N/A</v>
      </c>
    </row>
    <row r="637" spans="4:18" x14ac:dyDescent="0.2">
      <c r="D637" s="4"/>
      <c r="G637" s="5"/>
      <c r="H637" s="5"/>
      <c r="I637" s="4"/>
      <c r="J637" s="4"/>
      <c r="K637" s="5"/>
      <c r="Q637" s="78" t="e">
        <f>VLOOKUP(A637,'גיליון דאטה להכל'!A:H,5,0)</f>
        <v>#N/A</v>
      </c>
      <c r="R637" s="78" t="e">
        <f>VLOOKUP(A637,'לעדכן בסינתזה דאטה אריזה 42+24'!$A:$C,3,0)</f>
        <v>#N/A</v>
      </c>
    </row>
    <row r="638" spans="4:18" x14ac:dyDescent="0.2">
      <c r="D638" s="4"/>
      <c r="G638" s="5"/>
      <c r="H638" s="5"/>
      <c r="I638" s="4"/>
      <c r="J638" s="4"/>
      <c r="K638" s="5"/>
      <c r="Q638" s="78" t="e">
        <f>VLOOKUP(A638,'גיליון דאטה להכל'!A:H,5,0)</f>
        <v>#N/A</v>
      </c>
      <c r="R638" s="78" t="e">
        <f>VLOOKUP(A638,'לעדכן בסינתזה דאטה אריזה 42+24'!$A:$C,3,0)</f>
        <v>#N/A</v>
      </c>
    </row>
    <row r="639" spans="4:18" x14ac:dyDescent="0.2">
      <c r="D639" s="4"/>
      <c r="G639" s="5"/>
      <c r="H639" s="5"/>
      <c r="I639" s="4"/>
      <c r="J639" s="4"/>
      <c r="K639" s="5"/>
      <c r="Q639" s="78" t="e">
        <f>VLOOKUP(A639,'גיליון דאטה להכל'!A:H,5,0)</f>
        <v>#N/A</v>
      </c>
      <c r="R639" s="78" t="e">
        <f>VLOOKUP(A639,'לעדכן בסינתזה דאטה אריזה 42+24'!$A:$C,3,0)</f>
        <v>#N/A</v>
      </c>
    </row>
    <row r="640" spans="4:18" x14ac:dyDescent="0.2">
      <c r="D640" s="4"/>
      <c r="G640" s="5"/>
      <c r="H640" s="5"/>
      <c r="I640" s="4"/>
      <c r="J640" s="4"/>
      <c r="K640" s="5"/>
      <c r="Q640" s="78" t="e">
        <f>VLOOKUP(A640,'גיליון דאטה להכל'!A:H,5,0)</f>
        <v>#N/A</v>
      </c>
      <c r="R640" s="78" t="e">
        <f>VLOOKUP(A640,'לעדכן בסינתזה דאטה אריזה 42+24'!$A:$C,3,0)</f>
        <v>#N/A</v>
      </c>
    </row>
    <row r="641" spans="4:18" x14ac:dyDescent="0.2">
      <c r="D641" s="4"/>
      <c r="G641" s="5"/>
      <c r="H641" s="5"/>
      <c r="I641" s="4"/>
      <c r="J641" s="4"/>
      <c r="K641" s="5"/>
      <c r="Q641" s="78" t="e">
        <f>VLOOKUP(A641,'גיליון דאטה להכל'!A:H,5,0)</f>
        <v>#N/A</v>
      </c>
      <c r="R641" s="78" t="e">
        <f>VLOOKUP(A641,'לעדכן בסינתזה דאטה אריזה 42+24'!$A:$C,3,0)</f>
        <v>#N/A</v>
      </c>
    </row>
    <row r="642" spans="4:18" x14ac:dyDescent="0.2">
      <c r="D642" s="4"/>
      <c r="G642" s="5"/>
      <c r="H642" s="5"/>
      <c r="I642" s="4"/>
      <c r="J642" s="4"/>
      <c r="K642" s="5"/>
      <c r="Q642" s="78" t="e">
        <f>VLOOKUP(A642,'גיליון דאטה להכל'!A:H,5,0)</f>
        <v>#N/A</v>
      </c>
      <c r="R642" s="78" t="e">
        <f>VLOOKUP(A642,'לעדכן בסינתזה דאטה אריזה 42+24'!$A:$C,3,0)</f>
        <v>#N/A</v>
      </c>
    </row>
    <row r="643" spans="4:18" x14ac:dyDescent="0.2">
      <c r="D643" s="4"/>
      <c r="G643" s="5"/>
      <c r="H643" s="5"/>
      <c r="I643" s="4"/>
      <c r="J643" s="4"/>
      <c r="K643" s="5"/>
      <c r="Q643" s="78" t="e">
        <f>VLOOKUP(A643,'גיליון דאטה להכל'!A:H,5,0)</f>
        <v>#N/A</v>
      </c>
      <c r="R643" s="78" t="e">
        <f>VLOOKUP(A643,'לעדכן בסינתזה דאטה אריזה 42+24'!$A:$C,3,0)</f>
        <v>#N/A</v>
      </c>
    </row>
    <row r="644" spans="4:18" x14ac:dyDescent="0.2">
      <c r="D644" s="4"/>
      <c r="G644" s="5"/>
      <c r="H644" s="5"/>
      <c r="I644" s="4"/>
      <c r="J644" s="4"/>
      <c r="K644" s="5"/>
      <c r="Q644" s="78" t="e">
        <f>VLOOKUP(A644,'גיליון דאטה להכל'!A:H,5,0)</f>
        <v>#N/A</v>
      </c>
      <c r="R644" s="78" t="e">
        <f>VLOOKUP(A644,'לעדכן בסינתזה דאטה אריזה 42+24'!$A:$C,3,0)</f>
        <v>#N/A</v>
      </c>
    </row>
    <row r="645" spans="4:18" x14ac:dyDescent="0.2">
      <c r="D645" s="4"/>
      <c r="G645" s="5"/>
      <c r="H645" s="5"/>
      <c r="I645" s="4"/>
      <c r="J645" s="4"/>
      <c r="K645" s="5"/>
      <c r="Q645" s="78" t="e">
        <f>VLOOKUP(A645,'גיליון דאטה להכל'!A:H,5,0)</f>
        <v>#N/A</v>
      </c>
      <c r="R645" s="78" t="e">
        <f>VLOOKUP(A645,'לעדכן בסינתזה דאטה אריזה 42+24'!$A:$C,3,0)</f>
        <v>#N/A</v>
      </c>
    </row>
    <row r="646" spans="4:18" x14ac:dyDescent="0.2">
      <c r="D646" s="4"/>
      <c r="G646" s="5"/>
      <c r="H646" s="5"/>
      <c r="I646" s="4"/>
      <c r="J646" s="4"/>
      <c r="K646" s="5"/>
      <c r="Q646" s="78" t="e">
        <f>VLOOKUP(A646,'גיליון דאטה להכל'!A:H,5,0)</f>
        <v>#N/A</v>
      </c>
      <c r="R646" s="78" t="e">
        <f>VLOOKUP(A646,'לעדכן בסינתזה דאטה אריזה 42+24'!$A:$C,3,0)</f>
        <v>#N/A</v>
      </c>
    </row>
    <row r="647" spans="4:18" x14ac:dyDescent="0.2">
      <c r="D647" s="4"/>
      <c r="G647" s="5"/>
      <c r="H647" s="5"/>
      <c r="I647" s="4"/>
      <c r="J647" s="4"/>
      <c r="K647" s="5"/>
      <c r="Q647" s="78" t="e">
        <f>VLOOKUP(A647,'גיליון דאטה להכל'!A:H,5,0)</f>
        <v>#N/A</v>
      </c>
      <c r="R647" s="78" t="e">
        <f>VLOOKUP(A647,'לעדכן בסינתזה דאטה אריזה 42+24'!$A:$C,3,0)</f>
        <v>#N/A</v>
      </c>
    </row>
    <row r="648" spans="4:18" x14ac:dyDescent="0.2">
      <c r="D648" s="4"/>
      <c r="G648" s="5"/>
      <c r="H648" s="5"/>
      <c r="I648" s="4"/>
      <c r="J648" s="4"/>
      <c r="K648" s="5"/>
      <c r="Q648" s="78" t="e">
        <f>VLOOKUP(A648,'גיליון דאטה להכל'!A:H,5,0)</f>
        <v>#N/A</v>
      </c>
      <c r="R648" s="78" t="e">
        <f>VLOOKUP(A648,'לעדכן בסינתזה דאטה אריזה 42+24'!$A:$C,3,0)</f>
        <v>#N/A</v>
      </c>
    </row>
    <row r="649" spans="4:18" x14ac:dyDescent="0.2">
      <c r="D649" s="4"/>
      <c r="G649" s="5"/>
      <c r="H649" s="5"/>
      <c r="I649" s="4"/>
      <c r="J649" s="4"/>
      <c r="K649" s="5"/>
      <c r="Q649" s="78" t="e">
        <f>VLOOKUP(A649,'גיליון דאטה להכל'!A:H,5,0)</f>
        <v>#N/A</v>
      </c>
      <c r="R649" s="78" t="e">
        <f>VLOOKUP(A649,'לעדכן בסינתזה דאטה אריזה 42+24'!$A:$C,3,0)</f>
        <v>#N/A</v>
      </c>
    </row>
    <row r="650" spans="4:18" x14ac:dyDescent="0.2">
      <c r="D650" s="4"/>
      <c r="G650" s="5"/>
      <c r="H650" s="5"/>
      <c r="I650" s="4"/>
      <c r="J650" s="4"/>
      <c r="K650" s="5"/>
      <c r="Q650" s="78" t="e">
        <f>VLOOKUP(A650,'גיליון דאטה להכל'!A:H,5,0)</f>
        <v>#N/A</v>
      </c>
      <c r="R650" s="78" t="e">
        <f>VLOOKUP(A650,'לעדכן בסינתזה דאטה אריזה 42+24'!$A:$C,3,0)</f>
        <v>#N/A</v>
      </c>
    </row>
    <row r="651" spans="4:18" x14ac:dyDescent="0.2">
      <c r="D651" s="4"/>
      <c r="G651" s="5"/>
      <c r="H651" s="5"/>
      <c r="I651" s="4"/>
      <c r="J651" s="4"/>
      <c r="K651" s="5"/>
      <c r="Q651" s="78" t="e">
        <f>VLOOKUP(A651,'גיליון דאטה להכל'!A:H,5,0)</f>
        <v>#N/A</v>
      </c>
      <c r="R651" s="78" t="e">
        <f>VLOOKUP(A651,'לעדכן בסינתזה דאטה אריזה 42+24'!$A:$C,3,0)</f>
        <v>#N/A</v>
      </c>
    </row>
    <row r="652" spans="4:18" x14ac:dyDescent="0.2">
      <c r="D652" s="4"/>
      <c r="G652" s="5"/>
      <c r="H652" s="5"/>
      <c r="I652" s="4"/>
      <c r="J652" s="4"/>
      <c r="K652" s="5"/>
      <c r="Q652" s="78" t="e">
        <f>VLOOKUP(A652,'גיליון דאטה להכל'!A:H,5,0)</f>
        <v>#N/A</v>
      </c>
      <c r="R652" s="78" t="e">
        <f>VLOOKUP(A652,'לעדכן בסינתזה דאטה אריזה 42+24'!$A:$C,3,0)</f>
        <v>#N/A</v>
      </c>
    </row>
    <row r="653" spans="4:18" x14ac:dyDescent="0.2">
      <c r="D653" s="4"/>
      <c r="G653" s="5"/>
      <c r="H653" s="5"/>
      <c r="I653" s="4"/>
      <c r="J653" s="4"/>
      <c r="K653" s="5"/>
      <c r="Q653" s="78" t="e">
        <f>VLOOKUP(A653,'גיליון דאטה להכל'!A:H,5,0)</f>
        <v>#N/A</v>
      </c>
      <c r="R653" s="78" t="e">
        <f>VLOOKUP(A653,'לעדכן בסינתזה דאטה אריזה 42+24'!$A:$C,3,0)</f>
        <v>#N/A</v>
      </c>
    </row>
    <row r="654" spans="4:18" x14ac:dyDescent="0.2">
      <c r="D654" s="4"/>
      <c r="G654" s="5"/>
      <c r="H654" s="5"/>
      <c r="I654" s="4"/>
      <c r="J654" s="4"/>
      <c r="K654" s="5"/>
      <c r="Q654" s="78" t="e">
        <f>VLOOKUP(A654,'גיליון דאטה להכל'!A:H,5,0)</f>
        <v>#N/A</v>
      </c>
      <c r="R654" s="78" t="e">
        <f>VLOOKUP(A654,'לעדכן בסינתזה דאטה אריזה 42+24'!$A:$C,3,0)</f>
        <v>#N/A</v>
      </c>
    </row>
    <row r="655" spans="4:18" x14ac:dyDescent="0.2">
      <c r="D655" s="4"/>
      <c r="G655" s="5"/>
      <c r="H655" s="5"/>
      <c r="I655" s="4"/>
      <c r="J655" s="4"/>
      <c r="K655" s="5"/>
      <c r="Q655" s="78" t="e">
        <f>VLOOKUP(A655,'גיליון דאטה להכל'!A:H,5,0)</f>
        <v>#N/A</v>
      </c>
      <c r="R655" s="78" t="e">
        <f>VLOOKUP(A655,'לעדכן בסינתזה דאטה אריזה 42+24'!$A:$C,3,0)</f>
        <v>#N/A</v>
      </c>
    </row>
    <row r="656" spans="4:18" x14ac:dyDescent="0.2">
      <c r="D656" s="4"/>
      <c r="G656" s="5"/>
      <c r="H656" s="5"/>
      <c r="I656" s="4"/>
      <c r="J656" s="4"/>
      <c r="K656" s="5"/>
      <c r="Q656" s="78" t="e">
        <f>VLOOKUP(A656,'גיליון דאטה להכל'!A:H,5,0)</f>
        <v>#N/A</v>
      </c>
      <c r="R656" s="78" t="e">
        <f>VLOOKUP(A656,'לעדכן בסינתזה דאטה אריזה 42+24'!$A:$C,3,0)</f>
        <v>#N/A</v>
      </c>
    </row>
    <row r="657" spans="4:18" x14ac:dyDescent="0.2">
      <c r="D657" s="4"/>
      <c r="G657" s="5"/>
      <c r="H657" s="5"/>
      <c r="I657" s="4"/>
      <c r="J657" s="4"/>
      <c r="K657" s="5"/>
      <c r="Q657" s="78" t="e">
        <f>VLOOKUP(A657,'גיליון דאטה להכל'!A:H,5,0)</f>
        <v>#N/A</v>
      </c>
      <c r="R657" s="78" t="e">
        <f>VLOOKUP(A657,'לעדכן בסינתזה דאטה אריזה 42+24'!$A:$C,3,0)</f>
        <v>#N/A</v>
      </c>
    </row>
    <row r="658" spans="4:18" x14ac:dyDescent="0.2">
      <c r="D658" s="4"/>
      <c r="G658" s="5"/>
      <c r="H658" s="5"/>
      <c r="I658" s="4"/>
      <c r="J658" s="4"/>
      <c r="K658" s="5"/>
      <c r="Q658" s="78" t="e">
        <f>VLOOKUP(A658,'גיליון דאטה להכל'!A:H,5,0)</f>
        <v>#N/A</v>
      </c>
      <c r="R658" s="78" t="e">
        <f>VLOOKUP(A658,'לעדכן בסינתזה דאטה אריזה 42+24'!$A:$C,3,0)</f>
        <v>#N/A</v>
      </c>
    </row>
    <row r="659" spans="4:18" x14ac:dyDescent="0.2">
      <c r="D659" s="4"/>
      <c r="G659" s="5"/>
      <c r="H659" s="5"/>
      <c r="I659" s="4"/>
      <c r="J659" s="4"/>
      <c r="K659" s="5"/>
      <c r="Q659" s="78" t="e">
        <f>VLOOKUP(A659,'גיליון דאטה להכל'!A:H,5,0)</f>
        <v>#N/A</v>
      </c>
      <c r="R659" s="78" t="e">
        <f>VLOOKUP(A659,'לעדכן בסינתזה דאטה אריזה 42+24'!$A:$C,3,0)</f>
        <v>#N/A</v>
      </c>
    </row>
    <row r="660" spans="4:18" x14ac:dyDescent="0.2">
      <c r="D660" s="4"/>
      <c r="G660" s="5"/>
      <c r="H660" s="5"/>
      <c r="I660" s="4"/>
      <c r="J660" s="4"/>
      <c r="K660" s="5"/>
      <c r="Q660" s="78" t="e">
        <f>VLOOKUP(A660,'גיליון דאטה להכל'!A:H,5,0)</f>
        <v>#N/A</v>
      </c>
      <c r="R660" s="78" t="e">
        <f>VLOOKUP(A660,'לעדכן בסינתזה דאטה אריזה 42+24'!$A:$C,3,0)</f>
        <v>#N/A</v>
      </c>
    </row>
    <row r="661" spans="4:18" x14ac:dyDescent="0.2">
      <c r="D661" s="4"/>
      <c r="G661" s="5"/>
      <c r="H661" s="5"/>
      <c r="I661" s="4"/>
      <c r="J661" s="4"/>
      <c r="K661" s="5"/>
      <c r="Q661" s="78" t="e">
        <f>VLOOKUP(A661,'גיליון דאטה להכל'!A:H,5,0)</f>
        <v>#N/A</v>
      </c>
      <c r="R661" s="78" t="e">
        <f>VLOOKUP(A661,'לעדכן בסינתזה דאטה אריזה 42+24'!$A:$C,3,0)</f>
        <v>#N/A</v>
      </c>
    </row>
    <row r="662" spans="4:18" x14ac:dyDescent="0.2">
      <c r="D662" s="4"/>
      <c r="G662" s="5"/>
      <c r="H662" s="5"/>
      <c r="I662" s="4"/>
      <c r="J662" s="4"/>
      <c r="K662" s="5"/>
      <c r="Q662" s="78" t="e">
        <f>VLOOKUP(A662,'גיליון דאטה להכל'!A:H,5,0)</f>
        <v>#N/A</v>
      </c>
      <c r="R662" s="78" t="e">
        <f>VLOOKUP(A662,'לעדכן בסינתזה דאטה אריזה 42+24'!$A:$C,3,0)</f>
        <v>#N/A</v>
      </c>
    </row>
    <row r="663" spans="4:18" x14ac:dyDescent="0.2">
      <c r="D663" s="4"/>
      <c r="G663" s="5"/>
      <c r="H663" s="5"/>
      <c r="I663" s="4"/>
      <c r="J663" s="4"/>
      <c r="K663" s="5"/>
      <c r="Q663" s="78" t="e">
        <f>VLOOKUP(A663,'גיליון דאטה להכל'!A:H,5,0)</f>
        <v>#N/A</v>
      </c>
      <c r="R663" s="78" t="e">
        <f>VLOOKUP(A663,'לעדכן בסינתזה דאטה אריזה 42+24'!$A:$C,3,0)</f>
        <v>#N/A</v>
      </c>
    </row>
    <row r="664" spans="4:18" x14ac:dyDescent="0.2">
      <c r="D664" s="4"/>
      <c r="G664" s="5"/>
      <c r="H664" s="5"/>
      <c r="I664" s="4"/>
      <c r="J664" s="4"/>
      <c r="K664" s="5"/>
      <c r="Q664" s="78" t="e">
        <f>VLOOKUP(A664,'גיליון דאטה להכל'!A:H,5,0)</f>
        <v>#N/A</v>
      </c>
      <c r="R664" s="78" t="e">
        <f>VLOOKUP(A664,'לעדכן בסינתזה דאטה אריזה 42+24'!$A:$C,3,0)</f>
        <v>#N/A</v>
      </c>
    </row>
    <row r="665" spans="4:18" x14ac:dyDescent="0.2">
      <c r="D665" s="4"/>
      <c r="G665" s="5"/>
      <c r="H665" s="5"/>
      <c r="I665" s="4"/>
      <c r="J665" s="4"/>
      <c r="K665" s="5"/>
      <c r="Q665" s="78" t="e">
        <f>VLOOKUP(A665,'גיליון דאטה להכל'!A:H,5,0)</f>
        <v>#N/A</v>
      </c>
      <c r="R665" s="78" t="e">
        <f>VLOOKUP(A665,'לעדכן בסינתזה דאטה אריזה 42+24'!$A:$C,3,0)</f>
        <v>#N/A</v>
      </c>
    </row>
    <row r="666" spans="4:18" x14ac:dyDescent="0.2">
      <c r="D666" s="4"/>
      <c r="G666" s="5"/>
      <c r="H666" s="5"/>
      <c r="I666" s="4"/>
      <c r="J666" s="4"/>
      <c r="K666" s="5"/>
      <c r="Q666" s="78" t="e">
        <f>VLOOKUP(A666,'גיליון דאטה להכל'!A:H,5,0)</f>
        <v>#N/A</v>
      </c>
      <c r="R666" s="78" t="e">
        <f>VLOOKUP(A666,'לעדכן בסינתזה דאטה אריזה 42+24'!$A:$C,3,0)</f>
        <v>#N/A</v>
      </c>
    </row>
    <row r="667" spans="4:18" x14ac:dyDescent="0.2">
      <c r="D667" s="4"/>
      <c r="G667" s="5"/>
      <c r="H667" s="5"/>
      <c r="I667" s="4"/>
      <c r="J667" s="4"/>
      <c r="K667" s="5"/>
      <c r="Q667" s="78" t="e">
        <f>VLOOKUP(A667,'גיליון דאטה להכל'!A:H,5,0)</f>
        <v>#N/A</v>
      </c>
      <c r="R667" s="78" t="e">
        <f>VLOOKUP(A667,'לעדכן בסינתזה דאטה אריזה 42+24'!$A:$C,3,0)</f>
        <v>#N/A</v>
      </c>
    </row>
    <row r="668" spans="4:18" x14ac:dyDescent="0.2">
      <c r="D668" s="4"/>
      <c r="G668" s="5"/>
      <c r="H668" s="5"/>
      <c r="I668" s="4"/>
      <c r="J668" s="4"/>
      <c r="K668" s="5"/>
      <c r="Q668" s="78" t="e">
        <f>VLOOKUP(A668,'גיליון דאטה להכל'!A:H,5,0)</f>
        <v>#N/A</v>
      </c>
      <c r="R668" s="78" t="e">
        <f>VLOOKUP(A668,'לעדכן בסינתזה דאטה אריזה 42+24'!$A:$C,3,0)</f>
        <v>#N/A</v>
      </c>
    </row>
    <row r="669" spans="4:18" x14ac:dyDescent="0.2">
      <c r="D669" s="4"/>
      <c r="G669" s="5"/>
      <c r="H669" s="5"/>
      <c r="I669" s="4"/>
      <c r="J669" s="4"/>
      <c r="K669" s="5"/>
      <c r="Q669" s="78" t="e">
        <f>VLOOKUP(A669,'גיליון דאטה להכל'!A:H,5,0)</f>
        <v>#N/A</v>
      </c>
      <c r="R669" s="78" t="e">
        <f>VLOOKUP(A669,'לעדכן בסינתזה דאטה אריזה 42+24'!$A:$C,3,0)</f>
        <v>#N/A</v>
      </c>
    </row>
    <row r="670" spans="4:18" x14ac:dyDescent="0.2">
      <c r="D670" s="4"/>
      <c r="G670" s="5"/>
      <c r="H670" s="5"/>
      <c r="I670" s="4"/>
      <c r="J670" s="4"/>
      <c r="K670" s="5"/>
      <c r="Q670" s="78" t="e">
        <f>VLOOKUP(A670,'גיליון דאטה להכל'!A:H,5,0)</f>
        <v>#N/A</v>
      </c>
      <c r="R670" s="78" t="e">
        <f>VLOOKUP(A670,'לעדכן בסינתזה דאטה אריזה 42+24'!$A:$C,3,0)</f>
        <v>#N/A</v>
      </c>
    </row>
    <row r="671" spans="4:18" x14ac:dyDescent="0.2">
      <c r="D671" s="4"/>
      <c r="G671" s="5"/>
      <c r="H671" s="5"/>
      <c r="I671" s="4"/>
      <c r="J671" s="4"/>
      <c r="K671" s="5"/>
      <c r="Q671" s="78" t="e">
        <f>VLOOKUP(A671,'גיליון דאטה להכל'!A:H,5,0)</f>
        <v>#N/A</v>
      </c>
      <c r="R671" s="78" t="e">
        <f>VLOOKUP(A671,'לעדכן בסינתזה דאטה אריזה 42+24'!$A:$C,3,0)</f>
        <v>#N/A</v>
      </c>
    </row>
    <row r="672" spans="4:18" x14ac:dyDescent="0.2">
      <c r="D672" s="4"/>
      <c r="G672" s="5"/>
      <c r="H672" s="5"/>
      <c r="I672" s="4"/>
      <c r="J672" s="4"/>
      <c r="K672" s="5"/>
      <c r="Q672" s="78" t="e">
        <f>VLOOKUP(A672,'גיליון דאטה להכל'!A:H,5,0)</f>
        <v>#N/A</v>
      </c>
      <c r="R672" s="78" t="e">
        <f>VLOOKUP(A672,'לעדכן בסינתזה דאטה אריזה 42+24'!$A:$C,3,0)</f>
        <v>#N/A</v>
      </c>
    </row>
    <row r="673" spans="4:18" x14ac:dyDescent="0.2">
      <c r="D673" s="4"/>
      <c r="G673" s="5"/>
      <c r="H673" s="5"/>
      <c r="I673" s="4"/>
      <c r="J673" s="4"/>
      <c r="K673" s="5"/>
      <c r="Q673" s="78" t="e">
        <f>VLOOKUP(A673,'גיליון דאטה להכל'!A:H,5,0)</f>
        <v>#N/A</v>
      </c>
      <c r="R673" s="78" t="e">
        <f>VLOOKUP(A673,'לעדכן בסינתזה דאטה אריזה 42+24'!$A:$C,3,0)</f>
        <v>#N/A</v>
      </c>
    </row>
    <row r="674" spans="4:18" x14ac:dyDescent="0.2">
      <c r="D674" s="4"/>
      <c r="G674" s="5"/>
      <c r="H674" s="5"/>
      <c r="I674" s="4"/>
      <c r="J674" s="4"/>
      <c r="K674" s="5"/>
      <c r="Q674" s="78" t="e">
        <f>VLOOKUP(A674,'גיליון דאטה להכל'!A:H,5,0)</f>
        <v>#N/A</v>
      </c>
      <c r="R674" s="78" t="e">
        <f>VLOOKUP(A674,'לעדכן בסינתזה דאטה אריזה 42+24'!$A:$C,3,0)</f>
        <v>#N/A</v>
      </c>
    </row>
    <row r="675" spans="4:18" x14ac:dyDescent="0.2">
      <c r="D675" s="4"/>
      <c r="G675" s="5"/>
      <c r="H675" s="5"/>
      <c r="I675" s="4"/>
      <c r="J675" s="4"/>
      <c r="K675" s="5"/>
      <c r="Q675" s="78" t="e">
        <f>VLOOKUP(A675,'גיליון דאטה להכל'!A:H,5,0)</f>
        <v>#N/A</v>
      </c>
      <c r="R675" s="78" t="e">
        <f>VLOOKUP(A675,'לעדכן בסינתזה דאטה אריזה 42+24'!$A:$C,3,0)</f>
        <v>#N/A</v>
      </c>
    </row>
    <row r="676" spans="4:18" x14ac:dyDescent="0.2">
      <c r="D676" s="4"/>
      <c r="G676" s="5"/>
      <c r="H676" s="5"/>
      <c r="I676" s="4"/>
      <c r="J676" s="4"/>
      <c r="K676" s="5"/>
      <c r="Q676" s="78" t="e">
        <f>VLOOKUP(A676,'גיליון דאטה להכל'!A:H,5,0)</f>
        <v>#N/A</v>
      </c>
      <c r="R676" s="78" t="e">
        <f>VLOOKUP(A676,'לעדכן בסינתזה דאטה אריזה 42+24'!$A:$C,3,0)</f>
        <v>#N/A</v>
      </c>
    </row>
    <row r="677" spans="4:18" x14ac:dyDescent="0.2">
      <c r="D677" s="4"/>
      <c r="G677" s="5"/>
      <c r="H677" s="5"/>
      <c r="I677" s="4"/>
      <c r="J677" s="4"/>
      <c r="K677" s="5"/>
      <c r="Q677" s="78" t="e">
        <f>VLOOKUP(A677,'גיליון דאטה להכל'!A:H,5,0)</f>
        <v>#N/A</v>
      </c>
      <c r="R677" s="78" t="e">
        <f>VLOOKUP(A677,'לעדכן בסינתזה דאטה אריזה 42+24'!$A:$C,3,0)</f>
        <v>#N/A</v>
      </c>
    </row>
    <row r="678" spans="4:18" x14ac:dyDescent="0.2">
      <c r="D678" s="4"/>
      <c r="G678" s="5"/>
      <c r="H678" s="5"/>
      <c r="I678" s="4"/>
      <c r="J678" s="4"/>
      <c r="K678" s="5"/>
      <c r="Q678" s="78" t="e">
        <f>VLOOKUP(A678,'גיליון דאטה להכל'!A:H,5,0)</f>
        <v>#N/A</v>
      </c>
      <c r="R678" s="78" t="e">
        <f>VLOOKUP(A678,'לעדכן בסינתזה דאטה אריזה 42+24'!$A:$C,3,0)</f>
        <v>#N/A</v>
      </c>
    </row>
    <row r="679" spans="4:18" x14ac:dyDescent="0.2">
      <c r="D679" s="4"/>
      <c r="G679" s="5"/>
      <c r="H679" s="5"/>
      <c r="I679" s="4"/>
      <c r="J679" s="4"/>
      <c r="K679" s="5"/>
      <c r="Q679" s="78" t="e">
        <f>VLOOKUP(A679,'גיליון דאטה להכל'!A:H,5,0)</f>
        <v>#N/A</v>
      </c>
      <c r="R679" s="78" t="e">
        <f>VLOOKUP(A679,'לעדכן בסינתזה דאטה אריזה 42+24'!$A:$C,3,0)</f>
        <v>#N/A</v>
      </c>
    </row>
    <row r="680" spans="4:18" x14ac:dyDescent="0.2">
      <c r="D680" s="4"/>
      <c r="G680" s="5"/>
      <c r="H680" s="5"/>
      <c r="I680" s="4"/>
      <c r="J680" s="4"/>
      <c r="K680" s="5"/>
      <c r="Q680" s="78" t="e">
        <f>VLOOKUP(A680,'גיליון דאטה להכל'!A:H,5,0)</f>
        <v>#N/A</v>
      </c>
      <c r="R680" s="78" t="e">
        <f>VLOOKUP(A680,'לעדכן בסינתזה דאטה אריזה 42+24'!$A:$C,3,0)</f>
        <v>#N/A</v>
      </c>
    </row>
    <row r="681" spans="4:18" x14ac:dyDescent="0.2">
      <c r="D681" s="4"/>
      <c r="G681" s="5"/>
      <c r="H681" s="5"/>
      <c r="I681" s="4"/>
      <c r="J681" s="4"/>
      <c r="K681" s="5"/>
      <c r="Q681" s="78" t="e">
        <f>VLOOKUP(A681,'גיליון דאטה להכל'!A:H,5,0)</f>
        <v>#N/A</v>
      </c>
      <c r="R681" s="78" t="e">
        <f>VLOOKUP(A681,'לעדכן בסינתזה דאטה אריזה 42+24'!$A:$C,3,0)</f>
        <v>#N/A</v>
      </c>
    </row>
    <row r="682" spans="4:18" x14ac:dyDescent="0.2">
      <c r="D682" s="4"/>
      <c r="G682" s="5"/>
      <c r="H682" s="5"/>
      <c r="I682" s="4"/>
      <c r="J682" s="4"/>
      <c r="K682" s="5"/>
      <c r="Q682" s="78" t="e">
        <f>VLOOKUP(A682,'גיליון דאטה להכל'!A:H,5,0)</f>
        <v>#N/A</v>
      </c>
      <c r="R682" s="78" t="e">
        <f>VLOOKUP(A682,'לעדכן בסינתזה דאטה אריזה 42+24'!$A:$C,3,0)</f>
        <v>#N/A</v>
      </c>
    </row>
    <row r="683" spans="4:18" x14ac:dyDescent="0.2">
      <c r="D683" s="4"/>
      <c r="G683" s="5"/>
      <c r="H683" s="5"/>
      <c r="I683" s="4"/>
      <c r="J683" s="4"/>
      <c r="K683" s="5"/>
      <c r="Q683" s="78" t="e">
        <f>VLOOKUP(A683,'גיליון דאטה להכל'!A:H,5,0)</f>
        <v>#N/A</v>
      </c>
      <c r="R683" s="78" t="e">
        <f>VLOOKUP(A683,'לעדכן בסינתזה דאטה אריזה 42+24'!$A:$C,3,0)</f>
        <v>#N/A</v>
      </c>
    </row>
    <row r="684" spans="4:18" x14ac:dyDescent="0.2">
      <c r="D684" s="4"/>
      <c r="G684" s="5"/>
      <c r="H684" s="5"/>
      <c r="I684" s="4"/>
      <c r="J684" s="4"/>
      <c r="K684" s="5"/>
      <c r="Q684" s="78" t="e">
        <f>VLOOKUP(A684,'גיליון דאטה להכל'!A:H,5,0)</f>
        <v>#N/A</v>
      </c>
      <c r="R684" s="78" t="e">
        <f>VLOOKUP(A684,'לעדכן בסינתזה דאטה אריזה 42+24'!$A:$C,3,0)</f>
        <v>#N/A</v>
      </c>
    </row>
    <row r="685" spans="4:18" x14ac:dyDescent="0.2">
      <c r="D685" s="4"/>
      <c r="G685" s="5"/>
      <c r="H685" s="5"/>
      <c r="I685" s="4"/>
      <c r="J685" s="4"/>
      <c r="K685" s="5"/>
      <c r="Q685" s="78" t="e">
        <f>VLOOKUP(A685,'גיליון דאטה להכל'!A:H,5,0)</f>
        <v>#N/A</v>
      </c>
      <c r="R685" s="78" t="e">
        <f>VLOOKUP(A685,'לעדכן בסינתזה דאטה אריזה 42+24'!$A:$C,3,0)</f>
        <v>#N/A</v>
      </c>
    </row>
    <row r="686" spans="4:18" x14ac:dyDescent="0.2">
      <c r="D686" s="4"/>
      <c r="G686" s="5"/>
      <c r="H686" s="5"/>
      <c r="I686" s="4"/>
      <c r="J686" s="4"/>
      <c r="K686" s="5"/>
      <c r="Q686" s="78" t="e">
        <f>VLOOKUP(A686,'גיליון דאטה להכל'!A:H,5,0)</f>
        <v>#N/A</v>
      </c>
      <c r="R686" s="78" t="e">
        <f>VLOOKUP(A686,'לעדכן בסינתזה דאטה אריזה 42+24'!$A:$C,3,0)</f>
        <v>#N/A</v>
      </c>
    </row>
    <row r="687" spans="4:18" x14ac:dyDescent="0.2">
      <c r="D687" s="4"/>
      <c r="G687" s="5"/>
      <c r="H687" s="5"/>
      <c r="I687" s="4"/>
      <c r="J687" s="4"/>
      <c r="K687" s="5"/>
      <c r="Q687" s="78" t="e">
        <f>VLOOKUP(A687,'גיליון דאטה להכל'!A:H,5,0)</f>
        <v>#N/A</v>
      </c>
      <c r="R687" s="78" t="e">
        <f>VLOOKUP(A687,'לעדכן בסינתזה דאטה אריזה 42+24'!$A:$C,3,0)</f>
        <v>#N/A</v>
      </c>
    </row>
    <row r="688" spans="4:18" x14ac:dyDescent="0.2">
      <c r="D688" s="4"/>
      <c r="G688" s="5"/>
      <c r="H688" s="5"/>
      <c r="I688" s="4"/>
      <c r="J688" s="4"/>
      <c r="K688" s="5"/>
      <c r="Q688" s="78" t="e">
        <f>VLOOKUP(A688,'גיליון דאטה להכל'!A:H,5,0)</f>
        <v>#N/A</v>
      </c>
      <c r="R688" s="78" t="e">
        <f>VLOOKUP(A688,'לעדכן בסינתזה דאטה אריזה 42+24'!$A:$C,3,0)</f>
        <v>#N/A</v>
      </c>
    </row>
    <row r="689" spans="4:18" x14ac:dyDescent="0.2">
      <c r="D689" s="4"/>
      <c r="G689" s="5"/>
      <c r="H689" s="5"/>
      <c r="I689" s="4"/>
      <c r="J689" s="4"/>
      <c r="K689" s="5"/>
      <c r="Q689" s="78" t="e">
        <f>VLOOKUP(A689,'גיליון דאטה להכל'!A:H,5,0)</f>
        <v>#N/A</v>
      </c>
      <c r="R689" s="78" t="e">
        <f>VLOOKUP(A689,'לעדכן בסינתזה דאטה אריזה 42+24'!$A:$C,3,0)</f>
        <v>#N/A</v>
      </c>
    </row>
    <row r="690" spans="4:18" x14ac:dyDescent="0.2">
      <c r="D690" s="4"/>
      <c r="G690" s="5"/>
      <c r="H690" s="5"/>
      <c r="I690" s="4"/>
      <c r="J690" s="4"/>
      <c r="K690" s="5"/>
      <c r="Q690" s="78" t="e">
        <f>VLOOKUP(A690,'גיליון דאטה להכל'!A:H,5,0)</f>
        <v>#N/A</v>
      </c>
      <c r="R690" s="78" t="e">
        <f>VLOOKUP(A690,'לעדכן בסינתזה דאטה אריזה 42+24'!$A:$C,3,0)</f>
        <v>#N/A</v>
      </c>
    </row>
    <row r="691" spans="4:18" x14ac:dyDescent="0.2">
      <c r="D691" s="4"/>
      <c r="G691" s="5"/>
      <c r="H691" s="5"/>
      <c r="I691" s="4"/>
      <c r="J691" s="4"/>
      <c r="K691" s="5"/>
      <c r="Q691" s="78" t="e">
        <f>VLOOKUP(A691,'גיליון דאטה להכל'!A:H,5,0)</f>
        <v>#N/A</v>
      </c>
      <c r="R691" s="78" t="e">
        <f>VLOOKUP(A691,'לעדכן בסינתזה דאטה אריזה 42+24'!$A:$C,3,0)</f>
        <v>#N/A</v>
      </c>
    </row>
    <row r="692" spans="4:18" x14ac:dyDescent="0.2">
      <c r="D692" s="4"/>
      <c r="G692" s="5"/>
      <c r="H692" s="5"/>
      <c r="I692" s="4"/>
      <c r="J692" s="4"/>
      <c r="K692" s="5"/>
      <c r="Q692" s="78" t="e">
        <f>VLOOKUP(A692,'גיליון דאטה להכל'!A:H,5,0)</f>
        <v>#N/A</v>
      </c>
      <c r="R692" s="78" t="e">
        <f>VLOOKUP(A692,'לעדכן בסינתזה דאטה אריזה 42+24'!$A:$C,3,0)</f>
        <v>#N/A</v>
      </c>
    </row>
    <row r="693" spans="4:18" x14ac:dyDescent="0.2">
      <c r="D693" s="4"/>
      <c r="G693" s="5"/>
      <c r="H693" s="5"/>
      <c r="I693" s="4"/>
      <c r="J693" s="4"/>
      <c r="K693" s="5"/>
      <c r="Q693" s="78" t="e">
        <f>VLOOKUP(A693,'גיליון דאטה להכל'!A:H,5,0)</f>
        <v>#N/A</v>
      </c>
      <c r="R693" s="78" t="e">
        <f>VLOOKUP(A693,'לעדכן בסינתזה דאטה אריזה 42+24'!$A:$C,3,0)</f>
        <v>#N/A</v>
      </c>
    </row>
    <row r="694" spans="4:18" x14ac:dyDescent="0.2">
      <c r="D694" s="4"/>
      <c r="G694" s="5"/>
      <c r="H694" s="5"/>
      <c r="I694" s="4"/>
      <c r="J694" s="4"/>
      <c r="K694" s="5"/>
      <c r="Q694" s="78" t="e">
        <f>VLOOKUP(A694,'גיליון דאטה להכל'!A:H,5,0)</f>
        <v>#N/A</v>
      </c>
      <c r="R694" s="78" t="e">
        <f>VLOOKUP(A694,'לעדכן בסינתזה דאטה אריזה 42+24'!$A:$C,3,0)</f>
        <v>#N/A</v>
      </c>
    </row>
    <row r="695" spans="4:18" x14ac:dyDescent="0.2">
      <c r="D695" s="4"/>
      <c r="G695" s="5"/>
      <c r="H695" s="5"/>
      <c r="I695" s="4"/>
      <c r="J695" s="4"/>
      <c r="K695" s="5"/>
      <c r="Q695" s="78" t="e">
        <f>VLOOKUP(A695,'גיליון דאטה להכל'!A:H,5,0)</f>
        <v>#N/A</v>
      </c>
      <c r="R695" s="78" t="e">
        <f>VLOOKUP(A695,'לעדכן בסינתזה דאטה אריזה 42+24'!$A:$C,3,0)</f>
        <v>#N/A</v>
      </c>
    </row>
    <row r="696" spans="4:18" x14ac:dyDescent="0.2">
      <c r="I696" s="4"/>
      <c r="J696" s="4"/>
      <c r="Q696" s="78" t="e">
        <f>VLOOKUP(A696,'גיליון דאטה להכל'!A:H,5,0)</f>
        <v>#N/A</v>
      </c>
      <c r="R696" s="78" t="e">
        <f>VLOOKUP(A696,'לעדכן בסינתזה דאטה אריזה 42+24'!$A:$C,3,0)</f>
        <v>#N/A</v>
      </c>
    </row>
    <row r="697" spans="4:18" x14ac:dyDescent="0.2">
      <c r="I697" s="4"/>
      <c r="J697" s="4"/>
      <c r="Q697" s="78" t="e">
        <f>VLOOKUP(A697,'גיליון דאטה להכל'!A:H,5,0)</f>
        <v>#N/A</v>
      </c>
      <c r="R697" s="78" t="e">
        <f>VLOOKUP(A697,'לעדכן בסינתזה דאטה אריזה 42+24'!$A:$C,3,0)</f>
        <v>#N/A</v>
      </c>
    </row>
    <row r="698" spans="4:18" x14ac:dyDescent="0.2">
      <c r="I698" s="4"/>
      <c r="J698" s="4"/>
      <c r="Q698" s="78" t="e">
        <f>VLOOKUP(A698,'גיליון דאטה להכל'!A:H,5,0)</f>
        <v>#N/A</v>
      </c>
      <c r="R698" s="78" t="e">
        <f>VLOOKUP(A698,'לעדכן בסינתזה דאטה אריזה 42+24'!$A:$C,3,0)</f>
        <v>#N/A</v>
      </c>
    </row>
    <row r="699" spans="4:18" x14ac:dyDescent="0.2">
      <c r="I699" s="4"/>
      <c r="J699" s="4"/>
      <c r="Q699" s="78" t="e">
        <f>VLOOKUP(A699,'גיליון דאטה להכל'!A:H,5,0)</f>
        <v>#N/A</v>
      </c>
      <c r="R699" s="78" t="e">
        <f>VLOOKUP(A699,'לעדכן בסינתזה דאטה אריזה 42+24'!$A:$C,3,0)</f>
        <v>#N/A</v>
      </c>
    </row>
    <row r="700" spans="4:18" x14ac:dyDescent="0.2">
      <c r="I700" s="4"/>
      <c r="J700" s="4"/>
      <c r="Q700" s="78" t="e">
        <f>VLOOKUP(A700,'גיליון דאטה להכל'!A:H,5,0)</f>
        <v>#N/A</v>
      </c>
      <c r="R700" s="78" t="e">
        <f>VLOOKUP(A700,'לעדכן בסינתזה דאטה אריזה 42+24'!$A:$C,3,0)</f>
        <v>#N/A</v>
      </c>
    </row>
    <row r="701" spans="4:18" x14ac:dyDescent="0.2">
      <c r="I701" s="4"/>
      <c r="J701" s="4"/>
      <c r="Q701" s="78" t="e">
        <f>VLOOKUP(A701,'גיליון דאטה להכל'!A:H,5,0)</f>
        <v>#N/A</v>
      </c>
      <c r="R701" s="78" t="e">
        <f>VLOOKUP(A701,'לעדכן בסינתזה דאטה אריזה 42+24'!$A:$C,3,0)</f>
        <v>#N/A</v>
      </c>
    </row>
    <row r="702" spans="4:18" x14ac:dyDescent="0.2">
      <c r="I702" s="4"/>
      <c r="J702" s="4"/>
      <c r="Q702" s="78" t="e">
        <f>VLOOKUP(A702,'גיליון דאטה להכל'!A:H,5,0)</f>
        <v>#N/A</v>
      </c>
      <c r="R702" s="78" t="e">
        <f>VLOOKUP(A702,'לעדכן בסינתזה דאטה אריזה 42+24'!$A:$C,3,0)</f>
        <v>#N/A</v>
      </c>
    </row>
    <row r="703" spans="4:18" x14ac:dyDescent="0.2">
      <c r="D703" s="4"/>
      <c r="I703" s="4"/>
      <c r="J703" s="4"/>
      <c r="Q703" s="78" t="e">
        <f>VLOOKUP(A703,'גיליון דאטה להכל'!A:H,5,0)</f>
        <v>#N/A</v>
      </c>
      <c r="R703" s="78" t="e">
        <f>VLOOKUP(A703,'לעדכן בסינתזה דאטה אריזה 42+24'!$A:$C,3,0)</f>
        <v>#N/A</v>
      </c>
    </row>
    <row r="704" spans="4:18" x14ac:dyDescent="0.2">
      <c r="I704" s="4"/>
      <c r="J704" s="4"/>
      <c r="Q704" s="78" t="e">
        <f>VLOOKUP(A704,'גיליון דאטה להכל'!A:H,5,0)</f>
        <v>#N/A</v>
      </c>
      <c r="R704" s="78" t="e">
        <f>VLOOKUP(A704,'לעדכן בסינתזה דאטה אריזה 42+24'!$A:$C,3,0)</f>
        <v>#N/A</v>
      </c>
    </row>
    <row r="705" spans="9:18" x14ac:dyDescent="0.2">
      <c r="I705" s="4"/>
      <c r="J705" s="4"/>
      <c r="Q705" s="78" t="e">
        <f>VLOOKUP(A705,'גיליון דאטה להכל'!A:H,5,0)</f>
        <v>#N/A</v>
      </c>
      <c r="R705" s="78" t="e">
        <f>VLOOKUP(A705,'לעדכן בסינתזה דאטה אריזה 42+24'!$A:$C,3,0)</f>
        <v>#N/A</v>
      </c>
    </row>
    <row r="706" spans="9:18" x14ac:dyDescent="0.2">
      <c r="I706" s="4"/>
      <c r="J706" s="4"/>
      <c r="Q706" s="78" t="e">
        <f>VLOOKUP(A706,'גיליון דאטה להכל'!A:H,5,0)</f>
        <v>#N/A</v>
      </c>
      <c r="R706" s="78" t="e">
        <f>VLOOKUP(A706,'לעדכן בסינתזה דאטה אריזה 42+24'!$A:$C,3,0)</f>
        <v>#N/A</v>
      </c>
    </row>
    <row r="707" spans="9:18" x14ac:dyDescent="0.2">
      <c r="I707" s="4"/>
      <c r="J707" s="4"/>
      <c r="Q707" s="78" t="e">
        <f>VLOOKUP(A707,'גיליון דאטה להכל'!A:H,5,0)</f>
        <v>#N/A</v>
      </c>
      <c r="R707" s="78" t="e">
        <f>VLOOKUP(A707,'לעדכן בסינתזה דאטה אריזה 42+24'!$A:$C,3,0)</f>
        <v>#N/A</v>
      </c>
    </row>
    <row r="708" spans="9:18" x14ac:dyDescent="0.2">
      <c r="I708" s="4"/>
      <c r="J708" s="4"/>
      <c r="Q708" s="78" t="e">
        <f>VLOOKUP(A708,'גיליון דאטה להכל'!A:H,5,0)</f>
        <v>#N/A</v>
      </c>
      <c r="R708" s="78" t="e">
        <f>VLOOKUP(A708,'לעדכן בסינתזה דאטה אריזה 42+24'!$A:$C,3,0)</f>
        <v>#N/A</v>
      </c>
    </row>
    <row r="709" spans="9:18" x14ac:dyDescent="0.2">
      <c r="I709" s="4"/>
      <c r="J709" s="4"/>
      <c r="Q709" s="78" t="e">
        <f>VLOOKUP(A709,'גיליון דאטה להכל'!A:H,5,0)</f>
        <v>#N/A</v>
      </c>
      <c r="R709" s="78" t="e">
        <f>VLOOKUP(A709,'לעדכן בסינתזה דאטה אריזה 42+24'!$A:$C,3,0)</f>
        <v>#N/A</v>
      </c>
    </row>
    <row r="710" spans="9:18" x14ac:dyDescent="0.2">
      <c r="I710" s="4"/>
      <c r="J710" s="4"/>
      <c r="Q710" s="78" t="e">
        <f>VLOOKUP(A710,'גיליון דאטה להכל'!A:H,5,0)</f>
        <v>#N/A</v>
      </c>
      <c r="R710" s="78" t="e">
        <f>VLOOKUP(A710,'לעדכן בסינתזה דאטה אריזה 42+24'!$A:$C,3,0)</f>
        <v>#N/A</v>
      </c>
    </row>
    <row r="711" spans="9:18" x14ac:dyDescent="0.2">
      <c r="I711" s="4"/>
      <c r="J711" s="4"/>
      <c r="Q711" s="78" t="e">
        <f>VLOOKUP(A711,'גיליון דאטה להכל'!A:H,5,0)</f>
        <v>#N/A</v>
      </c>
      <c r="R711" s="78" t="e">
        <f>VLOOKUP(A711,'לעדכן בסינתזה דאטה אריזה 42+24'!$A:$C,3,0)</f>
        <v>#N/A</v>
      </c>
    </row>
    <row r="712" spans="9:18" x14ac:dyDescent="0.2">
      <c r="I712" s="4"/>
      <c r="J712" s="4"/>
      <c r="Q712" s="78" t="e">
        <f>VLOOKUP(A712,'גיליון דאטה להכל'!A:H,5,0)</f>
        <v>#N/A</v>
      </c>
      <c r="R712" s="78" t="e">
        <f>VLOOKUP(A712,'לעדכן בסינתזה דאטה אריזה 42+24'!$A:$C,3,0)</f>
        <v>#N/A</v>
      </c>
    </row>
    <row r="713" spans="9:18" x14ac:dyDescent="0.2">
      <c r="I713" s="4"/>
      <c r="J713" s="4"/>
      <c r="Q713" s="78" t="e">
        <f>VLOOKUP(A713,'גיליון דאטה להכל'!A:H,5,0)</f>
        <v>#N/A</v>
      </c>
      <c r="R713" s="78" t="e">
        <f>VLOOKUP(A713,'לעדכן בסינתזה דאטה אריזה 42+24'!$A:$C,3,0)</f>
        <v>#N/A</v>
      </c>
    </row>
    <row r="714" spans="9:18" x14ac:dyDescent="0.2">
      <c r="I714" s="4"/>
      <c r="J714" s="4"/>
      <c r="Q714" s="78" t="e">
        <f>VLOOKUP(A714,'גיליון דאטה להכל'!A:H,5,0)</f>
        <v>#N/A</v>
      </c>
      <c r="R714" s="78" t="e">
        <f>VLOOKUP(A714,'לעדכן בסינתזה דאטה אריזה 42+24'!$A:$C,3,0)</f>
        <v>#N/A</v>
      </c>
    </row>
    <row r="715" spans="9:18" x14ac:dyDescent="0.2">
      <c r="I715" s="4"/>
      <c r="J715" s="4"/>
      <c r="Q715" s="78" t="e">
        <f>VLOOKUP(A715,'גיליון דאטה להכל'!A:H,5,0)</f>
        <v>#N/A</v>
      </c>
      <c r="R715" s="78" t="e">
        <f>VLOOKUP(A715,'לעדכן בסינתזה דאטה אריזה 42+24'!$A:$C,3,0)</f>
        <v>#N/A</v>
      </c>
    </row>
    <row r="716" spans="9:18" x14ac:dyDescent="0.2">
      <c r="I716" s="4"/>
      <c r="J716" s="4"/>
      <c r="Q716" s="78" t="e">
        <f>VLOOKUP(A716,'גיליון דאטה להכל'!A:H,5,0)</f>
        <v>#N/A</v>
      </c>
      <c r="R716" s="78" t="e">
        <f>VLOOKUP(A716,'לעדכן בסינתזה דאטה אריזה 42+24'!$A:$C,3,0)</f>
        <v>#N/A</v>
      </c>
    </row>
    <row r="717" spans="9:18" x14ac:dyDescent="0.2">
      <c r="I717" s="4"/>
      <c r="J717" s="4"/>
      <c r="Q717" s="78" t="e">
        <f>VLOOKUP(A717,'גיליון דאטה להכל'!A:H,5,0)</f>
        <v>#N/A</v>
      </c>
      <c r="R717" s="78" t="e">
        <f>VLOOKUP(A717,'לעדכן בסינתזה דאטה אריזה 42+24'!$A:$C,3,0)</f>
        <v>#N/A</v>
      </c>
    </row>
    <row r="718" spans="9:18" x14ac:dyDescent="0.2">
      <c r="I718" s="4"/>
      <c r="J718" s="4"/>
      <c r="Q718" s="78" t="e">
        <f>VLOOKUP(A718,'גיליון דאטה להכל'!A:H,5,0)</f>
        <v>#N/A</v>
      </c>
      <c r="R718" s="78" t="e">
        <f>VLOOKUP(A718,'לעדכן בסינתזה דאטה אריזה 42+24'!$A:$C,3,0)</f>
        <v>#N/A</v>
      </c>
    </row>
    <row r="719" spans="9:18" x14ac:dyDescent="0.2">
      <c r="I719" s="4"/>
      <c r="J719" s="4"/>
      <c r="Q719" s="78" t="e">
        <f>VLOOKUP(A719,'גיליון דאטה להכל'!A:H,5,0)</f>
        <v>#N/A</v>
      </c>
      <c r="R719" s="78" t="e">
        <f>VLOOKUP(A719,'לעדכן בסינתזה דאטה אריזה 42+24'!$A:$C,3,0)</f>
        <v>#N/A</v>
      </c>
    </row>
    <row r="720" spans="9:18" x14ac:dyDescent="0.2">
      <c r="I720" s="4"/>
      <c r="J720" s="4"/>
      <c r="Q720" s="78" t="e">
        <f>VLOOKUP(A720,'גיליון דאטה להכל'!A:H,5,0)</f>
        <v>#N/A</v>
      </c>
      <c r="R720" s="78" t="e">
        <f>VLOOKUP(A720,'לעדכן בסינתזה דאטה אריזה 42+24'!$A:$C,3,0)</f>
        <v>#N/A</v>
      </c>
    </row>
    <row r="721" spans="9:18" x14ac:dyDescent="0.2">
      <c r="I721" s="4"/>
      <c r="J721" s="4"/>
      <c r="Q721" s="78" t="e">
        <f>VLOOKUP(A721,'גיליון דאטה להכל'!A:H,5,0)</f>
        <v>#N/A</v>
      </c>
      <c r="R721" s="78" t="e">
        <f>VLOOKUP(A721,'לעדכן בסינתזה דאטה אריזה 42+24'!$A:$C,3,0)</f>
        <v>#N/A</v>
      </c>
    </row>
    <row r="722" spans="9:18" x14ac:dyDescent="0.2">
      <c r="I722" s="4"/>
      <c r="J722" s="4"/>
      <c r="Q722" s="78" t="e">
        <f>VLOOKUP(A722,'גיליון דאטה להכל'!A:H,5,0)</f>
        <v>#N/A</v>
      </c>
      <c r="R722" s="78" t="e">
        <f>VLOOKUP(A722,'לעדכן בסינתזה דאטה אריזה 42+24'!$A:$C,3,0)</f>
        <v>#N/A</v>
      </c>
    </row>
    <row r="723" spans="9:18" x14ac:dyDescent="0.2">
      <c r="I723" s="4"/>
      <c r="J723" s="4"/>
      <c r="Q723" s="78" t="e">
        <f>VLOOKUP(A723,'גיליון דאטה להכל'!A:H,5,0)</f>
        <v>#N/A</v>
      </c>
      <c r="R723" s="78" t="e">
        <f>VLOOKUP(A723,'לעדכן בסינתזה דאטה אריזה 42+24'!$A:$C,3,0)</f>
        <v>#N/A</v>
      </c>
    </row>
    <row r="724" spans="9:18" x14ac:dyDescent="0.2">
      <c r="I724" s="4"/>
      <c r="J724" s="4"/>
      <c r="Q724" s="78" t="e">
        <f>VLOOKUP(A724,'גיליון דאטה להכל'!A:H,5,0)</f>
        <v>#N/A</v>
      </c>
      <c r="R724" s="78" t="e">
        <f>VLOOKUP(A724,'לעדכן בסינתזה דאטה אריזה 42+24'!$A:$C,3,0)</f>
        <v>#N/A</v>
      </c>
    </row>
    <row r="725" spans="9:18" x14ac:dyDescent="0.2">
      <c r="I725" s="4"/>
      <c r="J725" s="4"/>
      <c r="Q725" s="78" t="e">
        <f>VLOOKUP(A725,'גיליון דאטה להכל'!A:H,5,0)</f>
        <v>#N/A</v>
      </c>
      <c r="R725" s="78" t="e">
        <f>VLOOKUP(A725,'לעדכן בסינתזה דאטה אריזה 42+24'!$A:$C,3,0)</f>
        <v>#N/A</v>
      </c>
    </row>
    <row r="726" spans="9:18" x14ac:dyDescent="0.2">
      <c r="I726" s="4"/>
      <c r="J726" s="4"/>
      <c r="Q726" s="78" t="e">
        <f>VLOOKUP(A726,'גיליון דאטה להכל'!A:H,5,0)</f>
        <v>#N/A</v>
      </c>
      <c r="R726" s="78" t="e">
        <f>VLOOKUP(A726,'לעדכן בסינתזה דאטה אריזה 42+24'!$A:$C,3,0)</f>
        <v>#N/A</v>
      </c>
    </row>
    <row r="727" spans="9:18" x14ac:dyDescent="0.2">
      <c r="I727" s="4"/>
      <c r="J727" s="4"/>
      <c r="Q727" s="78" t="e">
        <f>VLOOKUP(A727,'גיליון דאטה להכל'!A:H,5,0)</f>
        <v>#N/A</v>
      </c>
      <c r="R727" s="78" t="e">
        <f>VLOOKUP(A727,'לעדכן בסינתזה דאטה אריזה 42+24'!$A:$C,3,0)</f>
        <v>#N/A</v>
      </c>
    </row>
    <row r="728" spans="9:18" x14ac:dyDescent="0.2">
      <c r="I728" s="4"/>
      <c r="J728" s="4"/>
      <c r="Q728" s="78" t="e">
        <f>VLOOKUP(A728,'גיליון דאטה להכל'!A:H,5,0)</f>
        <v>#N/A</v>
      </c>
      <c r="R728" s="78" t="e">
        <f>VLOOKUP(A728,'לעדכן בסינתזה דאטה אריזה 42+24'!$A:$C,3,0)</f>
        <v>#N/A</v>
      </c>
    </row>
    <row r="729" spans="9:18" x14ac:dyDescent="0.2">
      <c r="I729" s="4"/>
      <c r="J729" s="4"/>
      <c r="Q729" s="78" t="e">
        <f>VLOOKUP(A729,'גיליון דאטה להכל'!A:H,5,0)</f>
        <v>#N/A</v>
      </c>
      <c r="R729" s="78" t="e">
        <f>VLOOKUP(A729,'לעדכן בסינתזה דאטה אריזה 42+24'!$A:$C,3,0)</f>
        <v>#N/A</v>
      </c>
    </row>
    <row r="730" spans="9:18" x14ac:dyDescent="0.2">
      <c r="I730" s="4"/>
      <c r="J730" s="4"/>
      <c r="Q730" s="78" t="e">
        <f>VLOOKUP(A730,'גיליון דאטה להכל'!A:H,5,0)</f>
        <v>#N/A</v>
      </c>
      <c r="R730" s="78" t="e">
        <f>VLOOKUP(A730,'לעדכן בסינתזה דאטה אריזה 42+24'!$A:$C,3,0)</f>
        <v>#N/A</v>
      </c>
    </row>
    <row r="731" spans="9:18" x14ac:dyDescent="0.2">
      <c r="I731" s="4"/>
      <c r="J731" s="4"/>
      <c r="Q731" s="78" t="e">
        <f>VLOOKUP(A731,'גיליון דאטה להכל'!A:H,5,0)</f>
        <v>#N/A</v>
      </c>
      <c r="R731" s="78" t="e">
        <f>VLOOKUP(A731,'לעדכן בסינתזה דאטה אריזה 42+24'!$A:$C,3,0)</f>
        <v>#N/A</v>
      </c>
    </row>
    <row r="732" spans="9:18" x14ac:dyDescent="0.2">
      <c r="I732" s="4"/>
      <c r="J732" s="4"/>
      <c r="Q732" s="78" t="e">
        <f>VLOOKUP(A732,'גיליון דאטה להכל'!A:H,5,0)</f>
        <v>#N/A</v>
      </c>
      <c r="R732" s="78" t="e">
        <f>VLOOKUP(A732,'לעדכן בסינתזה דאטה אריזה 42+24'!$A:$C,3,0)</f>
        <v>#N/A</v>
      </c>
    </row>
    <row r="733" spans="9:18" x14ac:dyDescent="0.2">
      <c r="I733" s="4"/>
      <c r="J733" s="4"/>
      <c r="Q733" s="78" t="e">
        <f>VLOOKUP(A733,'גיליון דאטה להכל'!A:H,5,0)</f>
        <v>#N/A</v>
      </c>
      <c r="R733" s="78" t="e">
        <f>VLOOKUP(A733,'לעדכן בסינתזה דאטה אריזה 42+24'!$A:$C,3,0)</f>
        <v>#N/A</v>
      </c>
    </row>
    <row r="734" spans="9:18" x14ac:dyDescent="0.2">
      <c r="I734" s="4"/>
      <c r="J734" s="4"/>
      <c r="Q734" s="78" t="e">
        <f>VLOOKUP(A734,'גיליון דאטה להכל'!A:H,5,0)</f>
        <v>#N/A</v>
      </c>
      <c r="R734" s="78" t="e">
        <f>VLOOKUP(A734,'לעדכן בסינתזה דאטה אריזה 42+24'!$A:$C,3,0)</f>
        <v>#N/A</v>
      </c>
    </row>
    <row r="735" spans="9:18" x14ac:dyDescent="0.2">
      <c r="I735" s="4"/>
      <c r="J735" s="4"/>
      <c r="Q735" s="78" t="e">
        <f>VLOOKUP(A735,'גיליון דאטה להכל'!A:H,5,0)</f>
        <v>#N/A</v>
      </c>
      <c r="R735" s="78" t="e">
        <f>VLOOKUP(A735,'לעדכן בסינתזה דאטה אריזה 42+24'!$A:$C,3,0)</f>
        <v>#N/A</v>
      </c>
    </row>
    <row r="736" spans="9:18" x14ac:dyDescent="0.2">
      <c r="I736" s="4"/>
      <c r="J736" s="4"/>
      <c r="Q736" s="78" t="e">
        <f>VLOOKUP(A736,'גיליון דאטה להכל'!A:H,5,0)</f>
        <v>#N/A</v>
      </c>
      <c r="R736" s="78" t="e">
        <f>VLOOKUP(A736,'לעדכן בסינתזה דאטה אריזה 42+24'!$A:$C,3,0)</f>
        <v>#N/A</v>
      </c>
    </row>
    <row r="737" spans="9:18" x14ac:dyDescent="0.2">
      <c r="I737" s="4"/>
      <c r="J737" s="4"/>
      <c r="Q737" s="78" t="e">
        <f>VLOOKUP(A737,'גיליון דאטה להכל'!A:H,5,0)</f>
        <v>#N/A</v>
      </c>
      <c r="R737" s="78" t="e">
        <f>VLOOKUP(A737,'לעדכן בסינתזה דאטה אריזה 42+24'!$A:$C,3,0)</f>
        <v>#N/A</v>
      </c>
    </row>
    <row r="738" spans="9:18" x14ac:dyDescent="0.2">
      <c r="I738" s="4"/>
      <c r="J738" s="4"/>
      <c r="Q738" s="78" t="e">
        <f>VLOOKUP(A738,'גיליון דאטה להכל'!A:H,5,0)</f>
        <v>#N/A</v>
      </c>
      <c r="R738" s="78" t="e">
        <f>VLOOKUP(A738,'לעדכן בסינתזה דאטה אריזה 42+24'!$A:$C,3,0)</f>
        <v>#N/A</v>
      </c>
    </row>
    <row r="739" spans="9:18" x14ac:dyDescent="0.2">
      <c r="I739" s="4"/>
      <c r="J739" s="4"/>
      <c r="Q739" s="78" t="e">
        <f>VLOOKUP(A739,'גיליון דאטה להכל'!A:H,5,0)</f>
        <v>#N/A</v>
      </c>
      <c r="R739" s="78" t="e">
        <f>VLOOKUP(A739,'לעדכן בסינתזה דאטה אריזה 42+24'!$A:$C,3,0)</f>
        <v>#N/A</v>
      </c>
    </row>
    <row r="740" spans="9:18" x14ac:dyDescent="0.2">
      <c r="I740" s="4"/>
      <c r="J740" s="4"/>
      <c r="Q740" s="78" t="e">
        <f>VLOOKUP(A740,'גיליון דאטה להכל'!A:H,5,0)</f>
        <v>#N/A</v>
      </c>
      <c r="R740" s="78" t="e">
        <f>VLOOKUP(A740,'לעדכן בסינתזה דאטה אריזה 42+24'!$A:$C,3,0)</f>
        <v>#N/A</v>
      </c>
    </row>
    <row r="741" spans="9:18" x14ac:dyDescent="0.2">
      <c r="I741" s="4"/>
      <c r="J741" s="4"/>
      <c r="Q741" s="78" t="e">
        <f>VLOOKUP(A741,'גיליון דאטה להכל'!A:H,5,0)</f>
        <v>#N/A</v>
      </c>
      <c r="R741" s="78" t="e">
        <f>VLOOKUP(A741,'לעדכן בסינתזה דאטה אריזה 42+24'!$A:$C,3,0)</f>
        <v>#N/A</v>
      </c>
    </row>
    <row r="742" spans="9:18" x14ac:dyDescent="0.2">
      <c r="I742" s="4"/>
      <c r="J742" s="4"/>
      <c r="Q742" s="78" t="e">
        <f>VLOOKUP(A742,'גיליון דאטה להכל'!A:H,5,0)</f>
        <v>#N/A</v>
      </c>
      <c r="R742" s="78" t="e">
        <f>VLOOKUP(A742,'לעדכן בסינתזה דאטה אריזה 42+24'!$A:$C,3,0)</f>
        <v>#N/A</v>
      </c>
    </row>
    <row r="743" spans="9:18" x14ac:dyDescent="0.2">
      <c r="I743" s="4"/>
      <c r="J743" s="4"/>
      <c r="Q743" s="78" t="e">
        <f>VLOOKUP(A743,'גיליון דאטה להכל'!A:H,5,0)</f>
        <v>#N/A</v>
      </c>
      <c r="R743" s="78" t="e">
        <f>VLOOKUP(A743,'לעדכן בסינתזה דאטה אריזה 42+24'!$A:$C,3,0)</f>
        <v>#N/A</v>
      </c>
    </row>
    <row r="744" spans="9:18" x14ac:dyDescent="0.2">
      <c r="I744" s="4"/>
      <c r="J744" s="4"/>
      <c r="Q744" s="78" t="e">
        <f>VLOOKUP(A744,'גיליון דאטה להכל'!A:H,5,0)</f>
        <v>#N/A</v>
      </c>
      <c r="R744" s="78" t="e">
        <f>VLOOKUP(A744,'לעדכן בסינתזה דאטה אריזה 42+24'!$A:$C,3,0)</f>
        <v>#N/A</v>
      </c>
    </row>
    <row r="745" spans="9:18" x14ac:dyDescent="0.2">
      <c r="I745" s="4"/>
      <c r="J745" s="4"/>
      <c r="Q745" s="78" t="e">
        <f>VLOOKUP(A745,'גיליון דאטה להכל'!A:H,5,0)</f>
        <v>#N/A</v>
      </c>
      <c r="R745" s="78" t="e">
        <f>VLOOKUP(A745,'לעדכן בסינתזה דאטה אריזה 42+24'!$A:$C,3,0)</f>
        <v>#N/A</v>
      </c>
    </row>
    <row r="746" spans="9:18" x14ac:dyDescent="0.2">
      <c r="I746" s="4"/>
      <c r="J746" s="4"/>
      <c r="Q746" s="78" t="e">
        <f>VLOOKUP(A746,'גיליון דאטה להכל'!A:H,5,0)</f>
        <v>#N/A</v>
      </c>
      <c r="R746" s="78" t="e">
        <f>VLOOKUP(A746,'לעדכן בסינתזה דאטה אריזה 42+24'!$A:$C,3,0)</f>
        <v>#N/A</v>
      </c>
    </row>
    <row r="747" spans="9:18" x14ac:dyDescent="0.2">
      <c r="I747" s="4"/>
      <c r="J747" s="4"/>
      <c r="Q747" s="78" t="e">
        <f>VLOOKUP(A747,'גיליון דאטה להכל'!A:H,5,0)</f>
        <v>#N/A</v>
      </c>
      <c r="R747" s="78" t="e">
        <f>VLOOKUP(A747,'לעדכן בסינתזה דאטה אריזה 42+24'!$A:$C,3,0)</f>
        <v>#N/A</v>
      </c>
    </row>
    <row r="748" spans="9:18" x14ac:dyDescent="0.2">
      <c r="I748" s="4"/>
      <c r="J748" s="4"/>
      <c r="Q748" s="78" t="e">
        <f>VLOOKUP(A748,'גיליון דאטה להכל'!A:H,5,0)</f>
        <v>#N/A</v>
      </c>
      <c r="R748" s="78" t="e">
        <f>VLOOKUP(A748,'לעדכן בסינתזה דאטה אריזה 42+24'!$A:$C,3,0)</f>
        <v>#N/A</v>
      </c>
    </row>
    <row r="749" spans="9:18" x14ac:dyDescent="0.2">
      <c r="I749" s="4"/>
      <c r="J749" s="4"/>
      <c r="Q749" s="78" t="e">
        <f>VLOOKUP(A749,'גיליון דאטה להכל'!A:H,5,0)</f>
        <v>#N/A</v>
      </c>
      <c r="R749" s="78" t="e">
        <f>VLOOKUP(A749,'לעדכן בסינתזה דאטה אריזה 42+24'!$A:$C,3,0)</f>
        <v>#N/A</v>
      </c>
    </row>
    <row r="750" spans="9:18" x14ac:dyDescent="0.2">
      <c r="I750" s="4"/>
      <c r="J750" s="4"/>
      <c r="Q750" s="78" t="e">
        <f>VLOOKUP(A750,'גיליון דאטה להכל'!A:H,5,0)</f>
        <v>#N/A</v>
      </c>
      <c r="R750" s="78" t="e">
        <f>VLOOKUP(A750,'לעדכן בסינתזה דאטה אריזה 42+24'!$A:$C,3,0)</f>
        <v>#N/A</v>
      </c>
    </row>
    <row r="751" spans="9:18" x14ac:dyDescent="0.2">
      <c r="I751" s="4"/>
      <c r="J751" s="4"/>
      <c r="Q751" s="78" t="e">
        <f>VLOOKUP(A751,'גיליון דאטה להכל'!A:H,5,0)</f>
        <v>#N/A</v>
      </c>
      <c r="R751" s="78" t="e">
        <f>VLOOKUP(A751,'לעדכן בסינתזה דאטה אריזה 42+24'!$A:$C,3,0)</f>
        <v>#N/A</v>
      </c>
    </row>
    <row r="752" spans="9:18" x14ac:dyDescent="0.2">
      <c r="I752" s="4"/>
      <c r="J752" s="4"/>
      <c r="Q752" s="78" t="e">
        <f>VLOOKUP(A752,'גיליון דאטה להכל'!A:H,5,0)</f>
        <v>#N/A</v>
      </c>
      <c r="R752" s="78" t="e">
        <f>VLOOKUP(A752,'לעדכן בסינתזה דאטה אריזה 42+24'!$A:$C,3,0)</f>
        <v>#N/A</v>
      </c>
    </row>
    <row r="753" spans="9:18" x14ac:dyDescent="0.2">
      <c r="I753" s="4"/>
      <c r="J753" s="4"/>
      <c r="Q753" s="78" t="e">
        <f>VLOOKUP(A753,'גיליון דאטה להכל'!A:H,5,0)</f>
        <v>#N/A</v>
      </c>
      <c r="R753" s="78" t="e">
        <f>VLOOKUP(A753,'לעדכן בסינתזה דאטה אריזה 42+24'!$A:$C,3,0)</f>
        <v>#N/A</v>
      </c>
    </row>
    <row r="754" spans="9:18" x14ac:dyDescent="0.2">
      <c r="I754" s="4"/>
      <c r="J754" s="4"/>
      <c r="Q754" s="78" t="e">
        <f>VLOOKUP(A754,'גיליון דאטה להכל'!A:H,5,0)</f>
        <v>#N/A</v>
      </c>
      <c r="R754" s="78" t="e">
        <f>VLOOKUP(A754,'לעדכן בסינתזה דאטה אריזה 42+24'!$A:$C,3,0)</f>
        <v>#N/A</v>
      </c>
    </row>
    <row r="755" spans="9:18" x14ac:dyDescent="0.2">
      <c r="I755" s="4"/>
      <c r="J755" s="4"/>
      <c r="Q755" s="78" t="e">
        <f>VLOOKUP(A755,'גיליון דאטה להכל'!A:H,5,0)</f>
        <v>#N/A</v>
      </c>
      <c r="R755" s="78" t="e">
        <f>VLOOKUP(A755,'לעדכן בסינתזה דאטה אריזה 42+24'!$A:$C,3,0)</f>
        <v>#N/A</v>
      </c>
    </row>
    <row r="756" spans="9:18" x14ac:dyDescent="0.2">
      <c r="I756" s="4"/>
      <c r="J756" s="4"/>
      <c r="Q756" s="78" t="e">
        <f>VLOOKUP(A756,'גיליון דאטה להכל'!A:H,5,0)</f>
        <v>#N/A</v>
      </c>
      <c r="R756" s="78" t="e">
        <f>VLOOKUP(A756,'לעדכן בסינתזה דאטה אריזה 42+24'!$A:$C,3,0)</f>
        <v>#N/A</v>
      </c>
    </row>
    <row r="757" spans="9:18" x14ac:dyDescent="0.2">
      <c r="I757" s="4"/>
      <c r="J757" s="4"/>
      <c r="Q757" s="78" t="e">
        <f>VLOOKUP(A757,'גיליון דאטה להכל'!A:H,5,0)</f>
        <v>#N/A</v>
      </c>
      <c r="R757" s="78" t="e">
        <f>VLOOKUP(A757,'לעדכן בסינתזה דאטה אריזה 42+24'!$A:$C,3,0)</f>
        <v>#N/A</v>
      </c>
    </row>
    <row r="758" spans="9:18" x14ac:dyDescent="0.2">
      <c r="I758" s="4"/>
      <c r="J758" s="4"/>
      <c r="Q758" s="78" t="e">
        <f>VLOOKUP(A758,'גיליון דאטה להכל'!A:H,5,0)</f>
        <v>#N/A</v>
      </c>
      <c r="R758" s="78" t="e">
        <f>VLOOKUP(A758,'לעדכן בסינתזה דאטה אריזה 42+24'!$A:$C,3,0)</f>
        <v>#N/A</v>
      </c>
    </row>
    <row r="759" spans="9:18" x14ac:dyDescent="0.2">
      <c r="I759" s="4"/>
      <c r="J759" s="4"/>
      <c r="Q759" s="78" t="e">
        <f>VLOOKUP(A759,'גיליון דאטה להכל'!A:H,5,0)</f>
        <v>#N/A</v>
      </c>
      <c r="R759" s="78" t="e">
        <f>VLOOKUP(A759,'לעדכן בסינתזה דאטה אריזה 42+24'!$A:$C,3,0)</f>
        <v>#N/A</v>
      </c>
    </row>
    <row r="760" spans="9:18" x14ac:dyDescent="0.2">
      <c r="I760" s="4"/>
      <c r="J760" s="4"/>
      <c r="Q760" s="78" t="e">
        <f>VLOOKUP(A760,'גיליון דאטה להכל'!A:H,5,0)</f>
        <v>#N/A</v>
      </c>
      <c r="R760" s="78" t="e">
        <f>VLOOKUP(A760,'לעדכן בסינתזה דאטה אריזה 42+24'!$A:$C,3,0)</f>
        <v>#N/A</v>
      </c>
    </row>
    <row r="761" spans="9:18" x14ac:dyDescent="0.2">
      <c r="I761" s="4"/>
      <c r="J761" s="4"/>
      <c r="Q761" s="78" t="e">
        <f>VLOOKUP(A761,'גיליון דאטה להכל'!A:H,5,0)</f>
        <v>#N/A</v>
      </c>
      <c r="R761" s="78" t="e">
        <f>VLOOKUP(A761,'לעדכן בסינתזה דאטה אריזה 42+24'!$A:$C,3,0)</f>
        <v>#N/A</v>
      </c>
    </row>
    <row r="762" spans="9:18" x14ac:dyDescent="0.2">
      <c r="I762" s="4"/>
      <c r="J762" s="4"/>
      <c r="Q762" s="78" t="e">
        <f>VLOOKUP(A762,'גיליון דאטה להכל'!A:H,5,0)</f>
        <v>#N/A</v>
      </c>
      <c r="R762" s="78" t="e">
        <f>VLOOKUP(A762,'לעדכן בסינתזה דאטה אריזה 42+24'!$A:$C,3,0)</f>
        <v>#N/A</v>
      </c>
    </row>
    <row r="763" spans="9:18" x14ac:dyDescent="0.2">
      <c r="I763" s="4"/>
      <c r="J763" s="4"/>
      <c r="Q763" s="78" t="e">
        <f>VLOOKUP(A763,'גיליון דאטה להכל'!A:H,5,0)</f>
        <v>#N/A</v>
      </c>
      <c r="R763" s="78" t="e">
        <f>VLOOKUP(A763,'לעדכן בסינתזה דאטה אריזה 42+24'!$A:$C,3,0)</f>
        <v>#N/A</v>
      </c>
    </row>
    <row r="764" spans="9:18" x14ac:dyDescent="0.2">
      <c r="I764" s="4"/>
      <c r="J764" s="4"/>
      <c r="Q764" s="78" t="e">
        <f>VLOOKUP(A764,'גיליון דאטה להכל'!A:H,5,0)</f>
        <v>#N/A</v>
      </c>
      <c r="R764" s="78" t="e">
        <f>VLOOKUP(A764,'לעדכן בסינתזה דאטה אריזה 42+24'!$A:$C,3,0)</f>
        <v>#N/A</v>
      </c>
    </row>
    <row r="765" spans="9:18" x14ac:dyDescent="0.2">
      <c r="I765" s="4"/>
      <c r="J765" s="4"/>
      <c r="Q765" s="78" t="e">
        <f>VLOOKUP(A765,'גיליון דאטה להכל'!A:H,5,0)</f>
        <v>#N/A</v>
      </c>
      <c r="R765" s="78" t="e">
        <f>VLOOKUP(A765,'לעדכן בסינתזה דאטה אריזה 42+24'!$A:$C,3,0)</f>
        <v>#N/A</v>
      </c>
    </row>
    <row r="766" spans="9:18" x14ac:dyDescent="0.2">
      <c r="I766" s="4"/>
      <c r="J766" s="4"/>
      <c r="Q766" s="78" t="e">
        <f>VLOOKUP(A766,'גיליון דאטה להכל'!A:H,5,0)</f>
        <v>#N/A</v>
      </c>
      <c r="R766" s="78" t="e">
        <f>VLOOKUP(A766,'לעדכן בסינתזה דאטה אריזה 42+24'!$A:$C,3,0)</f>
        <v>#N/A</v>
      </c>
    </row>
    <row r="767" spans="9:18" x14ac:dyDescent="0.2">
      <c r="I767" s="4"/>
      <c r="J767" s="4"/>
      <c r="Q767" s="78" t="e">
        <f>VLOOKUP(A767,'גיליון דאטה להכל'!A:H,5,0)</f>
        <v>#N/A</v>
      </c>
      <c r="R767" s="78" t="e">
        <f>VLOOKUP(A767,'לעדכן בסינתזה דאטה אריזה 42+24'!$A:$C,3,0)</f>
        <v>#N/A</v>
      </c>
    </row>
    <row r="768" spans="9:18" x14ac:dyDescent="0.2">
      <c r="I768" s="4"/>
      <c r="J768" s="4"/>
      <c r="Q768" s="78" t="e">
        <f>VLOOKUP(A768,'גיליון דאטה להכל'!A:H,5,0)</f>
        <v>#N/A</v>
      </c>
      <c r="R768" s="78" t="e">
        <f>VLOOKUP(A768,'לעדכן בסינתזה דאטה אריזה 42+24'!$A:$C,3,0)</f>
        <v>#N/A</v>
      </c>
    </row>
    <row r="769" spans="9:18" x14ac:dyDescent="0.2">
      <c r="I769" s="4"/>
      <c r="J769" s="4"/>
      <c r="Q769" s="78" t="e">
        <f>VLOOKUP(A769,'גיליון דאטה להכל'!A:H,5,0)</f>
        <v>#N/A</v>
      </c>
      <c r="R769" s="78" t="e">
        <f>VLOOKUP(A769,'לעדכן בסינתזה דאטה אריזה 42+24'!$A:$C,3,0)</f>
        <v>#N/A</v>
      </c>
    </row>
    <row r="770" spans="9:18" x14ac:dyDescent="0.2">
      <c r="I770" s="4"/>
      <c r="J770" s="4"/>
      <c r="Q770" s="78" t="e">
        <f>VLOOKUP(A770,'גיליון דאטה להכל'!A:H,5,0)</f>
        <v>#N/A</v>
      </c>
      <c r="R770" s="78" t="e">
        <f>VLOOKUP(A770,'לעדכן בסינתזה דאטה אריזה 42+24'!$A:$C,3,0)</f>
        <v>#N/A</v>
      </c>
    </row>
    <row r="771" spans="9:18" x14ac:dyDescent="0.2">
      <c r="I771" s="4"/>
      <c r="J771" s="4"/>
      <c r="Q771" s="78" t="e">
        <f>VLOOKUP(A771,'גיליון דאטה להכל'!A:H,5,0)</f>
        <v>#N/A</v>
      </c>
      <c r="R771" s="78" t="e">
        <f>VLOOKUP(A771,'לעדכן בסינתזה דאטה אריזה 42+24'!$A:$C,3,0)</f>
        <v>#N/A</v>
      </c>
    </row>
    <row r="772" spans="9:18" x14ac:dyDescent="0.2">
      <c r="I772" s="4"/>
      <c r="J772" s="4"/>
      <c r="Q772" s="78" t="e">
        <f>VLOOKUP(A772,'גיליון דאטה להכל'!A:H,5,0)</f>
        <v>#N/A</v>
      </c>
      <c r="R772" s="78" t="e">
        <f>VLOOKUP(A772,'לעדכן בסינתזה דאטה אריזה 42+24'!$A:$C,3,0)</f>
        <v>#N/A</v>
      </c>
    </row>
    <row r="773" spans="9:18" x14ac:dyDescent="0.2">
      <c r="I773" s="4"/>
      <c r="J773" s="4"/>
      <c r="Q773" s="78" t="e">
        <f>VLOOKUP(A773,'גיליון דאטה להכל'!A:H,5,0)</f>
        <v>#N/A</v>
      </c>
      <c r="R773" s="78" t="e">
        <f>VLOOKUP(A773,'לעדכן בסינתזה דאטה אריזה 42+24'!$A:$C,3,0)</f>
        <v>#N/A</v>
      </c>
    </row>
    <row r="774" spans="9:18" x14ac:dyDescent="0.2">
      <c r="I774" s="4"/>
      <c r="J774" s="4"/>
      <c r="Q774" s="78" t="e">
        <f>VLOOKUP(A774,'גיליון דאטה להכל'!A:H,5,0)</f>
        <v>#N/A</v>
      </c>
      <c r="R774" s="78" t="e">
        <f>VLOOKUP(A774,'לעדכן בסינתזה דאטה אריזה 42+24'!$A:$C,3,0)</f>
        <v>#N/A</v>
      </c>
    </row>
    <row r="775" spans="9:18" x14ac:dyDescent="0.2">
      <c r="I775" s="4"/>
      <c r="J775" s="4"/>
      <c r="Q775" s="78" t="e">
        <f>VLOOKUP(A775,'גיליון דאטה להכל'!A:H,5,0)</f>
        <v>#N/A</v>
      </c>
      <c r="R775" s="78" t="e">
        <f>VLOOKUP(A775,'לעדכן בסינתזה דאטה אריזה 42+24'!$A:$C,3,0)</f>
        <v>#N/A</v>
      </c>
    </row>
    <row r="776" spans="9:18" x14ac:dyDescent="0.2">
      <c r="I776" s="4"/>
      <c r="J776" s="4"/>
      <c r="Q776" s="78" t="e">
        <f>VLOOKUP(A776,'גיליון דאטה להכל'!A:H,5,0)</f>
        <v>#N/A</v>
      </c>
      <c r="R776" s="78" t="e">
        <f>VLOOKUP(A776,'לעדכן בסינתזה דאטה אריזה 42+24'!$A:$C,3,0)</f>
        <v>#N/A</v>
      </c>
    </row>
    <row r="777" spans="9:18" x14ac:dyDescent="0.2">
      <c r="I777" s="4"/>
      <c r="J777" s="4"/>
      <c r="Q777" s="78" t="e">
        <f>VLOOKUP(A777,'גיליון דאטה להכל'!A:H,5,0)</f>
        <v>#N/A</v>
      </c>
      <c r="R777" s="78" t="e">
        <f>VLOOKUP(A777,'לעדכן בסינתזה דאטה אריזה 42+24'!$A:$C,3,0)</f>
        <v>#N/A</v>
      </c>
    </row>
    <row r="778" spans="9:18" x14ac:dyDescent="0.2">
      <c r="I778" s="4"/>
      <c r="J778" s="4"/>
      <c r="Q778" s="78" t="e">
        <f>VLOOKUP(A778,'גיליון דאטה להכל'!A:H,5,0)</f>
        <v>#N/A</v>
      </c>
      <c r="R778" s="78" t="e">
        <f>VLOOKUP(A778,'לעדכן בסינתזה דאטה אריזה 42+24'!$A:$C,3,0)</f>
        <v>#N/A</v>
      </c>
    </row>
    <row r="779" spans="9:18" x14ac:dyDescent="0.2">
      <c r="I779" s="4"/>
      <c r="J779" s="4"/>
      <c r="Q779" s="78" t="e">
        <f>VLOOKUP(A779,'גיליון דאטה להכל'!A:H,5,0)</f>
        <v>#N/A</v>
      </c>
      <c r="R779" s="78" t="e">
        <f>VLOOKUP(A779,'לעדכן בסינתזה דאטה אריזה 42+24'!$A:$C,3,0)</f>
        <v>#N/A</v>
      </c>
    </row>
    <row r="780" spans="9:18" x14ac:dyDescent="0.2">
      <c r="I780" s="4"/>
      <c r="J780" s="4"/>
      <c r="Q780" s="78" t="e">
        <f>VLOOKUP(A780,'גיליון דאטה להכל'!A:H,5,0)</f>
        <v>#N/A</v>
      </c>
      <c r="R780" s="78" t="e">
        <f>VLOOKUP(A780,'לעדכן בסינתזה דאטה אריזה 42+24'!$A:$C,3,0)</f>
        <v>#N/A</v>
      </c>
    </row>
    <row r="781" spans="9:18" x14ac:dyDescent="0.2">
      <c r="I781" s="4"/>
      <c r="J781" s="4"/>
      <c r="Q781" s="78" t="e">
        <f>VLOOKUP(A781,'גיליון דאטה להכל'!A:H,5,0)</f>
        <v>#N/A</v>
      </c>
      <c r="R781" s="78" t="e">
        <f>VLOOKUP(A781,'לעדכן בסינתזה דאטה אריזה 42+24'!$A:$C,3,0)</f>
        <v>#N/A</v>
      </c>
    </row>
    <row r="782" spans="9:18" x14ac:dyDescent="0.2">
      <c r="I782" s="4"/>
      <c r="J782" s="4"/>
      <c r="Q782" s="78" t="e">
        <f>VLOOKUP(A782,'גיליון דאטה להכל'!A:H,5,0)</f>
        <v>#N/A</v>
      </c>
      <c r="R782" s="78" t="e">
        <f>VLOOKUP(A782,'לעדכן בסינתזה דאטה אריזה 42+24'!$A:$C,3,0)</f>
        <v>#N/A</v>
      </c>
    </row>
    <row r="783" spans="9:18" x14ac:dyDescent="0.2">
      <c r="I783" s="4"/>
      <c r="J783" s="4"/>
      <c r="Q783" s="78" t="e">
        <f>VLOOKUP(A783,'גיליון דאטה להכל'!A:H,5,0)</f>
        <v>#N/A</v>
      </c>
      <c r="R783" s="78" t="e">
        <f>VLOOKUP(A783,'לעדכן בסינתזה דאטה אריזה 42+24'!$A:$C,3,0)</f>
        <v>#N/A</v>
      </c>
    </row>
    <row r="784" spans="9:18" x14ac:dyDescent="0.2">
      <c r="I784" s="4"/>
      <c r="J784" s="4"/>
      <c r="Q784" s="78" t="e">
        <f>VLOOKUP(A784,'גיליון דאטה להכל'!A:H,5,0)</f>
        <v>#N/A</v>
      </c>
      <c r="R784" s="78" t="e">
        <f>VLOOKUP(A784,'לעדכן בסינתזה דאטה אריזה 42+24'!$A:$C,3,0)</f>
        <v>#N/A</v>
      </c>
    </row>
    <row r="785" spans="9:18" x14ac:dyDescent="0.2">
      <c r="I785" s="4"/>
      <c r="J785" s="4"/>
      <c r="Q785" s="78" t="e">
        <f>VLOOKUP(A785,'גיליון דאטה להכל'!A:H,5,0)</f>
        <v>#N/A</v>
      </c>
      <c r="R785" s="78" t="e">
        <f>VLOOKUP(A785,'לעדכן בסינתזה דאטה אריזה 42+24'!$A:$C,3,0)</f>
        <v>#N/A</v>
      </c>
    </row>
    <row r="786" spans="9:18" x14ac:dyDescent="0.2">
      <c r="I786" s="4"/>
      <c r="J786" s="4"/>
      <c r="Q786" s="78" t="e">
        <f>VLOOKUP(A786,'גיליון דאטה להכל'!A:H,5,0)</f>
        <v>#N/A</v>
      </c>
      <c r="R786" s="78" t="e">
        <f>VLOOKUP(A786,'לעדכן בסינתזה דאטה אריזה 42+24'!$A:$C,3,0)</f>
        <v>#N/A</v>
      </c>
    </row>
    <row r="787" spans="9:18" x14ac:dyDescent="0.2">
      <c r="I787" s="4"/>
      <c r="J787" s="4"/>
      <c r="Q787" s="78" t="e">
        <f>VLOOKUP(A787,'גיליון דאטה להכל'!A:H,5,0)</f>
        <v>#N/A</v>
      </c>
      <c r="R787" s="78" t="e">
        <f>VLOOKUP(A787,'לעדכן בסינתזה דאטה אריזה 42+24'!$A:$C,3,0)</f>
        <v>#N/A</v>
      </c>
    </row>
    <row r="788" spans="9:18" x14ac:dyDescent="0.2">
      <c r="I788" s="4"/>
      <c r="J788" s="4"/>
      <c r="Q788" s="78" t="e">
        <f>VLOOKUP(A788,'גיליון דאטה להכל'!A:H,5,0)</f>
        <v>#N/A</v>
      </c>
      <c r="R788" s="78" t="e">
        <f>VLOOKUP(A788,'לעדכן בסינתזה דאטה אריזה 42+24'!$A:$C,3,0)</f>
        <v>#N/A</v>
      </c>
    </row>
    <row r="789" spans="9:18" x14ac:dyDescent="0.2">
      <c r="I789" s="4"/>
      <c r="J789" s="4"/>
      <c r="Q789" s="78" t="e">
        <f>VLOOKUP(A789,'גיליון דאטה להכל'!A:H,5,0)</f>
        <v>#N/A</v>
      </c>
      <c r="R789" s="78" t="e">
        <f>VLOOKUP(A789,'לעדכן בסינתזה דאטה אריזה 42+24'!$A:$C,3,0)</f>
        <v>#N/A</v>
      </c>
    </row>
    <row r="790" spans="9:18" x14ac:dyDescent="0.2">
      <c r="I790" s="4"/>
      <c r="J790" s="4"/>
      <c r="Q790" s="78" t="e">
        <f>VLOOKUP(A790,'גיליון דאטה להכל'!A:H,5,0)</f>
        <v>#N/A</v>
      </c>
      <c r="R790" s="78" t="e">
        <f>VLOOKUP(A790,'לעדכן בסינתזה דאטה אריזה 42+24'!$A:$C,3,0)</f>
        <v>#N/A</v>
      </c>
    </row>
    <row r="791" spans="9:18" x14ac:dyDescent="0.2">
      <c r="I791" s="4"/>
      <c r="J791" s="4"/>
      <c r="Q791" s="78" t="e">
        <f>VLOOKUP(A791,'גיליון דאטה להכל'!A:H,5,0)</f>
        <v>#N/A</v>
      </c>
      <c r="R791" s="78" t="e">
        <f>VLOOKUP(A791,'לעדכן בסינתזה דאטה אריזה 42+24'!$A:$C,3,0)</f>
        <v>#N/A</v>
      </c>
    </row>
    <row r="792" spans="9:18" x14ac:dyDescent="0.2">
      <c r="I792" s="4"/>
      <c r="J792" s="4"/>
      <c r="Q792" s="78" t="e">
        <f>VLOOKUP(A792,'גיליון דאטה להכל'!A:H,5,0)</f>
        <v>#N/A</v>
      </c>
      <c r="R792" s="78" t="e">
        <f>VLOOKUP(A792,'לעדכן בסינתזה דאטה אריזה 42+24'!$A:$C,3,0)</f>
        <v>#N/A</v>
      </c>
    </row>
    <row r="793" spans="9:18" x14ac:dyDescent="0.2">
      <c r="I793" s="4"/>
      <c r="J793" s="4"/>
      <c r="Q793" s="78" t="e">
        <f>VLOOKUP(A793,'גיליון דאטה להכל'!A:H,5,0)</f>
        <v>#N/A</v>
      </c>
      <c r="R793" s="78" t="e">
        <f>VLOOKUP(A793,'לעדכן בסינתזה דאטה אריזה 42+24'!$A:$C,3,0)</f>
        <v>#N/A</v>
      </c>
    </row>
    <row r="794" spans="9:18" x14ac:dyDescent="0.2">
      <c r="I794" s="4"/>
      <c r="J794" s="4"/>
      <c r="Q794" s="78" t="e">
        <f>VLOOKUP(A794,'גיליון דאטה להכל'!A:H,5,0)</f>
        <v>#N/A</v>
      </c>
      <c r="R794" s="78" t="e">
        <f>VLOOKUP(A794,'לעדכן בסינתזה דאטה אריזה 42+24'!$A:$C,3,0)</f>
        <v>#N/A</v>
      </c>
    </row>
    <row r="795" spans="9:18" x14ac:dyDescent="0.2">
      <c r="I795" s="4"/>
      <c r="J795" s="4"/>
      <c r="Q795" s="78" t="e">
        <f>VLOOKUP(A795,'גיליון דאטה להכל'!A:H,5,0)</f>
        <v>#N/A</v>
      </c>
      <c r="R795" s="78" t="e">
        <f>VLOOKUP(A795,'לעדכן בסינתזה דאטה אריזה 42+24'!$A:$C,3,0)</f>
        <v>#N/A</v>
      </c>
    </row>
    <row r="796" spans="9:18" x14ac:dyDescent="0.2">
      <c r="I796" s="4"/>
      <c r="J796" s="4"/>
      <c r="Q796" s="78" t="e">
        <f>VLOOKUP(A796,'גיליון דאטה להכל'!A:H,5,0)</f>
        <v>#N/A</v>
      </c>
      <c r="R796" s="78" t="e">
        <f>VLOOKUP(A796,'לעדכן בסינתזה דאטה אריזה 42+24'!$A:$C,3,0)</f>
        <v>#N/A</v>
      </c>
    </row>
    <row r="797" spans="9:18" x14ac:dyDescent="0.2">
      <c r="I797" s="4"/>
      <c r="J797" s="4"/>
      <c r="Q797" s="78" t="e">
        <f>VLOOKUP(A797,'גיליון דאטה להכל'!A:H,5,0)</f>
        <v>#N/A</v>
      </c>
      <c r="R797" s="78" t="e">
        <f>VLOOKUP(A797,'לעדכן בסינתזה דאטה אריזה 42+24'!$A:$C,3,0)</f>
        <v>#N/A</v>
      </c>
    </row>
    <row r="798" spans="9:18" x14ac:dyDescent="0.2">
      <c r="I798" s="4"/>
      <c r="J798" s="4"/>
      <c r="Q798" s="78" t="e">
        <f>VLOOKUP(A798,'גיליון דאטה להכל'!A:H,5,0)</f>
        <v>#N/A</v>
      </c>
      <c r="R798" s="78" t="e">
        <f>VLOOKUP(A798,'לעדכן בסינתזה דאטה אריזה 42+24'!$A:$C,3,0)</f>
        <v>#N/A</v>
      </c>
    </row>
    <row r="799" spans="9:18" x14ac:dyDescent="0.2">
      <c r="I799" s="4"/>
      <c r="J799" s="4"/>
      <c r="Q799" s="78" t="e">
        <f>VLOOKUP(A799,'גיליון דאטה להכל'!A:H,5,0)</f>
        <v>#N/A</v>
      </c>
      <c r="R799" s="78" t="e">
        <f>VLOOKUP(A799,'לעדכן בסינתזה דאטה אריזה 42+24'!$A:$C,3,0)</f>
        <v>#N/A</v>
      </c>
    </row>
    <row r="800" spans="9:18" x14ac:dyDescent="0.2">
      <c r="I800" s="4"/>
      <c r="J800" s="4"/>
      <c r="Q800" s="78" t="e">
        <f>VLOOKUP(A800,'גיליון דאטה להכל'!A:H,5,0)</f>
        <v>#N/A</v>
      </c>
      <c r="R800" s="78" t="e">
        <f>VLOOKUP(A800,'לעדכן בסינתזה דאטה אריזה 42+24'!$A:$C,3,0)</f>
        <v>#N/A</v>
      </c>
    </row>
    <row r="801" spans="9:18" x14ac:dyDescent="0.2">
      <c r="I801" s="4"/>
      <c r="J801" s="4"/>
      <c r="Q801" s="78" t="e">
        <f>VLOOKUP(A801,'גיליון דאטה להכל'!A:H,5,0)</f>
        <v>#N/A</v>
      </c>
      <c r="R801" s="78" t="e">
        <f>VLOOKUP(A801,'לעדכן בסינתזה דאטה אריזה 42+24'!$A:$C,3,0)</f>
        <v>#N/A</v>
      </c>
    </row>
    <row r="802" spans="9:18" x14ac:dyDescent="0.2">
      <c r="I802" s="4"/>
      <c r="J802" s="4"/>
      <c r="Q802" s="78" t="e">
        <f>VLOOKUP(A802,'גיליון דאטה להכל'!A:H,5,0)</f>
        <v>#N/A</v>
      </c>
      <c r="R802" s="78" t="e">
        <f>VLOOKUP(A802,'לעדכן בסינתזה דאטה אריזה 42+24'!$A:$C,3,0)</f>
        <v>#N/A</v>
      </c>
    </row>
    <row r="803" spans="9:18" x14ac:dyDescent="0.2">
      <c r="I803" s="4"/>
      <c r="J803" s="4"/>
      <c r="Q803" s="78" t="e">
        <f>VLOOKUP(A803,'גיליון דאטה להכל'!A:H,5,0)</f>
        <v>#N/A</v>
      </c>
      <c r="R803" s="78" t="e">
        <f>VLOOKUP(A803,'לעדכן בסינתזה דאטה אריזה 42+24'!$A:$C,3,0)</f>
        <v>#N/A</v>
      </c>
    </row>
    <row r="804" spans="9:18" x14ac:dyDescent="0.2">
      <c r="I804" s="4"/>
      <c r="J804" s="4"/>
      <c r="Q804" s="78" t="e">
        <f>VLOOKUP(A804,'גיליון דאטה להכל'!A:H,5,0)</f>
        <v>#N/A</v>
      </c>
      <c r="R804" s="78" t="e">
        <f>VLOOKUP(A804,'לעדכן בסינתזה דאטה אריזה 42+24'!$A:$C,3,0)</f>
        <v>#N/A</v>
      </c>
    </row>
    <row r="805" spans="9:18" x14ac:dyDescent="0.2">
      <c r="I805" s="4"/>
      <c r="J805" s="4"/>
      <c r="Q805" s="78" t="e">
        <f>VLOOKUP(A805,'גיליון דאטה להכל'!A:H,5,0)</f>
        <v>#N/A</v>
      </c>
      <c r="R805" s="78" t="e">
        <f>VLOOKUP(A805,'לעדכן בסינתזה דאטה אריזה 42+24'!$A:$C,3,0)</f>
        <v>#N/A</v>
      </c>
    </row>
    <row r="806" spans="9:18" x14ac:dyDescent="0.2">
      <c r="I806" s="4"/>
      <c r="J806" s="4"/>
      <c r="Q806" s="78" t="e">
        <f>VLOOKUP(A806,'גיליון דאטה להכל'!A:H,5,0)</f>
        <v>#N/A</v>
      </c>
      <c r="R806" s="78" t="e">
        <f>VLOOKUP(A806,'לעדכן בסינתזה דאטה אריזה 42+24'!$A:$C,3,0)</f>
        <v>#N/A</v>
      </c>
    </row>
    <row r="807" spans="9:18" x14ac:dyDescent="0.2">
      <c r="I807" s="4"/>
      <c r="J807" s="4"/>
      <c r="Q807" s="78" t="e">
        <f>VLOOKUP(A807,'גיליון דאטה להכל'!A:H,5,0)</f>
        <v>#N/A</v>
      </c>
      <c r="R807" s="78" t="e">
        <f>VLOOKUP(A807,'לעדכן בסינתזה דאטה אריזה 42+24'!$A:$C,3,0)</f>
        <v>#N/A</v>
      </c>
    </row>
    <row r="808" spans="9:18" x14ac:dyDescent="0.2">
      <c r="I808" s="4"/>
      <c r="J808" s="4"/>
      <c r="Q808" s="78" t="e">
        <f>VLOOKUP(A808,'גיליון דאטה להכל'!A:H,5,0)</f>
        <v>#N/A</v>
      </c>
      <c r="R808" s="78" t="e">
        <f>VLOOKUP(A808,'לעדכן בסינתזה דאטה אריזה 42+24'!$A:$C,3,0)</f>
        <v>#N/A</v>
      </c>
    </row>
    <row r="809" spans="9:18" x14ac:dyDescent="0.2">
      <c r="I809" s="4"/>
      <c r="J809" s="4"/>
      <c r="Q809" s="78" t="e">
        <f>VLOOKUP(A809,'גיליון דאטה להכל'!A:H,5,0)</f>
        <v>#N/A</v>
      </c>
      <c r="R809" s="78" t="e">
        <f>VLOOKUP(A809,'לעדכן בסינתזה דאטה אריזה 42+24'!$A:$C,3,0)</f>
        <v>#N/A</v>
      </c>
    </row>
    <row r="810" spans="9:18" x14ac:dyDescent="0.2">
      <c r="I810" s="4"/>
      <c r="J810" s="4"/>
      <c r="Q810" s="78" t="e">
        <f>VLOOKUP(A810,'גיליון דאטה להכל'!A:H,5,0)</f>
        <v>#N/A</v>
      </c>
      <c r="R810" s="78" t="e">
        <f>VLOOKUP(A810,'לעדכן בסינתזה דאטה אריזה 42+24'!$A:$C,3,0)</f>
        <v>#N/A</v>
      </c>
    </row>
    <row r="811" spans="9:18" x14ac:dyDescent="0.2">
      <c r="I811" s="4"/>
      <c r="J811" s="4"/>
      <c r="Q811" s="78" t="e">
        <f>VLOOKUP(A811,'גיליון דאטה להכל'!A:H,5,0)</f>
        <v>#N/A</v>
      </c>
      <c r="R811" s="78" t="e">
        <f>VLOOKUP(A811,'לעדכן בסינתזה דאטה אריזה 42+24'!$A:$C,3,0)</f>
        <v>#N/A</v>
      </c>
    </row>
    <row r="812" spans="9:18" x14ac:dyDescent="0.2">
      <c r="I812" s="4"/>
      <c r="J812" s="4"/>
      <c r="Q812" s="78" t="e">
        <f>VLOOKUP(A812,'גיליון דאטה להכל'!A:H,5,0)</f>
        <v>#N/A</v>
      </c>
      <c r="R812" s="78" t="e">
        <f>VLOOKUP(A812,'לעדכן בסינתזה דאטה אריזה 42+24'!$A:$C,3,0)</f>
        <v>#N/A</v>
      </c>
    </row>
    <row r="813" spans="9:18" x14ac:dyDescent="0.2">
      <c r="I813" s="4"/>
      <c r="J813" s="4"/>
      <c r="Q813" s="78" t="e">
        <f>VLOOKUP(A813,'גיליון דאטה להכל'!A:H,5,0)</f>
        <v>#N/A</v>
      </c>
      <c r="R813" s="78" t="e">
        <f>VLOOKUP(A813,'לעדכן בסינתזה דאטה אריזה 42+24'!$A:$C,3,0)</f>
        <v>#N/A</v>
      </c>
    </row>
    <row r="814" spans="9:18" x14ac:dyDescent="0.2">
      <c r="I814" s="4"/>
      <c r="J814" s="4"/>
      <c r="Q814" s="78" t="e">
        <f>VLOOKUP(A814,'גיליון דאטה להכל'!A:H,5,0)</f>
        <v>#N/A</v>
      </c>
      <c r="R814" s="78" t="e">
        <f>VLOOKUP(A814,'לעדכן בסינתזה דאטה אריזה 42+24'!$A:$C,3,0)</f>
        <v>#N/A</v>
      </c>
    </row>
    <row r="815" spans="9:18" x14ac:dyDescent="0.2">
      <c r="I815" s="4"/>
      <c r="J815" s="4"/>
      <c r="Q815" s="78" t="e">
        <f>VLOOKUP(A815,'גיליון דאטה להכל'!A:H,5,0)</f>
        <v>#N/A</v>
      </c>
      <c r="R815" s="78" t="e">
        <f>VLOOKUP(A815,'לעדכן בסינתזה דאטה אריזה 42+24'!$A:$C,3,0)</f>
        <v>#N/A</v>
      </c>
    </row>
    <row r="816" spans="9:18" x14ac:dyDescent="0.2">
      <c r="I816" s="4"/>
      <c r="J816" s="4"/>
      <c r="Q816" s="78" t="e">
        <f>VLOOKUP(A816,'גיליון דאטה להכל'!A:H,5,0)</f>
        <v>#N/A</v>
      </c>
      <c r="R816" s="78" t="e">
        <f>VLOOKUP(A816,'לעדכן בסינתזה דאטה אריזה 42+24'!$A:$C,3,0)</f>
        <v>#N/A</v>
      </c>
    </row>
    <row r="817" spans="9:18" x14ac:dyDescent="0.2">
      <c r="I817" s="4"/>
      <c r="J817" s="4"/>
      <c r="Q817" s="78" t="e">
        <f>VLOOKUP(A817,'גיליון דאטה להכל'!A:H,5,0)</f>
        <v>#N/A</v>
      </c>
      <c r="R817" s="78" t="e">
        <f>VLOOKUP(A817,'לעדכן בסינתזה דאטה אריזה 42+24'!$A:$C,3,0)</f>
        <v>#N/A</v>
      </c>
    </row>
    <row r="818" spans="9:18" x14ac:dyDescent="0.2">
      <c r="I818" s="4"/>
      <c r="J818" s="4"/>
      <c r="Q818" s="78" t="e">
        <f>VLOOKUP(A818,'גיליון דאטה להכל'!A:H,5,0)</f>
        <v>#N/A</v>
      </c>
      <c r="R818" s="78" t="e">
        <f>VLOOKUP(A818,'לעדכן בסינתזה דאטה אריזה 42+24'!$A:$C,3,0)</f>
        <v>#N/A</v>
      </c>
    </row>
    <row r="819" spans="9:18" x14ac:dyDescent="0.2">
      <c r="I819" s="4"/>
      <c r="J819" s="4"/>
      <c r="Q819" s="78" t="e">
        <f>VLOOKUP(A819,'גיליון דאטה להכל'!A:H,5,0)</f>
        <v>#N/A</v>
      </c>
      <c r="R819" s="78" t="e">
        <f>VLOOKUP(A819,'לעדכן בסינתזה דאטה אריזה 42+24'!$A:$C,3,0)</f>
        <v>#N/A</v>
      </c>
    </row>
    <row r="820" spans="9:18" x14ac:dyDescent="0.2">
      <c r="I820" s="4"/>
      <c r="J820" s="4"/>
      <c r="Q820" s="78" t="e">
        <f>VLOOKUP(A820,'גיליון דאטה להכל'!A:H,5,0)</f>
        <v>#N/A</v>
      </c>
      <c r="R820" s="78" t="e">
        <f>VLOOKUP(A820,'לעדכן בסינתזה דאטה אריזה 42+24'!$A:$C,3,0)</f>
        <v>#N/A</v>
      </c>
    </row>
    <row r="821" spans="9:18" x14ac:dyDescent="0.2">
      <c r="I821" s="4"/>
      <c r="J821" s="4"/>
      <c r="Q821" s="78" t="e">
        <f>VLOOKUP(A821,'גיליון דאטה להכל'!A:H,5,0)</f>
        <v>#N/A</v>
      </c>
      <c r="R821" s="78" t="e">
        <f>VLOOKUP(A821,'לעדכן בסינתזה דאטה אריזה 42+24'!$A:$C,3,0)</f>
        <v>#N/A</v>
      </c>
    </row>
    <row r="822" spans="9:18" x14ac:dyDescent="0.2">
      <c r="I822" s="4"/>
      <c r="J822" s="4"/>
      <c r="Q822" s="78" t="e">
        <f>VLOOKUP(A822,'גיליון דאטה להכל'!A:H,5,0)</f>
        <v>#N/A</v>
      </c>
      <c r="R822" s="78" t="e">
        <f>VLOOKUP(A822,'לעדכן בסינתזה דאטה אריזה 42+24'!$A:$C,3,0)</f>
        <v>#N/A</v>
      </c>
    </row>
    <row r="823" spans="9:18" x14ac:dyDescent="0.2">
      <c r="I823" s="4"/>
      <c r="J823" s="4"/>
      <c r="Q823" s="78" t="e">
        <f>VLOOKUP(A823,'גיליון דאטה להכל'!A:H,5,0)</f>
        <v>#N/A</v>
      </c>
      <c r="R823" s="78" t="e">
        <f>VLOOKUP(A823,'לעדכן בסינתזה דאטה אריזה 42+24'!$A:$C,3,0)</f>
        <v>#N/A</v>
      </c>
    </row>
    <row r="824" spans="9:18" x14ac:dyDescent="0.2">
      <c r="I824" s="4"/>
      <c r="J824" s="4"/>
      <c r="Q824" s="78" t="e">
        <f>VLOOKUP(A824,'גיליון דאטה להכל'!A:H,5,0)</f>
        <v>#N/A</v>
      </c>
      <c r="R824" s="78" t="e">
        <f>VLOOKUP(A824,'לעדכן בסינתזה דאטה אריזה 42+24'!$A:$C,3,0)</f>
        <v>#N/A</v>
      </c>
    </row>
    <row r="825" spans="9:18" x14ac:dyDescent="0.2">
      <c r="I825" s="4"/>
      <c r="J825" s="4"/>
      <c r="Q825" s="78" t="e">
        <f>VLOOKUP(A825,'גיליון דאטה להכל'!A:H,5,0)</f>
        <v>#N/A</v>
      </c>
      <c r="R825" s="78" t="e">
        <f>VLOOKUP(A825,'לעדכן בסינתזה דאטה אריזה 42+24'!$A:$C,3,0)</f>
        <v>#N/A</v>
      </c>
    </row>
    <row r="826" spans="9:18" x14ac:dyDescent="0.2">
      <c r="I826" s="4"/>
      <c r="J826" s="4"/>
      <c r="Q826" s="78" t="e">
        <f>VLOOKUP(A826,'גיליון דאטה להכל'!A:H,5,0)</f>
        <v>#N/A</v>
      </c>
      <c r="R826" s="78" t="e">
        <f>VLOOKUP(A826,'לעדכן בסינתזה דאטה אריזה 42+24'!$A:$C,3,0)</f>
        <v>#N/A</v>
      </c>
    </row>
    <row r="827" spans="9:18" x14ac:dyDescent="0.2">
      <c r="I827" s="4"/>
      <c r="J827" s="4"/>
      <c r="Q827" s="78" t="e">
        <f>VLOOKUP(A827,'גיליון דאטה להכל'!A:H,5,0)</f>
        <v>#N/A</v>
      </c>
      <c r="R827" s="78" t="e">
        <f>VLOOKUP(A827,'לעדכן בסינתזה דאטה אריזה 42+24'!$A:$C,3,0)</f>
        <v>#N/A</v>
      </c>
    </row>
    <row r="828" spans="9:18" x14ac:dyDescent="0.2">
      <c r="I828" s="4"/>
      <c r="J828" s="4"/>
      <c r="Q828" s="78" t="e">
        <f>VLOOKUP(A828,'גיליון דאטה להכל'!A:H,5,0)</f>
        <v>#N/A</v>
      </c>
      <c r="R828" s="78" t="e">
        <f>VLOOKUP(A828,'לעדכן בסינתזה דאטה אריזה 42+24'!$A:$C,3,0)</f>
        <v>#N/A</v>
      </c>
    </row>
    <row r="829" spans="9:18" x14ac:dyDescent="0.2">
      <c r="I829" s="4"/>
      <c r="J829" s="4"/>
      <c r="Q829" s="78" t="e">
        <f>VLOOKUP(A829,'גיליון דאטה להכל'!A:H,5,0)</f>
        <v>#N/A</v>
      </c>
      <c r="R829" s="78" t="e">
        <f>VLOOKUP(A829,'לעדכן בסינתזה דאטה אריזה 42+24'!$A:$C,3,0)</f>
        <v>#N/A</v>
      </c>
    </row>
    <row r="830" spans="9:18" x14ac:dyDescent="0.2">
      <c r="I830" s="4"/>
      <c r="J830" s="4"/>
      <c r="Q830" s="78" t="e">
        <f>VLOOKUP(A830,'גיליון דאטה להכל'!A:H,5,0)</f>
        <v>#N/A</v>
      </c>
      <c r="R830" s="78" t="e">
        <f>VLOOKUP(A830,'לעדכן בסינתזה דאטה אריזה 42+24'!$A:$C,3,0)</f>
        <v>#N/A</v>
      </c>
    </row>
    <row r="831" spans="9:18" x14ac:dyDescent="0.2">
      <c r="I831" s="4"/>
      <c r="J831" s="4"/>
      <c r="Q831" s="78" t="e">
        <f>VLOOKUP(A831,'גיליון דאטה להכל'!A:H,5,0)</f>
        <v>#N/A</v>
      </c>
      <c r="R831" s="78" t="e">
        <f>VLOOKUP(A831,'לעדכן בסינתזה דאטה אריזה 42+24'!$A:$C,3,0)</f>
        <v>#N/A</v>
      </c>
    </row>
    <row r="832" spans="9:18" x14ac:dyDescent="0.2">
      <c r="I832" s="4"/>
      <c r="J832" s="4"/>
      <c r="Q832" s="78" t="e">
        <f>VLOOKUP(A832,'גיליון דאטה להכל'!A:H,5,0)</f>
        <v>#N/A</v>
      </c>
      <c r="R832" s="78" t="e">
        <f>VLOOKUP(A832,'לעדכן בסינתזה דאטה אריזה 42+24'!$A:$C,3,0)</f>
        <v>#N/A</v>
      </c>
    </row>
    <row r="833" spans="9:18" x14ac:dyDescent="0.2">
      <c r="I833" s="4"/>
      <c r="J833" s="4"/>
      <c r="Q833" s="78" t="e">
        <f>VLOOKUP(A833,'גיליון דאטה להכל'!A:H,5,0)</f>
        <v>#N/A</v>
      </c>
      <c r="R833" s="78" t="e">
        <f>VLOOKUP(A833,'לעדכן בסינתזה דאטה אריזה 42+24'!$A:$C,3,0)</f>
        <v>#N/A</v>
      </c>
    </row>
    <row r="834" spans="9:18" x14ac:dyDescent="0.2">
      <c r="I834" s="4"/>
      <c r="J834" s="4"/>
      <c r="Q834" s="78" t="e">
        <f>VLOOKUP(A834,'גיליון דאטה להכל'!A:H,5,0)</f>
        <v>#N/A</v>
      </c>
      <c r="R834" s="78" t="e">
        <f>VLOOKUP(A834,'לעדכן בסינתזה דאטה אריזה 42+24'!$A:$C,3,0)</f>
        <v>#N/A</v>
      </c>
    </row>
    <row r="835" spans="9:18" x14ac:dyDescent="0.2">
      <c r="I835" s="4"/>
      <c r="J835" s="4"/>
      <c r="Q835" s="78" t="e">
        <f>VLOOKUP(A835,'גיליון דאטה להכל'!A:H,5,0)</f>
        <v>#N/A</v>
      </c>
      <c r="R835" s="78" t="e">
        <f>VLOOKUP(A835,'לעדכן בסינתזה דאטה אריזה 42+24'!$A:$C,3,0)</f>
        <v>#N/A</v>
      </c>
    </row>
    <row r="836" spans="9:18" x14ac:dyDescent="0.2">
      <c r="I836" s="4"/>
      <c r="J836" s="4"/>
      <c r="Q836" s="78" t="e">
        <f>VLOOKUP(A836,'גיליון דאטה להכל'!A:H,5,0)</f>
        <v>#N/A</v>
      </c>
      <c r="R836" s="78" t="e">
        <f>VLOOKUP(A836,'לעדכן בסינתזה דאטה אריזה 42+24'!$A:$C,3,0)</f>
        <v>#N/A</v>
      </c>
    </row>
    <row r="837" spans="9:18" x14ac:dyDescent="0.2">
      <c r="I837" s="4"/>
      <c r="J837" s="4"/>
      <c r="Q837" s="78" t="e">
        <f>VLOOKUP(A837,'גיליון דאטה להכל'!A:H,5,0)</f>
        <v>#N/A</v>
      </c>
      <c r="R837" s="78" t="e">
        <f>VLOOKUP(A837,'לעדכן בסינתזה דאטה אריזה 42+24'!$A:$C,3,0)</f>
        <v>#N/A</v>
      </c>
    </row>
    <row r="838" spans="9:18" x14ac:dyDescent="0.2">
      <c r="I838" s="4"/>
      <c r="J838" s="4"/>
      <c r="Q838" s="78" t="e">
        <f>VLOOKUP(A838,'גיליון דאטה להכל'!A:H,5,0)</f>
        <v>#N/A</v>
      </c>
      <c r="R838" s="78" t="e">
        <f>VLOOKUP(A838,'לעדכן בסינתזה דאטה אריזה 42+24'!$A:$C,3,0)</f>
        <v>#N/A</v>
      </c>
    </row>
    <row r="839" spans="9:18" x14ac:dyDescent="0.2">
      <c r="I839" s="4"/>
      <c r="J839" s="4"/>
      <c r="Q839" s="78" t="e">
        <f>VLOOKUP(A839,'גיליון דאטה להכל'!A:H,5,0)</f>
        <v>#N/A</v>
      </c>
      <c r="R839" s="78" t="e">
        <f>VLOOKUP(A839,'לעדכן בסינתזה דאטה אריזה 42+24'!$A:$C,3,0)</f>
        <v>#N/A</v>
      </c>
    </row>
    <row r="840" spans="9:18" x14ac:dyDescent="0.2">
      <c r="I840" s="4"/>
      <c r="J840" s="4"/>
      <c r="Q840" s="78" t="e">
        <f>VLOOKUP(A840,'גיליון דאטה להכל'!A:H,5,0)</f>
        <v>#N/A</v>
      </c>
      <c r="R840" s="78" t="e">
        <f>VLOOKUP(A840,'לעדכן בסינתזה דאטה אריזה 42+24'!$A:$C,3,0)</f>
        <v>#N/A</v>
      </c>
    </row>
    <row r="841" spans="9:18" x14ac:dyDescent="0.2">
      <c r="I841" s="4"/>
      <c r="J841" s="4"/>
      <c r="Q841" s="78" t="e">
        <f>VLOOKUP(A841,'גיליון דאטה להכל'!A:H,5,0)</f>
        <v>#N/A</v>
      </c>
      <c r="R841" s="78" t="e">
        <f>VLOOKUP(A841,'לעדכן בסינתזה דאטה אריזה 42+24'!$A:$C,3,0)</f>
        <v>#N/A</v>
      </c>
    </row>
    <row r="842" spans="9:18" x14ac:dyDescent="0.2">
      <c r="I842" s="4"/>
      <c r="J842" s="4"/>
      <c r="Q842" s="78" t="e">
        <f>VLOOKUP(A842,'גיליון דאטה להכל'!A:H,5,0)</f>
        <v>#N/A</v>
      </c>
      <c r="R842" s="78" t="e">
        <f>VLOOKUP(A842,'לעדכן בסינתזה דאטה אריזה 42+24'!$A:$C,3,0)</f>
        <v>#N/A</v>
      </c>
    </row>
    <row r="843" spans="9:18" x14ac:dyDescent="0.2">
      <c r="I843" s="4"/>
      <c r="J843" s="4"/>
      <c r="Q843" s="78" t="e">
        <f>VLOOKUP(A843,'גיליון דאטה להכל'!A:H,5,0)</f>
        <v>#N/A</v>
      </c>
      <c r="R843" s="78" t="e">
        <f>VLOOKUP(A843,'לעדכן בסינתזה דאטה אריזה 42+24'!$A:$C,3,0)</f>
        <v>#N/A</v>
      </c>
    </row>
    <row r="844" spans="9:18" x14ac:dyDescent="0.2">
      <c r="I844" s="4"/>
      <c r="J844" s="4"/>
      <c r="Q844" s="78" t="e">
        <f>VLOOKUP(A844,'גיליון דאטה להכל'!A:H,5,0)</f>
        <v>#N/A</v>
      </c>
      <c r="R844" s="78" t="e">
        <f>VLOOKUP(A844,'לעדכן בסינתזה דאטה אריזה 42+24'!$A:$C,3,0)</f>
        <v>#N/A</v>
      </c>
    </row>
    <row r="845" spans="9:18" x14ac:dyDescent="0.2">
      <c r="I845" s="4"/>
      <c r="J845" s="4"/>
      <c r="Q845" s="78" t="e">
        <f>VLOOKUP(A845,'גיליון דאטה להכל'!A:H,5,0)</f>
        <v>#N/A</v>
      </c>
      <c r="R845" s="78" t="e">
        <f>VLOOKUP(A845,'לעדכן בסינתזה דאטה אריזה 42+24'!$A:$C,3,0)</f>
        <v>#N/A</v>
      </c>
    </row>
    <row r="846" spans="9:18" x14ac:dyDescent="0.2">
      <c r="I846" s="4"/>
      <c r="J846" s="4"/>
      <c r="Q846" s="78" t="e">
        <f>VLOOKUP(A846,'גיליון דאטה להכל'!A:H,5,0)</f>
        <v>#N/A</v>
      </c>
      <c r="R846" s="78" t="e">
        <f>VLOOKUP(A846,'לעדכן בסינתזה דאטה אריזה 42+24'!$A:$C,3,0)</f>
        <v>#N/A</v>
      </c>
    </row>
    <row r="847" spans="9:18" x14ac:dyDescent="0.2">
      <c r="I847" s="4"/>
      <c r="J847" s="4"/>
      <c r="Q847" s="78" t="e">
        <f>VLOOKUP(A847,'גיליון דאטה להכל'!A:H,5,0)</f>
        <v>#N/A</v>
      </c>
      <c r="R847" s="78" t="e">
        <f>VLOOKUP(A847,'לעדכן בסינתזה דאטה אריזה 42+24'!$A:$C,3,0)</f>
        <v>#N/A</v>
      </c>
    </row>
    <row r="848" spans="9:18" x14ac:dyDescent="0.2">
      <c r="I848" s="4"/>
      <c r="J848" s="4"/>
      <c r="Q848" s="78" t="e">
        <f>VLOOKUP(A848,'גיליון דאטה להכל'!A:H,5,0)</f>
        <v>#N/A</v>
      </c>
      <c r="R848" s="78" t="e">
        <f>VLOOKUP(A848,'לעדכן בסינתזה דאטה אריזה 42+24'!$A:$C,3,0)</f>
        <v>#N/A</v>
      </c>
    </row>
    <row r="849" spans="9:18" x14ac:dyDescent="0.2">
      <c r="I849" s="4"/>
      <c r="J849" s="4"/>
      <c r="Q849" s="78" t="e">
        <f>VLOOKUP(A849,'גיליון דאטה להכל'!A:H,5,0)</f>
        <v>#N/A</v>
      </c>
      <c r="R849" s="78" t="e">
        <f>VLOOKUP(A849,'לעדכן בסינתזה דאטה אריזה 42+24'!$A:$C,3,0)</f>
        <v>#N/A</v>
      </c>
    </row>
    <row r="850" spans="9:18" x14ac:dyDescent="0.2">
      <c r="I850" s="4"/>
      <c r="J850" s="4"/>
      <c r="Q850" s="78" t="e">
        <f>VLOOKUP(A850,'גיליון דאטה להכל'!A:H,5,0)</f>
        <v>#N/A</v>
      </c>
      <c r="R850" s="78" t="e">
        <f>VLOOKUP(A850,'לעדכן בסינתזה דאטה אריזה 42+24'!$A:$C,3,0)</f>
        <v>#N/A</v>
      </c>
    </row>
    <row r="851" spans="9:18" x14ac:dyDescent="0.2">
      <c r="I851" s="4"/>
      <c r="J851" s="4"/>
      <c r="Q851" s="78" t="e">
        <f>VLOOKUP(A851,'גיליון דאטה להכל'!A:H,5,0)</f>
        <v>#N/A</v>
      </c>
      <c r="R851" s="78" t="e">
        <f>VLOOKUP(A851,'לעדכן בסינתזה דאטה אריזה 42+24'!$A:$C,3,0)</f>
        <v>#N/A</v>
      </c>
    </row>
    <row r="852" spans="9:18" x14ac:dyDescent="0.2">
      <c r="I852" s="4"/>
      <c r="J852" s="4"/>
      <c r="Q852" s="78" t="e">
        <f>VLOOKUP(A852,'גיליון דאטה להכל'!A:H,5,0)</f>
        <v>#N/A</v>
      </c>
      <c r="R852" s="78" t="e">
        <f>VLOOKUP(A852,'לעדכן בסינתזה דאטה אריזה 42+24'!$A:$C,3,0)</f>
        <v>#N/A</v>
      </c>
    </row>
    <row r="853" spans="9:18" x14ac:dyDescent="0.2">
      <c r="I853" s="4"/>
      <c r="J853" s="4"/>
      <c r="Q853" s="78" t="e">
        <f>VLOOKUP(A853,'גיליון דאטה להכל'!A:H,5,0)</f>
        <v>#N/A</v>
      </c>
      <c r="R853" s="78" t="e">
        <f>VLOOKUP(A853,'לעדכן בסינתזה דאטה אריזה 42+24'!$A:$C,3,0)</f>
        <v>#N/A</v>
      </c>
    </row>
    <row r="854" spans="9:18" x14ac:dyDescent="0.2">
      <c r="I854" s="4"/>
      <c r="J854" s="4"/>
      <c r="Q854" s="78" t="e">
        <f>VLOOKUP(A854,'גיליון דאטה להכל'!A:H,5,0)</f>
        <v>#N/A</v>
      </c>
      <c r="R854" s="78" t="e">
        <f>VLOOKUP(A854,'לעדכן בסינתזה דאטה אריזה 42+24'!$A:$C,3,0)</f>
        <v>#N/A</v>
      </c>
    </row>
    <row r="855" spans="9:18" x14ac:dyDescent="0.2">
      <c r="I855" s="4"/>
      <c r="J855" s="4"/>
      <c r="Q855" s="78" t="e">
        <f>VLOOKUP(A855,'גיליון דאטה להכל'!A:H,5,0)</f>
        <v>#N/A</v>
      </c>
      <c r="R855" s="78" t="e">
        <f>VLOOKUP(A855,'לעדכן בסינתזה דאטה אריזה 42+24'!$A:$C,3,0)</f>
        <v>#N/A</v>
      </c>
    </row>
    <row r="856" spans="9:18" x14ac:dyDescent="0.2">
      <c r="I856" s="4"/>
      <c r="J856" s="4"/>
      <c r="Q856" s="78" t="e">
        <f>VLOOKUP(A856,'גיליון דאטה להכל'!A:H,5,0)</f>
        <v>#N/A</v>
      </c>
      <c r="R856" s="78" t="e">
        <f>VLOOKUP(A856,'לעדכן בסינתזה דאטה אריזה 42+24'!$A:$C,3,0)</f>
        <v>#N/A</v>
      </c>
    </row>
    <row r="857" spans="9:18" x14ac:dyDescent="0.2">
      <c r="I857" s="4"/>
      <c r="J857" s="4"/>
      <c r="Q857" s="78" t="e">
        <f>VLOOKUP(A857,'גיליון דאטה להכל'!A:H,5,0)</f>
        <v>#N/A</v>
      </c>
      <c r="R857" s="78" t="e">
        <f>VLOOKUP(A857,'לעדכן בסינתזה דאטה אריזה 42+24'!$A:$C,3,0)</f>
        <v>#N/A</v>
      </c>
    </row>
    <row r="858" spans="9:18" x14ac:dyDescent="0.2">
      <c r="I858" s="4"/>
      <c r="J858" s="4"/>
      <c r="Q858" s="78" t="e">
        <f>VLOOKUP(A858,'גיליון דאטה להכל'!A:H,5,0)</f>
        <v>#N/A</v>
      </c>
      <c r="R858" s="78" t="e">
        <f>VLOOKUP(A858,'לעדכן בסינתזה דאטה אריזה 42+24'!$A:$C,3,0)</f>
        <v>#N/A</v>
      </c>
    </row>
    <row r="859" spans="9:18" x14ac:dyDescent="0.2">
      <c r="I859" s="4"/>
      <c r="J859" s="4"/>
      <c r="Q859" s="78" t="e">
        <f>VLOOKUP(A859,'גיליון דאטה להכל'!A:H,5,0)</f>
        <v>#N/A</v>
      </c>
      <c r="R859" s="78" t="e">
        <f>VLOOKUP(A859,'לעדכן בסינתזה דאטה אריזה 42+24'!$A:$C,3,0)</f>
        <v>#N/A</v>
      </c>
    </row>
    <row r="860" spans="9:18" x14ac:dyDescent="0.2">
      <c r="I860" s="4"/>
      <c r="J860" s="4"/>
      <c r="Q860" s="78" t="e">
        <f>VLOOKUP(A860,'גיליון דאטה להכל'!A:H,5,0)</f>
        <v>#N/A</v>
      </c>
      <c r="R860" s="78" t="e">
        <f>VLOOKUP(A860,'לעדכן בסינתזה דאטה אריזה 42+24'!$A:$C,3,0)</f>
        <v>#N/A</v>
      </c>
    </row>
    <row r="861" spans="9:18" x14ac:dyDescent="0.2">
      <c r="I861" s="4"/>
      <c r="J861" s="4"/>
      <c r="Q861" s="78" t="e">
        <f>VLOOKUP(A861,'גיליון דאטה להכל'!A:H,5,0)</f>
        <v>#N/A</v>
      </c>
      <c r="R861" s="78" t="e">
        <f>VLOOKUP(A861,'לעדכן בסינתזה דאטה אריזה 42+24'!$A:$C,3,0)</f>
        <v>#N/A</v>
      </c>
    </row>
    <row r="862" spans="9:18" x14ac:dyDescent="0.2">
      <c r="I862" s="4"/>
      <c r="J862" s="4"/>
      <c r="Q862" s="78" t="e">
        <f>VLOOKUP(A862,'גיליון דאטה להכל'!A:H,5,0)</f>
        <v>#N/A</v>
      </c>
      <c r="R862" s="78" t="e">
        <f>VLOOKUP(A862,'לעדכן בסינתזה דאטה אריזה 42+24'!$A:$C,3,0)</f>
        <v>#N/A</v>
      </c>
    </row>
    <row r="863" spans="9:18" x14ac:dyDescent="0.2">
      <c r="I863" s="4"/>
      <c r="J863" s="4"/>
      <c r="Q863" s="78" t="e">
        <f>VLOOKUP(A863,'גיליון דאטה להכל'!A:H,5,0)</f>
        <v>#N/A</v>
      </c>
      <c r="R863" s="78" t="e">
        <f>VLOOKUP(A863,'לעדכן בסינתזה דאטה אריזה 42+24'!$A:$C,3,0)</f>
        <v>#N/A</v>
      </c>
    </row>
    <row r="864" spans="9:18" x14ac:dyDescent="0.2">
      <c r="I864" s="4"/>
      <c r="J864" s="4"/>
      <c r="Q864" s="78" t="e">
        <f>VLOOKUP(A864,'גיליון דאטה להכל'!A:H,5,0)</f>
        <v>#N/A</v>
      </c>
      <c r="R864" s="78" t="e">
        <f>VLOOKUP(A864,'לעדכן בסינתזה דאטה אריזה 42+24'!$A:$C,3,0)</f>
        <v>#N/A</v>
      </c>
    </row>
    <row r="865" spans="9:18" x14ac:dyDescent="0.2">
      <c r="I865" s="4"/>
      <c r="J865" s="4"/>
      <c r="Q865" s="78" t="e">
        <f>VLOOKUP(A865,'גיליון דאטה להכל'!A:H,5,0)</f>
        <v>#N/A</v>
      </c>
      <c r="R865" s="78" t="e">
        <f>VLOOKUP(A865,'לעדכן בסינתזה דאטה אריזה 42+24'!$A:$C,3,0)</f>
        <v>#N/A</v>
      </c>
    </row>
    <row r="866" spans="9:18" x14ac:dyDescent="0.2">
      <c r="I866" s="4"/>
      <c r="J866" s="4"/>
      <c r="Q866" s="78" t="e">
        <f>VLOOKUP(A866,'גיליון דאטה להכל'!A:H,5,0)</f>
        <v>#N/A</v>
      </c>
      <c r="R866" s="78" t="e">
        <f>VLOOKUP(A866,'לעדכן בסינתזה דאטה אריזה 42+24'!$A:$C,3,0)</f>
        <v>#N/A</v>
      </c>
    </row>
    <row r="867" spans="9:18" x14ac:dyDescent="0.2">
      <c r="I867" s="4"/>
      <c r="J867" s="4"/>
      <c r="Q867" s="78" t="e">
        <f>VLOOKUP(A867,'גיליון דאטה להכל'!A:H,5,0)</f>
        <v>#N/A</v>
      </c>
      <c r="R867" s="78" t="e">
        <f>VLOOKUP(A867,'לעדכן בסינתזה דאטה אריזה 42+24'!$A:$C,3,0)</f>
        <v>#N/A</v>
      </c>
    </row>
    <row r="868" spans="9:18" x14ac:dyDescent="0.2">
      <c r="I868" s="4"/>
      <c r="J868" s="4"/>
      <c r="Q868" s="78" t="e">
        <f>VLOOKUP(A868,'גיליון דאטה להכל'!A:H,5,0)</f>
        <v>#N/A</v>
      </c>
      <c r="R868" s="78" t="e">
        <f>VLOOKUP(A868,'לעדכן בסינתזה דאטה אריזה 42+24'!$A:$C,3,0)</f>
        <v>#N/A</v>
      </c>
    </row>
    <row r="869" spans="9:18" x14ac:dyDescent="0.2">
      <c r="I869" s="4"/>
      <c r="J869" s="4"/>
      <c r="Q869" s="78" t="e">
        <f>VLOOKUP(A869,'גיליון דאטה להכל'!A:H,5,0)</f>
        <v>#N/A</v>
      </c>
      <c r="R869" s="78" t="e">
        <f>VLOOKUP(A869,'לעדכן בסינתזה דאטה אריזה 42+24'!$A:$C,3,0)</f>
        <v>#N/A</v>
      </c>
    </row>
    <row r="870" spans="9:18" x14ac:dyDescent="0.2">
      <c r="I870" s="4"/>
      <c r="J870" s="4"/>
      <c r="Q870" s="78" t="e">
        <f>VLOOKUP(A870,'גיליון דאטה להכל'!A:H,5,0)</f>
        <v>#N/A</v>
      </c>
      <c r="R870" s="78" t="e">
        <f>VLOOKUP(A870,'לעדכן בסינתזה דאטה אריזה 42+24'!$A:$C,3,0)</f>
        <v>#N/A</v>
      </c>
    </row>
    <row r="871" spans="9:18" x14ac:dyDescent="0.2">
      <c r="I871" s="4"/>
      <c r="J871" s="4"/>
      <c r="Q871" s="78" t="e">
        <f>VLOOKUP(A871,'גיליון דאטה להכל'!A:H,5,0)</f>
        <v>#N/A</v>
      </c>
      <c r="R871" s="78" t="e">
        <f>VLOOKUP(A871,'לעדכן בסינתזה דאטה אריזה 42+24'!$A:$C,3,0)</f>
        <v>#N/A</v>
      </c>
    </row>
    <row r="872" spans="9:18" x14ac:dyDescent="0.2">
      <c r="I872" s="4"/>
      <c r="J872" s="4"/>
      <c r="Q872" s="78" t="e">
        <f>VLOOKUP(A872,'גיליון דאטה להכל'!A:H,5,0)</f>
        <v>#N/A</v>
      </c>
      <c r="R872" s="78" t="e">
        <f>VLOOKUP(A872,'לעדכן בסינתזה דאטה אריזה 42+24'!$A:$C,3,0)</f>
        <v>#N/A</v>
      </c>
    </row>
    <row r="873" spans="9:18" x14ac:dyDescent="0.2">
      <c r="I873" s="4"/>
      <c r="J873" s="4"/>
      <c r="Q873" s="78" t="e">
        <f>VLOOKUP(A873,'גיליון דאטה להכל'!A:H,5,0)</f>
        <v>#N/A</v>
      </c>
      <c r="R873" s="78" t="e">
        <f>VLOOKUP(A873,'לעדכן בסינתזה דאטה אריזה 42+24'!$A:$C,3,0)</f>
        <v>#N/A</v>
      </c>
    </row>
    <row r="874" spans="9:18" x14ac:dyDescent="0.2">
      <c r="I874" s="4"/>
      <c r="J874" s="4"/>
      <c r="Q874" s="78" t="e">
        <f>VLOOKUP(A874,'גיליון דאטה להכל'!A:H,5,0)</f>
        <v>#N/A</v>
      </c>
      <c r="R874" s="78" t="e">
        <f>VLOOKUP(A874,'לעדכן בסינתזה דאטה אריזה 42+24'!$A:$C,3,0)</f>
        <v>#N/A</v>
      </c>
    </row>
    <row r="875" spans="9:18" x14ac:dyDescent="0.2">
      <c r="I875" s="4"/>
      <c r="J875" s="4"/>
      <c r="Q875" s="78" t="e">
        <f>VLOOKUP(A875,'גיליון דאטה להכל'!A:H,5,0)</f>
        <v>#N/A</v>
      </c>
      <c r="R875" s="78" t="e">
        <f>VLOOKUP(A875,'לעדכן בסינתזה דאטה אריזה 42+24'!$A:$C,3,0)</f>
        <v>#N/A</v>
      </c>
    </row>
    <row r="876" spans="9:18" x14ac:dyDescent="0.2">
      <c r="I876" s="4"/>
      <c r="J876" s="4"/>
      <c r="Q876" s="78" t="e">
        <f>VLOOKUP(A876,'גיליון דאטה להכל'!A:H,5,0)</f>
        <v>#N/A</v>
      </c>
      <c r="R876" s="78" t="e">
        <f>VLOOKUP(A876,'לעדכן בסינתזה דאטה אריזה 42+24'!$A:$C,3,0)</f>
        <v>#N/A</v>
      </c>
    </row>
    <row r="877" spans="9:18" x14ac:dyDescent="0.2">
      <c r="I877" s="4"/>
      <c r="J877" s="4"/>
      <c r="Q877" s="78" t="e">
        <f>VLOOKUP(A877,'גיליון דאטה להכל'!A:H,5,0)</f>
        <v>#N/A</v>
      </c>
      <c r="R877" s="78" t="e">
        <f>VLOOKUP(A877,'לעדכן בסינתזה דאטה אריזה 42+24'!$A:$C,3,0)</f>
        <v>#N/A</v>
      </c>
    </row>
    <row r="878" spans="9:18" x14ac:dyDescent="0.2">
      <c r="I878" s="4"/>
      <c r="J878" s="4"/>
      <c r="Q878" s="78" t="e">
        <f>VLOOKUP(A878,'גיליון דאטה להכל'!A:H,5,0)</f>
        <v>#N/A</v>
      </c>
      <c r="R878" s="78" t="e">
        <f>VLOOKUP(A878,'לעדכן בסינתזה דאטה אריזה 42+24'!$A:$C,3,0)</f>
        <v>#N/A</v>
      </c>
    </row>
    <row r="879" spans="9:18" x14ac:dyDescent="0.2">
      <c r="I879" s="4"/>
      <c r="J879" s="4"/>
      <c r="Q879" s="78" t="e">
        <f>VLOOKUP(A879,'גיליון דאטה להכל'!A:H,5,0)</f>
        <v>#N/A</v>
      </c>
      <c r="R879" s="78" t="e">
        <f>VLOOKUP(A879,'לעדכן בסינתזה דאטה אריזה 42+24'!$A:$C,3,0)</f>
        <v>#N/A</v>
      </c>
    </row>
    <row r="880" spans="9:18" x14ac:dyDescent="0.2">
      <c r="I880" s="4"/>
      <c r="J880" s="4"/>
      <c r="Q880" s="78" t="e">
        <f>VLOOKUP(A880,'גיליון דאטה להכל'!A:H,5,0)</f>
        <v>#N/A</v>
      </c>
      <c r="R880" s="78" t="e">
        <f>VLOOKUP(A880,'לעדכן בסינתזה דאטה אריזה 42+24'!$A:$C,3,0)</f>
        <v>#N/A</v>
      </c>
    </row>
    <row r="881" spans="9:18" x14ac:dyDescent="0.2">
      <c r="I881" s="4"/>
      <c r="J881" s="4"/>
      <c r="Q881" s="78" t="e">
        <f>VLOOKUP(A881,'גיליון דאטה להכל'!A:H,5,0)</f>
        <v>#N/A</v>
      </c>
      <c r="R881" s="78" t="e">
        <f>VLOOKUP(A881,'לעדכן בסינתזה דאטה אריזה 42+24'!$A:$C,3,0)</f>
        <v>#N/A</v>
      </c>
    </row>
    <row r="882" spans="9:18" x14ac:dyDescent="0.2">
      <c r="I882" s="4"/>
      <c r="J882" s="4"/>
      <c r="Q882" s="78" t="e">
        <f>VLOOKUP(A882,'גיליון דאטה להכל'!A:H,5,0)</f>
        <v>#N/A</v>
      </c>
      <c r="R882" s="78" t="e">
        <f>VLOOKUP(A882,'לעדכן בסינתזה דאטה אריזה 42+24'!$A:$C,3,0)</f>
        <v>#N/A</v>
      </c>
    </row>
    <row r="883" spans="9:18" x14ac:dyDescent="0.2">
      <c r="I883" s="4"/>
      <c r="J883" s="4"/>
      <c r="Q883" s="78" t="e">
        <f>VLOOKUP(A883,'גיליון דאטה להכל'!A:H,5,0)</f>
        <v>#N/A</v>
      </c>
      <c r="R883" s="78" t="e">
        <f>VLOOKUP(A883,'לעדכן בסינתזה דאטה אריזה 42+24'!$A:$C,3,0)</f>
        <v>#N/A</v>
      </c>
    </row>
    <row r="884" spans="9:18" x14ac:dyDescent="0.2">
      <c r="I884" s="4"/>
      <c r="J884" s="4"/>
      <c r="Q884" s="78" t="e">
        <f>VLOOKUP(A884,'גיליון דאטה להכל'!A:H,5,0)</f>
        <v>#N/A</v>
      </c>
      <c r="R884" s="78" t="e">
        <f>VLOOKUP(A884,'לעדכן בסינתזה דאטה אריזה 42+24'!$A:$C,3,0)</f>
        <v>#N/A</v>
      </c>
    </row>
    <row r="885" spans="9:18" x14ac:dyDescent="0.2">
      <c r="I885" s="4"/>
      <c r="J885" s="4"/>
      <c r="Q885" s="78" t="e">
        <f>VLOOKUP(A885,'גיליון דאטה להכל'!A:H,5,0)</f>
        <v>#N/A</v>
      </c>
      <c r="R885" s="78" t="e">
        <f>VLOOKUP(A885,'לעדכן בסינתזה דאטה אריזה 42+24'!$A:$C,3,0)</f>
        <v>#N/A</v>
      </c>
    </row>
    <row r="886" spans="9:18" x14ac:dyDescent="0.2">
      <c r="I886" s="4"/>
      <c r="J886" s="4"/>
      <c r="Q886" s="78" t="e">
        <f>VLOOKUP(A886,'גיליון דאטה להכל'!A:H,5,0)</f>
        <v>#N/A</v>
      </c>
      <c r="R886" s="78" t="e">
        <f>VLOOKUP(A886,'לעדכן בסינתזה דאטה אריזה 42+24'!$A:$C,3,0)</f>
        <v>#N/A</v>
      </c>
    </row>
    <row r="887" spans="9:18" x14ac:dyDescent="0.2">
      <c r="I887" s="4"/>
      <c r="J887" s="4"/>
      <c r="Q887" s="78" t="e">
        <f>VLOOKUP(A887,'גיליון דאטה להכל'!A:H,5,0)</f>
        <v>#N/A</v>
      </c>
      <c r="R887" s="78" t="e">
        <f>VLOOKUP(A887,'לעדכן בסינתזה דאטה אריזה 42+24'!$A:$C,3,0)</f>
        <v>#N/A</v>
      </c>
    </row>
    <row r="888" spans="9:18" x14ac:dyDescent="0.2">
      <c r="I888" s="4"/>
      <c r="J888" s="4"/>
      <c r="Q888" s="78" t="e">
        <f>VLOOKUP(A888,'גיליון דאטה להכל'!A:H,5,0)</f>
        <v>#N/A</v>
      </c>
      <c r="R888" s="78" t="e">
        <f>VLOOKUP(A888,'לעדכן בסינתזה דאטה אריזה 42+24'!$A:$C,3,0)</f>
        <v>#N/A</v>
      </c>
    </row>
    <row r="889" spans="9:18" x14ac:dyDescent="0.2">
      <c r="I889" s="4"/>
      <c r="J889" s="4"/>
      <c r="Q889" s="78" t="e">
        <f>VLOOKUP(A889,'גיליון דאטה להכל'!A:H,5,0)</f>
        <v>#N/A</v>
      </c>
      <c r="R889" s="78" t="e">
        <f>VLOOKUP(A889,'לעדכן בסינתזה דאטה אריזה 42+24'!$A:$C,3,0)</f>
        <v>#N/A</v>
      </c>
    </row>
    <row r="890" spans="9:18" x14ac:dyDescent="0.2">
      <c r="I890" s="4"/>
      <c r="J890" s="4"/>
      <c r="Q890" s="78" t="e">
        <f>VLOOKUP(A890,'גיליון דאטה להכל'!A:H,5,0)</f>
        <v>#N/A</v>
      </c>
      <c r="R890" s="78" t="e">
        <f>VLOOKUP(A890,'לעדכן בסינתזה דאטה אריזה 42+24'!$A:$C,3,0)</f>
        <v>#N/A</v>
      </c>
    </row>
    <row r="891" spans="9:18" x14ac:dyDescent="0.2">
      <c r="I891" s="4"/>
      <c r="J891" s="4"/>
      <c r="Q891" s="78" t="e">
        <f>VLOOKUP(A891,'גיליון דאטה להכל'!A:H,5,0)</f>
        <v>#N/A</v>
      </c>
      <c r="R891" s="78" t="e">
        <f>VLOOKUP(A891,'לעדכן בסינתזה דאטה אריזה 42+24'!$A:$C,3,0)</f>
        <v>#N/A</v>
      </c>
    </row>
    <row r="892" spans="9:18" x14ac:dyDescent="0.2">
      <c r="I892" s="4"/>
      <c r="J892" s="4"/>
      <c r="Q892" s="78" t="e">
        <f>VLOOKUP(A892,'גיליון דאטה להכל'!A:H,5,0)</f>
        <v>#N/A</v>
      </c>
      <c r="R892" s="78" t="e">
        <f>VLOOKUP(A892,'לעדכן בסינתזה דאטה אריזה 42+24'!$A:$C,3,0)</f>
        <v>#N/A</v>
      </c>
    </row>
    <row r="893" spans="9:18" x14ac:dyDescent="0.2">
      <c r="I893" s="4"/>
      <c r="J893" s="4"/>
      <c r="Q893" s="78" t="e">
        <f>VLOOKUP(A893,'גיליון דאטה להכל'!A:H,5,0)</f>
        <v>#N/A</v>
      </c>
      <c r="R893" s="78" t="e">
        <f>VLOOKUP(A893,'לעדכן בסינתזה דאטה אריזה 42+24'!$A:$C,3,0)</f>
        <v>#N/A</v>
      </c>
    </row>
    <row r="894" spans="9:18" x14ac:dyDescent="0.2">
      <c r="I894" s="4"/>
      <c r="J894" s="4"/>
      <c r="Q894" s="78" t="e">
        <f>VLOOKUP(A894,'גיליון דאטה להכל'!A:H,5,0)</f>
        <v>#N/A</v>
      </c>
      <c r="R894" s="78" t="e">
        <f>VLOOKUP(A894,'לעדכן בסינתזה דאטה אריזה 42+24'!$A:$C,3,0)</f>
        <v>#N/A</v>
      </c>
    </row>
    <row r="895" spans="9:18" x14ac:dyDescent="0.2">
      <c r="I895" s="4"/>
      <c r="J895" s="4"/>
      <c r="Q895" s="78" t="e">
        <f>VLOOKUP(A895,'גיליון דאטה להכל'!A:H,5,0)</f>
        <v>#N/A</v>
      </c>
      <c r="R895" s="78" t="e">
        <f>VLOOKUP(A895,'לעדכן בסינתזה דאטה אריזה 42+24'!$A:$C,3,0)</f>
        <v>#N/A</v>
      </c>
    </row>
    <row r="896" spans="9:18" x14ac:dyDescent="0.2">
      <c r="I896" s="4"/>
      <c r="J896" s="4"/>
      <c r="Q896" s="78" t="e">
        <f>VLOOKUP(A896,'גיליון דאטה להכל'!A:H,5,0)</f>
        <v>#N/A</v>
      </c>
      <c r="R896" s="78" t="e">
        <f>VLOOKUP(A896,'לעדכן בסינתזה דאטה אריזה 42+24'!$A:$C,3,0)</f>
        <v>#N/A</v>
      </c>
    </row>
    <row r="897" spans="9:18" x14ac:dyDescent="0.2">
      <c r="I897" s="4"/>
      <c r="J897" s="4"/>
      <c r="Q897" s="78" t="e">
        <f>VLOOKUP(A897,'גיליון דאטה להכל'!A:H,5,0)</f>
        <v>#N/A</v>
      </c>
      <c r="R897" s="78" t="e">
        <f>VLOOKUP(A897,'לעדכן בסינתזה דאטה אריזה 42+24'!$A:$C,3,0)</f>
        <v>#N/A</v>
      </c>
    </row>
    <row r="898" spans="9:18" x14ac:dyDescent="0.2">
      <c r="I898" s="4"/>
      <c r="J898" s="4"/>
      <c r="Q898" s="78" t="e">
        <f>VLOOKUP(A898,'גיליון דאטה להכל'!A:H,5,0)</f>
        <v>#N/A</v>
      </c>
      <c r="R898" s="78" t="e">
        <f>VLOOKUP(A898,'לעדכן בסינתזה דאטה אריזה 42+24'!$A:$C,3,0)</f>
        <v>#N/A</v>
      </c>
    </row>
    <row r="899" spans="9:18" x14ac:dyDescent="0.2">
      <c r="I899" s="4"/>
      <c r="J899" s="4"/>
      <c r="Q899" s="78" t="e">
        <f>VLOOKUP(A899,'גיליון דאטה להכל'!A:H,5,0)</f>
        <v>#N/A</v>
      </c>
      <c r="R899" s="78" t="e">
        <f>VLOOKUP(A899,'לעדכן בסינתזה דאטה אריזה 42+24'!$A:$C,3,0)</f>
        <v>#N/A</v>
      </c>
    </row>
    <row r="900" spans="9:18" x14ac:dyDescent="0.2">
      <c r="I900" s="4"/>
      <c r="J900" s="4"/>
      <c r="Q900" s="78" t="e">
        <f>VLOOKUP(A900,'גיליון דאטה להכל'!A:H,5,0)</f>
        <v>#N/A</v>
      </c>
      <c r="R900" s="78" t="e">
        <f>VLOOKUP(A900,'לעדכן בסינתזה דאטה אריזה 42+24'!$A:$C,3,0)</f>
        <v>#N/A</v>
      </c>
    </row>
    <row r="901" spans="9:18" x14ac:dyDescent="0.2">
      <c r="I901" s="4"/>
      <c r="J901" s="4"/>
      <c r="Q901" s="78" t="e">
        <f>VLOOKUP(A901,'גיליון דאטה להכל'!A:H,5,0)</f>
        <v>#N/A</v>
      </c>
      <c r="R901" s="78" t="e">
        <f>VLOOKUP(A901,'לעדכן בסינתזה דאטה אריזה 42+24'!$A:$C,3,0)</f>
        <v>#N/A</v>
      </c>
    </row>
    <row r="902" spans="9:18" x14ac:dyDescent="0.2">
      <c r="I902" s="4"/>
      <c r="J902" s="4"/>
      <c r="Q902" s="78" t="e">
        <f>VLOOKUP(A902,'גיליון דאטה להכל'!A:H,5,0)</f>
        <v>#N/A</v>
      </c>
      <c r="R902" s="78" t="e">
        <f>VLOOKUP(A902,'לעדכן בסינתזה דאטה אריזה 42+24'!$A:$C,3,0)</f>
        <v>#N/A</v>
      </c>
    </row>
    <row r="903" spans="9:18" x14ac:dyDescent="0.2">
      <c r="I903" s="4"/>
      <c r="J903" s="4"/>
      <c r="Q903" s="78" t="e">
        <f>VLOOKUP(A903,'גיליון דאטה להכל'!A:H,5,0)</f>
        <v>#N/A</v>
      </c>
      <c r="R903" s="78" t="e">
        <f>VLOOKUP(A903,'לעדכן בסינתזה דאטה אריזה 42+24'!$A:$C,3,0)</f>
        <v>#N/A</v>
      </c>
    </row>
    <row r="904" spans="9:18" x14ac:dyDescent="0.2">
      <c r="I904" s="4"/>
      <c r="J904" s="4"/>
      <c r="Q904" s="78" t="e">
        <f>VLOOKUP(A904,'גיליון דאטה להכל'!A:H,5,0)</f>
        <v>#N/A</v>
      </c>
      <c r="R904" s="78" t="e">
        <f>VLOOKUP(A904,'לעדכן בסינתזה דאטה אריזה 42+24'!$A:$C,3,0)</f>
        <v>#N/A</v>
      </c>
    </row>
    <row r="905" spans="9:18" x14ac:dyDescent="0.2">
      <c r="I905" s="4"/>
      <c r="J905" s="4"/>
      <c r="Q905" s="78" t="e">
        <f>VLOOKUP(A905,'גיליון דאטה להכל'!A:H,5,0)</f>
        <v>#N/A</v>
      </c>
      <c r="R905" s="78" t="e">
        <f>VLOOKUP(A905,'לעדכן בסינתזה דאטה אריזה 42+24'!$A:$C,3,0)</f>
        <v>#N/A</v>
      </c>
    </row>
    <row r="906" spans="9:18" x14ac:dyDescent="0.2">
      <c r="I906" s="4"/>
      <c r="J906" s="4"/>
      <c r="Q906" s="78" t="e">
        <f>VLOOKUP(A906,'גיליון דאטה להכל'!A:H,5,0)</f>
        <v>#N/A</v>
      </c>
      <c r="R906" s="78" t="e">
        <f>VLOOKUP(A906,'לעדכן בסינתזה דאטה אריזה 42+24'!$A:$C,3,0)</f>
        <v>#N/A</v>
      </c>
    </row>
    <row r="907" spans="9:18" x14ac:dyDescent="0.2">
      <c r="I907" s="4"/>
      <c r="J907" s="4"/>
      <c r="Q907" s="78" t="e">
        <f>VLOOKUP(A907,'גיליון דאטה להכל'!A:H,5,0)</f>
        <v>#N/A</v>
      </c>
      <c r="R907" s="78" t="e">
        <f>VLOOKUP(A907,'לעדכן בסינתזה דאטה אריזה 42+24'!$A:$C,3,0)</f>
        <v>#N/A</v>
      </c>
    </row>
    <row r="908" spans="9:18" x14ac:dyDescent="0.2">
      <c r="I908" s="4"/>
      <c r="J908" s="4"/>
      <c r="Q908" s="78" t="e">
        <f>VLOOKUP(A908,'גיליון דאטה להכל'!A:H,5,0)</f>
        <v>#N/A</v>
      </c>
      <c r="R908" s="78" t="e">
        <f>VLOOKUP(A908,'לעדכן בסינתזה דאטה אריזה 42+24'!$A:$C,3,0)</f>
        <v>#N/A</v>
      </c>
    </row>
    <row r="909" spans="9:18" x14ac:dyDescent="0.2">
      <c r="I909" s="4"/>
      <c r="J909" s="4"/>
      <c r="Q909" s="78" t="e">
        <f>VLOOKUP(A909,'גיליון דאטה להכל'!A:H,5,0)</f>
        <v>#N/A</v>
      </c>
      <c r="R909" s="78" t="e">
        <f>VLOOKUP(A909,'לעדכן בסינתזה דאטה אריזה 42+24'!$A:$C,3,0)</f>
        <v>#N/A</v>
      </c>
    </row>
    <row r="910" spans="9:18" x14ac:dyDescent="0.2">
      <c r="I910" s="4"/>
      <c r="J910" s="4"/>
      <c r="Q910" s="78" t="e">
        <f>VLOOKUP(A910,'גיליון דאטה להכל'!A:H,5,0)</f>
        <v>#N/A</v>
      </c>
      <c r="R910" s="78" t="e">
        <f>VLOOKUP(A910,'לעדכן בסינתזה דאטה אריזה 42+24'!$A:$C,3,0)</f>
        <v>#N/A</v>
      </c>
    </row>
    <row r="911" spans="9:18" x14ac:dyDescent="0.2">
      <c r="I911" s="4"/>
      <c r="J911" s="4"/>
      <c r="Q911" s="78" t="e">
        <f>VLOOKUP(A911,'גיליון דאטה להכל'!A:H,5,0)</f>
        <v>#N/A</v>
      </c>
      <c r="R911" s="78" t="e">
        <f>VLOOKUP(A911,'לעדכן בסינתזה דאטה אריזה 42+24'!$A:$C,3,0)</f>
        <v>#N/A</v>
      </c>
    </row>
    <row r="912" spans="9:18" x14ac:dyDescent="0.2">
      <c r="I912" s="4"/>
      <c r="J912" s="4"/>
      <c r="Q912" s="78" t="e">
        <f>VLOOKUP(A912,'גיליון דאטה להכל'!A:H,5,0)</f>
        <v>#N/A</v>
      </c>
      <c r="R912" s="78" t="e">
        <f>VLOOKUP(A912,'לעדכן בסינתזה דאטה אריזה 42+24'!$A:$C,3,0)</f>
        <v>#N/A</v>
      </c>
    </row>
    <row r="913" spans="9:18" x14ac:dyDescent="0.2">
      <c r="I913" s="4"/>
      <c r="J913" s="4"/>
      <c r="Q913" s="78" t="e">
        <f>VLOOKUP(A913,'גיליון דאטה להכל'!A:H,5,0)</f>
        <v>#N/A</v>
      </c>
      <c r="R913" s="78" t="e">
        <f>VLOOKUP(A913,'לעדכן בסינתזה דאטה אריזה 42+24'!$A:$C,3,0)</f>
        <v>#N/A</v>
      </c>
    </row>
    <row r="914" spans="9:18" x14ac:dyDescent="0.2">
      <c r="I914" s="4"/>
      <c r="J914" s="4"/>
      <c r="Q914" s="78" t="e">
        <f>VLOOKUP(A914,'גיליון דאטה להכל'!A:H,5,0)</f>
        <v>#N/A</v>
      </c>
      <c r="R914" s="78" t="e">
        <f>VLOOKUP(A914,'לעדכן בסינתזה דאטה אריזה 42+24'!$A:$C,3,0)</f>
        <v>#N/A</v>
      </c>
    </row>
    <row r="915" spans="9:18" x14ac:dyDescent="0.2">
      <c r="I915" s="4"/>
      <c r="J915" s="4"/>
      <c r="Q915" s="78" t="e">
        <f>VLOOKUP(A915,'גיליון דאטה להכל'!A:H,5,0)</f>
        <v>#N/A</v>
      </c>
      <c r="R915" s="78" t="e">
        <f>VLOOKUP(A915,'לעדכן בסינתזה דאטה אריזה 42+24'!$A:$C,3,0)</f>
        <v>#N/A</v>
      </c>
    </row>
    <row r="916" spans="9:18" x14ac:dyDescent="0.2">
      <c r="I916" s="4"/>
      <c r="J916" s="4"/>
      <c r="Q916" s="78" t="e">
        <f>VLOOKUP(A916,'גיליון דאטה להכל'!A:H,5,0)</f>
        <v>#N/A</v>
      </c>
      <c r="R916" s="78" t="e">
        <f>VLOOKUP(A916,'לעדכן בסינתזה דאטה אריזה 42+24'!$A:$C,3,0)</f>
        <v>#N/A</v>
      </c>
    </row>
    <row r="917" spans="9:18" x14ac:dyDescent="0.2">
      <c r="I917" s="4"/>
      <c r="J917" s="4"/>
      <c r="Q917" s="78" t="e">
        <f>VLOOKUP(A917,'גיליון דאטה להכל'!A:H,5,0)</f>
        <v>#N/A</v>
      </c>
      <c r="R917" s="78" t="e">
        <f>VLOOKUP(A917,'לעדכן בסינתזה דאטה אריזה 42+24'!$A:$C,3,0)</f>
        <v>#N/A</v>
      </c>
    </row>
    <row r="918" spans="9:18" x14ac:dyDescent="0.2">
      <c r="I918" s="4"/>
      <c r="J918" s="4"/>
      <c r="Q918" s="78" t="e">
        <f>VLOOKUP(A918,'גיליון דאטה להכל'!A:H,5,0)</f>
        <v>#N/A</v>
      </c>
      <c r="R918" s="78" t="e">
        <f>VLOOKUP(A918,'לעדכן בסינתזה דאטה אריזה 42+24'!$A:$C,3,0)</f>
        <v>#N/A</v>
      </c>
    </row>
    <row r="919" spans="9:18" x14ac:dyDescent="0.2">
      <c r="I919" s="4"/>
      <c r="J919" s="4"/>
      <c r="Q919" s="78" t="e">
        <f>VLOOKUP(A919,'גיליון דאטה להכל'!A:H,5,0)</f>
        <v>#N/A</v>
      </c>
      <c r="R919" s="78" t="e">
        <f>VLOOKUP(A919,'לעדכן בסינתזה דאטה אריזה 42+24'!$A:$C,3,0)</f>
        <v>#N/A</v>
      </c>
    </row>
    <row r="920" spans="9:18" x14ac:dyDescent="0.2">
      <c r="I920" s="4"/>
      <c r="J920" s="4"/>
      <c r="Q920" s="78" t="e">
        <f>VLOOKUP(A920,'גיליון דאטה להכל'!A:H,5,0)</f>
        <v>#N/A</v>
      </c>
      <c r="R920" s="78" t="e">
        <f>VLOOKUP(A920,'לעדכן בסינתזה דאטה אריזה 42+24'!$A:$C,3,0)</f>
        <v>#N/A</v>
      </c>
    </row>
    <row r="921" spans="9:18" x14ac:dyDescent="0.2">
      <c r="I921" s="4"/>
      <c r="J921" s="4"/>
      <c r="Q921" s="78" t="e">
        <f>VLOOKUP(A921,'גיליון דאטה להכל'!A:H,5,0)</f>
        <v>#N/A</v>
      </c>
      <c r="R921" s="78" t="e">
        <f>VLOOKUP(A921,'לעדכן בסינתזה דאטה אריזה 42+24'!$A:$C,3,0)</f>
        <v>#N/A</v>
      </c>
    </row>
    <row r="922" spans="9:18" x14ac:dyDescent="0.2">
      <c r="I922" s="4"/>
      <c r="J922" s="4"/>
      <c r="Q922" s="78" t="e">
        <f>VLOOKUP(A922,'גיליון דאטה להכל'!A:H,5,0)</f>
        <v>#N/A</v>
      </c>
      <c r="R922" s="78" t="e">
        <f>VLOOKUP(A922,'לעדכן בסינתזה דאטה אריזה 42+24'!$A:$C,3,0)</f>
        <v>#N/A</v>
      </c>
    </row>
    <row r="923" spans="9:18" x14ac:dyDescent="0.2">
      <c r="I923" s="4"/>
      <c r="J923" s="4"/>
      <c r="Q923" s="78" t="e">
        <f>VLOOKUP(A923,'גיליון דאטה להכל'!A:H,5,0)</f>
        <v>#N/A</v>
      </c>
      <c r="R923" s="78" t="e">
        <f>VLOOKUP(A923,'לעדכן בסינתזה דאטה אריזה 42+24'!$A:$C,3,0)</f>
        <v>#N/A</v>
      </c>
    </row>
    <row r="924" spans="9:18" x14ac:dyDescent="0.2">
      <c r="I924" s="4"/>
      <c r="J924" s="4"/>
      <c r="Q924" s="78" t="e">
        <f>VLOOKUP(A924,'גיליון דאטה להכל'!A:H,5,0)</f>
        <v>#N/A</v>
      </c>
      <c r="R924" s="78" t="e">
        <f>VLOOKUP(A924,'לעדכן בסינתזה דאטה אריזה 42+24'!$A:$C,3,0)</f>
        <v>#N/A</v>
      </c>
    </row>
    <row r="925" spans="9:18" x14ac:dyDescent="0.2">
      <c r="I925" s="4"/>
      <c r="J925" s="4"/>
      <c r="Q925" s="78" t="e">
        <f>VLOOKUP(A925,'גיליון דאטה להכל'!A:H,5,0)</f>
        <v>#N/A</v>
      </c>
      <c r="R925" s="78" t="e">
        <f>VLOOKUP(A925,'לעדכן בסינתזה דאטה אריזה 42+24'!$A:$C,3,0)</f>
        <v>#N/A</v>
      </c>
    </row>
    <row r="926" spans="9:18" x14ac:dyDescent="0.2">
      <c r="I926" s="4"/>
      <c r="J926" s="4"/>
      <c r="Q926" s="78" t="e">
        <f>VLOOKUP(A926,'גיליון דאטה להכל'!A:H,5,0)</f>
        <v>#N/A</v>
      </c>
      <c r="R926" s="78" t="e">
        <f>VLOOKUP(A926,'לעדכן בסינתזה דאטה אריזה 42+24'!$A:$C,3,0)</f>
        <v>#N/A</v>
      </c>
    </row>
    <row r="927" spans="9:18" x14ac:dyDescent="0.2">
      <c r="I927" s="4"/>
      <c r="J927" s="4"/>
      <c r="Q927" s="78" t="e">
        <f>VLOOKUP(A927,'גיליון דאטה להכל'!A:H,5,0)</f>
        <v>#N/A</v>
      </c>
      <c r="R927" s="78" t="e">
        <f>VLOOKUP(A927,'לעדכן בסינתזה דאטה אריזה 42+24'!$A:$C,3,0)</f>
        <v>#N/A</v>
      </c>
    </row>
    <row r="928" spans="9:18" x14ac:dyDescent="0.2">
      <c r="I928" s="4"/>
      <c r="J928" s="4"/>
      <c r="Q928" s="78" t="e">
        <f>VLOOKUP(A928,'גיליון דאטה להכל'!A:H,5,0)</f>
        <v>#N/A</v>
      </c>
      <c r="R928" s="78" t="e">
        <f>VLOOKUP(A928,'לעדכן בסינתזה דאטה אריזה 42+24'!$A:$C,3,0)</f>
        <v>#N/A</v>
      </c>
    </row>
    <row r="929" spans="9:18" x14ac:dyDescent="0.2">
      <c r="I929" s="4"/>
      <c r="J929" s="4"/>
      <c r="Q929" s="78" t="e">
        <f>VLOOKUP(A929,'גיליון דאטה להכל'!A:H,5,0)</f>
        <v>#N/A</v>
      </c>
      <c r="R929" s="78" t="e">
        <f>VLOOKUP(A929,'לעדכן בסינתזה דאטה אריזה 42+24'!$A:$C,3,0)</f>
        <v>#N/A</v>
      </c>
    </row>
    <row r="930" spans="9:18" x14ac:dyDescent="0.2">
      <c r="I930" s="4"/>
      <c r="J930" s="4"/>
      <c r="Q930" s="78" t="e">
        <f>VLOOKUP(A930,'גיליון דאטה להכל'!A:H,5,0)</f>
        <v>#N/A</v>
      </c>
      <c r="R930" s="78" t="e">
        <f>VLOOKUP(A930,'לעדכן בסינתזה דאטה אריזה 42+24'!$A:$C,3,0)</f>
        <v>#N/A</v>
      </c>
    </row>
    <row r="931" spans="9:18" x14ac:dyDescent="0.2">
      <c r="I931" s="4"/>
      <c r="J931" s="4"/>
      <c r="Q931" s="78" t="e">
        <f>VLOOKUP(A931,'גיליון דאטה להכל'!A:H,5,0)</f>
        <v>#N/A</v>
      </c>
      <c r="R931" s="78" t="e">
        <f>VLOOKUP(A931,'לעדכן בסינתזה דאטה אריזה 42+24'!$A:$C,3,0)</f>
        <v>#N/A</v>
      </c>
    </row>
    <row r="932" spans="9:18" x14ac:dyDescent="0.2">
      <c r="I932" s="4"/>
      <c r="J932" s="4"/>
      <c r="Q932" s="78" t="e">
        <f>VLOOKUP(A932,'גיליון דאטה להכל'!A:H,5,0)</f>
        <v>#N/A</v>
      </c>
      <c r="R932" s="78" t="e">
        <f>VLOOKUP(A932,'לעדכן בסינתזה דאטה אריזה 42+24'!$A:$C,3,0)</f>
        <v>#N/A</v>
      </c>
    </row>
    <row r="933" spans="9:18" x14ac:dyDescent="0.2">
      <c r="I933" s="4"/>
      <c r="J933" s="4"/>
      <c r="Q933" s="78" t="e">
        <f>VLOOKUP(A933,'גיליון דאטה להכל'!A:H,5,0)</f>
        <v>#N/A</v>
      </c>
      <c r="R933" s="78" t="e">
        <f>VLOOKUP(A933,'לעדכן בסינתזה דאטה אריזה 42+24'!$A:$C,3,0)</f>
        <v>#N/A</v>
      </c>
    </row>
    <row r="934" spans="9:18" x14ac:dyDescent="0.2">
      <c r="I934" s="4"/>
      <c r="J934" s="4"/>
      <c r="Q934" s="78" t="e">
        <f>VLOOKUP(A934,'גיליון דאטה להכל'!A:H,5,0)</f>
        <v>#N/A</v>
      </c>
      <c r="R934" s="78" t="e">
        <f>VLOOKUP(A934,'לעדכן בסינתזה דאטה אריזה 42+24'!$A:$C,3,0)</f>
        <v>#N/A</v>
      </c>
    </row>
    <row r="935" spans="9:18" x14ac:dyDescent="0.2">
      <c r="I935" s="4"/>
      <c r="J935" s="4"/>
      <c r="Q935" s="78" t="e">
        <f>VLOOKUP(A935,'גיליון דאטה להכל'!A:H,5,0)</f>
        <v>#N/A</v>
      </c>
      <c r="R935" s="78" t="e">
        <f>VLOOKUP(A935,'לעדכן בסינתזה דאטה אריזה 42+24'!$A:$C,3,0)</f>
        <v>#N/A</v>
      </c>
    </row>
    <row r="936" spans="9:18" x14ac:dyDescent="0.2">
      <c r="I936" s="4"/>
      <c r="J936" s="4"/>
      <c r="Q936" s="78" t="e">
        <f>VLOOKUP(A936,'גיליון דאטה להכל'!A:H,5,0)</f>
        <v>#N/A</v>
      </c>
      <c r="R936" s="78" t="e">
        <f>VLOOKUP(A936,'לעדכן בסינתזה דאטה אריזה 42+24'!$A:$C,3,0)</f>
        <v>#N/A</v>
      </c>
    </row>
    <row r="937" spans="9:18" x14ac:dyDescent="0.2">
      <c r="I937" s="4"/>
      <c r="J937" s="4"/>
      <c r="Q937" s="78" t="e">
        <f>VLOOKUP(A937,'גיליון דאטה להכל'!A:H,5,0)</f>
        <v>#N/A</v>
      </c>
      <c r="R937" s="78" t="e">
        <f>VLOOKUP(A937,'לעדכן בסינתזה דאטה אריזה 42+24'!$A:$C,3,0)</f>
        <v>#N/A</v>
      </c>
    </row>
    <row r="938" spans="9:18" x14ac:dyDescent="0.2">
      <c r="I938" s="4"/>
      <c r="J938" s="4"/>
      <c r="Q938" s="78" t="e">
        <f>VLOOKUP(A938,'גיליון דאטה להכל'!A:H,5,0)</f>
        <v>#N/A</v>
      </c>
      <c r="R938" s="78" t="e">
        <f>VLOOKUP(A938,'לעדכן בסינתזה דאטה אריזה 42+24'!$A:$C,3,0)</f>
        <v>#N/A</v>
      </c>
    </row>
    <row r="939" spans="9:18" x14ac:dyDescent="0.2">
      <c r="I939" s="4"/>
      <c r="J939" s="4"/>
      <c r="Q939" s="78" t="e">
        <f>VLOOKUP(A939,'גיליון דאטה להכל'!A:H,5,0)</f>
        <v>#N/A</v>
      </c>
      <c r="R939" s="78" t="e">
        <f>VLOOKUP(A939,'לעדכן בסינתזה דאטה אריזה 42+24'!$A:$C,3,0)</f>
        <v>#N/A</v>
      </c>
    </row>
    <row r="940" spans="9:18" x14ac:dyDescent="0.2">
      <c r="I940" s="4"/>
      <c r="J940" s="4"/>
      <c r="Q940" s="78" t="e">
        <f>VLOOKUP(A940,'גיליון דאטה להכל'!A:H,5,0)</f>
        <v>#N/A</v>
      </c>
      <c r="R940" s="78" t="e">
        <f>VLOOKUP(A940,'לעדכן בסינתזה דאטה אריזה 42+24'!$A:$C,3,0)</f>
        <v>#N/A</v>
      </c>
    </row>
    <row r="941" spans="9:18" x14ac:dyDescent="0.2">
      <c r="I941" s="4"/>
      <c r="J941" s="4"/>
      <c r="Q941" s="78" t="e">
        <f>VLOOKUP(A941,'גיליון דאטה להכל'!A:H,5,0)</f>
        <v>#N/A</v>
      </c>
      <c r="R941" s="78" t="e">
        <f>VLOOKUP(A941,'לעדכן בסינתזה דאטה אריזה 42+24'!$A:$C,3,0)</f>
        <v>#N/A</v>
      </c>
    </row>
    <row r="942" spans="9:18" x14ac:dyDescent="0.2">
      <c r="I942" s="4"/>
      <c r="J942" s="4"/>
      <c r="Q942" s="78" t="e">
        <f>VLOOKUP(A942,'גיליון דאטה להכל'!A:H,5,0)</f>
        <v>#N/A</v>
      </c>
      <c r="R942" s="78" t="e">
        <f>VLOOKUP(A942,'לעדכן בסינתזה דאטה אריזה 42+24'!$A:$C,3,0)</f>
        <v>#N/A</v>
      </c>
    </row>
    <row r="943" spans="9:18" x14ac:dyDescent="0.2">
      <c r="I943" s="4"/>
      <c r="J943" s="4"/>
      <c r="Q943" s="78" t="e">
        <f>VLOOKUP(A943,'גיליון דאטה להכל'!A:H,5,0)</f>
        <v>#N/A</v>
      </c>
      <c r="R943" s="78" t="e">
        <f>VLOOKUP(A943,'לעדכן בסינתזה דאטה אריזה 42+24'!$A:$C,3,0)</f>
        <v>#N/A</v>
      </c>
    </row>
    <row r="944" spans="9:18" x14ac:dyDescent="0.2">
      <c r="I944" s="4"/>
      <c r="J944" s="4"/>
      <c r="Q944" s="78" t="e">
        <f>VLOOKUP(A944,'גיליון דאטה להכל'!A:H,5,0)</f>
        <v>#N/A</v>
      </c>
      <c r="R944" s="78" t="e">
        <f>VLOOKUP(A944,'לעדכן בסינתזה דאטה אריזה 42+24'!$A:$C,3,0)</f>
        <v>#N/A</v>
      </c>
    </row>
    <row r="945" spans="9:18" x14ac:dyDescent="0.2">
      <c r="I945" s="4"/>
      <c r="J945" s="4"/>
      <c r="Q945" s="78" t="e">
        <f>VLOOKUP(A945,'גיליון דאטה להכל'!A:H,5,0)</f>
        <v>#N/A</v>
      </c>
      <c r="R945" s="78" t="e">
        <f>VLOOKUP(A945,'לעדכן בסינתזה דאטה אריזה 42+24'!$A:$C,3,0)</f>
        <v>#N/A</v>
      </c>
    </row>
    <row r="946" spans="9:18" x14ac:dyDescent="0.2">
      <c r="I946" s="4"/>
      <c r="J946" s="4"/>
      <c r="Q946" s="78" t="e">
        <f>VLOOKUP(A946,'גיליון דאטה להכל'!A:H,5,0)</f>
        <v>#N/A</v>
      </c>
      <c r="R946" s="78" t="e">
        <f>VLOOKUP(A946,'לעדכן בסינתזה דאטה אריזה 42+24'!$A:$C,3,0)</f>
        <v>#N/A</v>
      </c>
    </row>
    <row r="947" spans="9:18" x14ac:dyDescent="0.2">
      <c r="I947" s="4"/>
      <c r="J947" s="4"/>
      <c r="Q947" s="78" t="e">
        <f>VLOOKUP(A947,'גיליון דאטה להכל'!A:H,5,0)</f>
        <v>#N/A</v>
      </c>
      <c r="R947" s="78" t="e">
        <f>VLOOKUP(A947,'לעדכן בסינתזה דאטה אריזה 42+24'!$A:$C,3,0)</f>
        <v>#N/A</v>
      </c>
    </row>
    <row r="948" spans="9:18" x14ac:dyDescent="0.2">
      <c r="I948" s="4"/>
      <c r="J948" s="4"/>
      <c r="Q948" s="78" t="e">
        <f>VLOOKUP(A948,'גיליון דאטה להכל'!A:H,5,0)</f>
        <v>#N/A</v>
      </c>
      <c r="R948" s="78" t="e">
        <f>VLOOKUP(A948,'לעדכן בסינתזה דאטה אריזה 42+24'!$A:$C,3,0)</f>
        <v>#N/A</v>
      </c>
    </row>
    <row r="949" spans="9:18" x14ac:dyDescent="0.2">
      <c r="I949" s="4"/>
      <c r="J949" s="4"/>
      <c r="Q949" s="78" t="e">
        <f>VLOOKUP(A949,'גיליון דאטה להכל'!A:H,5,0)</f>
        <v>#N/A</v>
      </c>
      <c r="R949" s="78" t="e">
        <f>VLOOKUP(A949,'לעדכן בסינתזה דאטה אריזה 42+24'!$A:$C,3,0)</f>
        <v>#N/A</v>
      </c>
    </row>
    <row r="950" spans="9:18" x14ac:dyDescent="0.2">
      <c r="I950" s="4"/>
      <c r="J950" s="4"/>
      <c r="Q950" s="78" t="e">
        <f>VLOOKUP(A950,'גיליון דאטה להכל'!A:H,5,0)</f>
        <v>#N/A</v>
      </c>
      <c r="R950" s="78" t="e">
        <f>VLOOKUP(A950,'לעדכן בסינתזה דאטה אריזה 42+24'!$A:$C,3,0)</f>
        <v>#N/A</v>
      </c>
    </row>
    <row r="951" spans="9:18" x14ac:dyDescent="0.2">
      <c r="I951" s="4"/>
      <c r="J951" s="4"/>
      <c r="Q951" s="78" t="e">
        <f>VLOOKUP(A951,'גיליון דאטה להכל'!A:H,5,0)</f>
        <v>#N/A</v>
      </c>
      <c r="R951" s="78" t="e">
        <f>VLOOKUP(A951,'לעדכן בסינתזה דאטה אריזה 42+24'!$A:$C,3,0)</f>
        <v>#N/A</v>
      </c>
    </row>
    <row r="952" spans="9:18" x14ac:dyDescent="0.2">
      <c r="I952" s="4"/>
      <c r="J952" s="4"/>
      <c r="Q952" s="78" t="e">
        <f>VLOOKUP(A952,'גיליון דאטה להכל'!A:H,5,0)</f>
        <v>#N/A</v>
      </c>
      <c r="R952" s="78" t="e">
        <f>VLOOKUP(A952,'לעדכן בסינתזה דאטה אריזה 42+24'!$A:$C,3,0)</f>
        <v>#N/A</v>
      </c>
    </row>
    <row r="953" spans="9:18" x14ac:dyDescent="0.2">
      <c r="I953" s="4"/>
      <c r="J953" s="4"/>
      <c r="Q953" s="78" t="e">
        <f>VLOOKUP(A953,'גיליון דאטה להכל'!A:H,5,0)</f>
        <v>#N/A</v>
      </c>
      <c r="R953" s="78" t="e">
        <f>VLOOKUP(A953,'לעדכן בסינתזה דאטה אריזה 42+24'!$A:$C,3,0)</f>
        <v>#N/A</v>
      </c>
    </row>
    <row r="954" spans="9:18" x14ac:dyDescent="0.2">
      <c r="I954" s="4"/>
      <c r="J954" s="4"/>
      <c r="Q954" s="78" t="e">
        <f>VLOOKUP(A954,'גיליון דאטה להכל'!A:H,5,0)</f>
        <v>#N/A</v>
      </c>
      <c r="R954" s="78" t="e">
        <f>VLOOKUP(A954,'לעדכן בסינתזה דאטה אריזה 42+24'!$A:$C,3,0)</f>
        <v>#N/A</v>
      </c>
    </row>
    <row r="955" spans="9:18" x14ac:dyDescent="0.2">
      <c r="I955" s="4"/>
      <c r="J955" s="4"/>
      <c r="Q955" s="78" t="e">
        <f>VLOOKUP(A955,'גיליון דאטה להכל'!A:H,5,0)</f>
        <v>#N/A</v>
      </c>
      <c r="R955" s="78" t="e">
        <f>VLOOKUP(A955,'לעדכן בסינתזה דאטה אריזה 42+24'!$A:$C,3,0)</f>
        <v>#N/A</v>
      </c>
    </row>
    <row r="956" spans="9:18" x14ac:dyDescent="0.2">
      <c r="I956" s="4"/>
      <c r="J956" s="4"/>
      <c r="Q956" s="78" t="e">
        <f>VLOOKUP(A956,'גיליון דאטה להכל'!A:H,5,0)</f>
        <v>#N/A</v>
      </c>
      <c r="R956" s="78" t="e">
        <f>VLOOKUP(A956,'לעדכן בסינתזה דאטה אריזה 42+24'!$A:$C,3,0)</f>
        <v>#N/A</v>
      </c>
    </row>
    <row r="957" spans="9:18" x14ac:dyDescent="0.2">
      <c r="I957" s="4"/>
      <c r="J957" s="4"/>
      <c r="Q957" s="78" t="e">
        <f>VLOOKUP(A957,'גיליון דאטה להכל'!A:H,5,0)</f>
        <v>#N/A</v>
      </c>
      <c r="R957" s="78" t="e">
        <f>VLOOKUP(A957,'לעדכן בסינתזה דאטה אריזה 42+24'!$A:$C,3,0)</f>
        <v>#N/A</v>
      </c>
    </row>
    <row r="958" spans="9:18" x14ac:dyDescent="0.2">
      <c r="I958" s="4"/>
      <c r="J958" s="4"/>
      <c r="Q958" s="78" t="e">
        <f>VLOOKUP(A958,'גיליון דאטה להכל'!A:H,5,0)</f>
        <v>#N/A</v>
      </c>
      <c r="R958" s="78" t="e">
        <f>VLOOKUP(A958,'לעדכן בסינתזה דאטה אריזה 42+24'!$A:$C,3,0)</f>
        <v>#N/A</v>
      </c>
    </row>
    <row r="959" spans="9:18" x14ac:dyDescent="0.2">
      <c r="I959" s="4"/>
      <c r="J959" s="4"/>
      <c r="Q959" s="78" t="e">
        <f>VLOOKUP(A959,'גיליון דאטה להכל'!A:H,5,0)</f>
        <v>#N/A</v>
      </c>
      <c r="R959" s="78" t="e">
        <f>VLOOKUP(A959,'לעדכן בסינתזה דאטה אריזה 42+24'!$A:$C,3,0)</f>
        <v>#N/A</v>
      </c>
    </row>
    <row r="960" spans="9:18" x14ac:dyDescent="0.2">
      <c r="I960" s="4"/>
      <c r="J960" s="4"/>
      <c r="Q960" s="78" t="e">
        <f>VLOOKUP(A960,'גיליון דאטה להכל'!A:H,5,0)</f>
        <v>#N/A</v>
      </c>
      <c r="R960" s="78" t="e">
        <f>VLOOKUP(A960,'לעדכן בסינתזה דאטה אריזה 42+24'!$A:$C,3,0)</f>
        <v>#N/A</v>
      </c>
    </row>
    <row r="961" spans="9:18" x14ac:dyDescent="0.2">
      <c r="I961" s="4"/>
      <c r="J961" s="4"/>
      <c r="Q961" s="78" t="e">
        <f>VLOOKUP(A961,'גיליון דאטה להכל'!A:H,5,0)</f>
        <v>#N/A</v>
      </c>
      <c r="R961" s="78" t="e">
        <f>VLOOKUP(A961,'לעדכן בסינתזה דאטה אריזה 42+24'!$A:$C,3,0)</f>
        <v>#N/A</v>
      </c>
    </row>
    <row r="962" spans="9:18" x14ac:dyDescent="0.2">
      <c r="I962" s="4"/>
      <c r="J962" s="4"/>
      <c r="Q962" s="78" t="e">
        <f>VLOOKUP(A962,'גיליון דאטה להכל'!A:H,5,0)</f>
        <v>#N/A</v>
      </c>
      <c r="R962" s="78" t="e">
        <f>VLOOKUP(A962,'לעדכן בסינתזה דאטה אריזה 42+24'!$A:$C,3,0)</f>
        <v>#N/A</v>
      </c>
    </row>
    <row r="963" spans="9:18" x14ac:dyDescent="0.2">
      <c r="I963" s="4"/>
      <c r="J963" s="4"/>
      <c r="Q963" s="78" t="e">
        <f>VLOOKUP(A963,'גיליון דאטה להכל'!A:H,5,0)</f>
        <v>#N/A</v>
      </c>
      <c r="R963" s="78" t="e">
        <f>VLOOKUP(A963,'לעדכן בסינתזה דאטה אריזה 42+24'!$A:$C,3,0)</f>
        <v>#N/A</v>
      </c>
    </row>
    <row r="964" spans="9:18" x14ac:dyDescent="0.2">
      <c r="I964" s="4"/>
      <c r="J964" s="4"/>
      <c r="Q964" s="78" t="e">
        <f>VLOOKUP(A964,'גיליון דאטה להכל'!A:H,5,0)</f>
        <v>#N/A</v>
      </c>
      <c r="R964" s="78" t="e">
        <f>VLOOKUP(A964,'לעדכן בסינתזה דאטה אריזה 42+24'!$A:$C,3,0)</f>
        <v>#N/A</v>
      </c>
    </row>
    <row r="965" spans="9:18" x14ac:dyDescent="0.2">
      <c r="I965" s="4"/>
      <c r="J965" s="4"/>
      <c r="Q965" s="78" t="e">
        <f>VLOOKUP(A965,'גיליון דאטה להכל'!A:H,5,0)</f>
        <v>#N/A</v>
      </c>
      <c r="R965" s="78" t="e">
        <f>VLOOKUP(A965,'לעדכן בסינתזה דאטה אריזה 42+24'!$A:$C,3,0)</f>
        <v>#N/A</v>
      </c>
    </row>
    <row r="966" spans="9:18" x14ac:dyDescent="0.2">
      <c r="I966" s="4"/>
      <c r="J966" s="4"/>
      <c r="Q966" s="78" t="e">
        <f>VLOOKUP(A966,'גיליון דאטה להכל'!A:H,5,0)</f>
        <v>#N/A</v>
      </c>
      <c r="R966" s="78" t="e">
        <f>VLOOKUP(A966,'לעדכן בסינתזה דאטה אריזה 42+24'!$A:$C,3,0)</f>
        <v>#N/A</v>
      </c>
    </row>
    <row r="967" spans="9:18" x14ac:dyDescent="0.2">
      <c r="I967" s="4"/>
      <c r="J967" s="4"/>
      <c r="Q967" s="78" t="e">
        <f>VLOOKUP(A967,'גיליון דאטה להכל'!A:H,5,0)</f>
        <v>#N/A</v>
      </c>
      <c r="R967" s="78" t="e">
        <f>VLOOKUP(A967,'לעדכן בסינתזה דאטה אריזה 42+24'!$A:$C,3,0)</f>
        <v>#N/A</v>
      </c>
    </row>
    <row r="968" spans="9:18" x14ac:dyDescent="0.2">
      <c r="I968" s="4"/>
      <c r="J968" s="4"/>
      <c r="Q968" s="78" t="e">
        <f>VLOOKUP(A968,'גיליון דאטה להכל'!A:H,5,0)</f>
        <v>#N/A</v>
      </c>
      <c r="R968" s="78" t="e">
        <f>VLOOKUP(A968,'לעדכן בסינתזה דאטה אריזה 42+24'!$A:$C,3,0)</f>
        <v>#N/A</v>
      </c>
    </row>
    <row r="969" spans="9:18" x14ac:dyDescent="0.2">
      <c r="I969" s="4"/>
      <c r="J969" s="4"/>
      <c r="Q969" s="78" t="e">
        <f>VLOOKUP(A969,'גיליון דאטה להכל'!A:H,5,0)</f>
        <v>#N/A</v>
      </c>
      <c r="R969" s="78" t="e">
        <f>VLOOKUP(A969,'לעדכן בסינתזה דאטה אריזה 42+24'!$A:$C,3,0)</f>
        <v>#N/A</v>
      </c>
    </row>
    <row r="970" spans="9:18" x14ac:dyDescent="0.2">
      <c r="I970" s="4"/>
      <c r="J970" s="4"/>
      <c r="Q970" s="78" t="e">
        <f>VLOOKUP(A970,'גיליון דאטה להכל'!A:H,5,0)</f>
        <v>#N/A</v>
      </c>
      <c r="R970" s="78" t="e">
        <f>VLOOKUP(A970,'לעדכן בסינתזה דאטה אריזה 42+24'!$A:$C,3,0)</f>
        <v>#N/A</v>
      </c>
    </row>
    <row r="971" spans="9:18" x14ac:dyDescent="0.2">
      <c r="I971" s="4"/>
      <c r="J971" s="4"/>
      <c r="Q971" s="78" t="e">
        <f>VLOOKUP(A971,'גיליון דאטה להכל'!A:H,5,0)</f>
        <v>#N/A</v>
      </c>
      <c r="R971" s="78" t="e">
        <f>VLOOKUP(A971,'לעדכן בסינתזה דאטה אריזה 42+24'!$A:$C,3,0)</f>
        <v>#N/A</v>
      </c>
    </row>
    <row r="972" spans="9:18" x14ac:dyDescent="0.2">
      <c r="I972" s="4"/>
      <c r="J972" s="4"/>
      <c r="Q972" s="78" t="e">
        <f>VLOOKUP(A972,'גיליון דאטה להכל'!A:H,5,0)</f>
        <v>#N/A</v>
      </c>
      <c r="R972" s="78" t="e">
        <f>VLOOKUP(A972,'לעדכן בסינתזה דאטה אריזה 42+24'!$A:$C,3,0)</f>
        <v>#N/A</v>
      </c>
    </row>
    <row r="973" spans="9:18" x14ac:dyDescent="0.2">
      <c r="I973" s="4"/>
      <c r="J973" s="4"/>
      <c r="Q973" s="78" t="e">
        <f>VLOOKUP(A973,'גיליון דאטה להכל'!A:H,5,0)</f>
        <v>#N/A</v>
      </c>
      <c r="R973" s="78" t="e">
        <f>VLOOKUP(A973,'לעדכן בסינתזה דאטה אריזה 42+24'!$A:$C,3,0)</f>
        <v>#N/A</v>
      </c>
    </row>
    <row r="974" spans="9:18" x14ac:dyDescent="0.2">
      <c r="I974" s="4"/>
      <c r="J974" s="4"/>
      <c r="Q974" s="78" t="e">
        <f>VLOOKUP(A974,'גיליון דאטה להכל'!A:H,5,0)</f>
        <v>#N/A</v>
      </c>
      <c r="R974" s="78" t="e">
        <f>VLOOKUP(A974,'לעדכן בסינתזה דאטה אריזה 42+24'!$A:$C,3,0)</f>
        <v>#N/A</v>
      </c>
    </row>
    <row r="975" spans="9:18" x14ac:dyDescent="0.2">
      <c r="I975" s="4"/>
      <c r="J975" s="4"/>
      <c r="Q975" s="78" t="e">
        <f>VLOOKUP(A975,'גיליון דאטה להכל'!A:H,5,0)</f>
        <v>#N/A</v>
      </c>
      <c r="R975" s="78" t="e">
        <f>VLOOKUP(A975,'לעדכן בסינתזה דאטה אריזה 42+24'!$A:$C,3,0)</f>
        <v>#N/A</v>
      </c>
    </row>
    <row r="976" spans="9:18" x14ac:dyDescent="0.2">
      <c r="I976" s="4"/>
      <c r="J976" s="4"/>
      <c r="Q976" s="78" t="e">
        <f>VLOOKUP(A976,'גיליון דאטה להכל'!A:H,5,0)</f>
        <v>#N/A</v>
      </c>
      <c r="R976" s="78" t="e">
        <f>VLOOKUP(A976,'לעדכן בסינתזה דאטה אריזה 42+24'!$A:$C,3,0)</f>
        <v>#N/A</v>
      </c>
    </row>
    <row r="977" spans="9:18" x14ac:dyDescent="0.2">
      <c r="I977" s="4"/>
      <c r="J977" s="4"/>
      <c r="Q977" s="78" t="e">
        <f>VLOOKUP(A977,'גיליון דאטה להכל'!A:H,5,0)</f>
        <v>#N/A</v>
      </c>
      <c r="R977" s="78" t="e">
        <f>VLOOKUP(A977,'לעדכן בסינתזה דאטה אריזה 42+24'!$A:$C,3,0)</f>
        <v>#N/A</v>
      </c>
    </row>
    <row r="978" spans="9:18" x14ac:dyDescent="0.2">
      <c r="I978" s="4"/>
      <c r="J978" s="4"/>
      <c r="Q978" s="78" t="e">
        <f>VLOOKUP(A978,'גיליון דאטה להכל'!A:H,5,0)</f>
        <v>#N/A</v>
      </c>
      <c r="R978" s="78" t="e">
        <f>VLOOKUP(A978,'לעדכן בסינתזה דאטה אריזה 42+24'!$A:$C,3,0)</f>
        <v>#N/A</v>
      </c>
    </row>
    <row r="979" spans="9:18" x14ac:dyDescent="0.2">
      <c r="I979" s="4"/>
      <c r="J979" s="4"/>
      <c r="Q979" s="78" t="e">
        <f>VLOOKUP(A979,'גיליון דאטה להכל'!A:H,5,0)</f>
        <v>#N/A</v>
      </c>
      <c r="R979" s="78" t="e">
        <f>VLOOKUP(A979,'לעדכן בסינתזה דאטה אריזה 42+24'!$A:$C,3,0)</f>
        <v>#N/A</v>
      </c>
    </row>
    <row r="980" spans="9:18" x14ac:dyDescent="0.2">
      <c r="I980" s="4"/>
      <c r="J980" s="4"/>
      <c r="Q980" s="78" t="e">
        <f>VLOOKUP(A980,'גיליון דאטה להכל'!A:H,5,0)</f>
        <v>#N/A</v>
      </c>
      <c r="R980" s="78" t="e">
        <f>VLOOKUP(A980,'לעדכן בסינתזה דאטה אריזה 42+24'!$A:$C,3,0)</f>
        <v>#N/A</v>
      </c>
    </row>
    <row r="981" spans="9:18" x14ac:dyDescent="0.2">
      <c r="I981" s="4"/>
      <c r="J981" s="4"/>
      <c r="Q981" s="78" t="e">
        <f>VLOOKUP(A981,'גיליון דאטה להכל'!A:H,5,0)</f>
        <v>#N/A</v>
      </c>
      <c r="R981" s="78" t="e">
        <f>VLOOKUP(A981,'לעדכן בסינתזה דאטה אריזה 42+24'!$A:$C,3,0)</f>
        <v>#N/A</v>
      </c>
    </row>
    <row r="982" spans="9:18" x14ac:dyDescent="0.2">
      <c r="I982" s="4"/>
      <c r="J982" s="4"/>
      <c r="Q982" s="78" t="e">
        <f>VLOOKUP(A982,'גיליון דאטה להכל'!A:H,5,0)</f>
        <v>#N/A</v>
      </c>
      <c r="R982" s="78" t="e">
        <f>VLOOKUP(A982,'לעדכן בסינתזה דאטה אריזה 42+24'!$A:$C,3,0)</f>
        <v>#N/A</v>
      </c>
    </row>
    <row r="983" spans="9:18" x14ac:dyDescent="0.2">
      <c r="I983" s="4"/>
      <c r="J983" s="4"/>
      <c r="Q983" s="78" t="e">
        <f>VLOOKUP(A983,'גיליון דאטה להכל'!A:H,5,0)</f>
        <v>#N/A</v>
      </c>
      <c r="R983" s="78" t="e">
        <f>VLOOKUP(A983,'לעדכן בסינתזה דאטה אריזה 42+24'!$A:$C,3,0)</f>
        <v>#N/A</v>
      </c>
    </row>
    <row r="984" spans="9:18" x14ac:dyDescent="0.2">
      <c r="I984" s="4"/>
      <c r="J984" s="4"/>
      <c r="Q984" s="78" t="e">
        <f>VLOOKUP(A984,'גיליון דאטה להכל'!A:H,5,0)</f>
        <v>#N/A</v>
      </c>
      <c r="R984" s="78" t="e">
        <f>VLOOKUP(A984,'לעדכן בסינתזה דאטה אריזה 42+24'!$A:$C,3,0)</f>
        <v>#N/A</v>
      </c>
    </row>
    <row r="985" spans="9:18" x14ac:dyDescent="0.2">
      <c r="I985" s="4"/>
      <c r="J985" s="4"/>
      <c r="Q985" s="78" t="e">
        <f>VLOOKUP(A985,'גיליון דאטה להכל'!A:H,5,0)</f>
        <v>#N/A</v>
      </c>
      <c r="R985" s="78" t="e">
        <f>VLOOKUP(A985,'לעדכן בסינתזה דאטה אריזה 42+24'!$A:$C,3,0)</f>
        <v>#N/A</v>
      </c>
    </row>
    <row r="986" spans="9:18" x14ac:dyDescent="0.2">
      <c r="I986" s="4"/>
      <c r="J986" s="4"/>
      <c r="Q986" s="78" t="e">
        <f>VLOOKUP(A986,'גיליון דאטה להכל'!A:H,5,0)</f>
        <v>#N/A</v>
      </c>
      <c r="R986" s="78" t="e">
        <f>VLOOKUP(A986,'לעדכן בסינתזה דאטה אריזה 42+24'!$A:$C,3,0)</f>
        <v>#N/A</v>
      </c>
    </row>
    <row r="987" spans="9:18" x14ac:dyDescent="0.2">
      <c r="I987" s="4"/>
      <c r="J987" s="4"/>
      <c r="Q987" s="78" t="e">
        <f>VLOOKUP(A987,'גיליון דאטה להכל'!A:H,5,0)</f>
        <v>#N/A</v>
      </c>
      <c r="R987" s="78" t="e">
        <f>VLOOKUP(A987,'לעדכן בסינתזה דאטה אריזה 42+24'!$A:$C,3,0)</f>
        <v>#N/A</v>
      </c>
    </row>
    <row r="988" spans="9:18" x14ac:dyDescent="0.2">
      <c r="I988" s="4"/>
      <c r="J988" s="4"/>
      <c r="Q988" s="78" t="e">
        <f>VLOOKUP(A988,'גיליון דאטה להכל'!A:H,5,0)</f>
        <v>#N/A</v>
      </c>
      <c r="R988" s="78" t="e">
        <f>VLOOKUP(A988,'לעדכן בסינתזה דאטה אריזה 42+24'!$A:$C,3,0)</f>
        <v>#N/A</v>
      </c>
    </row>
    <row r="989" spans="9:18" x14ac:dyDescent="0.2">
      <c r="I989" s="4"/>
      <c r="J989" s="4"/>
      <c r="Q989" s="78" t="e">
        <f>VLOOKUP(A989,'גיליון דאטה להכל'!A:H,5,0)</f>
        <v>#N/A</v>
      </c>
      <c r="R989" s="78" t="e">
        <f>VLOOKUP(A989,'לעדכן בסינתזה דאטה אריזה 42+24'!$A:$C,3,0)</f>
        <v>#N/A</v>
      </c>
    </row>
    <row r="990" spans="9:18" x14ac:dyDescent="0.2">
      <c r="I990" s="4"/>
      <c r="J990" s="4"/>
      <c r="Q990" s="78" t="e">
        <f>VLOOKUP(A990,'גיליון דאטה להכל'!A:H,5,0)</f>
        <v>#N/A</v>
      </c>
      <c r="R990" s="78" t="e">
        <f>VLOOKUP(A990,'לעדכן בסינתזה דאטה אריזה 42+24'!$A:$C,3,0)</f>
        <v>#N/A</v>
      </c>
    </row>
    <row r="991" spans="9:18" x14ac:dyDescent="0.2">
      <c r="I991" s="4"/>
      <c r="J991" s="4"/>
      <c r="Q991" s="78" t="e">
        <f>VLOOKUP(A991,'גיליון דאטה להכל'!A:H,5,0)</f>
        <v>#N/A</v>
      </c>
      <c r="R991" s="78" t="e">
        <f>VLOOKUP(A991,'לעדכן בסינתזה דאטה אריזה 42+24'!$A:$C,3,0)</f>
        <v>#N/A</v>
      </c>
    </row>
    <row r="992" spans="9:18" x14ac:dyDescent="0.2">
      <c r="I992" s="4"/>
      <c r="J992" s="4"/>
      <c r="Q992" s="78" t="e">
        <f>VLOOKUP(A992,'גיליון דאטה להכל'!A:H,5,0)</f>
        <v>#N/A</v>
      </c>
      <c r="R992" s="78" t="e">
        <f>VLOOKUP(A992,'לעדכן בסינתזה דאטה אריזה 42+24'!$A:$C,3,0)</f>
        <v>#N/A</v>
      </c>
    </row>
    <row r="993" spans="9:18" x14ac:dyDescent="0.2">
      <c r="I993" s="4"/>
      <c r="J993" s="4"/>
      <c r="Q993" s="78" t="e">
        <f>VLOOKUP(A993,'גיליון דאטה להכל'!A:H,5,0)</f>
        <v>#N/A</v>
      </c>
      <c r="R993" s="78" t="e">
        <f>VLOOKUP(A993,'לעדכן בסינתזה דאטה אריזה 42+24'!$A:$C,3,0)</f>
        <v>#N/A</v>
      </c>
    </row>
    <row r="994" spans="9:18" x14ac:dyDescent="0.2">
      <c r="I994" s="4"/>
      <c r="J994" s="4"/>
      <c r="Q994" s="78" t="e">
        <f>VLOOKUP(A994,'גיליון דאטה להכל'!A:H,5,0)</f>
        <v>#N/A</v>
      </c>
      <c r="R994" s="78" t="e">
        <f>VLOOKUP(A994,'לעדכן בסינתזה דאטה אריזה 42+24'!$A:$C,3,0)</f>
        <v>#N/A</v>
      </c>
    </row>
    <row r="995" spans="9:18" x14ac:dyDescent="0.2">
      <c r="I995" s="4"/>
      <c r="J995" s="4"/>
      <c r="Q995" s="78" t="e">
        <f>VLOOKUP(A995,'גיליון דאטה להכל'!A:H,5,0)</f>
        <v>#N/A</v>
      </c>
      <c r="R995" s="78" t="e">
        <f>VLOOKUP(A995,'לעדכן בסינתזה דאטה אריזה 42+24'!$A:$C,3,0)</f>
        <v>#N/A</v>
      </c>
    </row>
    <row r="996" spans="9:18" x14ac:dyDescent="0.2">
      <c r="I996" s="4"/>
      <c r="J996" s="4"/>
      <c r="Q996" s="78" t="e">
        <f>VLOOKUP(A996,'גיליון דאטה להכל'!A:H,5,0)</f>
        <v>#N/A</v>
      </c>
      <c r="R996" s="78" t="e">
        <f>VLOOKUP(A996,'לעדכן בסינתזה דאטה אריזה 42+24'!$A:$C,3,0)</f>
        <v>#N/A</v>
      </c>
    </row>
    <row r="997" spans="9:18" x14ac:dyDescent="0.2">
      <c r="I997" s="4"/>
      <c r="J997" s="4"/>
      <c r="Q997" s="78" t="e">
        <f>VLOOKUP(A997,'גיליון דאטה להכל'!A:H,5,0)</f>
        <v>#N/A</v>
      </c>
      <c r="R997" s="78" t="e">
        <f>VLOOKUP(A997,'לעדכן בסינתזה דאטה אריזה 42+24'!$A:$C,3,0)</f>
        <v>#N/A</v>
      </c>
    </row>
    <row r="998" spans="9:18" x14ac:dyDescent="0.2">
      <c r="I998" s="4"/>
      <c r="J998" s="4"/>
      <c r="Q998" s="78" t="e">
        <f>VLOOKUP(A998,'גיליון דאטה להכל'!A:H,5,0)</f>
        <v>#N/A</v>
      </c>
      <c r="R998" s="78" t="e">
        <f>VLOOKUP(A998,'לעדכן בסינתזה דאטה אריזה 42+24'!$A:$C,3,0)</f>
        <v>#N/A</v>
      </c>
    </row>
    <row r="999" spans="9:18" x14ac:dyDescent="0.2">
      <c r="I999" s="4"/>
      <c r="J999" s="4"/>
      <c r="Q999" s="78" t="e">
        <f>VLOOKUP(A999,'גיליון דאטה להכל'!A:H,5,0)</f>
        <v>#N/A</v>
      </c>
      <c r="R999" s="78" t="e">
        <f>VLOOKUP(A999,'לעדכן בסינתזה דאטה אריזה 42+24'!$A:$C,3,0)</f>
        <v>#N/A</v>
      </c>
    </row>
    <row r="1000" spans="9:18" x14ac:dyDescent="0.2">
      <c r="I1000" s="4"/>
      <c r="J1000" s="4"/>
      <c r="Q1000" s="78" t="e">
        <f>VLOOKUP(A1000,'גיליון דאטה להכל'!A:H,5,0)</f>
        <v>#N/A</v>
      </c>
      <c r="R1000" s="78" t="e">
        <f>VLOOKUP(A1000,'לעדכן בסינתזה דאטה אריזה 42+24'!$A:$C,3,0)</f>
        <v>#N/A</v>
      </c>
    </row>
    <row r="1001" spans="9:18" x14ac:dyDescent="0.2">
      <c r="I1001" s="4"/>
      <c r="J1001" s="4"/>
      <c r="Q1001" s="78" t="e">
        <f>VLOOKUP(A1001,'גיליון דאטה להכל'!A:H,5,0)</f>
        <v>#N/A</v>
      </c>
      <c r="R1001" s="78" t="e">
        <f>VLOOKUP(A1001,'לעדכן בסינתזה דאטה אריזה 42+24'!$A:$C,3,0)</f>
        <v>#N/A</v>
      </c>
    </row>
    <row r="1002" spans="9:18" x14ac:dyDescent="0.2">
      <c r="I1002" s="4"/>
      <c r="J1002" s="4"/>
      <c r="Q1002" s="78" t="e">
        <f>VLOOKUP(A1002,'גיליון דאטה להכל'!A:H,5,0)</f>
        <v>#N/A</v>
      </c>
      <c r="R1002" s="78" t="e">
        <f>VLOOKUP(A1002,'לעדכן בסינתזה דאטה אריזה 42+24'!$A:$C,3,0)</f>
        <v>#N/A</v>
      </c>
    </row>
    <row r="1003" spans="9:18" x14ac:dyDescent="0.2">
      <c r="I1003" s="4"/>
      <c r="J1003" s="4"/>
      <c r="Q1003" s="78" t="e">
        <f>VLOOKUP(A1003,'גיליון דאטה להכל'!A:H,5,0)</f>
        <v>#N/A</v>
      </c>
      <c r="R1003" s="78" t="e">
        <f>VLOOKUP(A1003,'לעדכן בסינתזה דאטה אריזה 42+24'!$A:$C,3,0)</f>
        <v>#N/A</v>
      </c>
    </row>
    <row r="1004" spans="9:18" x14ac:dyDescent="0.2">
      <c r="I1004" s="4"/>
      <c r="J1004" s="4"/>
      <c r="Q1004" s="78" t="e">
        <f>VLOOKUP(A1004,'גיליון דאטה להכל'!A:H,5,0)</f>
        <v>#N/A</v>
      </c>
      <c r="R1004" s="78" t="e">
        <f>VLOOKUP(A1004,'לעדכן בסינתזה דאטה אריזה 42+24'!$A:$C,3,0)</f>
        <v>#N/A</v>
      </c>
    </row>
    <row r="1005" spans="9:18" x14ac:dyDescent="0.2">
      <c r="I1005" s="4"/>
      <c r="J1005" s="4"/>
      <c r="Q1005" s="78" t="e">
        <f>VLOOKUP(A1005,'גיליון דאטה להכל'!A:H,5,0)</f>
        <v>#N/A</v>
      </c>
      <c r="R1005" s="78" t="e">
        <f>VLOOKUP(A1005,'לעדכן בסינתזה דאטה אריזה 42+24'!$A:$C,3,0)</f>
        <v>#N/A</v>
      </c>
    </row>
    <row r="1006" spans="9:18" x14ac:dyDescent="0.2">
      <c r="I1006" s="4"/>
      <c r="J1006" s="4"/>
      <c r="Q1006" s="78" t="e">
        <f>VLOOKUP(A1006,'גיליון דאטה להכל'!A:H,5,0)</f>
        <v>#N/A</v>
      </c>
      <c r="R1006" s="78" t="e">
        <f>VLOOKUP(A1006,'לעדכן בסינתזה דאטה אריזה 42+24'!$A:$C,3,0)</f>
        <v>#N/A</v>
      </c>
    </row>
    <row r="1007" spans="9:18" x14ac:dyDescent="0.2">
      <c r="I1007" s="4"/>
      <c r="J1007" s="4"/>
      <c r="Q1007" s="78" t="e">
        <f>VLOOKUP(A1007,'גיליון דאטה להכל'!A:H,5,0)</f>
        <v>#N/A</v>
      </c>
      <c r="R1007" s="78" t="e">
        <f>VLOOKUP(A1007,'לעדכן בסינתזה דאטה אריזה 42+24'!$A:$C,3,0)</f>
        <v>#N/A</v>
      </c>
    </row>
    <row r="1008" spans="9:18" x14ac:dyDescent="0.2">
      <c r="I1008" s="4"/>
      <c r="J1008" s="4"/>
      <c r="Q1008" s="78" t="e">
        <f>VLOOKUP(A1008,'גיליון דאטה להכל'!A:H,5,0)</f>
        <v>#N/A</v>
      </c>
      <c r="R1008" s="78" t="e">
        <f>VLOOKUP(A1008,'לעדכן בסינתזה דאטה אריזה 42+24'!$A:$C,3,0)</f>
        <v>#N/A</v>
      </c>
    </row>
    <row r="1009" spans="9:18" x14ac:dyDescent="0.2">
      <c r="I1009" s="4"/>
      <c r="J1009" s="4"/>
      <c r="Q1009" s="78" t="e">
        <f>VLOOKUP(A1009,'גיליון דאטה להכל'!A:H,5,0)</f>
        <v>#N/A</v>
      </c>
      <c r="R1009" s="78" t="e">
        <f>VLOOKUP(A1009,'לעדכן בסינתזה דאטה אריזה 42+24'!$A:$C,3,0)</f>
        <v>#N/A</v>
      </c>
    </row>
    <row r="1010" spans="9:18" x14ac:dyDescent="0.2">
      <c r="I1010" s="4"/>
      <c r="J1010" s="4"/>
      <c r="Q1010" s="78" t="e">
        <f>VLOOKUP(A1010,'גיליון דאטה להכל'!A:H,5,0)</f>
        <v>#N/A</v>
      </c>
      <c r="R1010" s="78" t="e">
        <f>VLOOKUP(A1010,'לעדכן בסינתזה דאטה אריזה 42+24'!$A:$C,3,0)</f>
        <v>#N/A</v>
      </c>
    </row>
    <row r="1011" spans="9:18" x14ac:dyDescent="0.2">
      <c r="I1011" s="4"/>
      <c r="J1011" s="4"/>
      <c r="Q1011" s="78" t="e">
        <f>VLOOKUP(A1011,'גיליון דאטה להכל'!A:H,5,0)</f>
        <v>#N/A</v>
      </c>
      <c r="R1011" s="78" t="e">
        <f>VLOOKUP(A1011,'לעדכן בסינתזה דאטה אריזה 42+24'!$A:$C,3,0)</f>
        <v>#N/A</v>
      </c>
    </row>
    <row r="1012" spans="9:18" x14ac:dyDescent="0.2">
      <c r="I1012" s="4"/>
      <c r="J1012" s="4"/>
      <c r="Q1012" s="78" t="e">
        <f>VLOOKUP(A1012,'גיליון דאטה להכל'!A:H,5,0)</f>
        <v>#N/A</v>
      </c>
      <c r="R1012" s="78" t="e">
        <f>VLOOKUP(A1012,'לעדכן בסינתזה דאטה אריזה 42+24'!$A:$C,3,0)</f>
        <v>#N/A</v>
      </c>
    </row>
    <row r="1013" spans="9:18" x14ac:dyDescent="0.2">
      <c r="I1013" s="4"/>
      <c r="J1013" s="4"/>
      <c r="Q1013" s="78" t="e">
        <f>VLOOKUP(A1013,'גיליון דאטה להכל'!A:H,5,0)</f>
        <v>#N/A</v>
      </c>
      <c r="R1013" s="78" t="e">
        <f>VLOOKUP(A1013,'לעדכן בסינתזה דאטה אריזה 42+24'!$A:$C,3,0)</f>
        <v>#N/A</v>
      </c>
    </row>
    <row r="1014" spans="9:18" x14ac:dyDescent="0.2">
      <c r="I1014" s="4"/>
      <c r="J1014" s="4"/>
      <c r="Q1014" s="78" t="e">
        <f>VLOOKUP(A1014,'גיליון דאטה להכל'!A:H,5,0)</f>
        <v>#N/A</v>
      </c>
      <c r="R1014" s="78" t="e">
        <f>VLOOKUP(A1014,'לעדכן בסינתזה דאטה אריזה 42+24'!$A:$C,3,0)</f>
        <v>#N/A</v>
      </c>
    </row>
    <row r="1015" spans="9:18" x14ac:dyDescent="0.2">
      <c r="I1015" s="4"/>
      <c r="J1015" s="4"/>
      <c r="Q1015" s="78" t="e">
        <f>VLOOKUP(A1015,'גיליון דאטה להכל'!A:H,5,0)</f>
        <v>#N/A</v>
      </c>
      <c r="R1015" s="78" t="e">
        <f>VLOOKUP(A1015,'לעדכן בסינתזה דאטה אריזה 42+24'!$A:$C,3,0)</f>
        <v>#N/A</v>
      </c>
    </row>
    <row r="1016" spans="9:18" x14ac:dyDescent="0.2">
      <c r="I1016" s="4"/>
      <c r="J1016" s="4"/>
      <c r="Q1016" s="78" t="e">
        <f>VLOOKUP(A1016,'גיליון דאטה להכל'!A:H,5,0)</f>
        <v>#N/A</v>
      </c>
      <c r="R1016" s="78" t="e">
        <f>VLOOKUP(A1016,'לעדכן בסינתזה דאטה אריזה 42+24'!$A:$C,3,0)</f>
        <v>#N/A</v>
      </c>
    </row>
    <row r="1017" spans="9:18" x14ac:dyDescent="0.2">
      <c r="I1017" s="4"/>
      <c r="J1017" s="4"/>
      <c r="Q1017" s="78" t="e">
        <f>VLOOKUP(A1017,'גיליון דאטה להכל'!A:H,5,0)</f>
        <v>#N/A</v>
      </c>
      <c r="R1017" s="78" t="e">
        <f>VLOOKUP(A1017,'לעדכן בסינתזה דאטה אריזה 42+24'!$A:$C,3,0)</f>
        <v>#N/A</v>
      </c>
    </row>
    <row r="1018" spans="9:18" x14ac:dyDescent="0.2">
      <c r="I1018" s="4"/>
      <c r="J1018" s="4"/>
      <c r="Q1018" s="78" t="e">
        <f>VLOOKUP(A1018,'גיליון דאטה להכל'!A:H,5,0)</f>
        <v>#N/A</v>
      </c>
      <c r="R1018" s="78" t="e">
        <f>VLOOKUP(A1018,'לעדכן בסינתזה דאטה אריזה 42+24'!$A:$C,3,0)</f>
        <v>#N/A</v>
      </c>
    </row>
    <row r="1019" spans="9:18" x14ac:dyDescent="0.2">
      <c r="I1019" s="4"/>
      <c r="J1019" s="4"/>
      <c r="Q1019" s="78" t="e">
        <f>VLOOKUP(A1019,'גיליון דאטה להכל'!A:H,5,0)</f>
        <v>#N/A</v>
      </c>
      <c r="R1019" s="78" t="e">
        <f>VLOOKUP(A1019,'לעדכן בסינתזה דאטה אריזה 42+24'!$A:$C,3,0)</f>
        <v>#N/A</v>
      </c>
    </row>
    <row r="1020" spans="9:18" x14ac:dyDescent="0.2">
      <c r="I1020" s="4"/>
      <c r="J1020" s="4"/>
      <c r="Q1020" s="78" t="e">
        <f>VLOOKUP(A1020,'גיליון דאטה להכל'!A:H,5,0)</f>
        <v>#N/A</v>
      </c>
      <c r="R1020" s="78" t="e">
        <f>VLOOKUP(A1020,'לעדכן בסינתזה דאטה אריזה 42+24'!$A:$C,3,0)</f>
        <v>#N/A</v>
      </c>
    </row>
    <row r="1021" spans="9:18" x14ac:dyDescent="0.2">
      <c r="I1021" s="4"/>
      <c r="J1021" s="4"/>
      <c r="Q1021" s="78" t="e">
        <f>VLOOKUP(A1021,'גיליון דאטה להכל'!A:H,5,0)</f>
        <v>#N/A</v>
      </c>
      <c r="R1021" s="78" t="e">
        <f>VLOOKUP(A1021,'לעדכן בסינתזה דאטה אריזה 42+24'!$A:$C,3,0)</f>
        <v>#N/A</v>
      </c>
    </row>
    <row r="1022" spans="9:18" x14ac:dyDescent="0.2">
      <c r="I1022" s="4"/>
      <c r="J1022" s="4"/>
      <c r="Q1022" s="78" t="e">
        <f>VLOOKUP(A1022,'גיליון דאטה להכל'!A:H,5,0)</f>
        <v>#N/A</v>
      </c>
      <c r="R1022" s="78" t="e">
        <f>VLOOKUP(A1022,'לעדכן בסינתזה דאטה אריזה 42+24'!$A:$C,3,0)</f>
        <v>#N/A</v>
      </c>
    </row>
    <row r="1023" spans="9:18" x14ac:dyDescent="0.2">
      <c r="I1023" s="4"/>
      <c r="J1023" s="4"/>
      <c r="Q1023" s="78" t="e">
        <f>VLOOKUP(A1023,'גיליון דאטה להכל'!A:H,5,0)</f>
        <v>#N/A</v>
      </c>
      <c r="R1023" s="78" t="e">
        <f>VLOOKUP(A1023,'לעדכן בסינתזה דאטה אריזה 42+24'!$A:$C,3,0)</f>
        <v>#N/A</v>
      </c>
    </row>
    <row r="1024" spans="9:18" x14ac:dyDescent="0.2">
      <c r="I1024" s="4"/>
      <c r="J1024" s="4"/>
      <c r="Q1024" s="78" t="e">
        <f>VLOOKUP(A1024,'גיליון דאטה להכל'!A:H,5,0)</f>
        <v>#N/A</v>
      </c>
      <c r="R1024" s="78" t="e">
        <f>VLOOKUP(A1024,'לעדכן בסינתזה דאטה אריזה 42+24'!$A:$C,3,0)</f>
        <v>#N/A</v>
      </c>
    </row>
    <row r="1025" spans="9:18" x14ac:dyDescent="0.2">
      <c r="I1025" s="4"/>
      <c r="J1025" s="4"/>
      <c r="Q1025" s="78" t="e">
        <f>VLOOKUP(A1025,'גיליון דאטה להכל'!A:H,5,0)</f>
        <v>#N/A</v>
      </c>
      <c r="R1025" s="78" t="e">
        <f>VLOOKUP(A1025,'לעדכן בסינתזה דאטה אריזה 42+24'!$A:$C,3,0)</f>
        <v>#N/A</v>
      </c>
    </row>
    <row r="1026" spans="9:18" x14ac:dyDescent="0.2">
      <c r="I1026" s="4"/>
      <c r="J1026" s="4"/>
      <c r="Q1026" s="78" t="e">
        <f>VLOOKUP(A1026,'גיליון דאטה להכל'!A:H,5,0)</f>
        <v>#N/A</v>
      </c>
      <c r="R1026" s="78" t="e">
        <f>VLOOKUP(A1026,'לעדכן בסינתזה דאטה אריזה 42+24'!$A:$C,3,0)</f>
        <v>#N/A</v>
      </c>
    </row>
    <row r="1027" spans="9:18" x14ac:dyDescent="0.2">
      <c r="I1027" s="4"/>
      <c r="J1027" s="4"/>
      <c r="Q1027" s="78" t="e">
        <f>VLOOKUP(A1027,'גיליון דאטה להכל'!A:H,5,0)</f>
        <v>#N/A</v>
      </c>
      <c r="R1027" s="78" t="e">
        <f>VLOOKUP(A1027,'לעדכן בסינתזה דאטה אריזה 42+24'!$A:$C,3,0)</f>
        <v>#N/A</v>
      </c>
    </row>
    <row r="1028" spans="9:18" x14ac:dyDescent="0.2">
      <c r="I1028" s="4"/>
      <c r="J1028" s="4"/>
      <c r="Q1028" s="78" t="e">
        <f>VLOOKUP(A1028,'גיליון דאטה להכל'!A:H,5,0)</f>
        <v>#N/A</v>
      </c>
      <c r="R1028" s="78" t="e">
        <f>VLOOKUP(A1028,'לעדכן בסינתזה דאטה אריזה 42+24'!$A:$C,3,0)</f>
        <v>#N/A</v>
      </c>
    </row>
    <row r="1029" spans="9:18" x14ac:dyDescent="0.2">
      <c r="I1029" s="4"/>
      <c r="J1029" s="4"/>
      <c r="Q1029" s="78" t="e">
        <f>VLOOKUP(A1029,'גיליון דאטה להכל'!A:H,5,0)</f>
        <v>#N/A</v>
      </c>
      <c r="R1029" s="78" t="e">
        <f>VLOOKUP(A1029,'לעדכן בסינתזה דאטה אריזה 42+24'!$A:$C,3,0)</f>
        <v>#N/A</v>
      </c>
    </row>
    <row r="1030" spans="9:18" x14ac:dyDescent="0.2">
      <c r="I1030" s="4"/>
      <c r="J1030" s="4"/>
      <c r="Q1030" s="78" t="e">
        <f>VLOOKUP(A1030,'גיליון דאטה להכל'!A:H,5,0)</f>
        <v>#N/A</v>
      </c>
      <c r="R1030" s="78" t="e">
        <f>VLOOKUP(A1030,'לעדכן בסינתזה דאטה אריזה 42+24'!$A:$C,3,0)</f>
        <v>#N/A</v>
      </c>
    </row>
    <row r="1031" spans="9:18" x14ac:dyDescent="0.2">
      <c r="I1031" s="4"/>
      <c r="J1031" s="4"/>
      <c r="Q1031" s="78" t="e">
        <f>VLOOKUP(A1031,'גיליון דאטה להכל'!A:H,5,0)</f>
        <v>#N/A</v>
      </c>
      <c r="R1031" s="78" t="e">
        <f>VLOOKUP(A1031,'לעדכן בסינתזה דאטה אריזה 42+24'!$A:$C,3,0)</f>
        <v>#N/A</v>
      </c>
    </row>
    <row r="1032" spans="9:18" x14ac:dyDescent="0.2">
      <c r="I1032" s="4"/>
      <c r="J1032" s="4"/>
      <c r="Q1032" s="78" t="e">
        <f>VLOOKUP(A1032,'גיליון דאטה להכל'!A:H,5,0)</f>
        <v>#N/A</v>
      </c>
      <c r="R1032" s="78" t="e">
        <f>VLOOKUP(A1032,'לעדכן בסינתזה דאטה אריזה 42+24'!$A:$C,3,0)</f>
        <v>#N/A</v>
      </c>
    </row>
    <row r="1033" spans="9:18" x14ac:dyDescent="0.2">
      <c r="I1033" s="4"/>
      <c r="J1033" s="4"/>
      <c r="Q1033" s="78" t="e">
        <f>VLOOKUP(A1033,'גיליון דאטה להכל'!A:H,5,0)</f>
        <v>#N/A</v>
      </c>
      <c r="R1033" s="78" t="e">
        <f>VLOOKUP(A1033,'לעדכן בסינתזה דאטה אריזה 42+24'!$A:$C,3,0)</f>
        <v>#N/A</v>
      </c>
    </row>
    <row r="1034" spans="9:18" x14ac:dyDescent="0.2">
      <c r="I1034" s="4"/>
      <c r="J1034" s="4"/>
      <c r="Q1034" s="78" t="e">
        <f>VLOOKUP(A1034,'גיליון דאטה להכל'!A:H,5,0)</f>
        <v>#N/A</v>
      </c>
      <c r="R1034" s="78" t="e">
        <f>VLOOKUP(A1034,'לעדכן בסינתזה דאטה אריזה 42+24'!$A:$C,3,0)</f>
        <v>#N/A</v>
      </c>
    </row>
    <row r="1035" spans="9:18" x14ac:dyDescent="0.2">
      <c r="I1035" s="4"/>
      <c r="J1035" s="4"/>
      <c r="Q1035" s="78" t="e">
        <f>VLOOKUP(A1035,'גיליון דאטה להכל'!A:H,5,0)</f>
        <v>#N/A</v>
      </c>
      <c r="R1035" s="78" t="e">
        <f>VLOOKUP(A1035,'לעדכן בסינתזה דאטה אריזה 42+24'!$A:$C,3,0)</f>
        <v>#N/A</v>
      </c>
    </row>
    <row r="1036" spans="9:18" x14ac:dyDescent="0.2">
      <c r="I1036" s="4"/>
      <c r="J1036" s="4"/>
      <c r="Q1036" s="78" t="e">
        <f>VLOOKUP(A1036,'גיליון דאטה להכל'!A:H,5,0)</f>
        <v>#N/A</v>
      </c>
      <c r="R1036" s="78" t="e">
        <f>VLOOKUP(A1036,'לעדכן בסינתזה דאטה אריזה 42+24'!$A:$C,3,0)</f>
        <v>#N/A</v>
      </c>
    </row>
    <row r="1037" spans="9:18" x14ac:dyDescent="0.2">
      <c r="I1037" s="4"/>
      <c r="J1037" s="4"/>
      <c r="Q1037" s="78" t="e">
        <f>VLOOKUP(A1037,'גיליון דאטה להכל'!A:H,5,0)</f>
        <v>#N/A</v>
      </c>
      <c r="R1037" s="78" t="e">
        <f>VLOOKUP(A1037,'לעדכן בסינתזה דאטה אריזה 42+24'!$A:$C,3,0)</f>
        <v>#N/A</v>
      </c>
    </row>
    <row r="1038" spans="9:18" x14ac:dyDescent="0.2">
      <c r="I1038" s="4"/>
      <c r="J1038" s="4"/>
      <c r="Q1038" s="78" t="e">
        <f>VLOOKUP(A1038,'גיליון דאטה להכל'!A:H,5,0)</f>
        <v>#N/A</v>
      </c>
      <c r="R1038" s="78" t="e">
        <f>VLOOKUP(A1038,'לעדכן בסינתזה דאטה אריזה 42+24'!$A:$C,3,0)</f>
        <v>#N/A</v>
      </c>
    </row>
    <row r="1039" spans="9:18" x14ac:dyDescent="0.2">
      <c r="I1039" s="4"/>
      <c r="J1039" s="4"/>
      <c r="Q1039" s="78" t="e">
        <f>VLOOKUP(A1039,'גיליון דאטה להכל'!A:H,5,0)</f>
        <v>#N/A</v>
      </c>
      <c r="R1039" s="78" t="e">
        <f>VLOOKUP(A1039,'לעדכן בסינתזה דאטה אריזה 42+24'!$A:$C,3,0)</f>
        <v>#N/A</v>
      </c>
    </row>
    <row r="1040" spans="9:18" x14ac:dyDescent="0.2">
      <c r="I1040" s="4"/>
      <c r="J1040" s="4"/>
      <c r="Q1040" s="78" t="e">
        <f>VLOOKUP(A1040,'גיליון דאטה להכל'!A:H,5,0)</f>
        <v>#N/A</v>
      </c>
      <c r="R1040" s="78" t="e">
        <f>VLOOKUP(A1040,'לעדכן בסינתזה דאטה אריזה 42+24'!$A:$C,3,0)</f>
        <v>#N/A</v>
      </c>
    </row>
    <row r="1041" spans="9:18" x14ac:dyDescent="0.2">
      <c r="I1041" s="4"/>
      <c r="J1041" s="4"/>
      <c r="Q1041" s="78" t="e">
        <f>VLOOKUP(A1041,'גיליון דאטה להכל'!A:H,5,0)</f>
        <v>#N/A</v>
      </c>
      <c r="R1041" s="78" t="e">
        <f>VLOOKUP(A1041,'לעדכן בסינתזה דאטה אריזה 42+24'!$A:$C,3,0)</f>
        <v>#N/A</v>
      </c>
    </row>
    <row r="1042" spans="9:18" x14ac:dyDescent="0.2">
      <c r="I1042" s="4"/>
      <c r="J1042" s="4"/>
      <c r="Q1042" s="78" t="e">
        <f>VLOOKUP(A1042,'גיליון דאטה להכל'!A:H,5,0)</f>
        <v>#N/A</v>
      </c>
      <c r="R1042" s="78" t="e">
        <f>VLOOKUP(A1042,'לעדכן בסינתזה דאטה אריזה 42+24'!$A:$C,3,0)</f>
        <v>#N/A</v>
      </c>
    </row>
    <row r="1043" spans="9:18" x14ac:dyDescent="0.2">
      <c r="I1043" s="4"/>
      <c r="J1043" s="4"/>
      <c r="Q1043" s="78" t="e">
        <f>VLOOKUP(A1043,'גיליון דאטה להכל'!A:H,5,0)</f>
        <v>#N/A</v>
      </c>
      <c r="R1043" s="78" t="e">
        <f>VLOOKUP(A1043,'לעדכן בסינתזה דאטה אריזה 42+24'!$A:$C,3,0)</f>
        <v>#N/A</v>
      </c>
    </row>
    <row r="1044" spans="9:18" x14ac:dyDescent="0.2">
      <c r="I1044" s="4"/>
      <c r="J1044" s="4"/>
      <c r="Q1044" s="78" t="e">
        <f>VLOOKUP(A1044,'גיליון דאטה להכל'!A:H,5,0)</f>
        <v>#N/A</v>
      </c>
      <c r="R1044" s="78" t="e">
        <f>VLOOKUP(A1044,'לעדכן בסינתזה דאטה אריזה 42+24'!$A:$C,3,0)</f>
        <v>#N/A</v>
      </c>
    </row>
    <row r="1045" spans="9:18" x14ac:dyDescent="0.2">
      <c r="I1045" s="4"/>
      <c r="J1045" s="4"/>
      <c r="Q1045" s="78" t="e">
        <f>VLOOKUP(A1045,'גיליון דאטה להכל'!A:H,5,0)</f>
        <v>#N/A</v>
      </c>
      <c r="R1045" s="78" t="e">
        <f>VLOOKUP(A1045,'לעדכן בסינתזה דאטה אריזה 42+24'!$A:$C,3,0)</f>
        <v>#N/A</v>
      </c>
    </row>
    <row r="1046" spans="9:18" x14ac:dyDescent="0.2">
      <c r="I1046" s="4"/>
      <c r="J1046" s="4"/>
      <c r="Q1046" s="78" t="e">
        <f>VLOOKUP(A1046,'גיליון דאטה להכל'!A:H,5,0)</f>
        <v>#N/A</v>
      </c>
      <c r="R1046" s="78" t="e">
        <f>VLOOKUP(A1046,'לעדכן בסינתזה דאטה אריזה 42+24'!$A:$C,3,0)</f>
        <v>#N/A</v>
      </c>
    </row>
    <row r="1047" spans="9:18" x14ac:dyDescent="0.2">
      <c r="I1047" s="4"/>
      <c r="J1047" s="4"/>
      <c r="Q1047" s="78" t="e">
        <f>VLOOKUP(A1047,'גיליון דאטה להכל'!A:H,5,0)</f>
        <v>#N/A</v>
      </c>
      <c r="R1047" s="78" t="e">
        <f>VLOOKUP(A1047,'לעדכן בסינתזה דאטה אריזה 42+24'!$A:$C,3,0)</f>
        <v>#N/A</v>
      </c>
    </row>
    <row r="1048" spans="9:18" x14ac:dyDescent="0.2">
      <c r="I1048" s="4"/>
      <c r="J1048" s="4"/>
      <c r="Q1048" s="78" t="e">
        <f>VLOOKUP(A1048,'גיליון דאטה להכל'!A:H,5,0)</f>
        <v>#N/A</v>
      </c>
      <c r="R1048" s="78" t="e">
        <f>VLOOKUP(A1048,'לעדכן בסינתזה דאטה אריזה 42+24'!$A:$C,3,0)</f>
        <v>#N/A</v>
      </c>
    </row>
    <row r="1049" spans="9:18" x14ac:dyDescent="0.2">
      <c r="I1049" s="4"/>
      <c r="J1049" s="4"/>
      <c r="Q1049" s="78" t="e">
        <f>VLOOKUP(A1049,'גיליון דאטה להכל'!A:H,5,0)</f>
        <v>#N/A</v>
      </c>
      <c r="R1049" s="78" t="e">
        <f>VLOOKUP(A1049,'לעדכן בסינתזה דאטה אריזה 42+24'!$A:$C,3,0)</f>
        <v>#N/A</v>
      </c>
    </row>
    <row r="1050" spans="9:18" x14ac:dyDescent="0.2">
      <c r="I1050" s="4"/>
      <c r="J1050" s="4"/>
      <c r="Q1050" s="78" t="e">
        <f>VLOOKUP(A1050,'גיליון דאטה להכל'!A:H,5,0)</f>
        <v>#N/A</v>
      </c>
      <c r="R1050" s="78" t="e">
        <f>VLOOKUP(A1050,'לעדכן בסינתזה דאטה אריזה 42+24'!$A:$C,3,0)</f>
        <v>#N/A</v>
      </c>
    </row>
    <row r="1051" spans="9:18" x14ac:dyDescent="0.2">
      <c r="I1051" s="4"/>
      <c r="J1051" s="4"/>
      <c r="Q1051" s="78" t="e">
        <f>VLOOKUP(A1051,'גיליון דאטה להכל'!A:H,5,0)</f>
        <v>#N/A</v>
      </c>
      <c r="R1051" s="78" t="e">
        <f>VLOOKUP(A1051,'לעדכן בסינתזה דאטה אריזה 42+24'!$A:$C,3,0)</f>
        <v>#N/A</v>
      </c>
    </row>
    <row r="1052" spans="9:18" x14ac:dyDescent="0.2">
      <c r="I1052" s="4"/>
      <c r="J1052" s="4"/>
      <c r="Q1052" s="78" t="e">
        <f>VLOOKUP(A1052,'גיליון דאטה להכל'!A:H,5,0)</f>
        <v>#N/A</v>
      </c>
      <c r="R1052" s="78" t="e">
        <f>VLOOKUP(A1052,'לעדכן בסינתזה דאטה אריזה 42+24'!$A:$C,3,0)</f>
        <v>#N/A</v>
      </c>
    </row>
    <row r="1053" spans="9:18" x14ac:dyDescent="0.2">
      <c r="I1053" s="4"/>
      <c r="J1053" s="4"/>
      <c r="Q1053" s="78" t="e">
        <f>VLOOKUP(A1053,'גיליון דאטה להכל'!A:H,5,0)</f>
        <v>#N/A</v>
      </c>
      <c r="R1053" s="78" t="e">
        <f>VLOOKUP(A1053,'לעדכן בסינתזה דאטה אריזה 42+24'!$A:$C,3,0)</f>
        <v>#N/A</v>
      </c>
    </row>
    <row r="1054" spans="9:18" x14ac:dyDescent="0.2">
      <c r="I1054" s="4"/>
      <c r="J1054" s="4"/>
      <c r="Q1054" s="78" t="e">
        <f>VLOOKUP(A1054,'גיליון דאטה להכל'!A:H,5,0)</f>
        <v>#N/A</v>
      </c>
      <c r="R1054" s="78" t="e">
        <f>VLOOKUP(A1054,'לעדכן בסינתזה דאטה אריזה 42+24'!$A:$C,3,0)</f>
        <v>#N/A</v>
      </c>
    </row>
    <row r="1055" spans="9:18" x14ac:dyDescent="0.2">
      <c r="I1055" s="4"/>
      <c r="J1055" s="4"/>
      <c r="Q1055" s="78" t="e">
        <f>VLOOKUP(A1055,'גיליון דאטה להכל'!A:H,5,0)</f>
        <v>#N/A</v>
      </c>
      <c r="R1055" s="78" t="e">
        <f>VLOOKUP(A1055,'לעדכן בסינתזה דאטה אריזה 42+24'!$A:$C,3,0)</f>
        <v>#N/A</v>
      </c>
    </row>
    <row r="1056" spans="9:18" x14ac:dyDescent="0.2">
      <c r="I1056" s="4"/>
      <c r="J1056" s="4"/>
      <c r="Q1056" s="78" t="e">
        <f>VLOOKUP(A1056,'גיליון דאטה להכל'!A:H,5,0)</f>
        <v>#N/A</v>
      </c>
      <c r="R1056" s="78" t="e">
        <f>VLOOKUP(A1056,'לעדכן בסינתזה דאטה אריזה 42+24'!$A:$C,3,0)</f>
        <v>#N/A</v>
      </c>
    </row>
    <row r="1057" spans="9:18" x14ac:dyDescent="0.2">
      <c r="I1057" s="4"/>
      <c r="J1057" s="4"/>
      <c r="Q1057" s="78" t="e">
        <f>VLOOKUP(A1057,'גיליון דאטה להכל'!A:H,5,0)</f>
        <v>#N/A</v>
      </c>
      <c r="R1057" s="78" t="e">
        <f>VLOOKUP(A1057,'לעדכן בסינתזה דאטה אריזה 42+24'!$A:$C,3,0)</f>
        <v>#N/A</v>
      </c>
    </row>
    <row r="1058" spans="9:18" x14ac:dyDescent="0.2">
      <c r="I1058" s="4"/>
      <c r="J1058" s="4"/>
      <c r="Q1058" s="78" t="e">
        <f>VLOOKUP(A1058,'גיליון דאטה להכל'!A:H,5,0)</f>
        <v>#N/A</v>
      </c>
      <c r="R1058" s="78" t="e">
        <f>VLOOKUP(A1058,'לעדכן בסינתזה דאטה אריזה 42+24'!$A:$C,3,0)</f>
        <v>#N/A</v>
      </c>
    </row>
    <row r="1059" spans="9:18" x14ac:dyDescent="0.2">
      <c r="I1059" s="4"/>
      <c r="J1059" s="4"/>
      <c r="Q1059" s="78" t="e">
        <f>VLOOKUP(A1059,'גיליון דאטה להכל'!A:H,5,0)</f>
        <v>#N/A</v>
      </c>
      <c r="R1059" s="78" t="e">
        <f>VLOOKUP(A1059,'לעדכן בסינתזה דאטה אריזה 42+24'!$A:$C,3,0)</f>
        <v>#N/A</v>
      </c>
    </row>
    <row r="1060" spans="9:18" x14ac:dyDescent="0.2">
      <c r="I1060" s="4"/>
      <c r="J1060" s="4"/>
      <c r="Q1060" s="78" t="e">
        <f>VLOOKUP(A1060,'גיליון דאטה להכל'!A:H,5,0)</f>
        <v>#N/A</v>
      </c>
      <c r="R1060" s="78" t="e">
        <f>VLOOKUP(A1060,'לעדכן בסינתזה דאטה אריזה 42+24'!$A:$C,3,0)</f>
        <v>#N/A</v>
      </c>
    </row>
    <row r="1061" spans="9:18" x14ac:dyDescent="0.2">
      <c r="I1061" s="4"/>
      <c r="J1061" s="4"/>
      <c r="Q1061" s="78" t="e">
        <f>VLOOKUP(A1061,'גיליון דאטה להכל'!A:H,5,0)</f>
        <v>#N/A</v>
      </c>
      <c r="R1061" s="78" t="e">
        <f>VLOOKUP(A1061,'לעדכן בסינתזה דאטה אריזה 42+24'!$A:$C,3,0)</f>
        <v>#N/A</v>
      </c>
    </row>
    <row r="1062" spans="9:18" x14ac:dyDescent="0.2">
      <c r="I1062" s="4"/>
      <c r="J1062" s="4"/>
      <c r="Q1062" s="78" t="e">
        <f>VLOOKUP(A1062,'גיליון דאטה להכל'!A:H,5,0)</f>
        <v>#N/A</v>
      </c>
      <c r="R1062" s="78" t="e">
        <f>VLOOKUP(A1062,'לעדכן בסינתזה דאטה אריזה 42+24'!$A:$C,3,0)</f>
        <v>#N/A</v>
      </c>
    </row>
    <row r="1063" spans="9:18" x14ac:dyDescent="0.2">
      <c r="I1063" s="4"/>
      <c r="J1063" s="4"/>
      <c r="Q1063" s="78" t="e">
        <f>VLOOKUP(A1063,'גיליון דאטה להכל'!A:H,5,0)</f>
        <v>#N/A</v>
      </c>
      <c r="R1063" s="78" t="e">
        <f>VLOOKUP(A1063,'לעדכן בסינתזה דאטה אריזה 42+24'!$A:$C,3,0)</f>
        <v>#N/A</v>
      </c>
    </row>
    <row r="1064" spans="9:18" x14ac:dyDescent="0.2">
      <c r="I1064" s="4"/>
      <c r="J1064" s="4"/>
      <c r="Q1064" s="78" t="e">
        <f>VLOOKUP(A1064,'גיליון דאטה להכל'!A:H,5,0)</f>
        <v>#N/A</v>
      </c>
      <c r="R1064" s="78" t="e">
        <f>VLOOKUP(A1064,'לעדכן בסינתזה דאטה אריזה 42+24'!$A:$C,3,0)</f>
        <v>#N/A</v>
      </c>
    </row>
    <row r="1065" spans="9:18" x14ac:dyDescent="0.2">
      <c r="I1065" s="4"/>
      <c r="J1065" s="4"/>
      <c r="Q1065" s="78" t="e">
        <f>VLOOKUP(A1065,'גיליון דאטה להכל'!A:H,5,0)</f>
        <v>#N/A</v>
      </c>
      <c r="R1065" s="78" t="e">
        <f>VLOOKUP(A1065,'לעדכן בסינתזה דאטה אריזה 42+24'!$A:$C,3,0)</f>
        <v>#N/A</v>
      </c>
    </row>
    <row r="1066" spans="9:18" x14ac:dyDescent="0.2">
      <c r="I1066" s="4"/>
      <c r="J1066" s="4"/>
      <c r="Q1066" s="78" t="e">
        <f>VLOOKUP(A1066,'גיליון דאטה להכל'!A:H,5,0)</f>
        <v>#N/A</v>
      </c>
      <c r="R1066" s="78" t="e">
        <f>VLOOKUP(A1066,'לעדכן בסינתזה דאטה אריזה 42+24'!$A:$C,3,0)</f>
        <v>#N/A</v>
      </c>
    </row>
    <row r="1067" spans="9:18" x14ac:dyDescent="0.2">
      <c r="I1067" s="4"/>
      <c r="J1067" s="4"/>
      <c r="Q1067" s="78" t="e">
        <f>VLOOKUP(A1067,'גיליון דאטה להכל'!A:H,5,0)</f>
        <v>#N/A</v>
      </c>
      <c r="R1067" s="78" t="e">
        <f>VLOOKUP(A1067,'לעדכן בסינתזה דאטה אריזה 42+24'!$A:$C,3,0)</f>
        <v>#N/A</v>
      </c>
    </row>
    <row r="1068" spans="9:18" x14ac:dyDescent="0.2">
      <c r="I1068" s="4"/>
      <c r="J1068" s="4"/>
      <c r="Q1068" s="78" t="e">
        <f>VLOOKUP(A1068,'גיליון דאטה להכל'!A:H,5,0)</f>
        <v>#N/A</v>
      </c>
      <c r="R1068" s="78" t="e">
        <f>VLOOKUP(A1068,'לעדכן בסינתזה דאטה אריזה 42+24'!$A:$C,3,0)</f>
        <v>#N/A</v>
      </c>
    </row>
    <row r="1069" spans="9:18" x14ac:dyDescent="0.2">
      <c r="I1069" s="4"/>
      <c r="J1069" s="4"/>
      <c r="Q1069" s="78" t="e">
        <f>VLOOKUP(A1069,'גיליון דאטה להכל'!A:H,5,0)</f>
        <v>#N/A</v>
      </c>
      <c r="R1069" s="78" t="e">
        <f>VLOOKUP(A1069,'לעדכן בסינתזה דאטה אריזה 42+24'!$A:$C,3,0)</f>
        <v>#N/A</v>
      </c>
    </row>
    <row r="1070" spans="9:18" x14ac:dyDescent="0.2">
      <c r="I1070" s="4"/>
      <c r="J1070" s="4"/>
      <c r="Q1070" s="78" t="e">
        <f>VLOOKUP(A1070,'גיליון דאטה להכל'!A:H,5,0)</f>
        <v>#N/A</v>
      </c>
      <c r="R1070" s="78" t="e">
        <f>VLOOKUP(A1070,'לעדכן בסינתזה דאטה אריזה 42+24'!$A:$C,3,0)</f>
        <v>#N/A</v>
      </c>
    </row>
    <row r="1071" spans="9:18" x14ac:dyDescent="0.2">
      <c r="I1071" s="4"/>
      <c r="J1071" s="4"/>
      <c r="Q1071" s="78" t="e">
        <f>VLOOKUP(A1071,'גיליון דאטה להכל'!A:H,5,0)</f>
        <v>#N/A</v>
      </c>
      <c r="R1071" s="78" t="e">
        <f>VLOOKUP(A1071,'לעדכן בסינתזה דאטה אריזה 42+24'!$A:$C,3,0)</f>
        <v>#N/A</v>
      </c>
    </row>
    <row r="1072" spans="9:18" x14ac:dyDescent="0.2">
      <c r="I1072" s="4"/>
      <c r="J1072" s="4"/>
      <c r="Q1072" s="78" t="e">
        <f>VLOOKUP(A1072,'גיליון דאטה להכל'!A:H,5,0)</f>
        <v>#N/A</v>
      </c>
      <c r="R1072" s="78" t="e">
        <f>VLOOKUP(A1072,'לעדכן בסינתזה דאטה אריזה 42+24'!$A:$C,3,0)</f>
        <v>#N/A</v>
      </c>
    </row>
    <row r="1073" spans="9:18" x14ac:dyDescent="0.2">
      <c r="I1073" s="4"/>
      <c r="J1073" s="4"/>
      <c r="Q1073" s="78" t="e">
        <f>VLOOKUP(A1073,'גיליון דאטה להכל'!A:H,5,0)</f>
        <v>#N/A</v>
      </c>
      <c r="R1073" s="78" t="e">
        <f>VLOOKUP(A1073,'לעדכן בסינתזה דאטה אריזה 42+24'!$A:$C,3,0)</f>
        <v>#N/A</v>
      </c>
    </row>
    <row r="1074" spans="9:18" x14ac:dyDescent="0.2">
      <c r="I1074" s="4"/>
      <c r="J1074" s="4"/>
      <c r="Q1074" s="78" t="e">
        <f>VLOOKUP(A1074,'גיליון דאטה להכל'!A:H,5,0)</f>
        <v>#N/A</v>
      </c>
      <c r="R1074" s="78" t="e">
        <f>VLOOKUP(A1074,'לעדכן בסינתזה דאטה אריזה 42+24'!$A:$C,3,0)</f>
        <v>#N/A</v>
      </c>
    </row>
    <row r="1075" spans="9:18" x14ac:dyDescent="0.2">
      <c r="I1075" s="4"/>
      <c r="J1075" s="4"/>
      <c r="Q1075" s="78" t="e">
        <f>VLOOKUP(A1075,'גיליון דאטה להכל'!A:H,5,0)</f>
        <v>#N/A</v>
      </c>
      <c r="R1075" s="78" t="e">
        <f>VLOOKUP(A1075,'לעדכן בסינתזה דאטה אריזה 42+24'!$A:$C,3,0)</f>
        <v>#N/A</v>
      </c>
    </row>
    <row r="1076" spans="9:18" x14ac:dyDescent="0.2">
      <c r="I1076" s="4"/>
      <c r="J1076" s="4"/>
      <c r="Q1076" s="78" t="e">
        <f>VLOOKUP(A1076,'גיליון דאטה להכל'!A:H,5,0)</f>
        <v>#N/A</v>
      </c>
      <c r="R1076" s="78" t="e">
        <f>VLOOKUP(A1076,'לעדכן בסינתזה דאטה אריזה 42+24'!$A:$C,3,0)</f>
        <v>#N/A</v>
      </c>
    </row>
    <row r="1077" spans="9:18" x14ac:dyDescent="0.2">
      <c r="I1077" s="4"/>
      <c r="J1077" s="4"/>
      <c r="Q1077" s="78" t="e">
        <f>VLOOKUP(A1077,'גיליון דאטה להכל'!A:H,5,0)</f>
        <v>#N/A</v>
      </c>
      <c r="R1077" s="78" t="e">
        <f>VLOOKUP(A1077,'לעדכן בסינתזה דאטה אריזה 42+24'!$A:$C,3,0)</f>
        <v>#N/A</v>
      </c>
    </row>
    <row r="1078" spans="9:18" x14ac:dyDescent="0.2">
      <c r="I1078" s="4"/>
      <c r="J1078" s="4"/>
      <c r="Q1078" s="78" t="e">
        <f>VLOOKUP(A1078,'גיליון דאטה להכל'!A:H,5,0)</f>
        <v>#N/A</v>
      </c>
      <c r="R1078" s="78" t="e">
        <f>VLOOKUP(A1078,'לעדכן בסינתזה דאטה אריזה 42+24'!$A:$C,3,0)</f>
        <v>#N/A</v>
      </c>
    </row>
    <row r="1079" spans="9:18" x14ac:dyDescent="0.2">
      <c r="I1079" s="4"/>
      <c r="J1079" s="4"/>
      <c r="Q1079" s="78" t="e">
        <f>VLOOKUP(A1079,'גיליון דאטה להכל'!A:H,5,0)</f>
        <v>#N/A</v>
      </c>
      <c r="R1079" s="78" t="e">
        <f>VLOOKUP(A1079,'לעדכן בסינתזה דאטה אריזה 42+24'!$A:$C,3,0)</f>
        <v>#N/A</v>
      </c>
    </row>
    <row r="1080" spans="9:18" x14ac:dyDescent="0.2">
      <c r="I1080" s="4"/>
      <c r="J1080" s="4"/>
      <c r="Q1080" s="78" t="e">
        <f>VLOOKUP(A1080,'גיליון דאטה להכל'!A:H,5,0)</f>
        <v>#N/A</v>
      </c>
      <c r="R1080" s="78" t="e">
        <f>VLOOKUP(A1080,'לעדכן בסינתזה דאטה אריזה 42+24'!$A:$C,3,0)</f>
        <v>#N/A</v>
      </c>
    </row>
    <row r="1081" spans="9:18" x14ac:dyDescent="0.2">
      <c r="I1081" s="4"/>
      <c r="J1081" s="4"/>
      <c r="Q1081" s="78" t="e">
        <f>VLOOKUP(A1081,'גיליון דאטה להכל'!A:H,5,0)</f>
        <v>#N/A</v>
      </c>
      <c r="R1081" s="78" t="e">
        <f>VLOOKUP(A1081,'לעדכן בסינתזה דאטה אריזה 42+24'!$A:$C,3,0)</f>
        <v>#N/A</v>
      </c>
    </row>
    <row r="1082" spans="9:18" x14ac:dyDescent="0.2">
      <c r="I1082" s="4"/>
      <c r="J1082" s="4"/>
      <c r="Q1082" s="78" t="e">
        <f>VLOOKUP(A1082,'גיליון דאטה להכל'!A:H,5,0)</f>
        <v>#N/A</v>
      </c>
      <c r="R1082" s="78" t="e">
        <f>VLOOKUP(A1082,'לעדכן בסינתזה דאטה אריזה 42+24'!$A:$C,3,0)</f>
        <v>#N/A</v>
      </c>
    </row>
    <row r="1083" spans="9:18" x14ac:dyDescent="0.2">
      <c r="I1083" s="4"/>
      <c r="J1083" s="4"/>
      <c r="Q1083" s="78" t="e">
        <f>VLOOKUP(A1083,'גיליון דאטה להכל'!A:H,5,0)</f>
        <v>#N/A</v>
      </c>
      <c r="R1083" s="78" t="e">
        <f>VLOOKUP(A1083,'לעדכן בסינתזה דאטה אריזה 42+24'!$A:$C,3,0)</f>
        <v>#N/A</v>
      </c>
    </row>
    <row r="1084" spans="9:18" x14ac:dyDescent="0.2">
      <c r="I1084" s="4"/>
      <c r="J1084" s="4"/>
      <c r="Q1084" s="78" t="e">
        <f>VLOOKUP(A1084,'גיליון דאטה להכל'!A:H,5,0)</f>
        <v>#N/A</v>
      </c>
      <c r="R1084" s="78" t="e">
        <f>VLOOKUP(A1084,'לעדכן בסינתזה דאטה אריזה 42+24'!$A:$C,3,0)</f>
        <v>#N/A</v>
      </c>
    </row>
    <row r="1085" spans="9:18" x14ac:dyDescent="0.2">
      <c r="I1085" s="4"/>
      <c r="J1085" s="4"/>
      <c r="Q1085" s="78" t="e">
        <f>VLOOKUP(A1085,'גיליון דאטה להכל'!A:H,5,0)</f>
        <v>#N/A</v>
      </c>
      <c r="R1085" s="78" t="e">
        <f>VLOOKUP(A1085,'לעדכן בסינתזה דאטה אריזה 42+24'!$A:$C,3,0)</f>
        <v>#N/A</v>
      </c>
    </row>
    <row r="1086" spans="9:18" x14ac:dyDescent="0.2">
      <c r="I1086" s="4"/>
      <c r="J1086" s="4"/>
      <c r="Q1086" s="78" t="e">
        <f>VLOOKUP(A1086,'גיליון דאטה להכל'!A:H,5,0)</f>
        <v>#N/A</v>
      </c>
      <c r="R1086" s="78" t="e">
        <f>VLOOKUP(A1086,'לעדכן בסינתזה דאטה אריזה 42+24'!$A:$C,3,0)</f>
        <v>#N/A</v>
      </c>
    </row>
    <row r="1087" spans="9:18" x14ac:dyDescent="0.2">
      <c r="I1087" s="4"/>
      <c r="J1087" s="4"/>
      <c r="Q1087" s="78" t="e">
        <f>VLOOKUP(A1087,'גיליון דאטה להכל'!A:H,5,0)</f>
        <v>#N/A</v>
      </c>
      <c r="R1087" s="78" t="e">
        <f>VLOOKUP(A1087,'לעדכן בסינתזה דאטה אריזה 42+24'!$A:$C,3,0)</f>
        <v>#N/A</v>
      </c>
    </row>
    <row r="1088" spans="9:18" x14ac:dyDescent="0.2">
      <c r="I1088" s="4"/>
      <c r="J1088" s="4"/>
      <c r="Q1088" s="78" t="e">
        <f>VLOOKUP(A1088,'גיליון דאטה להכל'!A:H,5,0)</f>
        <v>#N/A</v>
      </c>
      <c r="R1088" s="78" t="e">
        <f>VLOOKUP(A1088,'לעדכן בסינתזה דאטה אריזה 42+24'!$A:$C,3,0)</f>
        <v>#N/A</v>
      </c>
    </row>
    <row r="1089" spans="9:18" x14ac:dyDescent="0.2">
      <c r="I1089" s="4"/>
      <c r="J1089" s="4"/>
      <c r="Q1089" s="78" t="e">
        <f>VLOOKUP(A1089,'גיליון דאטה להכל'!A:H,5,0)</f>
        <v>#N/A</v>
      </c>
      <c r="R1089" s="78" t="e">
        <f>VLOOKUP(A1089,'לעדכן בסינתזה דאטה אריזה 42+24'!$A:$C,3,0)</f>
        <v>#N/A</v>
      </c>
    </row>
    <row r="1090" spans="9:18" x14ac:dyDescent="0.2">
      <c r="I1090" s="4"/>
      <c r="J1090" s="4"/>
      <c r="Q1090" s="78" t="e">
        <f>VLOOKUP(A1090,'גיליון דאטה להכל'!A:H,5,0)</f>
        <v>#N/A</v>
      </c>
      <c r="R1090" s="78" t="e">
        <f>VLOOKUP(A1090,'לעדכן בסינתזה דאטה אריזה 42+24'!$A:$C,3,0)</f>
        <v>#N/A</v>
      </c>
    </row>
    <row r="1091" spans="9:18" x14ac:dyDescent="0.2">
      <c r="I1091" s="4"/>
      <c r="J1091" s="4"/>
      <c r="Q1091" s="78" t="e">
        <f>VLOOKUP(A1091,'גיליון דאטה להכל'!A:H,5,0)</f>
        <v>#N/A</v>
      </c>
      <c r="R1091" s="78" t="e">
        <f>VLOOKUP(A1091,'לעדכן בסינתזה דאטה אריזה 42+24'!$A:$C,3,0)</f>
        <v>#N/A</v>
      </c>
    </row>
    <row r="1092" spans="9:18" x14ac:dyDescent="0.2">
      <c r="I1092" s="4"/>
      <c r="J1092" s="4"/>
      <c r="Q1092" s="78" t="e">
        <f>VLOOKUP(A1092,'גיליון דאטה להכל'!A:H,5,0)</f>
        <v>#N/A</v>
      </c>
      <c r="R1092" s="78" t="e">
        <f>VLOOKUP(A1092,'לעדכן בסינתזה דאטה אריזה 42+24'!$A:$C,3,0)</f>
        <v>#N/A</v>
      </c>
    </row>
    <row r="1093" spans="9:18" x14ac:dyDescent="0.2">
      <c r="I1093" s="4"/>
      <c r="J1093" s="4"/>
      <c r="Q1093" s="78" t="e">
        <f>VLOOKUP(A1093,'גיליון דאטה להכל'!A:H,5,0)</f>
        <v>#N/A</v>
      </c>
      <c r="R1093" s="78" t="e">
        <f>VLOOKUP(A1093,'לעדכן בסינתזה דאטה אריזה 42+24'!$A:$C,3,0)</f>
        <v>#N/A</v>
      </c>
    </row>
    <row r="1094" spans="9:18" x14ac:dyDescent="0.2">
      <c r="I1094" s="4"/>
      <c r="J1094" s="4"/>
      <c r="Q1094" s="78" t="e">
        <f>VLOOKUP(A1094,'גיליון דאטה להכל'!A:H,5,0)</f>
        <v>#N/A</v>
      </c>
      <c r="R1094" s="78" t="e">
        <f>VLOOKUP(A1094,'לעדכן בסינתזה דאטה אריזה 42+24'!$A:$C,3,0)</f>
        <v>#N/A</v>
      </c>
    </row>
    <row r="1095" spans="9:18" x14ac:dyDescent="0.2">
      <c r="I1095" s="4"/>
      <c r="J1095" s="4"/>
      <c r="Q1095" s="78" t="e">
        <f>VLOOKUP(A1095,'גיליון דאטה להכל'!A:H,5,0)</f>
        <v>#N/A</v>
      </c>
      <c r="R1095" s="78" t="e">
        <f>VLOOKUP(A1095,'לעדכן בסינתזה דאטה אריזה 42+24'!$A:$C,3,0)</f>
        <v>#N/A</v>
      </c>
    </row>
    <row r="1096" spans="9:18" x14ac:dyDescent="0.2">
      <c r="I1096" s="4"/>
      <c r="J1096" s="4"/>
      <c r="Q1096" s="78" t="e">
        <f>VLOOKUP(A1096,'גיליון דאטה להכל'!A:H,5,0)</f>
        <v>#N/A</v>
      </c>
      <c r="R1096" s="78" t="e">
        <f>VLOOKUP(A1096,'לעדכן בסינתזה דאטה אריזה 42+24'!$A:$C,3,0)</f>
        <v>#N/A</v>
      </c>
    </row>
    <row r="1097" spans="9:18" x14ac:dyDescent="0.2">
      <c r="I1097" s="4"/>
      <c r="J1097" s="4"/>
      <c r="Q1097" s="78" t="e">
        <f>VLOOKUP(A1097,'גיליון דאטה להכל'!A:H,5,0)</f>
        <v>#N/A</v>
      </c>
      <c r="R1097" s="78" t="e">
        <f>VLOOKUP(A1097,'לעדכן בסינתזה דאטה אריזה 42+24'!$A:$C,3,0)</f>
        <v>#N/A</v>
      </c>
    </row>
    <row r="1098" spans="9:18" x14ac:dyDescent="0.2">
      <c r="I1098" s="4"/>
      <c r="J1098" s="4"/>
      <c r="Q1098" s="78" t="e">
        <f>VLOOKUP(A1098,'גיליון דאטה להכל'!A:H,5,0)</f>
        <v>#N/A</v>
      </c>
      <c r="R1098" s="78" t="e">
        <f>VLOOKUP(A1098,'לעדכן בסינתזה דאטה אריזה 42+24'!$A:$C,3,0)</f>
        <v>#N/A</v>
      </c>
    </row>
    <row r="1099" spans="9:18" x14ac:dyDescent="0.2">
      <c r="I1099" s="4"/>
      <c r="J1099" s="4"/>
      <c r="Q1099" s="78" t="e">
        <f>VLOOKUP(A1099,'גיליון דאטה להכל'!A:H,5,0)</f>
        <v>#N/A</v>
      </c>
      <c r="R1099" s="78" t="e">
        <f>VLOOKUP(A1099,'לעדכן בסינתזה דאטה אריזה 42+24'!$A:$C,3,0)</f>
        <v>#N/A</v>
      </c>
    </row>
    <row r="1100" spans="9:18" x14ac:dyDescent="0.2">
      <c r="I1100" s="4"/>
      <c r="J1100" s="4"/>
      <c r="Q1100" s="78" t="e">
        <f>VLOOKUP(A1100,'גיליון דאטה להכל'!A:H,5,0)</f>
        <v>#N/A</v>
      </c>
      <c r="R1100" s="78" t="e">
        <f>VLOOKUP(A1100,'לעדכן בסינתזה דאטה אריזה 42+24'!$A:$C,3,0)</f>
        <v>#N/A</v>
      </c>
    </row>
    <row r="1101" spans="9:18" x14ac:dyDescent="0.2">
      <c r="I1101" s="4"/>
      <c r="J1101" s="4"/>
      <c r="Q1101" s="78" t="e">
        <f>VLOOKUP(A1101,'גיליון דאטה להכל'!A:H,5,0)</f>
        <v>#N/A</v>
      </c>
      <c r="R1101" s="78" t="e">
        <f>VLOOKUP(A1101,'לעדכן בסינתזה דאטה אריזה 42+24'!$A:$C,3,0)</f>
        <v>#N/A</v>
      </c>
    </row>
    <row r="1102" spans="9:18" x14ac:dyDescent="0.2">
      <c r="I1102" s="4"/>
      <c r="J1102" s="4"/>
      <c r="Q1102" s="78" t="e">
        <f>VLOOKUP(A1102,'גיליון דאטה להכל'!A:H,5,0)</f>
        <v>#N/A</v>
      </c>
      <c r="R1102" s="78" t="e">
        <f>VLOOKUP(A1102,'לעדכן בסינתזה דאטה אריזה 42+24'!$A:$C,3,0)</f>
        <v>#N/A</v>
      </c>
    </row>
    <row r="1103" spans="9:18" x14ac:dyDescent="0.2">
      <c r="I1103" s="4"/>
      <c r="J1103" s="4"/>
      <c r="Q1103" s="78" t="e">
        <f>VLOOKUP(A1103,'גיליון דאטה להכל'!A:H,5,0)</f>
        <v>#N/A</v>
      </c>
      <c r="R1103" s="78" t="e">
        <f>VLOOKUP(A1103,'לעדכן בסינתזה דאטה אריזה 42+24'!$A:$C,3,0)</f>
        <v>#N/A</v>
      </c>
    </row>
    <row r="1104" spans="9:18" x14ac:dyDescent="0.2">
      <c r="I1104" s="4"/>
      <c r="J1104" s="4"/>
      <c r="Q1104" s="78" t="e">
        <f>VLOOKUP(A1104,'גיליון דאטה להכל'!A:H,5,0)</f>
        <v>#N/A</v>
      </c>
      <c r="R1104" s="78" t="e">
        <f>VLOOKUP(A1104,'לעדכן בסינתזה דאטה אריזה 42+24'!$A:$C,3,0)</f>
        <v>#N/A</v>
      </c>
    </row>
    <row r="1105" spans="9:18" x14ac:dyDescent="0.2">
      <c r="I1105" s="4"/>
      <c r="J1105" s="4"/>
      <c r="Q1105" s="78" t="e">
        <f>VLOOKUP(A1105,'גיליון דאטה להכל'!A:H,5,0)</f>
        <v>#N/A</v>
      </c>
      <c r="R1105" s="78" t="e">
        <f>VLOOKUP(A1105,'לעדכן בסינתזה דאטה אריזה 42+24'!$A:$C,3,0)</f>
        <v>#N/A</v>
      </c>
    </row>
    <row r="1106" spans="9:18" x14ac:dyDescent="0.2">
      <c r="I1106" s="4"/>
      <c r="J1106" s="4"/>
      <c r="Q1106" s="78" t="e">
        <f>VLOOKUP(A1106,'גיליון דאטה להכל'!A:H,5,0)</f>
        <v>#N/A</v>
      </c>
      <c r="R1106" s="78" t="e">
        <f>VLOOKUP(A1106,'לעדכן בסינתזה דאטה אריזה 42+24'!$A:$C,3,0)</f>
        <v>#N/A</v>
      </c>
    </row>
    <row r="1107" spans="9:18" x14ac:dyDescent="0.2">
      <c r="I1107" s="4"/>
      <c r="J1107" s="4"/>
      <c r="Q1107" s="78" t="e">
        <f>VLOOKUP(A1107,'גיליון דאטה להכל'!A:H,5,0)</f>
        <v>#N/A</v>
      </c>
      <c r="R1107" s="78" t="e">
        <f>VLOOKUP(A1107,'לעדכן בסינתזה דאטה אריזה 42+24'!$A:$C,3,0)</f>
        <v>#N/A</v>
      </c>
    </row>
    <row r="1108" spans="9:18" x14ac:dyDescent="0.2">
      <c r="I1108" s="4"/>
      <c r="J1108" s="4"/>
      <c r="Q1108" s="78" t="e">
        <f>VLOOKUP(A1108,'גיליון דאטה להכל'!A:H,5,0)</f>
        <v>#N/A</v>
      </c>
      <c r="R1108" s="78" t="e">
        <f>VLOOKUP(A1108,'לעדכן בסינתזה דאטה אריזה 42+24'!$A:$C,3,0)</f>
        <v>#N/A</v>
      </c>
    </row>
    <row r="1109" spans="9:18" x14ac:dyDescent="0.2">
      <c r="I1109" s="4"/>
      <c r="J1109" s="4"/>
      <c r="Q1109" s="78" t="e">
        <f>VLOOKUP(A1109,'גיליון דאטה להכל'!A:H,5,0)</f>
        <v>#N/A</v>
      </c>
      <c r="R1109" s="78" t="e">
        <f>VLOOKUP(A1109,'לעדכן בסינתזה דאטה אריזה 42+24'!$A:$C,3,0)</f>
        <v>#N/A</v>
      </c>
    </row>
    <row r="1110" spans="9:18" x14ac:dyDescent="0.2">
      <c r="I1110" s="4"/>
      <c r="J1110" s="4"/>
      <c r="Q1110" s="78" t="e">
        <f>VLOOKUP(A1110,'גיליון דאטה להכל'!A:H,5,0)</f>
        <v>#N/A</v>
      </c>
      <c r="R1110" s="78" t="e">
        <f>VLOOKUP(A1110,'לעדכן בסינתזה דאטה אריזה 42+24'!$A:$C,3,0)</f>
        <v>#N/A</v>
      </c>
    </row>
    <row r="1111" spans="9:18" x14ac:dyDescent="0.2">
      <c r="I1111" s="4"/>
      <c r="J1111" s="4"/>
      <c r="Q1111" s="78" t="e">
        <f>VLOOKUP(A1111,'גיליון דאטה להכל'!A:H,5,0)</f>
        <v>#N/A</v>
      </c>
      <c r="R1111" s="78" t="e">
        <f>VLOOKUP(A1111,'לעדכן בסינתזה דאטה אריזה 42+24'!$A:$C,3,0)</f>
        <v>#N/A</v>
      </c>
    </row>
    <row r="1112" spans="9:18" x14ac:dyDescent="0.2">
      <c r="I1112" s="4"/>
      <c r="J1112" s="4"/>
      <c r="Q1112" s="78" t="e">
        <f>VLOOKUP(A1112,'גיליון דאטה להכל'!A:H,5,0)</f>
        <v>#N/A</v>
      </c>
      <c r="R1112" s="78" t="e">
        <f>VLOOKUP(A1112,'לעדכן בסינתזה דאטה אריזה 42+24'!$A:$C,3,0)</f>
        <v>#N/A</v>
      </c>
    </row>
    <row r="1113" spans="9:18" x14ac:dyDescent="0.2">
      <c r="I1113" s="4"/>
      <c r="J1113" s="4"/>
      <c r="Q1113" s="78" t="e">
        <f>VLOOKUP(A1113,'גיליון דאטה להכל'!A:H,5,0)</f>
        <v>#N/A</v>
      </c>
      <c r="R1113" s="78" t="e">
        <f>VLOOKUP(A1113,'לעדכן בסינתזה דאטה אריזה 42+24'!$A:$C,3,0)</f>
        <v>#N/A</v>
      </c>
    </row>
    <row r="1114" spans="9:18" x14ac:dyDescent="0.2">
      <c r="I1114" s="4"/>
      <c r="J1114" s="4"/>
      <c r="Q1114" s="78" t="e">
        <f>VLOOKUP(A1114,'גיליון דאטה להכל'!A:H,5,0)</f>
        <v>#N/A</v>
      </c>
      <c r="R1114" s="78" t="e">
        <f>VLOOKUP(A1114,'לעדכן בסינתזה דאטה אריזה 42+24'!$A:$C,3,0)</f>
        <v>#N/A</v>
      </c>
    </row>
    <row r="1115" spans="9:18" x14ac:dyDescent="0.2">
      <c r="I1115" s="4"/>
      <c r="J1115" s="4"/>
      <c r="Q1115" s="78" t="e">
        <f>VLOOKUP(A1115,'גיליון דאטה להכל'!A:H,5,0)</f>
        <v>#N/A</v>
      </c>
      <c r="R1115" s="78" t="e">
        <f>VLOOKUP(A1115,'לעדכן בסינתזה דאטה אריזה 42+24'!$A:$C,3,0)</f>
        <v>#N/A</v>
      </c>
    </row>
    <row r="1116" spans="9:18" x14ac:dyDescent="0.2">
      <c r="I1116" s="4"/>
      <c r="J1116" s="4"/>
      <c r="Q1116" s="78" t="e">
        <f>VLOOKUP(A1116,'גיליון דאטה להכל'!A:H,5,0)</f>
        <v>#N/A</v>
      </c>
      <c r="R1116" s="78" t="e">
        <f>VLOOKUP(A1116,'לעדכן בסינתזה דאטה אריזה 42+24'!$A:$C,3,0)</f>
        <v>#N/A</v>
      </c>
    </row>
    <row r="1117" spans="9:18" x14ac:dyDescent="0.2">
      <c r="I1117" s="4"/>
      <c r="J1117" s="4"/>
      <c r="Q1117" s="78" t="e">
        <f>VLOOKUP(A1117,'גיליון דאטה להכל'!A:H,5,0)</f>
        <v>#N/A</v>
      </c>
      <c r="R1117" s="78" t="e">
        <f>VLOOKUP(A1117,'לעדכן בסינתזה דאטה אריזה 42+24'!$A:$C,3,0)</f>
        <v>#N/A</v>
      </c>
    </row>
    <row r="1118" spans="9:18" x14ac:dyDescent="0.2">
      <c r="I1118" s="4"/>
      <c r="J1118" s="4"/>
      <c r="Q1118" s="78" t="e">
        <f>VLOOKUP(A1118,'גיליון דאטה להכל'!A:H,5,0)</f>
        <v>#N/A</v>
      </c>
      <c r="R1118" s="78" t="e">
        <f>VLOOKUP(A1118,'לעדכן בסינתזה דאטה אריזה 42+24'!$A:$C,3,0)</f>
        <v>#N/A</v>
      </c>
    </row>
    <row r="1119" spans="9:18" x14ac:dyDescent="0.2">
      <c r="I1119" s="4"/>
      <c r="J1119" s="4"/>
      <c r="Q1119" s="78" t="e">
        <f>VLOOKUP(A1119,'גיליון דאטה להכל'!A:H,5,0)</f>
        <v>#N/A</v>
      </c>
      <c r="R1119" s="78" t="e">
        <f>VLOOKUP(A1119,'לעדכן בסינתזה דאטה אריזה 42+24'!$A:$C,3,0)</f>
        <v>#N/A</v>
      </c>
    </row>
    <row r="1120" spans="9:18" x14ac:dyDescent="0.2">
      <c r="I1120" s="4"/>
      <c r="J1120" s="4"/>
      <c r="Q1120" s="78" t="e">
        <f>VLOOKUP(A1120,'גיליון דאטה להכל'!A:H,5,0)</f>
        <v>#N/A</v>
      </c>
      <c r="R1120" s="78" t="e">
        <f>VLOOKUP(A1120,'לעדכן בסינתזה דאטה אריזה 42+24'!$A:$C,3,0)</f>
        <v>#N/A</v>
      </c>
    </row>
    <row r="1121" spans="4:18" x14ac:dyDescent="0.2">
      <c r="I1121" s="4"/>
      <c r="J1121" s="4"/>
      <c r="Q1121" s="78" t="e">
        <f>VLOOKUP(A1121,'גיליון דאטה להכל'!A:H,5,0)</f>
        <v>#N/A</v>
      </c>
      <c r="R1121" s="78" t="e">
        <f>VLOOKUP(A1121,'לעדכן בסינתזה דאטה אריזה 42+24'!$A:$C,3,0)</f>
        <v>#N/A</v>
      </c>
    </row>
    <row r="1122" spans="4:18" x14ac:dyDescent="0.2">
      <c r="I1122" s="4"/>
      <c r="J1122" s="4"/>
      <c r="Q1122" s="78" t="e">
        <f>VLOOKUP(A1122,'גיליון דאטה להכל'!A:H,5,0)</f>
        <v>#N/A</v>
      </c>
      <c r="R1122" s="78" t="e">
        <f>VLOOKUP(A1122,'לעדכן בסינתזה דאטה אריזה 42+24'!$A:$C,3,0)</f>
        <v>#N/A</v>
      </c>
    </row>
    <row r="1123" spans="4:18" x14ac:dyDescent="0.2">
      <c r="I1123" s="4"/>
      <c r="J1123" s="4"/>
      <c r="Q1123" s="78" t="e">
        <f>VLOOKUP(A1123,'גיליון דאטה להכל'!A:H,5,0)</f>
        <v>#N/A</v>
      </c>
      <c r="R1123" s="78" t="e">
        <f>VLOOKUP(A1123,'לעדכן בסינתזה דאטה אריזה 42+24'!$A:$C,3,0)</f>
        <v>#N/A</v>
      </c>
    </row>
    <row r="1124" spans="4:18" x14ac:dyDescent="0.2">
      <c r="I1124" s="4"/>
      <c r="J1124" s="4"/>
      <c r="Q1124" s="78" t="e">
        <f>VLOOKUP(A1124,'גיליון דאטה להכל'!A:H,5,0)</f>
        <v>#N/A</v>
      </c>
      <c r="R1124" s="78" t="e">
        <f>VLOOKUP(A1124,'לעדכן בסינתזה דאטה אריזה 42+24'!$A:$C,3,0)</f>
        <v>#N/A</v>
      </c>
    </row>
    <row r="1125" spans="4:18" x14ac:dyDescent="0.2">
      <c r="I1125" s="4"/>
      <c r="J1125" s="4"/>
      <c r="Q1125" s="78" t="e">
        <f>VLOOKUP(A1125,'גיליון דאטה להכל'!A:H,5,0)</f>
        <v>#N/A</v>
      </c>
      <c r="R1125" s="78" t="e">
        <f>VLOOKUP(A1125,'לעדכן בסינתזה דאטה אריזה 42+24'!$A:$C,3,0)</f>
        <v>#N/A</v>
      </c>
    </row>
    <row r="1126" spans="4:18" x14ac:dyDescent="0.2">
      <c r="D1126" s="4"/>
      <c r="I1126" s="4"/>
      <c r="J1126" s="4"/>
      <c r="Q1126" s="78" t="e">
        <f>VLOOKUP(A1126,'גיליון דאטה להכל'!A:H,5,0)</f>
        <v>#N/A</v>
      </c>
      <c r="R1126" s="78" t="e">
        <f>VLOOKUP(A1126,'לעדכן בסינתזה דאטה אריזה 42+24'!$A:$C,3,0)</f>
        <v>#N/A</v>
      </c>
    </row>
    <row r="1127" spans="4:18" x14ac:dyDescent="0.2">
      <c r="D1127" s="4"/>
      <c r="I1127" s="4"/>
      <c r="J1127" s="4"/>
      <c r="Q1127" s="78" t="e">
        <f>VLOOKUP(A1127,'גיליון דאטה להכל'!A:H,5,0)</f>
        <v>#N/A</v>
      </c>
      <c r="R1127" s="78" t="e">
        <f>VLOOKUP(A1127,'לעדכן בסינתזה דאטה אריזה 42+24'!$A:$C,3,0)</f>
        <v>#N/A</v>
      </c>
    </row>
    <row r="1128" spans="4:18" x14ac:dyDescent="0.2">
      <c r="D1128" s="4"/>
      <c r="I1128" s="4"/>
      <c r="J1128" s="4"/>
      <c r="Q1128" s="78" t="e">
        <f>VLOOKUP(A1128,'גיליון דאטה להכל'!A:H,5,0)</f>
        <v>#N/A</v>
      </c>
      <c r="R1128" s="78" t="e">
        <f>VLOOKUP(A1128,'לעדכן בסינתזה דאטה אריזה 42+24'!$A:$C,3,0)</f>
        <v>#N/A</v>
      </c>
    </row>
    <row r="1129" spans="4:18" x14ac:dyDescent="0.2">
      <c r="D1129" s="4"/>
      <c r="I1129" s="4"/>
      <c r="J1129" s="4"/>
      <c r="Q1129" s="78" t="e">
        <f>VLOOKUP(A1129,'גיליון דאטה להכל'!A:H,5,0)</f>
        <v>#N/A</v>
      </c>
      <c r="R1129" s="78" t="e">
        <f>VLOOKUP(A1129,'לעדכן בסינתזה דאטה אריזה 42+24'!$A:$C,3,0)</f>
        <v>#N/A</v>
      </c>
    </row>
    <row r="1130" spans="4:18" x14ac:dyDescent="0.2">
      <c r="D1130" s="4"/>
      <c r="I1130" s="4"/>
      <c r="J1130" s="4"/>
      <c r="Q1130" s="78" t="e">
        <f>VLOOKUP(A1130,'גיליון דאטה להכל'!A:H,5,0)</f>
        <v>#N/A</v>
      </c>
      <c r="R1130" s="78" t="e">
        <f>VLOOKUP(A1130,'לעדכן בסינתזה דאטה אריזה 42+24'!$A:$C,3,0)</f>
        <v>#N/A</v>
      </c>
    </row>
    <row r="1131" spans="4:18" x14ac:dyDescent="0.2">
      <c r="D1131" s="4"/>
      <c r="I1131" s="4"/>
      <c r="J1131" s="4"/>
      <c r="Q1131" s="78" t="e">
        <f>VLOOKUP(A1131,'גיליון דאטה להכל'!A:H,5,0)</f>
        <v>#N/A</v>
      </c>
      <c r="R1131" s="78" t="e">
        <f>VLOOKUP(A1131,'לעדכן בסינתזה דאטה אריזה 42+24'!$A:$C,3,0)</f>
        <v>#N/A</v>
      </c>
    </row>
    <row r="1132" spans="4:18" x14ac:dyDescent="0.2">
      <c r="D1132" s="4"/>
      <c r="I1132" s="4"/>
      <c r="J1132" s="4"/>
      <c r="Q1132" s="78" t="e">
        <f>VLOOKUP(A1132,'גיליון דאטה להכל'!A:H,5,0)</f>
        <v>#N/A</v>
      </c>
      <c r="R1132" s="78" t="e">
        <f>VLOOKUP(A1132,'לעדכן בסינתזה דאטה אריזה 42+24'!$A:$C,3,0)</f>
        <v>#N/A</v>
      </c>
    </row>
    <row r="1133" spans="4:18" x14ac:dyDescent="0.2">
      <c r="D1133" s="4"/>
      <c r="I1133" s="4"/>
      <c r="J1133" s="4"/>
      <c r="Q1133" s="78" t="e">
        <f>VLOOKUP(A1133,'גיליון דאטה להכל'!A:H,5,0)</f>
        <v>#N/A</v>
      </c>
      <c r="R1133" s="78" t="e">
        <f>VLOOKUP(A1133,'לעדכן בסינתזה דאטה אריזה 42+24'!$A:$C,3,0)</f>
        <v>#N/A</v>
      </c>
    </row>
    <row r="1134" spans="4:18" x14ac:dyDescent="0.2">
      <c r="D1134" s="4"/>
      <c r="I1134" s="4"/>
      <c r="J1134" s="4"/>
      <c r="Q1134" s="78" t="e">
        <f>VLOOKUP(A1134,'גיליון דאטה להכל'!A:H,5,0)</f>
        <v>#N/A</v>
      </c>
      <c r="R1134" s="78" t="e">
        <f>VLOOKUP(A1134,'לעדכן בסינתזה דאטה אריזה 42+24'!$A:$C,3,0)</f>
        <v>#N/A</v>
      </c>
    </row>
    <row r="1135" spans="4:18" x14ac:dyDescent="0.2">
      <c r="D1135" s="4"/>
      <c r="I1135" s="4"/>
      <c r="J1135" s="4"/>
      <c r="Q1135" s="78" t="e">
        <f>VLOOKUP(A1135,'גיליון דאטה להכל'!A:H,5,0)</f>
        <v>#N/A</v>
      </c>
      <c r="R1135" s="78" t="e">
        <f>VLOOKUP(A1135,'לעדכן בסינתזה דאטה אריזה 42+24'!$A:$C,3,0)</f>
        <v>#N/A</v>
      </c>
    </row>
    <row r="1136" spans="4:18" x14ac:dyDescent="0.2">
      <c r="D1136" s="4"/>
      <c r="I1136" s="4"/>
      <c r="J1136" s="4"/>
      <c r="Q1136" s="78" t="e">
        <f>VLOOKUP(A1136,'גיליון דאטה להכל'!A:H,5,0)</f>
        <v>#N/A</v>
      </c>
      <c r="R1136" s="78" t="e">
        <f>VLOOKUP(A1136,'לעדכן בסינתזה דאטה אריזה 42+24'!$A:$C,3,0)</f>
        <v>#N/A</v>
      </c>
    </row>
    <row r="1137" spans="4:18" x14ac:dyDescent="0.2">
      <c r="D1137" s="4"/>
      <c r="I1137" s="4"/>
      <c r="J1137" s="4"/>
      <c r="Q1137" s="78" t="e">
        <f>VLOOKUP(A1137,'גיליון דאטה להכל'!A:H,5,0)</f>
        <v>#N/A</v>
      </c>
      <c r="R1137" s="78" t="e">
        <f>VLOOKUP(A1137,'לעדכן בסינתזה דאטה אריזה 42+24'!$A:$C,3,0)</f>
        <v>#N/A</v>
      </c>
    </row>
    <row r="1138" spans="4:18" x14ac:dyDescent="0.2">
      <c r="D1138" s="4"/>
      <c r="I1138" s="4"/>
      <c r="J1138" s="4"/>
      <c r="Q1138" s="78" t="e">
        <f>VLOOKUP(A1138,'גיליון דאטה להכל'!A:H,5,0)</f>
        <v>#N/A</v>
      </c>
      <c r="R1138" s="78" t="e">
        <f>VLOOKUP(A1138,'לעדכן בסינתזה דאטה אריזה 42+24'!$A:$C,3,0)</f>
        <v>#N/A</v>
      </c>
    </row>
    <row r="1139" spans="4:18" x14ac:dyDescent="0.2">
      <c r="D1139" s="4"/>
      <c r="I1139" s="4"/>
      <c r="J1139" s="4"/>
      <c r="Q1139" s="78" t="e">
        <f>VLOOKUP(A1139,'גיליון דאטה להכל'!A:H,5,0)</f>
        <v>#N/A</v>
      </c>
      <c r="R1139" s="78" t="e">
        <f>VLOOKUP(A1139,'לעדכן בסינתזה דאטה אריזה 42+24'!$A:$C,3,0)</f>
        <v>#N/A</v>
      </c>
    </row>
    <row r="1140" spans="4:18" x14ac:dyDescent="0.2">
      <c r="D1140" s="4"/>
      <c r="I1140" s="4"/>
      <c r="J1140" s="4"/>
      <c r="Q1140" s="78" t="e">
        <f>VLOOKUP(A1140,'גיליון דאטה להכל'!A:H,5,0)</f>
        <v>#N/A</v>
      </c>
      <c r="R1140" s="78" t="e">
        <f>VLOOKUP(A1140,'לעדכן בסינתזה דאטה אריזה 42+24'!$A:$C,3,0)</f>
        <v>#N/A</v>
      </c>
    </row>
    <row r="1141" spans="4:18" x14ac:dyDescent="0.2">
      <c r="D1141" s="4"/>
      <c r="I1141" s="4"/>
      <c r="J1141" s="4"/>
      <c r="Q1141" s="78" t="e">
        <f>VLOOKUP(A1141,'גיליון דאטה להכל'!A:H,5,0)</f>
        <v>#N/A</v>
      </c>
      <c r="R1141" s="78" t="e">
        <f>VLOOKUP(A1141,'לעדכן בסינתזה דאטה אריזה 42+24'!$A:$C,3,0)</f>
        <v>#N/A</v>
      </c>
    </row>
    <row r="1142" spans="4:18" x14ac:dyDescent="0.2">
      <c r="D1142" s="4"/>
      <c r="I1142" s="4"/>
      <c r="J1142" s="4"/>
      <c r="Q1142" s="78" t="e">
        <f>VLOOKUP(A1142,'גיליון דאטה להכל'!A:H,5,0)</f>
        <v>#N/A</v>
      </c>
      <c r="R1142" s="78" t="e">
        <f>VLOOKUP(A1142,'לעדכן בסינתזה דאטה אריזה 42+24'!$A:$C,3,0)</f>
        <v>#N/A</v>
      </c>
    </row>
    <row r="1143" spans="4:18" x14ac:dyDescent="0.2">
      <c r="D1143" s="4"/>
      <c r="I1143" s="4"/>
      <c r="J1143" s="4"/>
      <c r="Q1143" s="78" t="e">
        <f>VLOOKUP(A1143,'גיליון דאטה להכל'!A:H,5,0)</f>
        <v>#N/A</v>
      </c>
      <c r="R1143" s="78" t="e">
        <f>VLOOKUP(A1143,'לעדכן בסינתזה דאטה אריזה 42+24'!$A:$C,3,0)</f>
        <v>#N/A</v>
      </c>
    </row>
    <row r="1144" spans="4:18" x14ac:dyDescent="0.2">
      <c r="D1144" s="4"/>
      <c r="I1144" s="4"/>
      <c r="J1144" s="4"/>
      <c r="Q1144" s="78" t="e">
        <f>VLOOKUP(A1144,'גיליון דאטה להכל'!A:H,5,0)</f>
        <v>#N/A</v>
      </c>
      <c r="R1144" s="78" t="e">
        <f>VLOOKUP(A1144,'לעדכן בסינתזה דאטה אריזה 42+24'!$A:$C,3,0)</f>
        <v>#N/A</v>
      </c>
    </row>
    <row r="1145" spans="4:18" x14ac:dyDescent="0.2">
      <c r="D1145" s="4"/>
      <c r="I1145" s="4"/>
      <c r="J1145" s="4"/>
      <c r="Q1145" s="78" t="e">
        <f>VLOOKUP(A1145,'גיליון דאטה להכל'!A:H,5,0)</f>
        <v>#N/A</v>
      </c>
      <c r="R1145" s="78" t="e">
        <f>VLOOKUP(A1145,'לעדכן בסינתזה דאטה אריזה 42+24'!$A:$C,3,0)</f>
        <v>#N/A</v>
      </c>
    </row>
    <row r="1146" spans="4:18" x14ac:dyDescent="0.2">
      <c r="D1146" s="4"/>
      <c r="I1146" s="4"/>
      <c r="J1146" s="4"/>
      <c r="Q1146" s="78" t="e">
        <f>VLOOKUP(A1146,'גיליון דאטה להכל'!A:H,5,0)</f>
        <v>#N/A</v>
      </c>
      <c r="R1146" s="78" t="e">
        <f>VLOOKUP(A1146,'לעדכן בסינתזה דאטה אריזה 42+24'!$A:$C,3,0)</f>
        <v>#N/A</v>
      </c>
    </row>
    <row r="1147" spans="4:18" x14ac:dyDescent="0.2">
      <c r="D1147" s="4"/>
      <c r="I1147" s="4"/>
      <c r="J1147" s="4"/>
      <c r="Q1147" s="78" t="e">
        <f>VLOOKUP(A1147,'גיליון דאטה להכל'!A:H,5,0)</f>
        <v>#N/A</v>
      </c>
      <c r="R1147" s="78" t="e">
        <f>VLOOKUP(A1147,'לעדכן בסינתזה דאטה אריזה 42+24'!$A:$C,3,0)</f>
        <v>#N/A</v>
      </c>
    </row>
    <row r="1148" spans="4:18" x14ac:dyDescent="0.2">
      <c r="D1148" s="4"/>
      <c r="I1148" s="4"/>
      <c r="J1148" s="4"/>
      <c r="Q1148" s="78" t="e">
        <f>VLOOKUP(A1148,'גיליון דאטה להכל'!A:H,5,0)</f>
        <v>#N/A</v>
      </c>
      <c r="R1148" s="78" t="e">
        <f>VLOOKUP(A1148,'לעדכן בסינתזה דאטה אריזה 42+24'!$A:$C,3,0)</f>
        <v>#N/A</v>
      </c>
    </row>
    <row r="1149" spans="4:18" x14ac:dyDescent="0.2">
      <c r="D1149" s="4"/>
      <c r="I1149" s="4"/>
      <c r="J1149" s="4"/>
      <c r="Q1149" s="78" t="e">
        <f>VLOOKUP(A1149,'גיליון דאטה להכל'!A:H,5,0)</f>
        <v>#N/A</v>
      </c>
      <c r="R1149" s="78" t="e">
        <f>VLOOKUP(A1149,'לעדכן בסינתזה דאטה אריזה 42+24'!$A:$C,3,0)</f>
        <v>#N/A</v>
      </c>
    </row>
    <row r="1150" spans="4:18" x14ac:dyDescent="0.2">
      <c r="D1150" s="4"/>
      <c r="I1150" s="4"/>
      <c r="J1150" s="4"/>
      <c r="Q1150" s="78" t="e">
        <f>VLOOKUP(A1150,'גיליון דאטה להכל'!A:H,5,0)</f>
        <v>#N/A</v>
      </c>
      <c r="R1150" s="78" t="e">
        <f>VLOOKUP(A1150,'לעדכן בסינתזה דאטה אריזה 42+24'!$A:$C,3,0)</f>
        <v>#N/A</v>
      </c>
    </row>
    <row r="1151" spans="4:18" x14ac:dyDescent="0.2">
      <c r="D1151" s="4"/>
      <c r="I1151" s="4"/>
      <c r="J1151" s="4"/>
      <c r="Q1151" s="78" t="e">
        <f>VLOOKUP(A1151,'גיליון דאטה להכל'!A:H,5,0)</f>
        <v>#N/A</v>
      </c>
      <c r="R1151" s="78" t="e">
        <f>VLOOKUP(A1151,'לעדכן בסינתזה דאטה אריזה 42+24'!$A:$C,3,0)</f>
        <v>#N/A</v>
      </c>
    </row>
    <row r="1152" spans="4:18" x14ac:dyDescent="0.2">
      <c r="D1152" s="4"/>
      <c r="I1152" s="4"/>
      <c r="J1152" s="4"/>
      <c r="Q1152" s="78" t="e">
        <f>VLOOKUP(A1152,'גיליון דאטה להכל'!A:H,5,0)</f>
        <v>#N/A</v>
      </c>
      <c r="R1152" s="78" t="e">
        <f>VLOOKUP(A1152,'לעדכן בסינתזה דאטה אריזה 42+24'!$A:$C,3,0)</f>
        <v>#N/A</v>
      </c>
    </row>
    <row r="1153" spans="4:18" x14ac:dyDescent="0.2">
      <c r="D1153" s="4"/>
      <c r="I1153" s="4"/>
      <c r="J1153" s="4"/>
      <c r="Q1153" s="78" t="e">
        <f>VLOOKUP(A1153,'גיליון דאטה להכל'!A:H,5,0)</f>
        <v>#N/A</v>
      </c>
      <c r="R1153" s="78" t="e">
        <f>VLOOKUP(A1153,'לעדכן בסינתזה דאטה אריזה 42+24'!$A:$C,3,0)</f>
        <v>#N/A</v>
      </c>
    </row>
    <row r="1154" spans="4:18" x14ac:dyDescent="0.2">
      <c r="D1154" s="4"/>
      <c r="I1154" s="4"/>
      <c r="J1154" s="4"/>
      <c r="Q1154" s="78" t="e">
        <f>VLOOKUP(A1154,'גיליון דאטה להכל'!A:H,5,0)</f>
        <v>#N/A</v>
      </c>
      <c r="R1154" s="78" t="e">
        <f>VLOOKUP(A1154,'לעדכן בסינתזה דאטה אריזה 42+24'!$A:$C,3,0)</f>
        <v>#N/A</v>
      </c>
    </row>
    <row r="1155" spans="4:18" x14ac:dyDescent="0.2">
      <c r="D1155" s="4"/>
      <c r="I1155" s="4"/>
      <c r="J1155" s="4"/>
      <c r="Q1155" s="78" t="e">
        <f>VLOOKUP(A1155,'גיליון דאטה להכל'!A:H,5,0)</f>
        <v>#N/A</v>
      </c>
      <c r="R1155" s="78" t="e">
        <f>VLOOKUP(A1155,'לעדכן בסינתזה דאטה אריזה 42+24'!$A:$C,3,0)</f>
        <v>#N/A</v>
      </c>
    </row>
    <row r="1156" spans="4:18" x14ac:dyDescent="0.2">
      <c r="D1156" s="4"/>
      <c r="I1156" s="4"/>
      <c r="J1156" s="4"/>
      <c r="Q1156" s="78" t="e">
        <f>VLOOKUP(A1156,'גיליון דאטה להכל'!A:H,5,0)</f>
        <v>#N/A</v>
      </c>
      <c r="R1156" s="78" t="e">
        <f>VLOOKUP(A1156,'לעדכן בסינתזה דאטה אריזה 42+24'!$A:$C,3,0)</f>
        <v>#N/A</v>
      </c>
    </row>
    <row r="1157" spans="4:18" x14ac:dyDescent="0.2">
      <c r="D1157" s="4"/>
      <c r="I1157" s="4"/>
      <c r="J1157" s="4"/>
      <c r="Q1157" s="78" t="e">
        <f>VLOOKUP(A1157,'גיליון דאטה להכל'!A:H,5,0)</f>
        <v>#N/A</v>
      </c>
      <c r="R1157" s="78" t="e">
        <f>VLOOKUP(A1157,'לעדכן בסינתזה דאטה אריזה 42+24'!$A:$C,3,0)</f>
        <v>#N/A</v>
      </c>
    </row>
    <row r="1158" spans="4:18" x14ac:dyDescent="0.2">
      <c r="D1158" s="4"/>
      <c r="I1158" s="4"/>
      <c r="J1158" s="4"/>
      <c r="Q1158" s="78" t="e">
        <f>VLOOKUP(A1158,'גיליון דאטה להכל'!A:H,5,0)</f>
        <v>#N/A</v>
      </c>
      <c r="R1158" s="78" t="e">
        <f>VLOOKUP(A1158,'לעדכן בסינתזה דאטה אריזה 42+24'!$A:$C,3,0)</f>
        <v>#N/A</v>
      </c>
    </row>
    <row r="1159" spans="4:18" x14ac:dyDescent="0.2">
      <c r="D1159" s="4"/>
      <c r="I1159" s="4"/>
      <c r="J1159" s="4"/>
      <c r="Q1159" s="78" t="e">
        <f>VLOOKUP(A1159,'גיליון דאטה להכל'!A:H,5,0)</f>
        <v>#N/A</v>
      </c>
      <c r="R1159" s="78" t="e">
        <f>VLOOKUP(A1159,'לעדכן בסינתזה דאטה אריזה 42+24'!$A:$C,3,0)</f>
        <v>#N/A</v>
      </c>
    </row>
    <row r="1160" spans="4:18" x14ac:dyDescent="0.2">
      <c r="D1160" s="4"/>
      <c r="I1160" s="4"/>
      <c r="J1160" s="4"/>
      <c r="Q1160" s="78" t="e">
        <f>VLOOKUP(A1160,'גיליון דאטה להכל'!A:H,5,0)</f>
        <v>#N/A</v>
      </c>
      <c r="R1160" s="78" t="e">
        <f>VLOOKUP(A1160,'לעדכן בסינתזה דאטה אריזה 42+24'!$A:$C,3,0)</f>
        <v>#N/A</v>
      </c>
    </row>
    <row r="1161" spans="4:18" x14ac:dyDescent="0.2">
      <c r="D1161" s="4"/>
      <c r="I1161" s="4"/>
      <c r="J1161" s="4"/>
      <c r="Q1161" s="78" t="e">
        <f>VLOOKUP(A1161,'גיליון דאטה להכל'!A:H,5,0)</f>
        <v>#N/A</v>
      </c>
      <c r="R1161" s="78" t="e">
        <f>VLOOKUP(A1161,'לעדכן בסינתזה דאטה אריזה 42+24'!$A:$C,3,0)</f>
        <v>#N/A</v>
      </c>
    </row>
    <row r="1162" spans="4:18" x14ac:dyDescent="0.2">
      <c r="D1162" s="4"/>
      <c r="I1162" s="4"/>
      <c r="J1162" s="4"/>
      <c r="Q1162" s="78" t="e">
        <f>VLOOKUP(A1162,'גיליון דאטה להכל'!A:H,5,0)</f>
        <v>#N/A</v>
      </c>
      <c r="R1162" s="78" t="e">
        <f>VLOOKUP(A1162,'לעדכן בסינתזה דאטה אריזה 42+24'!$A:$C,3,0)</f>
        <v>#N/A</v>
      </c>
    </row>
    <row r="1163" spans="4:18" x14ac:dyDescent="0.2">
      <c r="D1163" s="4"/>
      <c r="I1163" s="4"/>
      <c r="J1163" s="4"/>
      <c r="Q1163" s="78" t="e">
        <f>VLOOKUP(A1163,'גיליון דאטה להכל'!A:H,5,0)</f>
        <v>#N/A</v>
      </c>
      <c r="R1163" s="78" t="e">
        <f>VLOOKUP(A1163,'לעדכן בסינתזה דאטה אריזה 42+24'!$A:$C,3,0)</f>
        <v>#N/A</v>
      </c>
    </row>
    <row r="1164" spans="4:18" x14ac:dyDescent="0.2">
      <c r="D1164" s="4"/>
      <c r="I1164" s="4"/>
      <c r="J1164" s="4"/>
      <c r="Q1164" s="78" t="e">
        <f>VLOOKUP(A1164,'גיליון דאטה להכל'!A:H,5,0)</f>
        <v>#N/A</v>
      </c>
      <c r="R1164" s="78" t="e">
        <f>VLOOKUP(A1164,'לעדכן בסינתזה דאטה אריזה 42+24'!$A:$C,3,0)</f>
        <v>#N/A</v>
      </c>
    </row>
    <row r="1165" spans="4:18" x14ac:dyDescent="0.2">
      <c r="D1165" s="4"/>
      <c r="I1165" s="4"/>
      <c r="J1165" s="4"/>
      <c r="Q1165" s="78" t="e">
        <f>VLOOKUP(A1165,'גיליון דאטה להכל'!A:H,5,0)</f>
        <v>#N/A</v>
      </c>
      <c r="R1165" s="78" t="e">
        <f>VLOOKUP(A1165,'לעדכן בסינתזה דאטה אריזה 42+24'!$A:$C,3,0)</f>
        <v>#N/A</v>
      </c>
    </row>
    <row r="1166" spans="4:18" x14ac:dyDescent="0.2">
      <c r="D1166" s="4"/>
      <c r="I1166" s="4"/>
      <c r="J1166" s="4"/>
      <c r="Q1166" s="78" t="e">
        <f>VLOOKUP(A1166,'גיליון דאטה להכל'!A:H,5,0)</f>
        <v>#N/A</v>
      </c>
      <c r="R1166" s="78" t="e">
        <f>VLOOKUP(A1166,'לעדכן בסינתזה דאטה אריזה 42+24'!$A:$C,3,0)</f>
        <v>#N/A</v>
      </c>
    </row>
    <row r="1167" spans="4:18" x14ac:dyDescent="0.2">
      <c r="D1167" s="4"/>
      <c r="I1167" s="4"/>
      <c r="J1167" s="4"/>
      <c r="Q1167" s="78" t="e">
        <f>VLOOKUP(A1167,'גיליון דאטה להכל'!A:H,5,0)</f>
        <v>#N/A</v>
      </c>
      <c r="R1167" s="78" t="e">
        <f>VLOOKUP(A1167,'לעדכן בסינתזה דאטה אריזה 42+24'!$A:$C,3,0)</f>
        <v>#N/A</v>
      </c>
    </row>
    <row r="1168" spans="4:18" x14ac:dyDescent="0.2">
      <c r="D1168" s="4"/>
      <c r="I1168" s="4"/>
      <c r="J1168" s="4"/>
      <c r="Q1168" s="78" t="e">
        <f>VLOOKUP(A1168,'גיליון דאטה להכל'!A:H,5,0)</f>
        <v>#N/A</v>
      </c>
      <c r="R1168" s="78" t="e">
        <f>VLOOKUP(A1168,'לעדכן בסינתזה דאטה אריזה 42+24'!$A:$C,3,0)</f>
        <v>#N/A</v>
      </c>
    </row>
    <row r="1169" spans="4:18" x14ac:dyDescent="0.2">
      <c r="D1169" s="4"/>
      <c r="I1169" s="4"/>
      <c r="J1169" s="4"/>
      <c r="Q1169" s="78" t="e">
        <f>VLOOKUP(A1169,'גיליון דאטה להכל'!A:H,5,0)</f>
        <v>#N/A</v>
      </c>
      <c r="R1169" s="78" t="e">
        <f>VLOOKUP(A1169,'לעדכן בסינתזה דאטה אריזה 42+24'!$A:$C,3,0)</f>
        <v>#N/A</v>
      </c>
    </row>
    <row r="1170" spans="4:18" x14ac:dyDescent="0.2">
      <c r="D1170" s="4"/>
      <c r="I1170" s="4"/>
      <c r="J1170" s="4"/>
      <c r="Q1170" s="78" t="e">
        <f>VLOOKUP(A1170,'גיליון דאטה להכל'!A:H,5,0)</f>
        <v>#N/A</v>
      </c>
      <c r="R1170" s="78" t="e">
        <f>VLOOKUP(A1170,'לעדכן בסינתזה דאטה אריזה 42+24'!$A:$C,3,0)</f>
        <v>#N/A</v>
      </c>
    </row>
    <row r="1171" spans="4:18" x14ac:dyDescent="0.2">
      <c r="D1171" s="4"/>
      <c r="I1171" s="4"/>
      <c r="J1171" s="4"/>
      <c r="Q1171" s="78" t="e">
        <f>VLOOKUP(A1171,'גיליון דאטה להכל'!A:H,5,0)</f>
        <v>#N/A</v>
      </c>
      <c r="R1171" s="78" t="e">
        <f>VLOOKUP(A1171,'לעדכן בסינתזה דאטה אריזה 42+24'!$A:$C,3,0)</f>
        <v>#N/A</v>
      </c>
    </row>
    <row r="1172" spans="4:18" x14ac:dyDescent="0.2">
      <c r="D1172" s="4"/>
      <c r="I1172" s="4"/>
      <c r="J1172" s="4"/>
      <c r="Q1172" s="78" t="e">
        <f>VLOOKUP(A1172,'גיליון דאטה להכל'!A:H,5,0)</f>
        <v>#N/A</v>
      </c>
      <c r="R1172" s="78" t="e">
        <f>VLOOKUP(A1172,'לעדכן בסינתזה דאטה אריזה 42+24'!$A:$C,3,0)</f>
        <v>#N/A</v>
      </c>
    </row>
    <row r="1173" spans="4:18" x14ac:dyDescent="0.2">
      <c r="D1173" s="4"/>
      <c r="I1173" s="4"/>
      <c r="J1173" s="4"/>
      <c r="Q1173" s="78" t="e">
        <f>VLOOKUP(A1173,'גיליון דאטה להכל'!A:H,5,0)</f>
        <v>#N/A</v>
      </c>
      <c r="R1173" s="78" t="e">
        <f>VLOOKUP(A1173,'לעדכן בסינתזה דאטה אריזה 42+24'!$A:$C,3,0)</f>
        <v>#N/A</v>
      </c>
    </row>
    <row r="1174" spans="4:18" x14ac:dyDescent="0.2">
      <c r="D1174" s="4"/>
      <c r="I1174" s="4"/>
      <c r="J1174" s="4"/>
      <c r="Q1174" s="78" t="e">
        <f>VLOOKUP(A1174,'גיליון דאטה להכל'!A:H,5,0)</f>
        <v>#N/A</v>
      </c>
      <c r="R1174" s="78" t="e">
        <f>VLOOKUP(A1174,'לעדכן בסינתזה דאטה אריזה 42+24'!$A:$C,3,0)</f>
        <v>#N/A</v>
      </c>
    </row>
    <row r="1175" spans="4:18" x14ac:dyDescent="0.2">
      <c r="D1175" s="4"/>
      <c r="I1175" s="4"/>
      <c r="J1175" s="4"/>
      <c r="Q1175" s="78" t="e">
        <f>VLOOKUP(A1175,'גיליון דאטה להכל'!A:H,5,0)</f>
        <v>#N/A</v>
      </c>
      <c r="R1175" s="78" t="e">
        <f>VLOOKUP(A1175,'לעדכן בסינתזה דאטה אריזה 42+24'!$A:$C,3,0)</f>
        <v>#N/A</v>
      </c>
    </row>
    <row r="1176" spans="4:18" x14ac:dyDescent="0.2">
      <c r="D1176" s="4"/>
      <c r="I1176" s="4"/>
      <c r="J1176" s="4"/>
      <c r="Q1176" s="78" t="e">
        <f>VLOOKUP(A1176,'גיליון דאטה להכל'!A:H,5,0)</f>
        <v>#N/A</v>
      </c>
      <c r="R1176" s="78" t="e">
        <f>VLOOKUP(A1176,'לעדכן בסינתזה דאטה אריזה 42+24'!$A:$C,3,0)</f>
        <v>#N/A</v>
      </c>
    </row>
    <row r="1177" spans="4:18" x14ac:dyDescent="0.2">
      <c r="D1177" s="4"/>
      <c r="I1177" s="4"/>
      <c r="J1177" s="4"/>
      <c r="Q1177" s="78" t="e">
        <f>VLOOKUP(A1177,'גיליון דאטה להכל'!A:H,5,0)</f>
        <v>#N/A</v>
      </c>
      <c r="R1177" s="78" t="e">
        <f>VLOOKUP(A1177,'לעדכן בסינתזה דאטה אריזה 42+24'!$A:$C,3,0)</f>
        <v>#N/A</v>
      </c>
    </row>
    <row r="1178" spans="4:18" x14ac:dyDescent="0.2">
      <c r="D1178" s="4"/>
      <c r="I1178" s="4"/>
      <c r="J1178" s="4"/>
      <c r="Q1178" s="78" t="e">
        <f>VLOOKUP(A1178,'גיליון דאטה להכל'!A:H,5,0)</f>
        <v>#N/A</v>
      </c>
      <c r="R1178" s="78" t="e">
        <f>VLOOKUP(A1178,'לעדכן בסינתזה דאטה אריזה 42+24'!$A:$C,3,0)</f>
        <v>#N/A</v>
      </c>
    </row>
    <row r="1179" spans="4:18" x14ac:dyDescent="0.2">
      <c r="D1179" s="4"/>
      <c r="I1179" s="4"/>
      <c r="J1179" s="4"/>
      <c r="Q1179" s="78" t="e">
        <f>VLOOKUP(A1179,'גיליון דאטה להכל'!A:H,5,0)</f>
        <v>#N/A</v>
      </c>
      <c r="R1179" s="78" t="e">
        <f>VLOOKUP(A1179,'לעדכן בסינתזה דאטה אריזה 42+24'!$A:$C,3,0)</f>
        <v>#N/A</v>
      </c>
    </row>
    <row r="1180" spans="4:18" x14ac:dyDescent="0.2">
      <c r="D1180" s="4"/>
      <c r="I1180" s="4"/>
      <c r="J1180" s="4"/>
      <c r="Q1180" s="78" t="e">
        <f>VLOOKUP(A1180,'גיליון דאטה להכל'!A:H,5,0)</f>
        <v>#N/A</v>
      </c>
      <c r="R1180" s="78" t="e">
        <f>VLOOKUP(A1180,'לעדכן בסינתזה דאטה אריזה 42+24'!$A:$C,3,0)</f>
        <v>#N/A</v>
      </c>
    </row>
    <row r="1181" spans="4:18" x14ac:dyDescent="0.2">
      <c r="D1181" s="4"/>
      <c r="I1181" s="4"/>
      <c r="J1181" s="4"/>
      <c r="Q1181" s="78" t="e">
        <f>VLOOKUP(A1181,'גיליון דאטה להכל'!A:H,5,0)</f>
        <v>#N/A</v>
      </c>
      <c r="R1181" s="78" t="e">
        <f>VLOOKUP(A1181,'לעדכן בסינתזה דאטה אריזה 42+24'!$A:$C,3,0)</f>
        <v>#N/A</v>
      </c>
    </row>
    <row r="1182" spans="4:18" x14ac:dyDescent="0.2">
      <c r="D1182" s="4"/>
      <c r="I1182" s="4"/>
      <c r="J1182" s="4"/>
      <c r="Q1182" s="78" t="e">
        <f>VLOOKUP(A1182,'גיליון דאטה להכל'!A:H,5,0)</f>
        <v>#N/A</v>
      </c>
      <c r="R1182" s="78" t="e">
        <f>VLOOKUP(A1182,'לעדכן בסינתזה דאטה אריזה 42+24'!$A:$C,3,0)</f>
        <v>#N/A</v>
      </c>
    </row>
    <row r="1183" spans="4:18" x14ac:dyDescent="0.2">
      <c r="D1183" s="4"/>
      <c r="I1183" s="4"/>
      <c r="J1183" s="4"/>
      <c r="Q1183" s="78" t="e">
        <f>VLOOKUP(A1183,'גיליון דאטה להכל'!A:H,5,0)</f>
        <v>#N/A</v>
      </c>
      <c r="R1183" s="78" t="e">
        <f>VLOOKUP(A1183,'לעדכן בסינתזה דאטה אריזה 42+24'!$A:$C,3,0)</f>
        <v>#N/A</v>
      </c>
    </row>
    <row r="1184" spans="4:18" x14ac:dyDescent="0.2">
      <c r="D1184" s="4"/>
      <c r="I1184" s="4"/>
      <c r="J1184" s="4"/>
      <c r="Q1184" s="78" t="e">
        <f>VLOOKUP(A1184,'גיליון דאטה להכל'!A:H,5,0)</f>
        <v>#N/A</v>
      </c>
      <c r="R1184" s="78" t="e">
        <f>VLOOKUP(A1184,'לעדכן בסינתזה דאטה אריזה 42+24'!$A:$C,3,0)</f>
        <v>#N/A</v>
      </c>
    </row>
    <row r="1185" spans="4:18" x14ac:dyDescent="0.2">
      <c r="D1185" s="4"/>
      <c r="I1185" s="4"/>
      <c r="J1185" s="4"/>
      <c r="Q1185" s="78" t="e">
        <f>VLOOKUP(A1185,'גיליון דאטה להכל'!A:H,5,0)</f>
        <v>#N/A</v>
      </c>
      <c r="R1185" s="78" t="e">
        <f>VLOOKUP(A1185,'לעדכן בסינתזה דאטה אריזה 42+24'!$A:$C,3,0)</f>
        <v>#N/A</v>
      </c>
    </row>
    <row r="1186" spans="4:18" x14ac:dyDescent="0.2">
      <c r="D1186" s="4"/>
      <c r="I1186" s="4"/>
      <c r="J1186" s="4"/>
      <c r="Q1186" s="78" t="e">
        <f>VLOOKUP(A1186,'גיליון דאטה להכל'!A:H,5,0)</f>
        <v>#N/A</v>
      </c>
      <c r="R1186" s="78" t="e">
        <f>VLOOKUP(A1186,'לעדכן בסינתזה דאטה אריזה 42+24'!$A:$C,3,0)</f>
        <v>#N/A</v>
      </c>
    </row>
    <row r="1187" spans="4:18" x14ac:dyDescent="0.2">
      <c r="D1187" s="4"/>
      <c r="I1187" s="4"/>
      <c r="J1187" s="4"/>
      <c r="Q1187" s="78" t="e">
        <f>VLOOKUP(A1187,'גיליון דאטה להכל'!A:H,5,0)</f>
        <v>#N/A</v>
      </c>
      <c r="R1187" s="78" t="e">
        <f>VLOOKUP(A1187,'לעדכן בסינתזה דאטה אריזה 42+24'!$A:$C,3,0)</f>
        <v>#N/A</v>
      </c>
    </row>
    <row r="1188" spans="4:18" x14ac:dyDescent="0.2">
      <c r="D1188" s="4"/>
      <c r="I1188" s="4"/>
      <c r="J1188" s="4"/>
      <c r="Q1188" s="78" t="e">
        <f>VLOOKUP(A1188,'גיליון דאטה להכל'!A:H,5,0)</f>
        <v>#N/A</v>
      </c>
      <c r="R1188" s="78" t="e">
        <f>VLOOKUP(A1188,'לעדכן בסינתזה דאטה אריזה 42+24'!$A:$C,3,0)</f>
        <v>#N/A</v>
      </c>
    </row>
    <row r="1189" spans="4:18" x14ac:dyDescent="0.2">
      <c r="D1189" s="4"/>
      <c r="I1189" s="4"/>
      <c r="J1189" s="4"/>
      <c r="Q1189" s="78" t="e">
        <f>VLOOKUP(A1189,'גיליון דאטה להכל'!A:H,5,0)</f>
        <v>#N/A</v>
      </c>
      <c r="R1189" s="78" t="e">
        <f>VLOOKUP(A1189,'לעדכן בסינתזה דאטה אריזה 42+24'!$A:$C,3,0)</f>
        <v>#N/A</v>
      </c>
    </row>
    <row r="1190" spans="4:18" x14ac:dyDescent="0.2">
      <c r="D1190" s="4"/>
      <c r="I1190" s="4"/>
      <c r="J1190" s="4"/>
      <c r="Q1190" s="78" t="e">
        <f>VLOOKUP(A1190,'גיליון דאטה להכל'!A:H,5,0)</f>
        <v>#N/A</v>
      </c>
      <c r="R1190" s="78" t="e">
        <f>VLOOKUP(A1190,'לעדכן בסינתזה דאטה אריזה 42+24'!$A:$C,3,0)</f>
        <v>#N/A</v>
      </c>
    </row>
    <row r="1191" spans="4:18" x14ac:dyDescent="0.2">
      <c r="D1191" s="4"/>
      <c r="I1191" s="4"/>
      <c r="J1191" s="4"/>
      <c r="Q1191" s="78" t="e">
        <f>VLOOKUP(A1191,'גיליון דאטה להכל'!A:H,5,0)</f>
        <v>#N/A</v>
      </c>
      <c r="R1191" s="78" t="e">
        <f>VLOOKUP(A1191,'לעדכן בסינתזה דאטה אריזה 42+24'!$A:$C,3,0)</f>
        <v>#N/A</v>
      </c>
    </row>
    <row r="1192" spans="4:18" x14ac:dyDescent="0.2">
      <c r="D1192" s="4"/>
      <c r="I1192" s="4"/>
      <c r="J1192" s="4"/>
      <c r="Q1192" s="78" t="e">
        <f>VLOOKUP(A1192,'גיליון דאטה להכל'!A:H,5,0)</f>
        <v>#N/A</v>
      </c>
      <c r="R1192" s="78" t="e">
        <f>VLOOKUP(A1192,'לעדכן בסינתזה דאטה אריזה 42+24'!$A:$C,3,0)</f>
        <v>#N/A</v>
      </c>
    </row>
    <row r="1193" spans="4:18" x14ac:dyDescent="0.2">
      <c r="D1193" s="4"/>
      <c r="I1193" s="4"/>
      <c r="J1193" s="4"/>
      <c r="Q1193" s="78" t="e">
        <f>VLOOKUP(A1193,'גיליון דאטה להכל'!A:H,5,0)</f>
        <v>#N/A</v>
      </c>
      <c r="R1193" s="78" t="e">
        <f>VLOOKUP(A1193,'לעדכן בסינתזה דאטה אריזה 42+24'!$A:$C,3,0)</f>
        <v>#N/A</v>
      </c>
    </row>
    <row r="1194" spans="4:18" x14ac:dyDescent="0.2">
      <c r="D1194" s="4"/>
      <c r="I1194" s="4"/>
      <c r="J1194" s="4"/>
      <c r="Q1194" s="78" t="e">
        <f>VLOOKUP(A1194,'גיליון דאטה להכל'!A:H,5,0)</f>
        <v>#N/A</v>
      </c>
      <c r="R1194" s="78" t="e">
        <f>VLOOKUP(A1194,'לעדכן בסינתזה דאטה אריזה 42+24'!$A:$C,3,0)</f>
        <v>#N/A</v>
      </c>
    </row>
    <row r="1195" spans="4:18" x14ac:dyDescent="0.2">
      <c r="D1195" s="4"/>
      <c r="I1195" s="4"/>
      <c r="J1195" s="4"/>
      <c r="Q1195" s="78" t="e">
        <f>VLOOKUP(A1195,'גיליון דאטה להכל'!A:H,5,0)</f>
        <v>#N/A</v>
      </c>
      <c r="R1195" s="78" t="e">
        <f>VLOOKUP(A1195,'לעדכן בסינתזה דאטה אריזה 42+24'!$A:$C,3,0)</f>
        <v>#N/A</v>
      </c>
    </row>
    <row r="1196" spans="4:18" x14ac:dyDescent="0.2">
      <c r="D1196" s="4"/>
      <c r="I1196" s="4"/>
      <c r="J1196" s="4"/>
      <c r="Q1196" s="78" t="e">
        <f>VLOOKUP(A1196,'גיליון דאטה להכל'!A:H,5,0)</f>
        <v>#N/A</v>
      </c>
      <c r="R1196" s="78" t="e">
        <f>VLOOKUP(A1196,'לעדכן בסינתזה דאטה אריזה 42+24'!$A:$C,3,0)</f>
        <v>#N/A</v>
      </c>
    </row>
    <row r="1197" spans="4:18" x14ac:dyDescent="0.2">
      <c r="D1197" s="4"/>
      <c r="I1197" s="4"/>
      <c r="J1197" s="4"/>
      <c r="Q1197" s="78" t="e">
        <f>VLOOKUP(A1197,'גיליון דאטה להכל'!A:H,5,0)</f>
        <v>#N/A</v>
      </c>
      <c r="R1197" s="78" t="e">
        <f>VLOOKUP(A1197,'לעדכן בסינתזה דאטה אריזה 42+24'!$A:$C,3,0)</f>
        <v>#N/A</v>
      </c>
    </row>
    <row r="1198" spans="4:18" x14ac:dyDescent="0.2">
      <c r="D1198" s="4"/>
      <c r="I1198" s="4"/>
      <c r="J1198" s="4"/>
      <c r="Q1198" s="78" t="e">
        <f>VLOOKUP(A1198,'גיליון דאטה להכל'!A:H,5,0)</f>
        <v>#N/A</v>
      </c>
      <c r="R1198" s="78" t="e">
        <f>VLOOKUP(A1198,'לעדכן בסינתזה דאטה אריזה 42+24'!$A:$C,3,0)</f>
        <v>#N/A</v>
      </c>
    </row>
    <row r="1199" spans="4:18" x14ac:dyDescent="0.2">
      <c r="D1199" s="4"/>
      <c r="I1199" s="4"/>
      <c r="J1199" s="4"/>
      <c r="Q1199" s="78" t="e">
        <f>VLOOKUP(A1199,'גיליון דאטה להכל'!A:H,5,0)</f>
        <v>#N/A</v>
      </c>
      <c r="R1199" s="78" t="e">
        <f>VLOOKUP(A1199,'לעדכן בסינתזה דאטה אריזה 42+24'!$A:$C,3,0)</f>
        <v>#N/A</v>
      </c>
    </row>
    <row r="1200" spans="4:18" x14ac:dyDescent="0.2">
      <c r="D1200" s="4"/>
      <c r="I1200" s="4"/>
      <c r="J1200" s="4"/>
      <c r="Q1200" s="78" t="e">
        <f>VLOOKUP(A1200,'גיליון דאטה להכל'!A:H,5,0)</f>
        <v>#N/A</v>
      </c>
      <c r="R1200" s="78" t="e">
        <f>VLOOKUP(A1200,'לעדכן בסינתזה דאטה אריזה 42+24'!$A:$C,3,0)</f>
        <v>#N/A</v>
      </c>
    </row>
    <row r="1201" spans="4:18" x14ac:dyDescent="0.2">
      <c r="D1201" s="4"/>
      <c r="I1201" s="4"/>
      <c r="J1201" s="4"/>
      <c r="Q1201" s="78" t="e">
        <f>VLOOKUP(A1201,'גיליון דאטה להכל'!A:H,5,0)</f>
        <v>#N/A</v>
      </c>
      <c r="R1201" s="78" t="e">
        <f>VLOOKUP(A1201,'לעדכן בסינתזה דאטה אריזה 42+24'!$A:$C,3,0)</f>
        <v>#N/A</v>
      </c>
    </row>
    <row r="1202" spans="4:18" x14ac:dyDescent="0.2">
      <c r="D1202" s="4"/>
      <c r="I1202" s="4"/>
      <c r="J1202" s="4"/>
      <c r="Q1202" s="78" t="e">
        <f>VLOOKUP(A1202,'גיליון דאטה להכל'!A:H,5,0)</f>
        <v>#N/A</v>
      </c>
      <c r="R1202" s="78" t="e">
        <f>VLOOKUP(A1202,'לעדכן בסינתזה דאטה אריזה 42+24'!$A:$C,3,0)</f>
        <v>#N/A</v>
      </c>
    </row>
    <row r="1203" spans="4:18" x14ac:dyDescent="0.2">
      <c r="D1203" s="4"/>
      <c r="I1203" s="4"/>
      <c r="J1203" s="4"/>
      <c r="Q1203" s="78" t="e">
        <f>VLOOKUP(A1203,'גיליון דאטה להכל'!A:H,5,0)</f>
        <v>#N/A</v>
      </c>
      <c r="R1203" s="78" t="e">
        <f>VLOOKUP(A1203,'לעדכן בסינתזה דאטה אריזה 42+24'!$A:$C,3,0)</f>
        <v>#N/A</v>
      </c>
    </row>
    <row r="1204" spans="4:18" x14ac:dyDescent="0.2">
      <c r="D1204" s="4"/>
      <c r="I1204" s="4"/>
      <c r="J1204" s="4"/>
      <c r="Q1204" s="78" t="e">
        <f>VLOOKUP(A1204,'גיליון דאטה להכל'!A:H,5,0)</f>
        <v>#N/A</v>
      </c>
      <c r="R1204" s="78" t="e">
        <f>VLOOKUP(A1204,'לעדכן בסינתזה דאטה אריזה 42+24'!$A:$C,3,0)</f>
        <v>#N/A</v>
      </c>
    </row>
    <row r="1205" spans="4:18" x14ac:dyDescent="0.2">
      <c r="D1205" s="4"/>
      <c r="I1205" s="4"/>
      <c r="J1205" s="4"/>
      <c r="Q1205" s="78" t="e">
        <f>VLOOKUP(A1205,'גיליון דאטה להכל'!A:H,5,0)</f>
        <v>#N/A</v>
      </c>
      <c r="R1205" s="78" t="e">
        <f>VLOOKUP(A1205,'לעדכן בסינתזה דאטה אריזה 42+24'!$A:$C,3,0)</f>
        <v>#N/A</v>
      </c>
    </row>
    <row r="1206" spans="4:18" x14ac:dyDescent="0.2">
      <c r="D1206" s="4"/>
      <c r="I1206" s="4"/>
      <c r="J1206" s="4"/>
      <c r="Q1206" s="78" t="e">
        <f>VLOOKUP(A1206,'גיליון דאטה להכל'!A:H,5,0)</f>
        <v>#N/A</v>
      </c>
      <c r="R1206" s="78" t="e">
        <f>VLOOKUP(A1206,'לעדכן בסינתזה דאטה אריזה 42+24'!$A:$C,3,0)</f>
        <v>#N/A</v>
      </c>
    </row>
    <row r="1207" spans="4:18" x14ac:dyDescent="0.2">
      <c r="D1207" s="4"/>
      <c r="I1207" s="4"/>
      <c r="J1207" s="4"/>
      <c r="Q1207" s="78" t="e">
        <f>VLOOKUP(A1207,'גיליון דאטה להכל'!A:H,5,0)</f>
        <v>#N/A</v>
      </c>
      <c r="R1207" s="78" t="e">
        <f>VLOOKUP(A1207,'לעדכן בסינתזה דאטה אריזה 42+24'!$A:$C,3,0)</f>
        <v>#N/A</v>
      </c>
    </row>
    <row r="1208" spans="4:18" x14ac:dyDescent="0.2">
      <c r="D1208" s="4"/>
      <c r="I1208" s="4"/>
      <c r="J1208" s="4"/>
      <c r="Q1208" s="78" t="e">
        <f>VLOOKUP(A1208,'גיליון דאטה להכל'!A:H,5,0)</f>
        <v>#N/A</v>
      </c>
      <c r="R1208" s="78" t="e">
        <f>VLOOKUP(A1208,'לעדכן בסינתזה דאטה אריזה 42+24'!$A:$C,3,0)</f>
        <v>#N/A</v>
      </c>
    </row>
    <row r="1209" spans="4:18" x14ac:dyDescent="0.2">
      <c r="D1209" s="4"/>
      <c r="I1209" s="4"/>
      <c r="J1209" s="4"/>
      <c r="Q1209" s="78" t="e">
        <f>VLOOKUP(A1209,'גיליון דאטה להכל'!A:H,5,0)</f>
        <v>#N/A</v>
      </c>
      <c r="R1209" s="78" t="e">
        <f>VLOOKUP(A1209,'לעדכן בסינתזה דאטה אריזה 42+24'!$A:$C,3,0)</f>
        <v>#N/A</v>
      </c>
    </row>
    <row r="1210" spans="4:18" x14ac:dyDescent="0.2">
      <c r="D1210" s="4"/>
      <c r="I1210" s="4"/>
      <c r="J1210" s="4"/>
      <c r="Q1210" s="78" t="e">
        <f>VLOOKUP(A1210,'גיליון דאטה להכל'!A:H,5,0)</f>
        <v>#N/A</v>
      </c>
      <c r="R1210" s="78" t="e">
        <f>VLOOKUP(A1210,'לעדכן בסינתזה דאטה אריזה 42+24'!$A:$C,3,0)</f>
        <v>#N/A</v>
      </c>
    </row>
    <row r="1211" spans="4:18" x14ac:dyDescent="0.2">
      <c r="D1211" s="4"/>
      <c r="I1211" s="4"/>
      <c r="J1211" s="4"/>
      <c r="Q1211" s="78" t="e">
        <f>VLOOKUP(A1211,'גיליון דאטה להכל'!A:H,5,0)</f>
        <v>#N/A</v>
      </c>
      <c r="R1211" s="78" t="e">
        <f>VLOOKUP(A1211,'לעדכן בסינתזה דאטה אריזה 42+24'!$A:$C,3,0)</f>
        <v>#N/A</v>
      </c>
    </row>
    <row r="1212" spans="4:18" x14ac:dyDescent="0.2">
      <c r="D1212" s="4"/>
      <c r="I1212" s="4"/>
      <c r="J1212" s="4"/>
      <c r="Q1212" s="78" t="e">
        <f>VLOOKUP(A1212,'גיליון דאטה להכל'!A:H,5,0)</f>
        <v>#N/A</v>
      </c>
      <c r="R1212" s="78" t="e">
        <f>VLOOKUP(A1212,'לעדכן בסינתזה דאטה אריזה 42+24'!$A:$C,3,0)</f>
        <v>#N/A</v>
      </c>
    </row>
    <row r="1213" spans="4:18" x14ac:dyDescent="0.2">
      <c r="D1213" s="4"/>
      <c r="I1213" s="4"/>
      <c r="J1213" s="4"/>
      <c r="Q1213" s="78" t="e">
        <f>VLOOKUP(A1213,'גיליון דאטה להכל'!A:H,5,0)</f>
        <v>#N/A</v>
      </c>
      <c r="R1213" s="78" t="e">
        <f>VLOOKUP(A1213,'לעדכן בסינתזה דאטה אריזה 42+24'!$A:$C,3,0)</f>
        <v>#N/A</v>
      </c>
    </row>
    <row r="1214" spans="4:18" x14ac:dyDescent="0.2">
      <c r="D1214" s="4"/>
      <c r="I1214" s="4"/>
      <c r="J1214" s="4"/>
      <c r="Q1214" s="78" t="e">
        <f>VLOOKUP(A1214,'גיליון דאטה להכל'!A:H,5,0)</f>
        <v>#N/A</v>
      </c>
      <c r="R1214" s="78" t="e">
        <f>VLOOKUP(A1214,'לעדכן בסינתזה דאטה אריזה 42+24'!$A:$C,3,0)</f>
        <v>#N/A</v>
      </c>
    </row>
    <row r="1215" spans="4:18" x14ac:dyDescent="0.2">
      <c r="D1215" s="4"/>
      <c r="I1215" s="4"/>
      <c r="J1215" s="4"/>
      <c r="Q1215" s="78" t="e">
        <f>VLOOKUP(A1215,'גיליון דאטה להכל'!A:H,5,0)</f>
        <v>#N/A</v>
      </c>
      <c r="R1215" s="78" t="e">
        <f>VLOOKUP(A1215,'לעדכן בסינתזה דאטה אריזה 42+24'!$A:$C,3,0)</f>
        <v>#N/A</v>
      </c>
    </row>
    <row r="1216" spans="4:18" x14ac:dyDescent="0.2">
      <c r="D1216" s="4"/>
      <c r="I1216" s="4"/>
      <c r="J1216" s="4"/>
      <c r="Q1216" s="78" t="e">
        <f>VLOOKUP(A1216,'גיליון דאטה להכל'!A:H,5,0)</f>
        <v>#N/A</v>
      </c>
      <c r="R1216" s="78" t="e">
        <f>VLOOKUP(A1216,'לעדכן בסינתזה דאטה אריזה 42+24'!$A:$C,3,0)</f>
        <v>#N/A</v>
      </c>
    </row>
    <row r="1217" spans="4:18" x14ac:dyDescent="0.2">
      <c r="D1217" s="4"/>
      <c r="I1217" s="4"/>
      <c r="J1217" s="4"/>
      <c r="Q1217" s="78" t="e">
        <f>VLOOKUP(A1217,'גיליון דאטה להכל'!A:H,5,0)</f>
        <v>#N/A</v>
      </c>
      <c r="R1217" s="78" t="e">
        <f>VLOOKUP(A1217,'לעדכן בסינתזה דאטה אריזה 42+24'!$A:$C,3,0)</f>
        <v>#N/A</v>
      </c>
    </row>
    <row r="1218" spans="4:18" x14ac:dyDescent="0.2">
      <c r="D1218" s="4"/>
      <c r="I1218" s="4"/>
      <c r="J1218" s="4"/>
      <c r="Q1218" s="78" t="e">
        <f>VLOOKUP(A1218,'גיליון דאטה להכל'!A:H,5,0)</f>
        <v>#N/A</v>
      </c>
      <c r="R1218" s="78" t="e">
        <f>VLOOKUP(A1218,'לעדכן בסינתזה דאטה אריזה 42+24'!$A:$C,3,0)</f>
        <v>#N/A</v>
      </c>
    </row>
    <row r="1219" spans="4:18" x14ac:dyDescent="0.2">
      <c r="D1219" s="4"/>
      <c r="I1219" s="4"/>
      <c r="J1219" s="4"/>
      <c r="Q1219" s="78" t="e">
        <f>VLOOKUP(A1219,'גיליון דאטה להכל'!A:H,5,0)</f>
        <v>#N/A</v>
      </c>
      <c r="R1219" s="78" t="e">
        <f>VLOOKUP(A1219,'לעדכן בסינתזה דאטה אריזה 42+24'!$A:$C,3,0)</f>
        <v>#N/A</v>
      </c>
    </row>
    <row r="1220" spans="4:18" x14ac:dyDescent="0.2">
      <c r="D1220" s="4"/>
      <c r="I1220" s="4"/>
      <c r="J1220" s="4"/>
      <c r="Q1220" s="78" t="e">
        <f>VLOOKUP(A1220,'גיליון דאטה להכל'!A:H,5,0)</f>
        <v>#N/A</v>
      </c>
      <c r="R1220" s="78" t="e">
        <f>VLOOKUP(A1220,'לעדכן בסינתזה דאטה אריזה 42+24'!$A:$C,3,0)</f>
        <v>#N/A</v>
      </c>
    </row>
    <row r="1221" spans="4:18" x14ac:dyDescent="0.2">
      <c r="D1221" s="4"/>
      <c r="I1221" s="4"/>
      <c r="J1221" s="4"/>
      <c r="Q1221" s="78" t="e">
        <f>VLOOKUP(A1221,'גיליון דאטה להכל'!A:H,5,0)</f>
        <v>#N/A</v>
      </c>
      <c r="R1221" s="78" t="e">
        <f>VLOOKUP(A1221,'לעדכן בסינתזה דאטה אריזה 42+24'!$A:$C,3,0)</f>
        <v>#N/A</v>
      </c>
    </row>
    <row r="1222" spans="4:18" x14ac:dyDescent="0.2">
      <c r="D1222" s="4"/>
      <c r="I1222" s="4"/>
      <c r="J1222" s="4"/>
      <c r="Q1222" s="78" t="e">
        <f>VLOOKUP(A1222,'גיליון דאטה להכל'!A:H,5,0)</f>
        <v>#N/A</v>
      </c>
      <c r="R1222" s="78" t="e">
        <f>VLOOKUP(A1222,'לעדכן בסינתזה דאטה אריזה 42+24'!$A:$C,3,0)</f>
        <v>#N/A</v>
      </c>
    </row>
    <row r="1223" spans="4:18" x14ac:dyDescent="0.2">
      <c r="D1223" s="4"/>
      <c r="I1223" s="4"/>
      <c r="J1223" s="4"/>
      <c r="Q1223" s="78" t="e">
        <f>VLOOKUP(A1223,'גיליון דאטה להכל'!A:H,5,0)</f>
        <v>#N/A</v>
      </c>
      <c r="R1223" s="78" t="e">
        <f>VLOOKUP(A1223,'לעדכן בסינתזה דאטה אריזה 42+24'!$A:$C,3,0)</f>
        <v>#N/A</v>
      </c>
    </row>
    <row r="1224" spans="4:18" x14ac:dyDescent="0.2">
      <c r="D1224" s="4"/>
      <c r="I1224" s="4"/>
      <c r="J1224" s="4"/>
      <c r="Q1224" s="78" t="e">
        <f>VLOOKUP(A1224,'גיליון דאטה להכל'!A:H,5,0)</f>
        <v>#N/A</v>
      </c>
      <c r="R1224" s="78" t="e">
        <f>VLOOKUP(A1224,'לעדכן בסינתזה דאטה אריזה 42+24'!$A:$C,3,0)</f>
        <v>#N/A</v>
      </c>
    </row>
    <row r="1225" spans="4:18" x14ac:dyDescent="0.2">
      <c r="D1225" s="4"/>
      <c r="I1225" s="4"/>
      <c r="J1225" s="4"/>
      <c r="Q1225" s="78" t="e">
        <f>VLOOKUP(A1225,'גיליון דאטה להכל'!A:H,5,0)</f>
        <v>#N/A</v>
      </c>
      <c r="R1225" s="78" t="e">
        <f>VLOOKUP(A1225,'לעדכן בסינתזה דאטה אריזה 42+24'!$A:$C,3,0)</f>
        <v>#N/A</v>
      </c>
    </row>
    <row r="1226" spans="4:18" x14ac:dyDescent="0.2">
      <c r="D1226" s="4"/>
      <c r="I1226" s="4"/>
      <c r="J1226" s="4"/>
      <c r="Q1226" s="78" t="e">
        <f>VLOOKUP(A1226,'גיליון דאטה להכל'!A:H,5,0)</f>
        <v>#N/A</v>
      </c>
      <c r="R1226" s="78" t="e">
        <f>VLOOKUP(A1226,'לעדכן בסינתזה דאטה אריזה 42+24'!$A:$C,3,0)</f>
        <v>#N/A</v>
      </c>
    </row>
    <row r="1227" spans="4:18" x14ac:dyDescent="0.2">
      <c r="D1227" s="4"/>
      <c r="I1227" s="4"/>
      <c r="J1227" s="4"/>
      <c r="Q1227" s="78" t="e">
        <f>VLOOKUP(A1227,'גיליון דאטה להכל'!A:H,5,0)</f>
        <v>#N/A</v>
      </c>
      <c r="R1227" s="78" t="e">
        <f>VLOOKUP(A1227,'לעדכן בסינתזה דאטה אריזה 42+24'!$A:$C,3,0)</f>
        <v>#N/A</v>
      </c>
    </row>
    <row r="1228" spans="4:18" x14ac:dyDescent="0.2">
      <c r="D1228" s="4"/>
      <c r="I1228" s="4"/>
      <c r="J1228" s="4"/>
      <c r="Q1228" s="78" t="e">
        <f>VLOOKUP(A1228,'גיליון דאטה להכל'!A:H,5,0)</f>
        <v>#N/A</v>
      </c>
      <c r="R1228" s="78" t="e">
        <f>VLOOKUP(A1228,'לעדכן בסינתזה דאטה אריזה 42+24'!$A:$C,3,0)</f>
        <v>#N/A</v>
      </c>
    </row>
    <row r="1229" spans="4:18" x14ac:dyDescent="0.2">
      <c r="D1229" s="4"/>
      <c r="I1229" s="4"/>
      <c r="J1229" s="4"/>
      <c r="Q1229" s="78" t="e">
        <f>VLOOKUP(A1229,'גיליון דאטה להכל'!A:H,5,0)</f>
        <v>#N/A</v>
      </c>
      <c r="R1229" s="78" t="e">
        <f>VLOOKUP(A1229,'לעדכן בסינתזה דאטה אריזה 42+24'!$A:$C,3,0)</f>
        <v>#N/A</v>
      </c>
    </row>
    <row r="1230" spans="4:18" x14ac:dyDescent="0.2">
      <c r="D1230" s="4"/>
      <c r="I1230" s="4"/>
      <c r="J1230" s="4"/>
      <c r="Q1230" s="78" t="e">
        <f>VLOOKUP(A1230,'גיליון דאטה להכל'!A:H,5,0)</f>
        <v>#N/A</v>
      </c>
      <c r="R1230" s="78" t="e">
        <f>VLOOKUP(A1230,'לעדכן בסינתזה דאטה אריזה 42+24'!$A:$C,3,0)</f>
        <v>#N/A</v>
      </c>
    </row>
    <row r="1231" spans="4:18" x14ac:dyDescent="0.2">
      <c r="D1231" s="4"/>
      <c r="I1231" s="4"/>
      <c r="J1231" s="4"/>
      <c r="Q1231" s="78" t="e">
        <f>VLOOKUP(A1231,'גיליון דאטה להכל'!A:H,5,0)</f>
        <v>#N/A</v>
      </c>
      <c r="R1231" s="78" t="e">
        <f>VLOOKUP(A1231,'לעדכן בסינתזה דאטה אריזה 42+24'!$A:$C,3,0)</f>
        <v>#N/A</v>
      </c>
    </row>
    <row r="1232" spans="4:18" x14ac:dyDescent="0.2">
      <c r="D1232" s="4"/>
      <c r="I1232" s="4"/>
      <c r="J1232" s="4"/>
      <c r="Q1232" s="78" t="e">
        <f>VLOOKUP(A1232,'גיליון דאטה להכל'!A:H,5,0)</f>
        <v>#N/A</v>
      </c>
      <c r="R1232" s="78" t="e">
        <f>VLOOKUP(A1232,'לעדכן בסינתזה דאטה אריזה 42+24'!$A:$C,3,0)</f>
        <v>#N/A</v>
      </c>
    </row>
    <row r="1233" spans="4:18" x14ac:dyDescent="0.2">
      <c r="D1233" s="4"/>
      <c r="I1233" s="4"/>
      <c r="J1233" s="4"/>
      <c r="Q1233" s="78" t="e">
        <f>VLOOKUP(A1233,'גיליון דאטה להכל'!A:H,5,0)</f>
        <v>#N/A</v>
      </c>
      <c r="R1233" s="78" t="e">
        <f>VLOOKUP(A1233,'לעדכן בסינתזה דאטה אריזה 42+24'!$A:$C,3,0)</f>
        <v>#N/A</v>
      </c>
    </row>
    <row r="1234" spans="4:18" x14ac:dyDescent="0.2">
      <c r="D1234" s="4"/>
      <c r="I1234" s="4"/>
      <c r="J1234" s="4"/>
      <c r="Q1234" s="78" t="e">
        <f>VLOOKUP(A1234,'גיליון דאטה להכל'!A:H,5,0)</f>
        <v>#N/A</v>
      </c>
      <c r="R1234" s="78" t="e">
        <f>VLOOKUP(A1234,'לעדכן בסינתזה דאטה אריזה 42+24'!$A:$C,3,0)</f>
        <v>#N/A</v>
      </c>
    </row>
    <row r="1235" spans="4:18" x14ac:dyDescent="0.2">
      <c r="D1235" s="4"/>
      <c r="I1235" s="4"/>
      <c r="J1235" s="4"/>
      <c r="Q1235" s="78" t="e">
        <f>VLOOKUP(A1235,'גיליון דאטה להכל'!A:H,5,0)</f>
        <v>#N/A</v>
      </c>
      <c r="R1235" s="78" t="e">
        <f>VLOOKUP(A1235,'לעדכן בסינתזה דאטה אריזה 42+24'!$A:$C,3,0)</f>
        <v>#N/A</v>
      </c>
    </row>
    <row r="1236" spans="4:18" x14ac:dyDescent="0.2">
      <c r="D1236" s="4"/>
      <c r="I1236" s="4"/>
      <c r="J1236" s="4"/>
      <c r="Q1236" s="78" t="e">
        <f>VLOOKUP(A1236,'גיליון דאטה להכל'!A:H,5,0)</f>
        <v>#N/A</v>
      </c>
      <c r="R1236" s="78" t="e">
        <f>VLOOKUP(A1236,'לעדכן בסינתזה דאטה אריזה 42+24'!$A:$C,3,0)</f>
        <v>#N/A</v>
      </c>
    </row>
    <row r="1237" spans="4:18" x14ac:dyDescent="0.2">
      <c r="D1237" s="4"/>
      <c r="I1237" s="4"/>
      <c r="J1237" s="4"/>
      <c r="Q1237" s="78" t="e">
        <f>VLOOKUP(A1237,'גיליון דאטה להכל'!A:H,5,0)</f>
        <v>#N/A</v>
      </c>
      <c r="R1237" s="78" t="e">
        <f>VLOOKUP(A1237,'לעדכן בסינתזה דאטה אריזה 42+24'!$A:$C,3,0)</f>
        <v>#N/A</v>
      </c>
    </row>
    <row r="1238" spans="4:18" x14ac:dyDescent="0.2">
      <c r="D1238" s="4"/>
      <c r="I1238" s="4"/>
      <c r="J1238" s="4"/>
      <c r="Q1238" s="78" t="e">
        <f>VLOOKUP(A1238,'גיליון דאטה להכל'!A:H,5,0)</f>
        <v>#N/A</v>
      </c>
      <c r="R1238" s="78" t="e">
        <f>VLOOKUP(A1238,'לעדכן בסינתזה דאטה אריזה 42+24'!$A:$C,3,0)</f>
        <v>#N/A</v>
      </c>
    </row>
    <row r="1239" spans="4:18" x14ac:dyDescent="0.2">
      <c r="D1239" s="4"/>
      <c r="I1239" s="4"/>
      <c r="J1239" s="4"/>
      <c r="Q1239" s="78" t="e">
        <f>VLOOKUP(A1239,'גיליון דאטה להכל'!A:H,5,0)</f>
        <v>#N/A</v>
      </c>
      <c r="R1239" s="78" t="e">
        <f>VLOOKUP(A1239,'לעדכן בסינתזה דאטה אריזה 42+24'!$A:$C,3,0)</f>
        <v>#N/A</v>
      </c>
    </row>
    <row r="1240" spans="4:18" x14ac:dyDescent="0.2">
      <c r="D1240" s="4"/>
      <c r="I1240" s="4"/>
      <c r="J1240" s="4"/>
      <c r="Q1240" s="78" t="e">
        <f>VLOOKUP(A1240,'גיליון דאטה להכל'!A:H,5,0)</f>
        <v>#N/A</v>
      </c>
      <c r="R1240" s="78" t="e">
        <f>VLOOKUP(A1240,'לעדכן בסינתזה דאטה אריזה 42+24'!$A:$C,3,0)</f>
        <v>#N/A</v>
      </c>
    </row>
    <row r="1241" spans="4:18" x14ac:dyDescent="0.2">
      <c r="D1241" s="4"/>
      <c r="I1241" s="4"/>
      <c r="J1241" s="4"/>
      <c r="Q1241" s="78" t="e">
        <f>VLOOKUP(A1241,'גיליון דאטה להכל'!A:H,5,0)</f>
        <v>#N/A</v>
      </c>
      <c r="R1241" s="78" t="e">
        <f>VLOOKUP(A1241,'לעדכן בסינתזה דאטה אריזה 42+24'!$A:$C,3,0)</f>
        <v>#N/A</v>
      </c>
    </row>
    <row r="1242" spans="4:18" x14ac:dyDescent="0.2">
      <c r="D1242" s="4"/>
      <c r="I1242" s="4"/>
      <c r="J1242" s="4"/>
      <c r="Q1242" s="78" t="e">
        <f>VLOOKUP(A1242,'גיליון דאטה להכל'!A:H,5,0)</f>
        <v>#N/A</v>
      </c>
      <c r="R1242" s="78" t="e">
        <f>VLOOKUP(A1242,'לעדכן בסינתזה דאטה אריזה 42+24'!$A:$C,3,0)</f>
        <v>#N/A</v>
      </c>
    </row>
    <row r="1243" spans="4:18" x14ac:dyDescent="0.2">
      <c r="D1243" s="4"/>
      <c r="I1243" s="4"/>
      <c r="J1243" s="4"/>
      <c r="Q1243" s="78" t="e">
        <f>VLOOKUP(A1243,'גיליון דאטה להכל'!A:H,5,0)</f>
        <v>#N/A</v>
      </c>
      <c r="R1243" s="78" t="e">
        <f>VLOOKUP(A1243,'לעדכן בסינתזה דאטה אריזה 42+24'!$A:$C,3,0)</f>
        <v>#N/A</v>
      </c>
    </row>
    <row r="1244" spans="4:18" x14ac:dyDescent="0.2">
      <c r="D1244" s="4"/>
      <c r="I1244" s="4"/>
      <c r="J1244" s="4"/>
      <c r="Q1244" s="78" t="e">
        <f>VLOOKUP(A1244,'גיליון דאטה להכל'!A:H,5,0)</f>
        <v>#N/A</v>
      </c>
      <c r="R1244" s="78" t="e">
        <f>VLOOKUP(A1244,'לעדכן בסינתזה דאטה אריזה 42+24'!$A:$C,3,0)</f>
        <v>#N/A</v>
      </c>
    </row>
    <row r="1245" spans="4:18" x14ac:dyDescent="0.2">
      <c r="D1245" s="4"/>
      <c r="I1245" s="4"/>
      <c r="J1245" s="4"/>
      <c r="Q1245" s="78" t="e">
        <f>VLOOKUP(A1245,'גיליון דאטה להכל'!A:H,5,0)</f>
        <v>#N/A</v>
      </c>
      <c r="R1245" s="78" t="e">
        <f>VLOOKUP(A1245,'לעדכן בסינתזה דאטה אריזה 42+24'!$A:$C,3,0)</f>
        <v>#N/A</v>
      </c>
    </row>
    <row r="1246" spans="4:18" x14ac:dyDescent="0.2">
      <c r="D1246" s="4"/>
      <c r="I1246" s="4"/>
      <c r="J1246" s="4"/>
      <c r="Q1246" s="78" t="e">
        <f>VLOOKUP(A1246,'גיליון דאטה להכל'!A:H,5,0)</f>
        <v>#N/A</v>
      </c>
      <c r="R1246" s="78" t="e">
        <f>VLOOKUP(A1246,'לעדכן בסינתזה דאטה אריזה 42+24'!$A:$C,3,0)</f>
        <v>#N/A</v>
      </c>
    </row>
    <row r="1247" spans="4:18" x14ac:dyDescent="0.2">
      <c r="D1247" s="4"/>
      <c r="I1247" s="4"/>
      <c r="J1247" s="4"/>
      <c r="Q1247" s="78" t="e">
        <f>VLOOKUP(A1247,'גיליון דאטה להכל'!A:H,5,0)</f>
        <v>#N/A</v>
      </c>
      <c r="R1247" s="78" t="e">
        <f>VLOOKUP(A1247,'לעדכן בסינתזה דאטה אריזה 42+24'!$A:$C,3,0)</f>
        <v>#N/A</v>
      </c>
    </row>
    <row r="1248" spans="4:18" x14ac:dyDescent="0.2">
      <c r="D1248" s="4"/>
      <c r="I1248" s="4"/>
      <c r="J1248" s="4"/>
      <c r="Q1248" s="78" t="e">
        <f>VLOOKUP(A1248,'גיליון דאטה להכל'!A:H,5,0)</f>
        <v>#N/A</v>
      </c>
      <c r="R1248" s="78" t="e">
        <f>VLOOKUP(A1248,'לעדכן בסינתזה דאטה אריזה 42+24'!$A:$C,3,0)</f>
        <v>#N/A</v>
      </c>
    </row>
    <row r="1249" spans="4:18" x14ac:dyDescent="0.2">
      <c r="D1249" s="4"/>
      <c r="I1249" s="4"/>
      <c r="J1249" s="4"/>
      <c r="Q1249" s="78" t="e">
        <f>VLOOKUP(A1249,'גיליון דאטה להכל'!A:H,5,0)</f>
        <v>#N/A</v>
      </c>
      <c r="R1249" s="78" t="e">
        <f>VLOOKUP(A1249,'לעדכן בסינתזה דאטה אריזה 42+24'!$A:$C,3,0)</f>
        <v>#N/A</v>
      </c>
    </row>
    <row r="1250" spans="4:18" x14ac:dyDescent="0.2">
      <c r="D1250" s="4"/>
      <c r="I1250" s="4"/>
      <c r="J1250" s="4"/>
      <c r="Q1250" s="78" t="e">
        <f>VLOOKUP(A1250,'גיליון דאטה להכל'!A:H,5,0)</f>
        <v>#N/A</v>
      </c>
      <c r="R1250" s="78" t="e">
        <f>VLOOKUP(A1250,'לעדכן בסינתזה דאטה אריזה 42+24'!$A:$C,3,0)</f>
        <v>#N/A</v>
      </c>
    </row>
    <row r="1251" spans="4:18" x14ac:dyDescent="0.2">
      <c r="D1251" s="4"/>
      <c r="I1251" s="4"/>
      <c r="J1251" s="4"/>
      <c r="Q1251" s="78" t="e">
        <f>VLOOKUP(A1251,'גיליון דאטה להכל'!A:H,5,0)</f>
        <v>#N/A</v>
      </c>
      <c r="R1251" s="78" t="e">
        <f>VLOOKUP(A1251,'לעדכן בסינתזה דאטה אריזה 42+24'!$A:$C,3,0)</f>
        <v>#N/A</v>
      </c>
    </row>
    <row r="1252" spans="4:18" x14ac:dyDescent="0.2">
      <c r="D1252" s="4"/>
      <c r="I1252" s="4"/>
      <c r="J1252" s="4"/>
      <c r="Q1252" s="78" t="e">
        <f>VLOOKUP(A1252,'גיליון דאטה להכל'!A:H,5,0)</f>
        <v>#N/A</v>
      </c>
      <c r="R1252" s="78" t="e">
        <f>VLOOKUP(A1252,'לעדכן בסינתזה דאטה אריזה 42+24'!$A:$C,3,0)</f>
        <v>#N/A</v>
      </c>
    </row>
    <row r="1253" spans="4:18" x14ac:dyDescent="0.2">
      <c r="D1253" s="4"/>
      <c r="I1253" s="4"/>
      <c r="J1253" s="4"/>
      <c r="Q1253" s="78" t="e">
        <f>VLOOKUP(A1253,'גיליון דאטה להכל'!A:H,5,0)</f>
        <v>#N/A</v>
      </c>
      <c r="R1253" s="78" t="e">
        <f>VLOOKUP(A1253,'לעדכן בסינתזה דאטה אריזה 42+24'!$A:$C,3,0)</f>
        <v>#N/A</v>
      </c>
    </row>
    <row r="1254" spans="4:18" x14ac:dyDescent="0.2">
      <c r="D1254" s="4"/>
      <c r="I1254" s="4"/>
      <c r="J1254" s="4"/>
      <c r="Q1254" s="78" t="e">
        <f>VLOOKUP(A1254,'גיליון דאטה להכל'!A:H,5,0)</f>
        <v>#N/A</v>
      </c>
      <c r="R1254" s="78" t="e">
        <f>VLOOKUP(A1254,'לעדכן בסינתזה דאטה אריזה 42+24'!$A:$C,3,0)</f>
        <v>#N/A</v>
      </c>
    </row>
    <row r="1255" spans="4:18" x14ac:dyDescent="0.2">
      <c r="D1255" s="4"/>
      <c r="I1255" s="4"/>
      <c r="J1255" s="4"/>
      <c r="Q1255" s="78" t="e">
        <f>VLOOKUP(A1255,'גיליון דאטה להכל'!A:H,5,0)</f>
        <v>#N/A</v>
      </c>
      <c r="R1255" s="78" t="e">
        <f>VLOOKUP(A1255,'לעדכן בסינתזה דאטה אריזה 42+24'!$A:$C,3,0)</f>
        <v>#N/A</v>
      </c>
    </row>
    <row r="1256" spans="4:18" x14ac:dyDescent="0.2">
      <c r="D1256" s="4"/>
      <c r="I1256" s="4"/>
      <c r="J1256" s="4"/>
      <c r="Q1256" s="78" t="e">
        <f>VLOOKUP(A1256,'גיליון דאטה להכל'!A:H,5,0)</f>
        <v>#N/A</v>
      </c>
      <c r="R1256" s="78" t="e">
        <f>VLOOKUP(A1256,'לעדכן בסינתזה דאטה אריזה 42+24'!$A:$C,3,0)</f>
        <v>#N/A</v>
      </c>
    </row>
    <row r="1257" spans="4:18" x14ac:dyDescent="0.2">
      <c r="D1257" s="4"/>
      <c r="I1257" s="4"/>
      <c r="J1257" s="4"/>
      <c r="Q1257" s="78" t="e">
        <f>VLOOKUP(A1257,'גיליון דאטה להכל'!A:H,5,0)</f>
        <v>#N/A</v>
      </c>
      <c r="R1257" s="78" t="e">
        <f>VLOOKUP(A1257,'לעדכן בסינתזה דאטה אריזה 42+24'!$A:$C,3,0)</f>
        <v>#N/A</v>
      </c>
    </row>
    <row r="1258" spans="4:18" x14ac:dyDescent="0.2">
      <c r="D1258" s="4"/>
      <c r="I1258" s="4"/>
      <c r="J1258" s="4"/>
      <c r="Q1258" s="78" t="e">
        <f>VLOOKUP(A1258,'גיליון דאטה להכל'!A:H,5,0)</f>
        <v>#N/A</v>
      </c>
      <c r="R1258" s="78" t="e">
        <f>VLOOKUP(A1258,'לעדכן בסינתזה דאטה אריזה 42+24'!$A:$C,3,0)</f>
        <v>#N/A</v>
      </c>
    </row>
    <row r="1259" spans="4:18" x14ac:dyDescent="0.2">
      <c r="D1259" s="4"/>
      <c r="I1259" s="4"/>
      <c r="J1259" s="4"/>
      <c r="Q1259" s="78" t="e">
        <f>VLOOKUP(A1259,'גיליון דאטה להכל'!A:H,5,0)</f>
        <v>#N/A</v>
      </c>
      <c r="R1259" s="78" t="e">
        <f>VLOOKUP(A1259,'לעדכן בסינתזה דאטה אריזה 42+24'!$A:$C,3,0)</f>
        <v>#N/A</v>
      </c>
    </row>
    <row r="1260" spans="4:18" x14ac:dyDescent="0.2">
      <c r="D1260" s="4"/>
      <c r="I1260" s="4"/>
      <c r="J1260" s="4"/>
      <c r="Q1260" s="78" t="e">
        <f>VLOOKUP(A1260,'גיליון דאטה להכל'!A:H,5,0)</f>
        <v>#N/A</v>
      </c>
      <c r="R1260" s="78" t="e">
        <f>VLOOKUP(A1260,'לעדכן בסינתזה דאטה אריזה 42+24'!$A:$C,3,0)</f>
        <v>#N/A</v>
      </c>
    </row>
    <row r="1261" spans="4:18" x14ac:dyDescent="0.2">
      <c r="D1261" s="4"/>
      <c r="I1261" s="4"/>
      <c r="J1261" s="4"/>
      <c r="Q1261" s="78" t="e">
        <f>VLOOKUP(A1261,'גיליון דאטה להכל'!A:H,5,0)</f>
        <v>#N/A</v>
      </c>
      <c r="R1261" s="78" t="e">
        <f>VLOOKUP(A1261,'לעדכן בסינתזה דאטה אריזה 42+24'!$A:$C,3,0)</f>
        <v>#N/A</v>
      </c>
    </row>
    <row r="1262" spans="4:18" x14ac:dyDescent="0.2">
      <c r="D1262" s="4"/>
      <c r="I1262" s="4"/>
      <c r="J1262" s="4"/>
      <c r="Q1262" s="78" t="e">
        <f>VLOOKUP(A1262,'גיליון דאטה להכל'!A:H,5,0)</f>
        <v>#N/A</v>
      </c>
      <c r="R1262" s="78" t="e">
        <f>VLOOKUP(A1262,'לעדכן בסינתזה דאטה אריזה 42+24'!$A:$C,3,0)</f>
        <v>#N/A</v>
      </c>
    </row>
    <row r="1263" spans="4:18" x14ac:dyDescent="0.2">
      <c r="D1263" s="4"/>
      <c r="I1263" s="4"/>
      <c r="J1263" s="4"/>
      <c r="Q1263" s="78" t="e">
        <f>VLOOKUP(A1263,'גיליון דאטה להכל'!A:H,5,0)</f>
        <v>#N/A</v>
      </c>
      <c r="R1263" s="78" t="e">
        <f>VLOOKUP(A1263,'לעדכן בסינתזה דאטה אריזה 42+24'!$A:$C,3,0)</f>
        <v>#N/A</v>
      </c>
    </row>
    <row r="1264" spans="4:18" x14ac:dyDescent="0.2">
      <c r="D1264" s="4"/>
      <c r="I1264" s="4"/>
      <c r="J1264" s="4"/>
      <c r="Q1264" s="78" t="e">
        <f>VLOOKUP(A1264,'גיליון דאטה להכל'!A:H,5,0)</f>
        <v>#N/A</v>
      </c>
      <c r="R1264" s="78" t="e">
        <f>VLOOKUP(A1264,'לעדכן בסינתזה דאטה אריזה 42+24'!$A:$C,3,0)</f>
        <v>#N/A</v>
      </c>
    </row>
    <row r="1265" spans="4:18" x14ac:dyDescent="0.2">
      <c r="D1265" s="4"/>
      <c r="I1265" s="4"/>
      <c r="J1265" s="4"/>
      <c r="Q1265" s="78" t="e">
        <f>VLOOKUP(A1265,'גיליון דאטה להכל'!A:H,5,0)</f>
        <v>#N/A</v>
      </c>
      <c r="R1265" s="78" t="e">
        <f>VLOOKUP(A1265,'לעדכן בסינתזה דאטה אריזה 42+24'!$A:$C,3,0)</f>
        <v>#N/A</v>
      </c>
    </row>
    <row r="1266" spans="4:18" x14ac:dyDescent="0.2">
      <c r="D1266" s="4"/>
      <c r="I1266" s="4"/>
      <c r="J1266" s="4"/>
      <c r="Q1266" s="78" t="e">
        <f>VLOOKUP(A1266,'גיליון דאטה להכל'!A:H,5,0)</f>
        <v>#N/A</v>
      </c>
      <c r="R1266" s="78" t="e">
        <f>VLOOKUP(A1266,'לעדכן בסינתזה דאטה אריזה 42+24'!$A:$C,3,0)</f>
        <v>#N/A</v>
      </c>
    </row>
    <row r="1267" spans="4:18" x14ac:dyDescent="0.2">
      <c r="D1267" s="4"/>
      <c r="I1267" s="4"/>
      <c r="J1267" s="4"/>
      <c r="Q1267" s="78" t="e">
        <f>VLOOKUP(A1267,'גיליון דאטה להכל'!A:H,5,0)</f>
        <v>#N/A</v>
      </c>
      <c r="R1267" s="78" t="e">
        <f>VLOOKUP(A1267,'לעדכן בסינתזה דאטה אריזה 42+24'!$A:$C,3,0)</f>
        <v>#N/A</v>
      </c>
    </row>
    <row r="1268" spans="4:18" x14ac:dyDescent="0.2">
      <c r="D1268" s="4"/>
      <c r="I1268" s="4"/>
      <c r="J1268" s="4"/>
      <c r="Q1268" s="78" t="e">
        <f>VLOOKUP(A1268,'גיליון דאטה להכל'!A:H,5,0)</f>
        <v>#N/A</v>
      </c>
      <c r="R1268" s="78" t="e">
        <f>VLOOKUP(A1268,'לעדכן בסינתזה דאטה אריזה 42+24'!$A:$C,3,0)</f>
        <v>#N/A</v>
      </c>
    </row>
    <row r="1269" spans="4:18" x14ac:dyDescent="0.2">
      <c r="D1269" s="4"/>
      <c r="I1269" s="4"/>
      <c r="J1269" s="4"/>
      <c r="Q1269" s="78" t="e">
        <f>VLOOKUP(A1269,'גיליון דאטה להכל'!A:H,5,0)</f>
        <v>#N/A</v>
      </c>
      <c r="R1269" s="78" t="e">
        <f>VLOOKUP(A1269,'לעדכן בסינתזה דאטה אריזה 42+24'!$A:$C,3,0)</f>
        <v>#N/A</v>
      </c>
    </row>
    <row r="1270" spans="4:18" x14ac:dyDescent="0.2">
      <c r="D1270" s="4"/>
      <c r="I1270" s="4"/>
      <c r="J1270" s="4"/>
      <c r="Q1270" s="78" t="e">
        <f>VLOOKUP(A1270,'גיליון דאטה להכל'!A:H,5,0)</f>
        <v>#N/A</v>
      </c>
      <c r="R1270" s="78" t="e">
        <f>VLOOKUP(A1270,'לעדכן בסינתזה דאטה אריזה 42+24'!$A:$C,3,0)</f>
        <v>#N/A</v>
      </c>
    </row>
    <row r="1271" spans="4:18" x14ac:dyDescent="0.2">
      <c r="D1271" s="4"/>
      <c r="I1271" s="4"/>
      <c r="J1271" s="4"/>
      <c r="Q1271" s="78" t="e">
        <f>VLOOKUP(A1271,'גיליון דאטה להכל'!A:H,5,0)</f>
        <v>#N/A</v>
      </c>
      <c r="R1271" s="78" t="e">
        <f>VLOOKUP(A1271,'לעדכן בסינתזה דאטה אריזה 42+24'!$A:$C,3,0)</f>
        <v>#N/A</v>
      </c>
    </row>
    <row r="1272" spans="4:18" x14ac:dyDescent="0.2">
      <c r="D1272" s="4"/>
      <c r="I1272" s="4"/>
      <c r="J1272" s="4"/>
      <c r="Q1272" s="78" t="e">
        <f>VLOOKUP(A1272,'גיליון דאטה להכל'!A:H,5,0)</f>
        <v>#N/A</v>
      </c>
      <c r="R1272" s="78" t="e">
        <f>VLOOKUP(A1272,'לעדכן בסינתזה דאטה אריזה 42+24'!$A:$C,3,0)</f>
        <v>#N/A</v>
      </c>
    </row>
    <row r="1273" spans="4:18" x14ac:dyDescent="0.2">
      <c r="D1273" s="4"/>
      <c r="I1273" s="4"/>
      <c r="J1273" s="4"/>
      <c r="Q1273" s="78" t="e">
        <f>VLOOKUP(A1273,'גיליון דאטה להכל'!A:H,5,0)</f>
        <v>#N/A</v>
      </c>
      <c r="R1273" s="78" t="e">
        <f>VLOOKUP(A1273,'לעדכן בסינתזה דאטה אריזה 42+24'!$A:$C,3,0)</f>
        <v>#N/A</v>
      </c>
    </row>
    <row r="1274" spans="4:18" x14ac:dyDescent="0.2">
      <c r="D1274" s="4"/>
      <c r="I1274" s="4"/>
      <c r="J1274" s="4"/>
      <c r="Q1274" s="78" t="e">
        <f>VLOOKUP(A1274,'גיליון דאטה להכל'!A:H,5,0)</f>
        <v>#N/A</v>
      </c>
      <c r="R1274" s="78" t="e">
        <f>VLOOKUP(A1274,'לעדכן בסינתזה דאטה אריזה 42+24'!$A:$C,3,0)</f>
        <v>#N/A</v>
      </c>
    </row>
    <row r="1275" spans="4:18" x14ac:dyDescent="0.2">
      <c r="D1275" s="4"/>
      <c r="I1275" s="4"/>
      <c r="J1275" s="4"/>
      <c r="Q1275" s="78" t="e">
        <f>VLOOKUP(A1275,'גיליון דאטה להכל'!A:H,5,0)</f>
        <v>#N/A</v>
      </c>
      <c r="R1275" s="78" t="e">
        <f>VLOOKUP(A1275,'לעדכן בסינתזה דאטה אריזה 42+24'!$A:$C,3,0)</f>
        <v>#N/A</v>
      </c>
    </row>
    <row r="1276" spans="4:18" x14ac:dyDescent="0.2">
      <c r="D1276" s="4"/>
      <c r="I1276" s="4"/>
      <c r="J1276" s="4"/>
      <c r="Q1276" s="78" t="e">
        <f>VLOOKUP(A1276,'גיליון דאטה להכל'!A:H,5,0)</f>
        <v>#N/A</v>
      </c>
      <c r="R1276" s="78" t="e">
        <f>VLOOKUP(A1276,'לעדכן בסינתזה דאטה אריזה 42+24'!$A:$C,3,0)</f>
        <v>#N/A</v>
      </c>
    </row>
    <row r="1277" spans="4:18" x14ac:dyDescent="0.2">
      <c r="D1277" s="4"/>
      <c r="I1277" s="4"/>
      <c r="J1277" s="4"/>
      <c r="Q1277" s="78" t="e">
        <f>VLOOKUP(A1277,'גיליון דאטה להכל'!A:H,5,0)</f>
        <v>#N/A</v>
      </c>
      <c r="R1277" s="78" t="e">
        <f>VLOOKUP(A1277,'לעדכן בסינתזה דאטה אריזה 42+24'!$A:$C,3,0)</f>
        <v>#N/A</v>
      </c>
    </row>
    <row r="1278" spans="4:18" x14ac:dyDescent="0.2">
      <c r="D1278" s="4"/>
      <c r="I1278" s="4"/>
      <c r="J1278" s="4"/>
      <c r="Q1278" s="78" t="e">
        <f>VLOOKUP(A1278,'גיליון דאטה להכל'!A:H,5,0)</f>
        <v>#N/A</v>
      </c>
      <c r="R1278" s="78" t="e">
        <f>VLOOKUP(A1278,'לעדכן בסינתזה דאטה אריזה 42+24'!$A:$C,3,0)</f>
        <v>#N/A</v>
      </c>
    </row>
    <row r="1279" spans="4:18" x14ac:dyDescent="0.2">
      <c r="D1279" s="4"/>
      <c r="I1279" s="4"/>
      <c r="J1279" s="4"/>
      <c r="Q1279" s="78" t="e">
        <f>VLOOKUP(A1279,'גיליון דאטה להכל'!A:H,5,0)</f>
        <v>#N/A</v>
      </c>
      <c r="R1279" s="78" t="e">
        <f>VLOOKUP(A1279,'לעדכן בסינתזה דאטה אריזה 42+24'!$A:$C,3,0)</f>
        <v>#N/A</v>
      </c>
    </row>
    <row r="1280" spans="4:18" x14ac:dyDescent="0.2">
      <c r="D1280" s="4"/>
      <c r="I1280" s="4"/>
      <c r="J1280" s="4"/>
      <c r="Q1280" s="78" t="e">
        <f>VLOOKUP(A1280,'גיליון דאטה להכל'!A:H,5,0)</f>
        <v>#N/A</v>
      </c>
      <c r="R1280" s="78" t="e">
        <f>VLOOKUP(A1280,'לעדכן בסינתזה דאטה אריזה 42+24'!$A:$C,3,0)</f>
        <v>#N/A</v>
      </c>
    </row>
    <row r="1281" spans="4:18" x14ac:dyDescent="0.2">
      <c r="D1281" s="4"/>
      <c r="I1281" s="4"/>
      <c r="J1281" s="4"/>
      <c r="Q1281" s="78" t="e">
        <f>VLOOKUP(A1281,'גיליון דאטה להכל'!A:H,5,0)</f>
        <v>#N/A</v>
      </c>
      <c r="R1281" s="78" t="e">
        <f>VLOOKUP(A1281,'לעדכן בסינתזה דאטה אריזה 42+24'!$A:$C,3,0)</f>
        <v>#N/A</v>
      </c>
    </row>
    <row r="1282" spans="4:18" x14ac:dyDescent="0.2">
      <c r="D1282" s="4"/>
      <c r="I1282" s="4"/>
      <c r="J1282" s="4"/>
      <c r="Q1282" s="78" t="e">
        <f>VLOOKUP(A1282,'גיליון דאטה להכל'!A:H,5,0)</f>
        <v>#N/A</v>
      </c>
      <c r="R1282" s="78" t="e">
        <f>VLOOKUP(A1282,'לעדכן בסינתזה דאטה אריזה 42+24'!$A:$C,3,0)</f>
        <v>#N/A</v>
      </c>
    </row>
    <row r="1283" spans="4:18" x14ac:dyDescent="0.2">
      <c r="D1283" s="4"/>
      <c r="I1283" s="4"/>
      <c r="J1283" s="4"/>
      <c r="Q1283" s="78" t="e">
        <f>VLOOKUP(A1283,'גיליון דאטה להכל'!A:H,5,0)</f>
        <v>#N/A</v>
      </c>
      <c r="R1283" s="78" t="e">
        <f>VLOOKUP(A1283,'לעדכן בסינתזה דאטה אריזה 42+24'!$A:$C,3,0)</f>
        <v>#N/A</v>
      </c>
    </row>
    <row r="1284" spans="4:18" x14ac:dyDescent="0.2">
      <c r="D1284" s="4"/>
      <c r="I1284" s="4"/>
      <c r="J1284" s="4"/>
      <c r="Q1284" s="78" t="e">
        <f>VLOOKUP(A1284,'גיליון דאטה להכל'!A:H,5,0)</f>
        <v>#N/A</v>
      </c>
      <c r="R1284" s="78" t="e">
        <f>VLOOKUP(A1284,'לעדכן בסינתזה דאטה אריזה 42+24'!$A:$C,3,0)</f>
        <v>#N/A</v>
      </c>
    </row>
    <row r="1285" spans="4:18" x14ac:dyDescent="0.2">
      <c r="D1285" s="4"/>
      <c r="I1285" s="4"/>
      <c r="J1285" s="4"/>
      <c r="Q1285" s="78" t="e">
        <f>VLOOKUP(A1285,'גיליון דאטה להכל'!A:H,5,0)</f>
        <v>#N/A</v>
      </c>
      <c r="R1285" s="78" t="e">
        <f>VLOOKUP(A1285,'לעדכן בסינתזה דאטה אריזה 42+24'!$A:$C,3,0)</f>
        <v>#N/A</v>
      </c>
    </row>
    <row r="1286" spans="4:18" x14ac:dyDescent="0.2">
      <c r="D1286" s="4"/>
      <c r="I1286" s="4"/>
      <c r="J1286" s="4"/>
      <c r="Q1286" s="78" t="e">
        <f>VLOOKUP(A1286,'גיליון דאטה להכל'!A:H,5,0)</f>
        <v>#N/A</v>
      </c>
      <c r="R1286" s="78" t="e">
        <f>VLOOKUP(A1286,'לעדכן בסינתזה דאטה אריזה 42+24'!$A:$C,3,0)</f>
        <v>#N/A</v>
      </c>
    </row>
    <row r="1287" spans="4:18" x14ac:dyDescent="0.2">
      <c r="D1287" s="4"/>
      <c r="I1287" s="4"/>
      <c r="J1287" s="4"/>
      <c r="Q1287" s="78" t="e">
        <f>VLOOKUP(A1287,'גיליון דאטה להכל'!A:H,5,0)</f>
        <v>#N/A</v>
      </c>
      <c r="R1287" s="78" t="e">
        <f>VLOOKUP(A1287,'לעדכן בסינתזה דאטה אריזה 42+24'!$A:$C,3,0)</f>
        <v>#N/A</v>
      </c>
    </row>
    <row r="1288" spans="4:18" x14ac:dyDescent="0.2">
      <c r="D1288" s="4"/>
      <c r="I1288" s="4"/>
      <c r="J1288" s="4"/>
      <c r="Q1288" s="78" t="e">
        <f>VLOOKUP(A1288,'גיליון דאטה להכל'!A:H,5,0)</f>
        <v>#N/A</v>
      </c>
      <c r="R1288" s="78" t="e">
        <f>VLOOKUP(A1288,'לעדכן בסינתזה דאטה אריזה 42+24'!$A:$C,3,0)</f>
        <v>#N/A</v>
      </c>
    </row>
    <row r="1289" spans="4:18" x14ac:dyDescent="0.2">
      <c r="D1289" s="4"/>
      <c r="I1289" s="4"/>
      <c r="J1289" s="4"/>
      <c r="Q1289" s="78" t="e">
        <f>VLOOKUP(A1289,'גיליון דאטה להכל'!A:H,5,0)</f>
        <v>#N/A</v>
      </c>
      <c r="R1289" s="78" t="e">
        <f>VLOOKUP(A1289,'לעדכן בסינתזה דאטה אריזה 42+24'!$A:$C,3,0)</f>
        <v>#N/A</v>
      </c>
    </row>
    <row r="1290" spans="4:18" x14ac:dyDescent="0.2">
      <c r="D1290" s="4"/>
      <c r="I1290" s="4"/>
      <c r="J1290" s="4"/>
      <c r="Q1290" s="78" t="e">
        <f>VLOOKUP(A1290,'גיליון דאטה להכל'!A:H,5,0)</f>
        <v>#N/A</v>
      </c>
      <c r="R1290" s="78" t="e">
        <f>VLOOKUP(A1290,'לעדכן בסינתזה דאטה אריזה 42+24'!$A:$C,3,0)</f>
        <v>#N/A</v>
      </c>
    </row>
    <row r="1291" spans="4:18" x14ac:dyDescent="0.2">
      <c r="D1291" s="4"/>
      <c r="I1291" s="4"/>
      <c r="J1291" s="4"/>
      <c r="Q1291" s="78" t="e">
        <f>VLOOKUP(A1291,'גיליון דאטה להכל'!A:H,5,0)</f>
        <v>#N/A</v>
      </c>
      <c r="R1291" s="78" t="e">
        <f>VLOOKUP(A1291,'לעדכן בסינתזה דאטה אריזה 42+24'!$A:$C,3,0)</f>
        <v>#N/A</v>
      </c>
    </row>
    <row r="1292" spans="4:18" x14ac:dyDescent="0.2">
      <c r="D1292" s="4"/>
      <c r="I1292" s="4"/>
      <c r="J1292" s="4"/>
      <c r="Q1292" s="78" t="e">
        <f>VLOOKUP(A1292,'גיליון דאטה להכל'!A:H,5,0)</f>
        <v>#N/A</v>
      </c>
      <c r="R1292" s="78" t="e">
        <f>VLOOKUP(A1292,'לעדכן בסינתזה דאטה אריזה 42+24'!$A:$C,3,0)</f>
        <v>#N/A</v>
      </c>
    </row>
    <row r="1293" spans="4:18" x14ac:dyDescent="0.2">
      <c r="D1293" s="4"/>
      <c r="I1293" s="4"/>
      <c r="J1293" s="4"/>
      <c r="Q1293" s="78" t="e">
        <f>VLOOKUP(A1293,'גיליון דאטה להכל'!A:H,5,0)</f>
        <v>#N/A</v>
      </c>
      <c r="R1293" s="78" t="e">
        <f>VLOOKUP(A1293,'לעדכן בסינתזה דאטה אריזה 42+24'!$A:$C,3,0)</f>
        <v>#N/A</v>
      </c>
    </row>
    <row r="1294" spans="4:18" x14ac:dyDescent="0.2">
      <c r="D1294" s="4"/>
      <c r="I1294" s="4"/>
      <c r="J1294" s="4"/>
      <c r="Q1294" s="78" t="e">
        <f>VLOOKUP(A1294,'גיליון דאטה להכל'!A:H,5,0)</f>
        <v>#N/A</v>
      </c>
      <c r="R1294" s="78" t="e">
        <f>VLOOKUP(A1294,'לעדכן בסינתזה דאטה אריזה 42+24'!$A:$C,3,0)</f>
        <v>#N/A</v>
      </c>
    </row>
    <row r="1295" spans="4:18" x14ac:dyDescent="0.2">
      <c r="D1295" s="4"/>
      <c r="I1295" s="4"/>
      <c r="J1295" s="4"/>
      <c r="Q1295" s="78" t="e">
        <f>VLOOKUP(A1295,'גיליון דאטה להכל'!A:H,5,0)</f>
        <v>#N/A</v>
      </c>
      <c r="R1295" s="78" t="e">
        <f>VLOOKUP(A1295,'לעדכן בסינתזה דאטה אריזה 42+24'!$A:$C,3,0)</f>
        <v>#N/A</v>
      </c>
    </row>
    <row r="1296" spans="4:18" x14ac:dyDescent="0.2">
      <c r="D1296" s="4"/>
      <c r="I1296" s="4"/>
      <c r="J1296" s="4"/>
      <c r="Q1296" s="78" t="e">
        <f>VLOOKUP(A1296,'גיליון דאטה להכל'!A:H,5,0)</f>
        <v>#N/A</v>
      </c>
      <c r="R1296" s="78" t="e">
        <f>VLOOKUP(A1296,'לעדכן בסינתזה דאטה אריזה 42+24'!$A:$C,3,0)</f>
        <v>#N/A</v>
      </c>
    </row>
    <row r="1297" spans="4:18" x14ac:dyDescent="0.2">
      <c r="D1297" s="4"/>
      <c r="I1297" s="4"/>
      <c r="J1297" s="4"/>
      <c r="Q1297" s="78" t="e">
        <f>VLOOKUP(A1297,'גיליון דאטה להכל'!A:H,5,0)</f>
        <v>#N/A</v>
      </c>
      <c r="R1297" s="78" t="e">
        <f>VLOOKUP(A1297,'לעדכן בסינתזה דאטה אריזה 42+24'!$A:$C,3,0)</f>
        <v>#N/A</v>
      </c>
    </row>
    <row r="1298" spans="4:18" x14ac:dyDescent="0.2">
      <c r="D1298" s="4"/>
      <c r="I1298" s="4"/>
      <c r="J1298" s="4"/>
      <c r="Q1298" s="78" t="e">
        <f>VLOOKUP(A1298,'גיליון דאטה להכל'!A:H,5,0)</f>
        <v>#N/A</v>
      </c>
      <c r="R1298" s="78" t="e">
        <f>VLOOKUP(A1298,'לעדכן בסינתזה דאטה אריזה 42+24'!$A:$C,3,0)</f>
        <v>#N/A</v>
      </c>
    </row>
    <row r="1299" spans="4:18" x14ac:dyDescent="0.2">
      <c r="D1299" s="4"/>
      <c r="I1299" s="4"/>
      <c r="J1299" s="4"/>
      <c r="Q1299" s="78" t="e">
        <f>VLOOKUP(A1299,'גיליון דאטה להכל'!A:H,5,0)</f>
        <v>#N/A</v>
      </c>
      <c r="R1299" s="78" t="e">
        <f>VLOOKUP(A1299,'לעדכן בסינתזה דאטה אריזה 42+24'!$A:$C,3,0)</f>
        <v>#N/A</v>
      </c>
    </row>
    <row r="1300" spans="4:18" x14ac:dyDescent="0.2">
      <c r="D1300" s="4"/>
      <c r="I1300" s="4"/>
      <c r="J1300" s="4"/>
      <c r="Q1300" s="78" t="e">
        <f>VLOOKUP(A1300,'גיליון דאטה להכל'!A:H,5,0)</f>
        <v>#N/A</v>
      </c>
      <c r="R1300" s="78" t="e">
        <f>VLOOKUP(A1300,'לעדכן בסינתזה דאטה אריזה 42+24'!$A:$C,3,0)</f>
        <v>#N/A</v>
      </c>
    </row>
    <row r="1301" spans="4:18" x14ac:dyDescent="0.2">
      <c r="D1301" s="4"/>
      <c r="I1301" s="4"/>
      <c r="J1301" s="4"/>
      <c r="Q1301" s="78" t="e">
        <f>VLOOKUP(A1301,'גיליון דאטה להכל'!A:H,5,0)</f>
        <v>#N/A</v>
      </c>
      <c r="R1301" s="78" t="e">
        <f>VLOOKUP(A1301,'לעדכן בסינתזה דאטה אריזה 42+24'!$A:$C,3,0)</f>
        <v>#N/A</v>
      </c>
    </row>
    <row r="1302" spans="4:18" x14ac:dyDescent="0.2">
      <c r="D1302" s="4"/>
      <c r="I1302" s="4"/>
      <c r="J1302" s="4"/>
      <c r="Q1302" s="78" t="e">
        <f>VLOOKUP(A1302,'גיליון דאטה להכל'!A:H,5,0)</f>
        <v>#N/A</v>
      </c>
      <c r="R1302" s="78" t="e">
        <f>VLOOKUP(A1302,'לעדכן בסינתזה דאטה אריזה 42+24'!$A:$C,3,0)</f>
        <v>#N/A</v>
      </c>
    </row>
    <row r="1303" spans="4:18" x14ac:dyDescent="0.2">
      <c r="D1303" s="4"/>
      <c r="I1303" s="4"/>
      <c r="J1303" s="4"/>
      <c r="Q1303" s="78" t="e">
        <f>VLOOKUP(A1303,'גיליון דאטה להכל'!A:H,5,0)</f>
        <v>#N/A</v>
      </c>
      <c r="R1303" s="78" t="e">
        <f>VLOOKUP(A1303,'לעדכן בסינתזה דאטה אריזה 42+24'!$A:$C,3,0)</f>
        <v>#N/A</v>
      </c>
    </row>
    <row r="1304" spans="4:18" x14ac:dyDescent="0.2">
      <c r="D1304" s="4"/>
      <c r="I1304" s="4"/>
      <c r="J1304" s="4"/>
      <c r="Q1304" s="78" t="e">
        <f>VLOOKUP(A1304,'גיליון דאטה להכל'!A:H,5,0)</f>
        <v>#N/A</v>
      </c>
      <c r="R1304" s="78" t="e">
        <f>VLOOKUP(A1304,'לעדכן בסינתזה דאטה אריזה 42+24'!$A:$C,3,0)</f>
        <v>#N/A</v>
      </c>
    </row>
    <row r="1305" spans="4:18" x14ac:dyDescent="0.2">
      <c r="D1305" s="4"/>
      <c r="I1305" s="4"/>
      <c r="J1305" s="4"/>
      <c r="Q1305" s="78" t="e">
        <f>VLOOKUP(A1305,'גיליון דאטה להכל'!A:H,5,0)</f>
        <v>#N/A</v>
      </c>
      <c r="R1305" s="78" t="e">
        <f>VLOOKUP(A1305,'לעדכן בסינתזה דאטה אריזה 42+24'!$A:$C,3,0)</f>
        <v>#N/A</v>
      </c>
    </row>
    <row r="1306" spans="4:18" x14ac:dyDescent="0.2">
      <c r="D1306" s="4"/>
      <c r="I1306" s="4"/>
      <c r="J1306" s="4"/>
      <c r="Q1306" s="78" t="e">
        <f>VLOOKUP(A1306,'גיליון דאטה להכל'!A:H,5,0)</f>
        <v>#N/A</v>
      </c>
      <c r="R1306" s="78" t="e">
        <f>VLOOKUP(A1306,'לעדכן בסינתזה דאטה אריזה 42+24'!$A:$C,3,0)</f>
        <v>#N/A</v>
      </c>
    </row>
    <row r="1307" spans="4:18" x14ac:dyDescent="0.2">
      <c r="D1307" s="4"/>
      <c r="I1307" s="4"/>
      <c r="J1307" s="4"/>
      <c r="Q1307" s="78" t="e">
        <f>VLOOKUP(A1307,'גיליון דאטה להכל'!A:H,5,0)</f>
        <v>#N/A</v>
      </c>
      <c r="R1307" s="78" t="e">
        <f>VLOOKUP(A1307,'לעדכן בסינתזה דאטה אריזה 42+24'!$A:$C,3,0)</f>
        <v>#N/A</v>
      </c>
    </row>
    <row r="1308" spans="4:18" x14ac:dyDescent="0.2">
      <c r="D1308" s="4"/>
      <c r="I1308" s="4"/>
      <c r="J1308" s="4"/>
      <c r="Q1308" s="78" t="e">
        <f>VLOOKUP(A1308,'גיליון דאטה להכל'!A:H,5,0)</f>
        <v>#N/A</v>
      </c>
      <c r="R1308" s="78" t="e">
        <f>VLOOKUP(A1308,'לעדכן בסינתזה דאטה אריזה 42+24'!$A:$C,3,0)</f>
        <v>#N/A</v>
      </c>
    </row>
    <row r="1309" spans="4:18" x14ac:dyDescent="0.2">
      <c r="D1309" s="4"/>
      <c r="I1309" s="4"/>
      <c r="J1309" s="4"/>
      <c r="Q1309" s="78" t="e">
        <f>VLOOKUP(A1309,'גיליון דאטה להכל'!A:H,5,0)</f>
        <v>#N/A</v>
      </c>
      <c r="R1309" s="78" t="e">
        <f>VLOOKUP(A1309,'לעדכן בסינתזה דאטה אריזה 42+24'!$A:$C,3,0)</f>
        <v>#N/A</v>
      </c>
    </row>
    <row r="1310" spans="4:18" x14ac:dyDescent="0.2">
      <c r="D1310" s="4"/>
      <c r="I1310" s="4"/>
      <c r="J1310" s="4"/>
      <c r="Q1310" s="78" t="e">
        <f>VLOOKUP(A1310,'גיליון דאטה להכל'!A:H,5,0)</f>
        <v>#N/A</v>
      </c>
      <c r="R1310" s="78" t="e">
        <f>VLOOKUP(A1310,'לעדכן בסינתזה דאטה אריזה 42+24'!$A:$C,3,0)</f>
        <v>#N/A</v>
      </c>
    </row>
    <row r="1311" spans="4:18" x14ac:dyDescent="0.2">
      <c r="D1311" s="4"/>
      <c r="I1311" s="4"/>
      <c r="J1311" s="4"/>
      <c r="Q1311" s="78" t="e">
        <f>VLOOKUP(A1311,'גיליון דאטה להכל'!A:H,5,0)</f>
        <v>#N/A</v>
      </c>
      <c r="R1311" s="78" t="e">
        <f>VLOOKUP(A1311,'לעדכן בסינתזה דאטה אריזה 42+24'!$A:$C,3,0)</f>
        <v>#N/A</v>
      </c>
    </row>
    <row r="1312" spans="4:18" x14ac:dyDescent="0.2">
      <c r="D1312" s="4"/>
      <c r="I1312" s="4"/>
      <c r="J1312" s="4"/>
      <c r="Q1312" s="78" t="e">
        <f>VLOOKUP(A1312,'גיליון דאטה להכל'!A:H,5,0)</f>
        <v>#N/A</v>
      </c>
      <c r="R1312" s="78" t="e">
        <f>VLOOKUP(A1312,'לעדכן בסינתזה דאטה אריזה 42+24'!$A:$C,3,0)</f>
        <v>#N/A</v>
      </c>
    </row>
    <row r="1313" spans="4:18" x14ac:dyDescent="0.2">
      <c r="D1313" s="4"/>
      <c r="I1313" s="4"/>
      <c r="J1313" s="4"/>
      <c r="Q1313" s="78" t="e">
        <f>VLOOKUP(A1313,'גיליון דאטה להכל'!A:H,5,0)</f>
        <v>#N/A</v>
      </c>
      <c r="R1313" s="78" t="e">
        <f>VLOOKUP(A1313,'לעדכן בסינתזה דאטה אריזה 42+24'!$A:$C,3,0)</f>
        <v>#N/A</v>
      </c>
    </row>
    <row r="1314" spans="4:18" x14ac:dyDescent="0.2">
      <c r="D1314" s="4"/>
      <c r="I1314" s="4"/>
      <c r="J1314" s="4"/>
      <c r="Q1314" s="78" t="e">
        <f>VLOOKUP(A1314,'גיליון דאטה להכל'!A:H,5,0)</f>
        <v>#N/A</v>
      </c>
      <c r="R1314" s="78" t="e">
        <f>VLOOKUP(A1314,'לעדכן בסינתזה דאטה אריזה 42+24'!$A:$C,3,0)</f>
        <v>#N/A</v>
      </c>
    </row>
    <row r="1315" spans="4:18" x14ac:dyDescent="0.2">
      <c r="D1315" s="4"/>
      <c r="I1315" s="4"/>
      <c r="J1315" s="4"/>
      <c r="Q1315" s="78" t="e">
        <f>VLOOKUP(A1315,'גיליון דאטה להכל'!A:H,5,0)</f>
        <v>#N/A</v>
      </c>
      <c r="R1315" s="78" t="e">
        <f>VLOOKUP(A1315,'לעדכן בסינתזה דאטה אריזה 42+24'!$A:$C,3,0)</f>
        <v>#N/A</v>
      </c>
    </row>
    <row r="1316" spans="4:18" x14ac:dyDescent="0.2">
      <c r="D1316" s="4"/>
      <c r="I1316" s="4"/>
      <c r="J1316" s="4"/>
      <c r="Q1316" s="78" t="e">
        <f>VLOOKUP(A1316,'גיליון דאטה להכל'!A:H,5,0)</f>
        <v>#N/A</v>
      </c>
      <c r="R1316" s="78" t="e">
        <f>VLOOKUP(A1316,'לעדכן בסינתזה דאטה אריזה 42+24'!$A:$C,3,0)</f>
        <v>#N/A</v>
      </c>
    </row>
    <row r="1317" spans="4:18" x14ac:dyDescent="0.2">
      <c r="D1317" s="4"/>
      <c r="I1317" s="4"/>
      <c r="J1317" s="4"/>
      <c r="Q1317" s="78" t="e">
        <f>VLOOKUP(A1317,'גיליון דאטה להכל'!A:H,5,0)</f>
        <v>#N/A</v>
      </c>
      <c r="R1317" s="78" t="e">
        <f>VLOOKUP(A1317,'לעדכן בסינתזה דאטה אריזה 42+24'!$A:$C,3,0)</f>
        <v>#N/A</v>
      </c>
    </row>
    <row r="1318" spans="4:18" x14ac:dyDescent="0.2">
      <c r="D1318" s="4"/>
      <c r="I1318" s="4"/>
      <c r="J1318" s="4"/>
      <c r="Q1318" s="78" t="e">
        <f>VLOOKUP(A1318,'גיליון דאטה להכל'!A:H,5,0)</f>
        <v>#N/A</v>
      </c>
      <c r="R1318" s="78" t="e">
        <f>VLOOKUP(A1318,'לעדכן בסינתזה דאטה אריזה 42+24'!$A:$C,3,0)</f>
        <v>#N/A</v>
      </c>
    </row>
    <row r="1319" spans="4:18" x14ac:dyDescent="0.2">
      <c r="D1319" s="4"/>
      <c r="I1319" s="4"/>
      <c r="J1319" s="4"/>
      <c r="Q1319" s="78" t="e">
        <f>VLOOKUP(A1319,'גיליון דאטה להכל'!A:H,5,0)</f>
        <v>#N/A</v>
      </c>
      <c r="R1319" s="78" t="e">
        <f>VLOOKUP(A1319,'לעדכן בסינתזה דאטה אריזה 42+24'!$A:$C,3,0)</f>
        <v>#N/A</v>
      </c>
    </row>
    <row r="1320" spans="4:18" x14ac:dyDescent="0.2">
      <c r="D1320" s="4"/>
      <c r="I1320" s="4"/>
      <c r="J1320" s="4"/>
      <c r="Q1320" s="78" t="e">
        <f>VLOOKUP(A1320,'גיליון דאטה להכל'!A:H,5,0)</f>
        <v>#N/A</v>
      </c>
      <c r="R1320" s="78" t="e">
        <f>VLOOKUP(A1320,'לעדכן בסינתזה דאטה אריזה 42+24'!$A:$C,3,0)</f>
        <v>#N/A</v>
      </c>
    </row>
    <row r="1321" spans="4:18" x14ac:dyDescent="0.2">
      <c r="D1321" s="4"/>
      <c r="I1321" s="4"/>
      <c r="J1321" s="4"/>
      <c r="Q1321" s="78" t="e">
        <f>VLOOKUP(A1321,'גיליון דאטה להכל'!A:H,5,0)</f>
        <v>#N/A</v>
      </c>
      <c r="R1321" s="78" t="e">
        <f>VLOOKUP(A1321,'לעדכן בסינתזה דאטה אריזה 42+24'!$A:$C,3,0)</f>
        <v>#N/A</v>
      </c>
    </row>
    <row r="1322" spans="4:18" x14ac:dyDescent="0.2">
      <c r="D1322" s="4"/>
      <c r="I1322" s="4"/>
      <c r="J1322" s="4"/>
      <c r="Q1322" s="78" t="e">
        <f>VLOOKUP(A1322,'גיליון דאטה להכל'!A:H,5,0)</f>
        <v>#N/A</v>
      </c>
      <c r="R1322" s="78" t="e">
        <f>VLOOKUP(A1322,'לעדכן בסינתזה דאטה אריזה 42+24'!$A:$C,3,0)</f>
        <v>#N/A</v>
      </c>
    </row>
    <row r="1323" spans="4:18" x14ac:dyDescent="0.2">
      <c r="D1323" s="4"/>
      <c r="I1323" s="4"/>
      <c r="J1323" s="4"/>
      <c r="Q1323" s="78" t="e">
        <f>VLOOKUP(A1323,'גיליון דאטה להכל'!A:H,5,0)</f>
        <v>#N/A</v>
      </c>
      <c r="R1323" s="78" t="e">
        <f>VLOOKUP(A1323,'לעדכן בסינתזה דאטה אריזה 42+24'!$A:$C,3,0)</f>
        <v>#N/A</v>
      </c>
    </row>
    <row r="1324" spans="4:18" x14ac:dyDescent="0.2">
      <c r="D1324" s="4"/>
      <c r="I1324" s="4"/>
      <c r="J1324" s="4"/>
      <c r="Q1324" s="78" t="e">
        <f>VLOOKUP(A1324,'גיליון דאטה להכל'!A:H,5,0)</f>
        <v>#N/A</v>
      </c>
      <c r="R1324" s="78" t="e">
        <f>VLOOKUP(A1324,'לעדכן בסינתזה דאטה אריזה 42+24'!$A:$C,3,0)</f>
        <v>#N/A</v>
      </c>
    </row>
    <row r="1325" spans="4:18" x14ac:dyDescent="0.2">
      <c r="D1325" s="4"/>
      <c r="I1325" s="4"/>
      <c r="J1325" s="4"/>
      <c r="Q1325" s="78" t="e">
        <f>VLOOKUP(A1325,'גיליון דאטה להכל'!A:H,5,0)</f>
        <v>#N/A</v>
      </c>
      <c r="R1325" s="78" t="e">
        <f>VLOOKUP(A1325,'לעדכן בסינתזה דאטה אריזה 42+24'!$A:$C,3,0)</f>
        <v>#N/A</v>
      </c>
    </row>
    <row r="1326" spans="4:18" x14ac:dyDescent="0.2">
      <c r="D1326" s="4"/>
      <c r="I1326" s="4"/>
      <c r="J1326" s="4"/>
      <c r="Q1326" s="78" t="e">
        <f>VLOOKUP(A1326,'גיליון דאטה להכל'!A:H,5,0)</f>
        <v>#N/A</v>
      </c>
      <c r="R1326" s="78" t="e">
        <f>VLOOKUP(A1326,'לעדכן בסינתזה דאטה אריזה 42+24'!$A:$C,3,0)</f>
        <v>#N/A</v>
      </c>
    </row>
    <row r="1327" spans="4:18" x14ac:dyDescent="0.2">
      <c r="D1327" s="4"/>
      <c r="I1327" s="4"/>
      <c r="J1327" s="4"/>
      <c r="Q1327" s="78" t="e">
        <f>VLOOKUP(A1327,'גיליון דאטה להכל'!A:H,5,0)</f>
        <v>#N/A</v>
      </c>
      <c r="R1327" s="78" t="e">
        <f>VLOOKUP(A1327,'לעדכן בסינתזה דאטה אריזה 42+24'!$A:$C,3,0)</f>
        <v>#N/A</v>
      </c>
    </row>
    <row r="1328" spans="4:18" x14ac:dyDescent="0.2">
      <c r="D1328" s="4"/>
      <c r="I1328" s="4"/>
      <c r="J1328" s="4"/>
      <c r="Q1328" s="78" t="e">
        <f>VLOOKUP(A1328,'גיליון דאטה להכל'!A:H,5,0)</f>
        <v>#N/A</v>
      </c>
      <c r="R1328" s="78" t="e">
        <f>VLOOKUP(A1328,'לעדכן בסינתזה דאטה אריזה 42+24'!$A:$C,3,0)</f>
        <v>#N/A</v>
      </c>
    </row>
    <row r="1329" spans="4:18" x14ac:dyDescent="0.2">
      <c r="D1329" s="4"/>
      <c r="I1329" s="4"/>
      <c r="J1329" s="4"/>
      <c r="Q1329" s="78" t="e">
        <f>VLOOKUP(A1329,'גיליון דאטה להכל'!A:H,5,0)</f>
        <v>#N/A</v>
      </c>
      <c r="R1329" s="78" t="e">
        <f>VLOOKUP(A1329,'לעדכן בסינתזה דאטה אריזה 42+24'!$A:$C,3,0)</f>
        <v>#N/A</v>
      </c>
    </row>
    <row r="1330" spans="4:18" x14ac:dyDescent="0.2">
      <c r="D1330" s="4"/>
      <c r="I1330" s="4"/>
      <c r="J1330" s="4"/>
      <c r="Q1330" s="78" t="e">
        <f>VLOOKUP(A1330,'גיליון דאטה להכל'!A:H,5,0)</f>
        <v>#N/A</v>
      </c>
      <c r="R1330" s="78" t="e">
        <f>VLOOKUP(A1330,'לעדכן בסינתזה דאטה אריזה 42+24'!$A:$C,3,0)</f>
        <v>#N/A</v>
      </c>
    </row>
    <row r="1331" spans="4:18" x14ac:dyDescent="0.2">
      <c r="D1331" s="4"/>
      <c r="I1331" s="4"/>
      <c r="J1331" s="4"/>
      <c r="Q1331" s="78" t="e">
        <f>VLOOKUP(A1331,'גיליון דאטה להכל'!A:H,5,0)</f>
        <v>#N/A</v>
      </c>
      <c r="R1331" s="78" t="e">
        <f>VLOOKUP(A1331,'לעדכן בסינתזה דאטה אריזה 42+24'!$A:$C,3,0)</f>
        <v>#N/A</v>
      </c>
    </row>
    <row r="1332" spans="4:18" x14ac:dyDescent="0.2">
      <c r="D1332" s="4"/>
      <c r="I1332" s="4"/>
      <c r="J1332" s="4"/>
      <c r="Q1332" s="78" t="e">
        <f>VLOOKUP(A1332,'גיליון דאטה להכל'!A:H,5,0)</f>
        <v>#N/A</v>
      </c>
      <c r="R1332" s="78" t="e">
        <f>VLOOKUP(A1332,'לעדכן בסינתזה דאטה אריזה 42+24'!$A:$C,3,0)</f>
        <v>#N/A</v>
      </c>
    </row>
    <row r="1333" spans="4:18" x14ac:dyDescent="0.2">
      <c r="D1333" s="4"/>
      <c r="I1333" s="4"/>
      <c r="J1333" s="4"/>
      <c r="Q1333" s="78" t="e">
        <f>VLOOKUP(A1333,'גיליון דאטה להכל'!A:H,5,0)</f>
        <v>#N/A</v>
      </c>
      <c r="R1333" s="78" t="e">
        <f>VLOOKUP(A1333,'לעדכן בסינתזה דאטה אריזה 42+24'!$A:$C,3,0)</f>
        <v>#N/A</v>
      </c>
    </row>
    <row r="1334" spans="4:18" x14ac:dyDescent="0.2">
      <c r="D1334" s="4"/>
      <c r="I1334" s="4"/>
      <c r="J1334" s="4"/>
      <c r="Q1334" s="78" t="e">
        <f>VLOOKUP(A1334,'גיליון דאטה להכל'!A:H,5,0)</f>
        <v>#N/A</v>
      </c>
      <c r="R1334" s="78" t="e">
        <f>VLOOKUP(A1334,'לעדכן בסינתזה דאטה אריזה 42+24'!$A:$C,3,0)</f>
        <v>#N/A</v>
      </c>
    </row>
    <row r="1335" spans="4:18" x14ac:dyDescent="0.2">
      <c r="D1335" s="4"/>
      <c r="I1335" s="4"/>
      <c r="J1335" s="4"/>
      <c r="Q1335" s="78" t="e">
        <f>VLOOKUP(A1335,'גיליון דאטה להכל'!A:H,5,0)</f>
        <v>#N/A</v>
      </c>
      <c r="R1335" s="78" t="e">
        <f>VLOOKUP(A1335,'לעדכן בסינתזה דאטה אריזה 42+24'!$A:$C,3,0)</f>
        <v>#N/A</v>
      </c>
    </row>
    <row r="1336" spans="4:18" x14ac:dyDescent="0.2">
      <c r="D1336" s="4"/>
      <c r="I1336" s="4"/>
      <c r="J1336" s="4"/>
      <c r="Q1336" s="78" t="e">
        <f>VLOOKUP(A1336,'גיליון דאטה להכל'!A:H,5,0)</f>
        <v>#N/A</v>
      </c>
      <c r="R1336" s="78" t="e">
        <f>VLOOKUP(A1336,'לעדכן בסינתזה דאטה אריזה 42+24'!$A:$C,3,0)</f>
        <v>#N/A</v>
      </c>
    </row>
    <row r="1337" spans="4:18" x14ac:dyDescent="0.2">
      <c r="D1337" s="4"/>
      <c r="I1337" s="4"/>
      <c r="J1337" s="4"/>
      <c r="Q1337" s="78" t="e">
        <f>VLOOKUP(A1337,'גיליון דאטה להכל'!A:H,5,0)</f>
        <v>#N/A</v>
      </c>
      <c r="R1337" s="78" t="e">
        <f>VLOOKUP(A1337,'לעדכן בסינתזה דאטה אריזה 42+24'!$A:$C,3,0)</f>
        <v>#N/A</v>
      </c>
    </row>
    <row r="1338" spans="4:18" x14ac:dyDescent="0.2">
      <c r="D1338" s="4"/>
      <c r="I1338" s="4"/>
      <c r="J1338" s="4"/>
      <c r="Q1338" s="78" t="e">
        <f>VLOOKUP(A1338,'גיליון דאטה להכל'!A:H,5,0)</f>
        <v>#N/A</v>
      </c>
      <c r="R1338" s="78" t="e">
        <f>VLOOKUP(A1338,'לעדכן בסינתזה דאטה אריזה 42+24'!$A:$C,3,0)</f>
        <v>#N/A</v>
      </c>
    </row>
    <row r="1339" spans="4:18" x14ac:dyDescent="0.2">
      <c r="D1339" s="4"/>
      <c r="I1339" s="4"/>
      <c r="J1339" s="4"/>
      <c r="Q1339" s="78" t="e">
        <f>VLOOKUP(A1339,'גיליון דאטה להכל'!A:H,5,0)</f>
        <v>#N/A</v>
      </c>
      <c r="R1339" s="78" t="e">
        <f>VLOOKUP(A1339,'לעדכן בסינתזה דאטה אריזה 42+24'!$A:$C,3,0)</f>
        <v>#N/A</v>
      </c>
    </row>
    <row r="1340" spans="4:18" x14ac:dyDescent="0.2">
      <c r="D1340" s="4"/>
      <c r="I1340" s="4"/>
      <c r="J1340" s="4"/>
      <c r="Q1340" s="78" t="e">
        <f>VLOOKUP(A1340,'גיליון דאטה להכל'!A:H,5,0)</f>
        <v>#N/A</v>
      </c>
      <c r="R1340" s="78" t="e">
        <f>VLOOKUP(A1340,'לעדכן בסינתזה דאטה אריזה 42+24'!$A:$C,3,0)</f>
        <v>#N/A</v>
      </c>
    </row>
    <row r="1341" spans="4:18" x14ac:dyDescent="0.2">
      <c r="D1341" s="4"/>
      <c r="I1341" s="4"/>
      <c r="J1341" s="4"/>
      <c r="Q1341" s="78" t="e">
        <f>VLOOKUP(A1341,'גיליון דאטה להכל'!A:H,5,0)</f>
        <v>#N/A</v>
      </c>
      <c r="R1341" s="78" t="e">
        <f>VLOOKUP(A1341,'לעדכן בסינתזה דאטה אריזה 42+24'!$A:$C,3,0)</f>
        <v>#N/A</v>
      </c>
    </row>
    <row r="1342" spans="4:18" x14ac:dyDescent="0.2">
      <c r="D1342" s="4"/>
      <c r="I1342" s="4"/>
      <c r="J1342" s="4"/>
      <c r="Q1342" s="78" t="e">
        <f>VLOOKUP(A1342,'גיליון דאטה להכל'!A:H,5,0)</f>
        <v>#N/A</v>
      </c>
      <c r="R1342" s="78" t="e">
        <f>VLOOKUP(A1342,'לעדכן בסינתזה דאטה אריזה 42+24'!$A:$C,3,0)</f>
        <v>#N/A</v>
      </c>
    </row>
    <row r="1343" spans="4:18" x14ac:dyDescent="0.2">
      <c r="D1343" s="4"/>
      <c r="I1343" s="4"/>
      <c r="J1343" s="4"/>
      <c r="Q1343" s="78" t="e">
        <f>VLOOKUP(A1343,'גיליון דאטה להכל'!A:H,5,0)</f>
        <v>#N/A</v>
      </c>
      <c r="R1343" s="78" t="e">
        <f>VLOOKUP(A1343,'לעדכן בסינתזה דאטה אריזה 42+24'!$A:$C,3,0)</f>
        <v>#N/A</v>
      </c>
    </row>
    <row r="1344" spans="4:18" x14ac:dyDescent="0.2">
      <c r="D1344" s="4"/>
      <c r="I1344" s="4"/>
      <c r="J1344" s="4"/>
      <c r="Q1344" s="78" t="e">
        <f>VLOOKUP(A1344,'גיליון דאטה להכל'!A:H,5,0)</f>
        <v>#N/A</v>
      </c>
      <c r="R1344" s="78" t="e">
        <f>VLOOKUP(A1344,'לעדכן בסינתזה דאטה אריזה 42+24'!$A:$C,3,0)</f>
        <v>#N/A</v>
      </c>
    </row>
    <row r="1345" spans="4:18" x14ac:dyDescent="0.2">
      <c r="D1345" s="4"/>
      <c r="I1345" s="4"/>
      <c r="J1345" s="4"/>
      <c r="Q1345" s="78" t="e">
        <f>VLOOKUP(A1345,'גיליון דאטה להכל'!A:H,5,0)</f>
        <v>#N/A</v>
      </c>
      <c r="R1345" s="78" t="e">
        <f>VLOOKUP(A1345,'לעדכן בסינתזה דאטה אריזה 42+24'!$A:$C,3,0)</f>
        <v>#N/A</v>
      </c>
    </row>
    <row r="1346" spans="4:18" x14ac:dyDescent="0.2">
      <c r="D1346" s="4"/>
      <c r="I1346" s="4"/>
      <c r="J1346" s="4"/>
      <c r="Q1346" s="78" t="e">
        <f>VLOOKUP(A1346,'גיליון דאטה להכל'!A:H,5,0)</f>
        <v>#N/A</v>
      </c>
      <c r="R1346" s="78" t="e">
        <f>VLOOKUP(A1346,'לעדכן בסינתזה דאטה אריזה 42+24'!$A:$C,3,0)</f>
        <v>#N/A</v>
      </c>
    </row>
    <row r="1347" spans="4:18" x14ac:dyDescent="0.2">
      <c r="D1347" s="4"/>
      <c r="I1347" s="4"/>
      <c r="J1347" s="4"/>
      <c r="Q1347" s="78" t="e">
        <f>VLOOKUP(A1347,'גיליון דאטה להכל'!A:H,5,0)</f>
        <v>#N/A</v>
      </c>
      <c r="R1347" s="78" t="e">
        <f>VLOOKUP(A1347,'לעדכן בסינתזה דאטה אריזה 42+24'!$A:$C,3,0)</f>
        <v>#N/A</v>
      </c>
    </row>
    <row r="1348" spans="4:18" x14ac:dyDescent="0.2">
      <c r="D1348" s="4"/>
      <c r="I1348" s="4"/>
      <c r="J1348" s="4"/>
      <c r="Q1348" s="78" t="e">
        <f>VLOOKUP(A1348,'גיליון דאטה להכל'!A:H,5,0)</f>
        <v>#N/A</v>
      </c>
      <c r="R1348" s="78" t="e">
        <f>VLOOKUP(A1348,'לעדכן בסינתזה דאטה אריזה 42+24'!$A:$C,3,0)</f>
        <v>#N/A</v>
      </c>
    </row>
    <row r="1349" spans="4:18" x14ac:dyDescent="0.2">
      <c r="D1349" s="4"/>
      <c r="I1349" s="4"/>
      <c r="J1349" s="4"/>
      <c r="Q1349" s="78" t="e">
        <f>VLOOKUP(A1349,'גיליון דאטה להכל'!A:H,5,0)</f>
        <v>#N/A</v>
      </c>
      <c r="R1349" s="78" t="e">
        <f>VLOOKUP(A1349,'לעדכן בסינתזה דאטה אריזה 42+24'!$A:$C,3,0)</f>
        <v>#N/A</v>
      </c>
    </row>
    <row r="1350" spans="4:18" x14ac:dyDescent="0.2">
      <c r="D1350" s="4"/>
      <c r="I1350" s="4"/>
      <c r="J1350" s="4"/>
      <c r="Q1350" s="78" t="e">
        <f>VLOOKUP(A1350,'גיליון דאטה להכל'!A:H,5,0)</f>
        <v>#N/A</v>
      </c>
      <c r="R1350" s="78" t="e">
        <f>VLOOKUP(A1350,'לעדכן בסינתזה דאטה אריזה 42+24'!$A:$C,3,0)</f>
        <v>#N/A</v>
      </c>
    </row>
    <row r="1351" spans="4:18" x14ac:dyDescent="0.2">
      <c r="D1351" s="4"/>
      <c r="I1351" s="4"/>
      <c r="J1351" s="4"/>
      <c r="Q1351" s="78" t="e">
        <f>VLOOKUP(A1351,'גיליון דאטה להכל'!A:H,5,0)</f>
        <v>#N/A</v>
      </c>
      <c r="R1351" s="78" t="e">
        <f>VLOOKUP(A1351,'לעדכן בסינתזה דאטה אריזה 42+24'!$A:$C,3,0)</f>
        <v>#N/A</v>
      </c>
    </row>
    <row r="1352" spans="4:18" x14ac:dyDescent="0.2">
      <c r="D1352" s="4"/>
      <c r="I1352" s="4"/>
      <c r="J1352" s="4"/>
      <c r="Q1352" s="78" t="e">
        <f>VLOOKUP(A1352,'גיליון דאטה להכל'!A:H,5,0)</f>
        <v>#N/A</v>
      </c>
      <c r="R1352" s="78" t="e">
        <f>VLOOKUP(A1352,'לעדכן בסינתזה דאטה אריזה 42+24'!$A:$C,3,0)</f>
        <v>#N/A</v>
      </c>
    </row>
    <row r="1353" spans="4:18" x14ac:dyDescent="0.2">
      <c r="D1353" s="4"/>
      <c r="I1353" s="4"/>
      <c r="J1353" s="4"/>
      <c r="Q1353" s="78" t="e">
        <f>VLOOKUP(A1353,'גיליון דאטה להכל'!A:H,5,0)</f>
        <v>#N/A</v>
      </c>
      <c r="R1353" s="78" t="e">
        <f>VLOOKUP(A1353,'לעדכן בסינתזה דאטה אריזה 42+24'!$A:$C,3,0)</f>
        <v>#N/A</v>
      </c>
    </row>
    <row r="1354" spans="4:18" x14ac:dyDescent="0.2">
      <c r="D1354" s="4"/>
      <c r="I1354" s="4"/>
      <c r="J1354" s="4"/>
      <c r="Q1354" s="78" t="e">
        <f>VLOOKUP(A1354,'גיליון דאטה להכל'!A:H,5,0)</f>
        <v>#N/A</v>
      </c>
      <c r="R1354" s="78" t="e">
        <f>VLOOKUP(A1354,'לעדכן בסינתזה דאטה אריזה 42+24'!$A:$C,3,0)</f>
        <v>#N/A</v>
      </c>
    </row>
    <row r="1355" spans="4:18" x14ac:dyDescent="0.2">
      <c r="D1355" s="4"/>
      <c r="I1355" s="4"/>
      <c r="J1355" s="4"/>
      <c r="Q1355" s="78" t="e">
        <f>VLOOKUP(A1355,'גיליון דאטה להכל'!A:H,5,0)</f>
        <v>#N/A</v>
      </c>
      <c r="R1355" s="78" t="e">
        <f>VLOOKUP(A1355,'לעדכן בסינתזה דאטה אריזה 42+24'!$A:$C,3,0)</f>
        <v>#N/A</v>
      </c>
    </row>
    <row r="1356" spans="4:18" x14ac:dyDescent="0.2">
      <c r="D1356" s="4"/>
      <c r="I1356" s="4"/>
      <c r="J1356" s="4"/>
      <c r="Q1356" s="78" t="e">
        <f>VLOOKUP(A1356,'גיליון דאטה להכל'!A:H,5,0)</f>
        <v>#N/A</v>
      </c>
      <c r="R1356" s="78" t="e">
        <f>VLOOKUP(A1356,'לעדכן בסינתזה דאטה אריזה 42+24'!$A:$C,3,0)</f>
        <v>#N/A</v>
      </c>
    </row>
    <row r="1357" spans="4:18" x14ac:dyDescent="0.2">
      <c r="D1357" s="4"/>
      <c r="I1357" s="4"/>
      <c r="J1357" s="4"/>
      <c r="Q1357" s="78" t="e">
        <f>VLOOKUP(A1357,'גיליון דאטה להכל'!A:H,5,0)</f>
        <v>#N/A</v>
      </c>
      <c r="R1357" s="78" t="e">
        <f>VLOOKUP(A1357,'לעדכן בסינתזה דאטה אריזה 42+24'!$A:$C,3,0)</f>
        <v>#N/A</v>
      </c>
    </row>
    <row r="1358" spans="4:18" x14ac:dyDescent="0.2">
      <c r="D1358" s="4"/>
      <c r="I1358" s="4"/>
      <c r="J1358" s="4"/>
      <c r="Q1358" s="78" t="e">
        <f>VLOOKUP(A1358,'גיליון דאטה להכל'!A:H,5,0)</f>
        <v>#N/A</v>
      </c>
      <c r="R1358" s="78" t="e">
        <f>VLOOKUP(A1358,'לעדכן בסינתזה דאטה אריזה 42+24'!$A:$C,3,0)</f>
        <v>#N/A</v>
      </c>
    </row>
    <row r="1359" spans="4:18" x14ac:dyDescent="0.2">
      <c r="D1359" s="4"/>
      <c r="I1359" s="4"/>
      <c r="J1359" s="4"/>
      <c r="Q1359" s="78" t="e">
        <f>VLOOKUP(A1359,'גיליון דאטה להכל'!A:H,5,0)</f>
        <v>#N/A</v>
      </c>
      <c r="R1359" s="78" t="e">
        <f>VLOOKUP(A1359,'לעדכן בסינתזה דאטה אריזה 42+24'!$A:$C,3,0)</f>
        <v>#N/A</v>
      </c>
    </row>
    <row r="1360" spans="4:18" x14ac:dyDescent="0.2">
      <c r="D1360" s="4"/>
      <c r="I1360" s="4"/>
      <c r="J1360" s="4"/>
      <c r="Q1360" s="78" t="e">
        <f>VLOOKUP(A1360,'גיליון דאטה להכל'!A:H,5,0)</f>
        <v>#N/A</v>
      </c>
      <c r="R1360" s="78" t="e">
        <f>VLOOKUP(A1360,'לעדכן בסינתזה דאטה אריזה 42+24'!$A:$C,3,0)</f>
        <v>#N/A</v>
      </c>
    </row>
    <row r="1361" spans="4:18" x14ac:dyDescent="0.2">
      <c r="D1361" s="4"/>
      <c r="I1361" s="4"/>
      <c r="J1361" s="4"/>
      <c r="Q1361" s="78" t="e">
        <f>VLOOKUP(A1361,'גיליון דאטה להכל'!A:H,5,0)</f>
        <v>#N/A</v>
      </c>
      <c r="R1361" s="78" t="e">
        <f>VLOOKUP(A1361,'לעדכן בסינתזה דאטה אריזה 42+24'!$A:$C,3,0)</f>
        <v>#N/A</v>
      </c>
    </row>
    <row r="1362" spans="4:18" x14ac:dyDescent="0.2">
      <c r="D1362" s="4"/>
      <c r="I1362" s="4"/>
      <c r="J1362" s="4"/>
      <c r="Q1362" s="78" t="e">
        <f>VLOOKUP(A1362,'גיליון דאטה להכל'!A:H,5,0)</f>
        <v>#N/A</v>
      </c>
      <c r="R1362" s="78" t="e">
        <f>VLOOKUP(A1362,'לעדכן בסינתזה דאטה אריזה 42+24'!$A:$C,3,0)</f>
        <v>#N/A</v>
      </c>
    </row>
    <row r="1363" spans="4:18" x14ac:dyDescent="0.2">
      <c r="D1363" s="4"/>
      <c r="I1363" s="4"/>
      <c r="J1363" s="4"/>
      <c r="Q1363" s="78" t="e">
        <f>VLOOKUP(A1363,'גיליון דאטה להכל'!A:H,5,0)</f>
        <v>#N/A</v>
      </c>
      <c r="R1363" s="78" t="e">
        <f>VLOOKUP(A1363,'לעדכן בסינתזה דאטה אריזה 42+24'!$A:$C,3,0)</f>
        <v>#N/A</v>
      </c>
    </row>
    <row r="1364" spans="4:18" x14ac:dyDescent="0.2">
      <c r="D1364" s="4"/>
      <c r="I1364" s="4"/>
      <c r="J1364" s="4"/>
      <c r="Q1364" s="78" t="e">
        <f>VLOOKUP(A1364,'גיליון דאטה להכל'!A:H,5,0)</f>
        <v>#N/A</v>
      </c>
      <c r="R1364" s="78" t="e">
        <f>VLOOKUP(A1364,'לעדכן בסינתזה דאטה אריזה 42+24'!$A:$C,3,0)</f>
        <v>#N/A</v>
      </c>
    </row>
    <row r="1365" spans="4:18" x14ac:dyDescent="0.2">
      <c r="D1365" s="4"/>
      <c r="I1365" s="4"/>
      <c r="J1365" s="4"/>
      <c r="Q1365" s="78" t="e">
        <f>VLOOKUP(A1365,'גיליון דאטה להכל'!A:H,5,0)</f>
        <v>#N/A</v>
      </c>
      <c r="R1365" s="78" t="e">
        <f>VLOOKUP(A1365,'לעדכן בסינתזה דאטה אריזה 42+24'!$A:$C,3,0)</f>
        <v>#N/A</v>
      </c>
    </row>
    <row r="1366" spans="4:18" x14ac:dyDescent="0.2">
      <c r="D1366" s="4"/>
      <c r="I1366" s="4"/>
      <c r="J1366" s="4"/>
      <c r="Q1366" s="78" t="e">
        <f>VLOOKUP(A1366,'גיליון דאטה להכל'!A:H,5,0)</f>
        <v>#N/A</v>
      </c>
      <c r="R1366" s="78" t="e">
        <f>VLOOKUP(A1366,'לעדכן בסינתזה דאטה אריזה 42+24'!$A:$C,3,0)</f>
        <v>#N/A</v>
      </c>
    </row>
    <row r="1367" spans="4:18" x14ac:dyDescent="0.2">
      <c r="D1367" s="4"/>
      <c r="I1367" s="4"/>
      <c r="J1367" s="4"/>
      <c r="Q1367" s="78" t="e">
        <f>VLOOKUP(A1367,'גיליון דאטה להכל'!A:H,5,0)</f>
        <v>#N/A</v>
      </c>
      <c r="R1367" s="78" t="e">
        <f>VLOOKUP(A1367,'לעדכן בסינתזה דאטה אריזה 42+24'!$A:$C,3,0)</f>
        <v>#N/A</v>
      </c>
    </row>
    <row r="1368" spans="4:18" x14ac:dyDescent="0.2">
      <c r="D1368" s="4"/>
      <c r="I1368" s="4"/>
      <c r="J1368" s="4"/>
      <c r="Q1368" s="78" t="e">
        <f>VLOOKUP(A1368,'גיליון דאטה להכל'!A:H,5,0)</f>
        <v>#N/A</v>
      </c>
      <c r="R1368" s="78" t="e">
        <f>VLOOKUP(A1368,'לעדכן בסינתזה דאטה אריזה 42+24'!$A:$C,3,0)</f>
        <v>#N/A</v>
      </c>
    </row>
    <row r="1369" spans="4:18" x14ac:dyDescent="0.2">
      <c r="D1369" s="4"/>
      <c r="I1369" s="4"/>
      <c r="J1369" s="4"/>
      <c r="Q1369" s="78" t="e">
        <f>VLOOKUP(A1369,'גיליון דאטה להכל'!A:H,5,0)</f>
        <v>#N/A</v>
      </c>
      <c r="R1369" s="78" t="e">
        <f>VLOOKUP(A1369,'לעדכן בסינתזה דאטה אריזה 42+24'!$A:$C,3,0)</f>
        <v>#N/A</v>
      </c>
    </row>
    <row r="1370" spans="4:18" x14ac:dyDescent="0.2">
      <c r="D1370" s="4"/>
      <c r="I1370" s="4"/>
      <c r="J1370" s="4"/>
      <c r="Q1370" s="78" t="e">
        <f>VLOOKUP(A1370,'גיליון דאטה להכל'!A:H,5,0)</f>
        <v>#N/A</v>
      </c>
      <c r="R1370" s="78" t="e">
        <f>VLOOKUP(A1370,'לעדכן בסינתזה דאטה אריזה 42+24'!$A:$C,3,0)</f>
        <v>#N/A</v>
      </c>
    </row>
    <row r="1371" spans="4:18" x14ac:dyDescent="0.2">
      <c r="D1371" s="4"/>
      <c r="I1371" s="4"/>
      <c r="J1371" s="4"/>
      <c r="Q1371" s="78" t="e">
        <f>VLOOKUP(A1371,'גיליון דאטה להכל'!A:H,5,0)</f>
        <v>#N/A</v>
      </c>
      <c r="R1371" s="78" t="e">
        <f>VLOOKUP(A1371,'לעדכן בסינתזה דאטה אריזה 42+24'!$A:$C,3,0)</f>
        <v>#N/A</v>
      </c>
    </row>
    <row r="1372" spans="4:18" x14ac:dyDescent="0.2">
      <c r="D1372" s="4"/>
      <c r="I1372" s="4"/>
      <c r="J1372" s="4"/>
      <c r="Q1372" s="78" t="e">
        <f>VLOOKUP(A1372,'גיליון דאטה להכל'!A:H,5,0)</f>
        <v>#N/A</v>
      </c>
      <c r="R1372" s="78" t="e">
        <f>VLOOKUP(A1372,'לעדכן בסינתזה דאטה אריזה 42+24'!$A:$C,3,0)</f>
        <v>#N/A</v>
      </c>
    </row>
    <row r="1373" spans="4:18" x14ac:dyDescent="0.2">
      <c r="D1373" s="4"/>
      <c r="I1373" s="4"/>
      <c r="J1373" s="4"/>
      <c r="Q1373" s="78" t="e">
        <f>VLOOKUP(A1373,'גיליון דאטה להכל'!A:H,5,0)</f>
        <v>#N/A</v>
      </c>
      <c r="R1373" s="78" t="e">
        <f>VLOOKUP(A1373,'לעדכן בסינתזה דאטה אריזה 42+24'!$A:$C,3,0)</f>
        <v>#N/A</v>
      </c>
    </row>
    <row r="1374" spans="4:18" x14ac:dyDescent="0.2">
      <c r="D1374" s="4"/>
      <c r="I1374" s="4"/>
      <c r="J1374" s="4"/>
      <c r="Q1374" s="78" t="e">
        <f>VLOOKUP(A1374,'גיליון דאטה להכל'!A:H,5,0)</f>
        <v>#N/A</v>
      </c>
      <c r="R1374" s="78" t="e">
        <f>VLOOKUP(A1374,'לעדכן בסינתזה דאטה אריזה 42+24'!$A:$C,3,0)</f>
        <v>#N/A</v>
      </c>
    </row>
    <row r="1375" spans="4:18" x14ac:dyDescent="0.2">
      <c r="D1375" s="4"/>
      <c r="I1375" s="4"/>
      <c r="J1375" s="4"/>
      <c r="Q1375" s="78" t="e">
        <f>VLOOKUP(A1375,'גיליון דאטה להכל'!A:H,5,0)</f>
        <v>#N/A</v>
      </c>
      <c r="R1375" s="78" t="e">
        <f>VLOOKUP(A1375,'לעדכן בסינתזה דאטה אריזה 42+24'!$A:$C,3,0)</f>
        <v>#N/A</v>
      </c>
    </row>
    <row r="1376" spans="4:18" x14ac:dyDescent="0.2">
      <c r="D1376" s="4"/>
      <c r="I1376" s="4"/>
      <c r="J1376" s="4"/>
      <c r="Q1376" s="78" t="e">
        <f>VLOOKUP(A1376,'גיליון דאטה להכל'!A:H,5,0)</f>
        <v>#N/A</v>
      </c>
      <c r="R1376" s="78" t="e">
        <f>VLOOKUP(A1376,'לעדכן בסינתזה דאטה אריזה 42+24'!$A:$C,3,0)</f>
        <v>#N/A</v>
      </c>
    </row>
    <row r="1377" spans="4:18" x14ac:dyDescent="0.2">
      <c r="D1377" s="4"/>
      <c r="I1377" s="4"/>
      <c r="J1377" s="4"/>
      <c r="Q1377" s="78" t="e">
        <f>VLOOKUP(A1377,'גיליון דאטה להכל'!A:H,5,0)</f>
        <v>#N/A</v>
      </c>
      <c r="R1377" s="78" t="e">
        <f>VLOOKUP(A1377,'לעדכן בסינתזה דאטה אריזה 42+24'!$A:$C,3,0)</f>
        <v>#N/A</v>
      </c>
    </row>
    <row r="1378" spans="4:18" x14ac:dyDescent="0.2">
      <c r="D1378" s="4"/>
      <c r="I1378" s="4"/>
      <c r="J1378" s="4"/>
      <c r="Q1378" s="78" t="e">
        <f>VLOOKUP(A1378,'גיליון דאטה להכל'!A:H,5,0)</f>
        <v>#N/A</v>
      </c>
      <c r="R1378" s="78" t="e">
        <f>VLOOKUP(A1378,'לעדכן בסינתזה דאטה אריזה 42+24'!$A:$C,3,0)</f>
        <v>#N/A</v>
      </c>
    </row>
    <row r="1379" spans="4:18" x14ac:dyDescent="0.2">
      <c r="D1379" s="4"/>
      <c r="I1379" s="4"/>
      <c r="J1379" s="4"/>
      <c r="Q1379" s="78" t="e">
        <f>VLOOKUP(A1379,'גיליון דאטה להכל'!A:H,5,0)</f>
        <v>#N/A</v>
      </c>
      <c r="R1379" s="78" t="e">
        <f>VLOOKUP(A1379,'לעדכן בסינתזה דאטה אריזה 42+24'!$A:$C,3,0)</f>
        <v>#N/A</v>
      </c>
    </row>
    <row r="1380" spans="4:18" x14ac:dyDescent="0.2">
      <c r="D1380" s="4"/>
      <c r="I1380" s="4"/>
      <c r="J1380" s="4"/>
      <c r="Q1380" s="78" t="e">
        <f>VLOOKUP(A1380,'גיליון דאטה להכל'!A:H,5,0)</f>
        <v>#N/A</v>
      </c>
      <c r="R1380" s="78" t="e">
        <f>VLOOKUP(A1380,'לעדכן בסינתזה דאטה אריזה 42+24'!$A:$C,3,0)</f>
        <v>#N/A</v>
      </c>
    </row>
    <row r="1381" spans="4:18" x14ac:dyDescent="0.2">
      <c r="D1381" s="4"/>
      <c r="I1381" s="4"/>
      <c r="J1381" s="4"/>
      <c r="Q1381" s="78" t="e">
        <f>VLOOKUP(A1381,'גיליון דאטה להכל'!A:H,5,0)</f>
        <v>#N/A</v>
      </c>
      <c r="R1381" s="78" t="e">
        <f>VLOOKUP(A1381,'לעדכן בסינתזה דאטה אריזה 42+24'!$A:$C,3,0)</f>
        <v>#N/A</v>
      </c>
    </row>
    <row r="1382" spans="4:18" x14ac:dyDescent="0.2">
      <c r="D1382" s="4"/>
      <c r="I1382" s="4"/>
      <c r="J1382" s="4"/>
      <c r="Q1382" s="78" t="e">
        <f>VLOOKUP(A1382,'גיליון דאטה להכל'!A:H,5,0)</f>
        <v>#N/A</v>
      </c>
      <c r="R1382" s="78" t="e">
        <f>VLOOKUP(A1382,'לעדכן בסינתזה דאטה אריזה 42+24'!$A:$C,3,0)</f>
        <v>#N/A</v>
      </c>
    </row>
    <row r="1383" spans="4:18" x14ac:dyDescent="0.2">
      <c r="D1383" s="4"/>
      <c r="I1383" s="4"/>
      <c r="J1383" s="4"/>
      <c r="Q1383" s="78" t="e">
        <f>VLOOKUP(A1383,'גיליון דאטה להכל'!A:H,5,0)</f>
        <v>#N/A</v>
      </c>
      <c r="R1383" s="78" t="e">
        <f>VLOOKUP(A1383,'לעדכן בסינתזה דאטה אריזה 42+24'!$A:$C,3,0)</f>
        <v>#N/A</v>
      </c>
    </row>
    <row r="1384" spans="4:18" x14ac:dyDescent="0.2">
      <c r="D1384" s="4"/>
      <c r="I1384" s="4"/>
      <c r="J1384" s="4"/>
      <c r="Q1384" s="78" t="e">
        <f>VLOOKUP(A1384,'גיליון דאטה להכל'!A:H,5,0)</f>
        <v>#N/A</v>
      </c>
      <c r="R1384" s="78" t="e">
        <f>VLOOKUP(A1384,'לעדכן בסינתזה דאטה אריזה 42+24'!$A:$C,3,0)</f>
        <v>#N/A</v>
      </c>
    </row>
    <row r="1385" spans="4:18" x14ac:dyDescent="0.2">
      <c r="D1385" s="4"/>
      <c r="I1385" s="4"/>
      <c r="J1385" s="4"/>
      <c r="Q1385" s="78" t="e">
        <f>VLOOKUP(A1385,'גיליון דאטה להכל'!A:H,5,0)</f>
        <v>#N/A</v>
      </c>
      <c r="R1385" s="78" t="e">
        <f>VLOOKUP(A1385,'לעדכן בסינתזה דאטה אריזה 42+24'!$A:$C,3,0)</f>
        <v>#N/A</v>
      </c>
    </row>
    <row r="1386" spans="4:18" x14ac:dyDescent="0.2">
      <c r="D1386" s="4"/>
      <c r="I1386" s="4"/>
      <c r="J1386" s="4"/>
      <c r="Q1386" s="78" t="e">
        <f>VLOOKUP(A1386,'גיליון דאטה להכל'!A:H,5,0)</f>
        <v>#N/A</v>
      </c>
      <c r="R1386" s="78" t="e">
        <f>VLOOKUP(A1386,'לעדכן בסינתזה דאטה אריזה 42+24'!$A:$C,3,0)</f>
        <v>#N/A</v>
      </c>
    </row>
    <row r="1387" spans="4:18" x14ac:dyDescent="0.2">
      <c r="D1387" s="4"/>
      <c r="I1387" s="4"/>
      <c r="J1387" s="4"/>
      <c r="Q1387" s="78" t="e">
        <f>VLOOKUP(A1387,'גיליון דאטה להכל'!A:H,5,0)</f>
        <v>#N/A</v>
      </c>
      <c r="R1387" s="78" t="e">
        <f>VLOOKUP(A1387,'לעדכן בסינתזה דאטה אריזה 42+24'!$A:$C,3,0)</f>
        <v>#N/A</v>
      </c>
    </row>
    <row r="1388" spans="4:18" x14ac:dyDescent="0.2">
      <c r="D1388" s="4"/>
      <c r="I1388" s="4"/>
      <c r="J1388" s="4"/>
      <c r="Q1388" s="78" t="e">
        <f>VLOOKUP(A1388,'גיליון דאטה להכל'!A:H,5,0)</f>
        <v>#N/A</v>
      </c>
      <c r="R1388" s="78" t="e">
        <f>VLOOKUP(A1388,'לעדכן בסינתזה דאטה אריזה 42+24'!$A:$C,3,0)</f>
        <v>#N/A</v>
      </c>
    </row>
    <row r="1389" spans="4:18" x14ac:dyDescent="0.2">
      <c r="D1389" s="4"/>
      <c r="I1389" s="4"/>
      <c r="J1389" s="4"/>
      <c r="Q1389" s="78" t="e">
        <f>VLOOKUP(A1389,'גיליון דאטה להכל'!A:H,5,0)</f>
        <v>#N/A</v>
      </c>
      <c r="R1389" s="78" t="e">
        <f>VLOOKUP(A1389,'לעדכן בסינתזה דאטה אריזה 42+24'!$A:$C,3,0)</f>
        <v>#N/A</v>
      </c>
    </row>
    <row r="1390" spans="4:18" x14ac:dyDescent="0.2">
      <c r="D1390" s="4"/>
      <c r="I1390" s="4"/>
      <c r="J1390" s="4"/>
      <c r="Q1390" s="78" t="e">
        <f>VLOOKUP(A1390,'גיליון דאטה להכל'!A:H,5,0)</f>
        <v>#N/A</v>
      </c>
      <c r="R1390" s="78" t="e">
        <f>VLOOKUP(A1390,'לעדכן בסינתזה דאטה אריזה 42+24'!$A:$C,3,0)</f>
        <v>#N/A</v>
      </c>
    </row>
    <row r="1391" spans="4:18" x14ac:dyDescent="0.2">
      <c r="D1391" s="4"/>
      <c r="I1391" s="4"/>
      <c r="J1391" s="4"/>
      <c r="Q1391" s="78" t="e">
        <f>VLOOKUP(A1391,'גיליון דאטה להכל'!A:H,5,0)</f>
        <v>#N/A</v>
      </c>
      <c r="R1391" s="78" t="e">
        <f>VLOOKUP(A1391,'לעדכן בסינתזה דאטה אריזה 42+24'!$A:$C,3,0)</f>
        <v>#N/A</v>
      </c>
    </row>
    <row r="1392" spans="4:18" x14ac:dyDescent="0.2">
      <c r="D1392" s="4"/>
      <c r="I1392" s="4"/>
      <c r="J1392" s="4"/>
      <c r="Q1392" s="78" t="e">
        <f>VLOOKUP(A1392,'גיליון דאטה להכל'!A:H,5,0)</f>
        <v>#N/A</v>
      </c>
      <c r="R1392" s="78" t="e">
        <f>VLOOKUP(A1392,'לעדכן בסינתזה דאטה אריזה 42+24'!$A:$C,3,0)</f>
        <v>#N/A</v>
      </c>
    </row>
    <row r="1393" spans="4:18" x14ac:dyDescent="0.2">
      <c r="D1393" s="4"/>
      <c r="I1393" s="4"/>
      <c r="J1393" s="4"/>
      <c r="Q1393" s="78" t="e">
        <f>VLOOKUP(A1393,'גיליון דאטה להכל'!A:H,5,0)</f>
        <v>#N/A</v>
      </c>
      <c r="R1393" s="78" t="e">
        <f>VLOOKUP(A1393,'לעדכן בסינתזה דאטה אריזה 42+24'!$A:$C,3,0)</f>
        <v>#N/A</v>
      </c>
    </row>
    <row r="1394" spans="4:18" x14ac:dyDescent="0.2">
      <c r="D1394" s="4"/>
      <c r="I1394" s="4"/>
      <c r="J1394" s="4"/>
      <c r="Q1394" s="78" t="e">
        <f>VLOOKUP(A1394,'גיליון דאטה להכל'!A:H,5,0)</f>
        <v>#N/A</v>
      </c>
      <c r="R1394" s="78" t="e">
        <f>VLOOKUP(A1394,'לעדכן בסינתזה דאטה אריזה 42+24'!$A:$C,3,0)</f>
        <v>#N/A</v>
      </c>
    </row>
    <row r="1395" spans="4:18" x14ac:dyDescent="0.2">
      <c r="D1395" s="4"/>
      <c r="I1395" s="4"/>
      <c r="J1395" s="4"/>
      <c r="Q1395" s="78" t="e">
        <f>VLOOKUP(A1395,'גיליון דאטה להכל'!A:H,5,0)</f>
        <v>#N/A</v>
      </c>
      <c r="R1395" s="78" t="e">
        <f>VLOOKUP(A1395,'לעדכן בסינתזה דאטה אריזה 42+24'!$A:$C,3,0)</f>
        <v>#N/A</v>
      </c>
    </row>
    <row r="1396" spans="4:18" x14ac:dyDescent="0.2">
      <c r="D1396" s="4"/>
      <c r="I1396" s="4"/>
      <c r="J1396" s="4"/>
      <c r="Q1396" s="78" t="e">
        <f>VLOOKUP(A1396,'גיליון דאטה להכל'!A:H,5,0)</f>
        <v>#N/A</v>
      </c>
      <c r="R1396" s="78" t="e">
        <f>VLOOKUP(A1396,'לעדכן בסינתזה דאטה אריזה 42+24'!$A:$C,3,0)</f>
        <v>#N/A</v>
      </c>
    </row>
    <row r="1397" spans="4:18" x14ac:dyDescent="0.2">
      <c r="D1397" s="4"/>
      <c r="I1397" s="4"/>
      <c r="J1397" s="4"/>
      <c r="Q1397" s="78" t="e">
        <f>VLOOKUP(A1397,'גיליון דאטה להכל'!A:H,5,0)</f>
        <v>#N/A</v>
      </c>
      <c r="R1397" s="78" t="e">
        <f>VLOOKUP(A1397,'לעדכן בסינתזה דאטה אריזה 42+24'!$A:$C,3,0)</f>
        <v>#N/A</v>
      </c>
    </row>
    <row r="1398" spans="4:18" x14ac:dyDescent="0.2">
      <c r="D1398" s="4"/>
      <c r="I1398" s="4"/>
      <c r="J1398" s="4"/>
      <c r="Q1398" s="78" t="e">
        <f>VLOOKUP(A1398,'גיליון דאטה להכל'!A:H,5,0)</f>
        <v>#N/A</v>
      </c>
      <c r="R1398" s="78" t="e">
        <f>VLOOKUP(A1398,'לעדכן בסינתזה דאטה אריזה 42+24'!$A:$C,3,0)</f>
        <v>#N/A</v>
      </c>
    </row>
    <row r="1399" spans="4:18" x14ac:dyDescent="0.2">
      <c r="D1399" s="4"/>
      <c r="I1399" s="4"/>
      <c r="J1399" s="4"/>
      <c r="Q1399" s="78" t="e">
        <f>VLOOKUP(A1399,'גיליון דאטה להכל'!A:H,5,0)</f>
        <v>#N/A</v>
      </c>
      <c r="R1399" s="78" t="e">
        <f>VLOOKUP(A1399,'לעדכן בסינתזה דאטה אריזה 42+24'!$A:$C,3,0)</f>
        <v>#N/A</v>
      </c>
    </row>
    <row r="1400" spans="4:18" x14ac:dyDescent="0.2">
      <c r="D1400" s="4"/>
      <c r="I1400" s="4"/>
      <c r="J1400" s="4"/>
      <c r="Q1400" s="78" t="e">
        <f>VLOOKUP(A1400,'גיליון דאטה להכל'!A:H,5,0)</f>
        <v>#N/A</v>
      </c>
      <c r="R1400" s="78" t="e">
        <f>VLOOKUP(A1400,'לעדכן בסינתזה דאטה אריזה 42+24'!$A:$C,3,0)</f>
        <v>#N/A</v>
      </c>
    </row>
    <row r="1401" spans="4:18" x14ac:dyDescent="0.2">
      <c r="D1401" s="4"/>
      <c r="I1401" s="4"/>
      <c r="J1401" s="4"/>
      <c r="Q1401" s="78" t="e">
        <f>VLOOKUP(A1401,'גיליון דאטה להכל'!A:H,5,0)</f>
        <v>#N/A</v>
      </c>
      <c r="R1401" s="78" t="e">
        <f>VLOOKUP(A1401,'לעדכן בסינתזה דאטה אריזה 42+24'!$A:$C,3,0)</f>
        <v>#N/A</v>
      </c>
    </row>
    <row r="1402" spans="4:18" x14ac:dyDescent="0.2">
      <c r="D1402" s="4"/>
      <c r="I1402" s="4"/>
      <c r="J1402" s="4"/>
      <c r="Q1402" s="78" t="e">
        <f>VLOOKUP(A1402,'גיליון דאטה להכל'!A:H,5,0)</f>
        <v>#N/A</v>
      </c>
      <c r="R1402" s="78" t="e">
        <f>VLOOKUP(A1402,'לעדכן בסינתזה דאטה אריזה 42+24'!$A:$C,3,0)</f>
        <v>#N/A</v>
      </c>
    </row>
    <row r="1403" spans="4:18" x14ac:dyDescent="0.2">
      <c r="D1403" s="4"/>
      <c r="I1403" s="4"/>
      <c r="J1403" s="4"/>
      <c r="Q1403" s="78" t="e">
        <f>VLOOKUP(A1403,'גיליון דאטה להכל'!A:H,5,0)</f>
        <v>#N/A</v>
      </c>
      <c r="R1403" s="78" t="e">
        <f>VLOOKUP(A1403,'לעדכן בסינתזה דאטה אריזה 42+24'!$A:$C,3,0)</f>
        <v>#N/A</v>
      </c>
    </row>
    <row r="1404" spans="4:18" x14ac:dyDescent="0.2">
      <c r="D1404" s="4"/>
      <c r="I1404" s="4"/>
      <c r="J1404" s="4"/>
      <c r="Q1404" s="78" t="e">
        <f>VLOOKUP(A1404,'גיליון דאטה להכל'!A:H,5,0)</f>
        <v>#N/A</v>
      </c>
      <c r="R1404" s="78" t="e">
        <f>VLOOKUP(A1404,'לעדכן בסינתזה דאטה אריזה 42+24'!$A:$C,3,0)</f>
        <v>#N/A</v>
      </c>
    </row>
    <row r="1405" spans="4:18" x14ac:dyDescent="0.2">
      <c r="D1405" s="4"/>
      <c r="I1405" s="4"/>
      <c r="J1405" s="4"/>
      <c r="Q1405" s="78" t="e">
        <f>VLOOKUP(A1405,'גיליון דאטה להכל'!A:H,5,0)</f>
        <v>#N/A</v>
      </c>
      <c r="R1405" s="78" t="e">
        <f>VLOOKUP(A1405,'לעדכן בסינתזה דאטה אריזה 42+24'!$A:$C,3,0)</f>
        <v>#N/A</v>
      </c>
    </row>
    <row r="1406" spans="4:18" x14ac:dyDescent="0.2">
      <c r="D1406" s="4"/>
      <c r="I1406" s="4"/>
      <c r="J1406" s="4"/>
      <c r="Q1406" s="78" t="e">
        <f>VLOOKUP(A1406,'גיליון דאטה להכל'!A:H,5,0)</f>
        <v>#N/A</v>
      </c>
      <c r="R1406" s="78" t="e">
        <f>VLOOKUP(A1406,'לעדכן בסינתזה דאטה אריזה 42+24'!$A:$C,3,0)</f>
        <v>#N/A</v>
      </c>
    </row>
    <row r="1407" spans="4:18" x14ac:dyDescent="0.2">
      <c r="D1407" s="4"/>
      <c r="I1407" s="4"/>
      <c r="J1407" s="4"/>
      <c r="Q1407" s="78" t="e">
        <f>VLOOKUP(A1407,'גיליון דאטה להכל'!A:H,5,0)</f>
        <v>#N/A</v>
      </c>
      <c r="R1407" s="78" t="e">
        <f>VLOOKUP(A1407,'לעדכן בסינתזה דאטה אריזה 42+24'!$A:$C,3,0)</f>
        <v>#N/A</v>
      </c>
    </row>
    <row r="1408" spans="4:18" x14ac:dyDescent="0.2">
      <c r="D1408" s="4"/>
      <c r="I1408" s="4"/>
      <c r="J1408" s="4"/>
      <c r="Q1408" s="78" t="e">
        <f>VLOOKUP(A1408,'גיליון דאטה להכל'!A:H,5,0)</f>
        <v>#N/A</v>
      </c>
      <c r="R1408" s="78" t="e">
        <f>VLOOKUP(A1408,'לעדכן בסינתזה דאטה אריזה 42+24'!$A:$C,3,0)</f>
        <v>#N/A</v>
      </c>
    </row>
    <row r="1409" spans="4:18" x14ac:dyDescent="0.2">
      <c r="D1409" s="4"/>
      <c r="I1409" s="4"/>
      <c r="J1409" s="4"/>
      <c r="Q1409" s="78" t="e">
        <f>VLOOKUP(A1409,'גיליון דאטה להכל'!A:H,5,0)</f>
        <v>#N/A</v>
      </c>
      <c r="R1409" s="78" t="e">
        <f>VLOOKUP(A1409,'לעדכן בסינתזה דאטה אריזה 42+24'!$A:$C,3,0)</f>
        <v>#N/A</v>
      </c>
    </row>
    <row r="1410" spans="4:18" x14ac:dyDescent="0.2">
      <c r="D1410" s="4"/>
      <c r="I1410" s="4"/>
      <c r="J1410" s="4"/>
      <c r="Q1410" s="78" t="e">
        <f>VLOOKUP(A1410,'גיליון דאטה להכל'!A:H,5,0)</f>
        <v>#N/A</v>
      </c>
      <c r="R1410" s="78" t="e">
        <f>VLOOKUP(A1410,'לעדכן בסינתזה דאטה אריזה 42+24'!$A:$C,3,0)</f>
        <v>#N/A</v>
      </c>
    </row>
    <row r="1411" spans="4:18" x14ac:dyDescent="0.2">
      <c r="D1411" s="4"/>
      <c r="I1411" s="4"/>
      <c r="J1411" s="4"/>
      <c r="Q1411" s="78" t="e">
        <f>VLOOKUP(A1411,'גיליון דאטה להכל'!A:H,5,0)</f>
        <v>#N/A</v>
      </c>
      <c r="R1411" s="78" t="e">
        <f>VLOOKUP(A1411,'לעדכן בסינתזה דאטה אריזה 42+24'!$A:$C,3,0)</f>
        <v>#N/A</v>
      </c>
    </row>
    <row r="1412" spans="4:18" x14ac:dyDescent="0.2">
      <c r="D1412" s="4"/>
      <c r="I1412" s="4"/>
      <c r="J1412" s="4"/>
      <c r="Q1412" s="78" t="e">
        <f>VLOOKUP(A1412,'גיליון דאטה להכל'!A:H,5,0)</f>
        <v>#N/A</v>
      </c>
      <c r="R1412" s="78" t="e">
        <f>VLOOKUP(A1412,'לעדכן בסינתזה דאטה אריזה 42+24'!$A:$C,3,0)</f>
        <v>#N/A</v>
      </c>
    </row>
    <row r="1413" spans="4:18" x14ac:dyDescent="0.2">
      <c r="D1413" s="4"/>
      <c r="I1413" s="4"/>
      <c r="J1413" s="4"/>
      <c r="Q1413" s="78" t="e">
        <f>VLOOKUP(A1413,'גיליון דאטה להכל'!A:H,5,0)</f>
        <v>#N/A</v>
      </c>
      <c r="R1413" s="78" t="e">
        <f>VLOOKUP(A1413,'לעדכן בסינתזה דאטה אריזה 42+24'!$A:$C,3,0)</f>
        <v>#N/A</v>
      </c>
    </row>
    <row r="1414" spans="4:18" x14ac:dyDescent="0.2">
      <c r="D1414" s="4"/>
      <c r="I1414" s="4"/>
      <c r="J1414" s="4"/>
      <c r="Q1414" s="78" t="e">
        <f>VLOOKUP(A1414,'גיליון דאטה להכל'!A:H,5,0)</f>
        <v>#N/A</v>
      </c>
      <c r="R1414" s="78" t="e">
        <f>VLOOKUP(A1414,'לעדכן בסינתזה דאטה אריזה 42+24'!$A:$C,3,0)</f>
        <v>#N/A</v>
      </c>
    </row>
    <row r="1415" spans="4:18" x14ac:dyDescent="0.2">
      <c r="D1415" s="4"/>
      <c r="I1415" s="4"/>
      <c r="J1415" s="4"/>
      <c r="Q1415" s="78" t="e">
        <f>VLOOKUP(A1415,'גיליון דאטה להכל'!A:H,5,0)</f>
        <v>#N/A</v>
      </c>
      <c r="R1415" s="78" t="e">
        <f>VLOOKUP(A1415,'לעדכן בסינתזה דאטה אריזה 42+24'!$A:$C,3,0)</f>
        <v>#N/A</v>
      </c>
    </row>
    <row r="1416" spans="4:18" x14ac:dyDescent="0.2">
      <c r="D1416" s="4"/>
      <c r="I1416" s="4"/>
      <c r="J1416" s="4"/>
      <c r="Q1416" s="78" t="e">
        <f>VLOOKUP(A1416,'גיליון דאטה להכל'!A:H,5,0)</f>
        <v>#N/A</v>
      </c>
      <c r="R1416" s="78" t="e">
        <f>VLOOKUP(A1416,'לעדכן בסינתזה דאטה אריזה 42+24'!$A:$C,3,0)</f>
        <v>#N/A</v>
      </c>
    </row>
    <row r="1417" spans="4:18" x14ac:dyDescent="0.2">
      <c r="D1417" s="4"/>
      <c r="I1417" s="4"/>
      <c r="J1417" s="4"/>
      <c r="Q1417" s="78" t="e">
        <f>VLOOKUP(A1417,'גיליון דאטה להכל'!A:H,5,0)</f>
        <v>#N/A</v>
      </c>
      <c r="R1417" s="78" t="e">
        <f>VLOOKUP(A1417,'לעדכן בסינתזה דאטה אריזה 42+24'!$A:$C,3,0)</f>
        <v>#N/A</v>
      </c>
    </row>
    <row r="1418" spans="4:18" x14ac:dyDescent="0.2">
      <c r="D1418" s="4"/>
      <c r="I1418" s="4"/>
      <c r="J1418" s="4"/>
      <c r="Q1418" s="78" t="e">
        <f>VLOOKUP(A1418,'גיליון דאטה להכל'!A:H,5,0)</f>
        <v>#N/A</v>
      </c>
      <c r="R1418" s="78" t="e">
        <f>VLOOKUP(A1418,'לעדכן בסינתזה דאטה אריזה 42+24'!$A:$C,3,0)</f>
        <v>#N/A</v>
      </c>
    </row>
    <row r="1419" spans="4:18" x14ac:dyDescent="0.2">
      <c r="D1419" s="4"/>
      <c r="I1419" s="4"/>
      <c r="J1419" s="4"/>
      <c r="Q1419" s="78" t="e">
        <f>VLOOKUP(A1419,'גיליון דאטה להכל'!A:H,5,0)</f>
        <v>#N/A</v>
      </c>
      <c r="R1419" s="78" t="e">
        <f>VLOOKUP(A1419,'לעדכן בסינתזה דאטה אריזה 42+24'!$A:$C,3,0)</f>
        <v>#N/A</v>
      </c>
    </row>
    <row r="1420" spans="4:18" x14ac:dyDescent="0.2">
      <c r="D1420" s="4"/>
      <c r="I1420" s="4"/>
      <c r="J1420" s="4"/>
      <c r="Q1420" s="78" t="e">
        <f>VLOOKUP(A1420,'גיליון דאטה להכל'!A:H,5,0)</f>
        <v>#N/A</v>
      </c>
      <c r="R1420" s="78" t="e">
        <f>VLOOKUP(A1420,'לעדכן בסינתזה דאטה אריזה 42+24'!$A:$C,3,0)</f>
        <v>#N/A</v>
      </c>
    </row>
    <row r="1421" spans="4:18" x14ac:dyDescent="0.2">
      <c r="D1421" s="4"/>
      <c r="I1421" s="4"/>
      <c r="J1421" s="4"/>
      <c r="Q1421" s="78" t="e">
        <f>VLOOKUP(A1421,'גיליון דאטה להכל'!A:H,5,0)</f>
        <v>#N/A</v>
      </c>
      <c r="R1421" s="78" t="e">
        <f>VLOOKUP(A1421,'לעדכן בסינתזה דאטה אריזה 42+24'!$A:$C,3,0)</f>
        <v>#N/A</v>
      </c>
    </row>
    <row r="1422" spans="4:18" x14ac:dyDescent="0.2">
      <c r="D1422" s="4"/>
      <c r="I1422" s="4"/>
      <c r="J1422" s="4"/>
      <c r="Q1422" s="78" t="e">
        <f>VLOOKUP(A1422,'גיליון דאטה להכל'!A:H,5,0)</f>
        <v>#N/A</v>
      </c>
      <c r="R1422" s="78" t="e">
        <f>VLOOKUP(A1422,'לעדכן בסינתזה דאטה אריזה 42+24'!$A:$C,3,0)</f>
        <v>#N/A</v>
      </c>
    </row>
    <row r="1423" spans="4:18" x14ac:dyDescent="0.2">
      <c r="D1423" s="4"/>
      <c r="I1423" s="4"/>
      <c r="J1423" s="4"/>
      <c r="Q1423" s="78" t="e">
        <f>VLOOKUP(A1423,'גיליון דאטה להכל'!A:H,5,0)</f>
        <v>#N/A</v>
      </c>
      <c r="R1423" s="78" t="e">
        <f>VLOOKUP(A1423,'לעדכן בסינתזה דאטה אריזה 42+24'!$A:$C,3,0)</f>
        <v>#N/A</v>
      </c>
    </row>
    <row r="1424" spans="4:18" x14ac:dyDescent="0.2">
      <c r="D1424" s="4"/>
      <c r="I1424" s="4"/>
      <c r="J1424" s="4"/>
      <c r="Q1424" s="78" t="e">
        <f>VLOOKUP(A1424,'גיליון דאטה להכל'!A:H,5,0)</f>
        <v>#N/A</v>
      </c>
      <c r="R1424" s="78" t="e">
        <f>VLOOKUP(A1424,'לעדכן בסינתזה דאטה אריזה 42+24'!$A:$C,3,0)</f>
        <v>#N/A</v>
      </c>
    </row>
    <row r="1425" spans="4:18" x14ac:dyDescent="0.2">
      <c r="D1425" s="4"/>
      <c r="I1425" s="4"/>
      <c r="J1425" s="4"/>
      <c r="Q1425" s="78" t="e">
        <f>VLOOKUP(A1425,'גיליון דאטה להכל'!A:H,5,0)</f>
        <v>#N/A</v>
      </c>
      <c r="R1425" s="78" t="e">
        <f>VLOOKUP(A1425,'לעדכן בסינתזה דאטה אריזה 42+24'!$A:$C,3,0)</f>
        <v>#N/A</v>
      </c>
    </row>
    <row r="1426" spans="4:18" x14ac:dyDescent="0.2">
      <c r="D1426" s="4"/>
      <c r="I1426" s="4"/>
      <c r="J1426" s="4"/>
      <c r="Q1426" s="78" t="e">
        <f>VLOOKUP(A1426,'גיליון דאטה להכל'!A:H,5,0)</f>
        <v>#N/A</v>
      </c>
      <c r="R1426" s="78" t="e">
        <f>VLOOKUP(A1426,'לעדכן בסינתזה דאטה אריזה 42+24'!$A:$C,3,0)</f>
        <v>#N/A</v>
      </c>
    </row>
    <row r="1427" spans="4:18" x14ac:dyDescent="0.2">
      <c r="D1427" s="4"/>
      <c r="I1427" s="4"/>
      <c r="J1427" s="4"/>
      <c r="Q1427" s="78" t="e">
        <f>VLOOKUP(A1427,'גיליון דאטה להכל'!A:H,5,0)</f>
        <v>#N/A</v>
      </c>
      <c r="R1427" s="78" t="e">
        <f>VLOOKUP(A1427,'לעדכן בסינתזה דאטה אריזה 42+24'!$A:$C,3,0)</f>
        <v>#N/A</v>
      </c>
    </row>
    <row r="1428" spans="4:18" x14ac:dyDescent="0.2">
      <c r="D1428" s="4"/>
      <c r="I1428" s="4"/>
      <c r="J1428" s="4"/>
      <c r="Q1428" s="78" t="e">
        <f>VLOOKUP(A1428,'גיליון דאטה להכל'!A:H,5,0)</f>
        <v>#N/A</v>
      </c>
      <c r="R1428" s="78" t="e">
        <f>VLOOKUP(A1428,'לעדכן בסינתזה דאטה אריזה 42+24'!$A:$C,3,0)</f>
        <v>#N/A</v>
      </c>
    </row>
    <row r="1429" spans="4:18" x14ac:dyDescent="0.2">
      <c r="D1429" s="4"/>
      <c r="I1429" s="4"/>
      <c r="J1429" s="4"/>
      <c r="Q1429" s="78" t="e">
        <f>VLOOKUP(A1429,'גיליון דאטה להכל'!A:H,5,0)</f>
        <v>#N/A</v>
      </c>
      <c r="R1429" s="78" t="e">
        <f>VLOOKUP(A1429,'לעדכן בסינתזה דאטה אריזה 42+24'!$A:$C,3,0)</f>
        <v>#N/A</v>
      </c>
    </row>
    <row r="1430" spans="4:18" x14ac:dyDescent="0.2">
      <c r="D1430" s="4"/>
      <c r="I1430" s="4"/>
      <c r="J1430" s="4"/>
      <c r="Q1430" s="78" t="e">
        <f>VLOOKUP(A1430,'גיליון דאטה להכל'!A:H,5,0)</f>
        <v>#N/A</v>
      </c>
      <c r="R1430" s="78" t="e">
        <f>VLOOKUP(A1430,'לעדכן בסינתזה דאטה אריזה 42+24'!$A:$C,3,0)</f>
        <v>#N/A</v>
      </c>
    </row>
    <row r="1431" spans="4:18" x14ac:dyDescent="0.2">
      <c r="D1431" s="4"/>
      <c r="I1431" s="4"/>
      <c r="J1431" s="4"/>
      <c r="Q1431" s="78" t="e">
        <f>VLOOKUP(A1431,'גיליון דאטה להכל'!A:H,5,0)</f>
        <v>#N/A</v>
      </c>
      <c r="R1431" s="78" t="e">
        <f>VLOOKUP(A1431,'לעדכן בסינתזה דאטה אריזה 42+24'!$A:$C,3,0)</f>
        <v>#N/A</v>
      </c>
    </row>
    <row r="1432" spans="4:18" x14ac:dyDescent="0.2">
      <c r="D1432" s="4"/>
      <c r="I1432" s="4"/>
      <c r="J1432" s="4"/>
      <c r="Q1432" s="78" t="e">
        <f>VLOOKUP(A1432,'גיליון דאטה להכל'!A:H,5,0)</f>
        <v>#N/A</v>
      </c>
      <c r="R1432" s="78" t="e">
        <f>VLOOKUP(A1432,'לעדכן בסינתזה דאטה אריזה 42+24'!$A:$C,3,0)</f>
        <v>#N/A</v>
      </c>
    </row>
    <row r="1433" spans="4:18" x14ac:dyDescent="0.2">
      <c r="D1433" s="4"/>
      <c r="I1433" s="4"/>
      <c r="J1433" s="4"/>
      <c r="Q1433" s="78" t="e">
        <f>VLOOKUP(A1433,'גיליון דאטה להכל'!A:H,5,0)</f>
        <v>#N/A</v>
      </c>
      <c r="R1433" s="78" t="e">
        <f>VLOOKUP(A1433,'לעדכן בסינתזה דאטה אריזה 42+24'!$A:$C,3,0)</f>
        <v>#N/A</v>
      </c>
    </row>
    <row r="1434" spans="4:18" x14ac:dyDescent="0.2">
      <c r="D1434" s="4"/>
      <c r="I1434" s="4"/>
      <c r="J1434" s="4"/>
      <c r="Q1434" s="78" t="e">
        <f>VLOOKUP(A1434,'גיליון דאטה להכל'!A:H,5,0)</f>
        <v>#N/A</v>
      </c>
      <c r="R1434" s="78" t="e">
        <f>VLOOKUP(A1434,'לעדכן בסינתזה דאטה אריזה 42+24'!$A:$C,3,0)</f>
        <v>#N/A</v>
      </c>
    </row>
    <row r="1435" spans="4:18" x14ac:dyDescent="0.2">
      <c r="D1435" s="4"/>
      <c r="I1435" s="4"/>
      <c r="J1435" s="4"/>
      <c r="Q1435" s="78" t="e">
        <f>VLOOKUP(A1435,'גיליון דאטה להכל'!A:H,5,0)</f>
        <v>#N/A</v>
      </c>
      <c r="R1435" s="78" t="e">
        <f>VLOOKUP(A1435,'לעדכן בסינתזה דאטה אריזה 42+24'!$A:$C,3,0)</f>
        <v>#N/A</v>
      </c>
    </row>
    <row r="1436" spans="4:18" x14ac:dyDescent="0.2">
      <c r="D1436" s="4"/>
      <c r="I1436" s="4"/>
      <c r="J1436" s="4"/>
      <c r="Q1436" s="78" t="e">
        <f>VLOOKUP(A1436,'גיליון דאטה להכל'!A:H,5,0)</f>
        <v>#N/A</v>
      </c>
      <c r="R1436" s="78" t="e">
        <f>VLOOKUP(A1436,'לעדכן בסינתזה דאטה אריזה 42+24'!$A:$C,3,0)</f>
        <v>#N/A</v>
      </c>
    </row>
    <row r="1437" spans="4:18" x14ac:dyDescent="0.2">
      <c r="D1437" s="4"/>
      <c r="I1437" s="4"/>
      <c r="J1437" s="4"/>
      <c r="Q1437" s="78" t="e">
        <f>VLOOKUP(A1437,'גיליון דאטה להכל'!A:H,5,0)</f>
        <v>#N/A</v>
      </c>
      <c r="R1437" s="78" t="e">
        <f>VLOOKUP(A1437,'לעדכן בסינתזה דאטה אריזה 42+24'!$A:$C,3,0)</f>
        <v>#N/A</v>
      </c>
    </row>
    <row r="1438" spans="4:18" x14ac:dyDescent="0.2">
      <c r="D1438" s="4"/>
      <c r="I1438" s="4"/>
      <c r="J1438" s="4"/>
      <c r="Q1438" s="78" t="e">
        <f>VLOOKUP(A1438,'גיליון דאטה להכל'!A:H,5,0)</f>
        <v>#N/A</v>
      </c>
      <c r="R1438" s="78" t="e">
        <f>VLOOKUP(A1438,'לעדכן בסינתזה דאטה אריזה 42+24'!$A:$C,3,0)</f>
        <v>#N/A</v>
      </c>
    </row>
    <row r="1439" spans="4:18" x14ac:dyDescent="0.2">
      <c r="D1439" s="4"/>
      <c r="I1439" s="4"/>
      <c r="J1439" s="4"/>
      <c r="Q1439" s="78" t="e">
        <f>VLOOKUP(A1439,'גיליון דאטה להכל'!A:H,5,0)</f>
        <v>#N/A</v>
      </c>
      <c r="R1439" s="78" t="e">
        <f>VLOOKUP(A1439,'לעדכן בסינתזה דאטה אריזה 42+24'!$A:$C,3,0)</f>
        <v>#N/A</v>
      </c>
    </row>
    <row r="1440" spans="4:18" x14ac:dyDescent="0.2">
      <c r="D1440" s="4"/>
      <c r="I1440" s="4"/>
      <c r="J1440" s="4"/>
      <c r="Q1440" s="78" t="e">
        <f>VLOOKUP(A1440,'גיליון דאטה להכל'!A:H,5,0)</f>
        <v>#N/A</v>
      </c>
      <c r="R1440" s="78" t="e">
        <f>VLOOKUP(A1440,'לעדכן בסינתזה דאטה אריזה 42+24'!$A:$C,3,0)</f>
        <v>#N/A</v>
      </c>
    </row>
    <row r="1441" spans="4:18" x14ac:dyDescent="0.2">
      <c r="D1441" s="4"/>
      <c r="I1441" s="4"/>
      <c r="J1441" s="4"/>
      <c r="Q1441" s="78" t="e">
        <f>VLOOKUP(A1441,'גיליון דאטה להכל'!A:H,5,0)</f>
        <v>#N/A</v>
      </c>
      <c r="R1441" s="78" t="e">
        <f>VLOOKUP(A1441,'לעדכן בסינתזה דאטה אריזה 42+24'!$A:$C,3,0)</f>
        <v>#N/A</v>
      </c>
    </row>
    <row r="1442" spans="4:18" x14ac:dyDescent="0.2">
      <c r="D1442" s="4"/>
      <c r="I1442" s="4"/>
      <c r="J1442" s="4"/>
      <c r="Q1442" s="78" t="e">
        <f>VLOOKUP(A1442,'גיליון דאטה להכל'!A:H,5,0)</f>
        <v>#N/A</v>
      </c>
      <c r="R1442" s="78" t="e">
        <f>VLOOKUP(A1442,'לעדכן בסינתזה דאטה אריזה 42+24'!$A:$C,3,0)</f>
        <v>#N/A</v>
      </c>
    </row>
    <row r="1443" spans="4:18" x14ac:dyDescent="0.2">
      <c r="D1443" s="4"/>
      <c r="I1443" s="4"/>
      <c r="J1443" s="4"/>
      <c r="Q1443" s="78" t="e">
        <f>VLOOKUP(A1443,'גיליון דאטה להכל'!A:H,5,0)</f>
        <v>#N/A</v>
      </c>
      <c r="R1443" s="78" t="e">
        <f>VLOOKUP(A1443,'לעדכן בסינתזה דאטה אריזה 42+24'!$A:$C,3,0)</f>
        <v>#N/A</v>
      </c>
    </row>
    <row r="1444" spans="4:18" x14ac:dyDescent="0.2">
      <c r="D1444" s="4"/>
      <c r="I1444" s="4"/>
      <c r="J1444" s="4"/>
      <c r="Q1444" s="78" t="e">
        <f>VLOOKUP(A1444,'גיליון דאטה להכל'!A:H,5,0)</f>
        <v>#N/A</v>
      </c>
      <c r="R1444" s="78" t="e">
        <f>VLOOKUP(A1444,'לעדכן בסינתזה דאטה אריזה 42+24'!$A:$C,3,0)</f>
        <v>#N/A</v>
      </c>
    </row>
    <row r="1445" spans="4:18" x14ac:dyDescent="0.2">
      <c r="D1445" s="4"/>
      <c r="I1445" s="4"/>
      <c r="J1445" s="4"/>
      <c r="Q1445" s="78" t="e">
        <f>VLOOKUP(A1445,'גיליון דאטה להכל'!A:H,5,0)</f>
        <v>#N/A</v>
      </c>
      <c r="R1445" s="78" t="e">
        <f>VLOOKUP(A1445,'לעדכן בסינתזה דאטה אריזה 42+24'!$A:$C,3,0)</f>
        <v>#N/A</v>
      </c>
    </row>
    <row r="1446" spans="4:18" x14ac:dyDescent="0.2">
      <c r="D1446" s="4"/>
      <c r="I1446" s="4"/>
      <c r="J1446" s="4"/>
      <c r="Q1446" s="78" t="e">
        <f>VLOOKUP(A1446,'גיליון דאטה להכל'!A:H,5,0)</f>
        <v>#N/A</v>
      </c>
      <c r="R1446" s="78" t="e">
        <f>VLOOKUP(A1446,'לעדכן בסינתזה דאטה אריזה 42+24'!$A:$C,3,0)</f>
        <v>#N/A</v>
      </c>
    </row>
    <row r="1447" spans="4:18" x14ac:dyDescent="0.2">
      <c r="D1447" s="4"/>
      <c r="I1447" s="4"/>
      <c r="J1447" s="4"/>
      <c r="Q1447" s="78" t="e">
        <f>VLOOKUP(A1447,'גיליון דאטה להכל'!A:H,5,0)</f>
        <v>#N/A</v>
      </c>
      <c r="R1447" s="78" t="e">
        <f>VLOOKUP(A1447,'לעדכן בסינתזה דאטה אריזה 42+24'!$A:$C,3,0)</f>
        <v>#N/A</v>
      </c>
    </row>
    <row r="1448" spans="4:18" x14ac:dyDescent="0.2">
      <c r="D1448" s="4"/>
      <c r="I1448" s="4"/>
      <c r="J1448" s="4"/>
      <c r="Q1448" s="78" t="e">
        <f>VLOOKUP(A1448,'גיליון דאטה להכל'!A:H,5,0)</f>
        <v>#N/A</v>
      </c>
      <c r="R1448" s="78" t="e">
        <f>VLOOKUP(A1448,'לעדכן בסינתזה דאטה אריזה 42+24'!$A:$C,3,0)</f>
        <v>#N/A</v>
      </c>
    </row>
    <row r="1449" spans="4:18" x14ac:dyDescent="0.2">
      <c r="D1449" s="4"/>
      <c r="I1449" s="4"/>
      <c r="J1449" s="4"/>
      <c r="Q1449" s="78" t="e">
        <f>VLOOKUP(A1449,'גיליון דאטה להכל'!A:H,5,0)</f>
        <v>#N/A</v>
      </c>
      <c r="R1449" s="78" t="e">
        <f>VLOOKUP(A1449,'לעדכן בסינתזה דאטה אריזה 42+24'!$A:$C,3,0)</f>
        <v>#N/A</v>
      </c>
    </row>
    <row r="1450" spans="4:18" x14ac:dyDescent="0.2">
      <c r="D1450" s="4"/>
      <c r="I1450" s="4"/>
      <c r="J1450" s="4"/>
      <c r="Q1450" s="78" t="e">
        <f>VLOOKUP(A1450,'גיליון דאטה להכל'!A:H,5,0)</f>
        <v>#N/A</v>
      </c>
      <c r="R1450" s="78" t="e">
        <f>VLOOKUP(A1450,'לעדכן בסינתזה דאטה אריזה 42+24'!$A:$C,3,0)</f>
        <v>#N/A</v>
      </c>
    </row>
    <row r="1451" spans="4:18" x14ac:dyDescent="0.2">
      <c r="D1451" s="4"/>
      <c r="I1451" s="4"/>
      <c r="J1451" s="4"/>
      <c r="Q1451" s="78" t="e">
        <f>VLOOKUP(A1451,'גיליון דאטה להכל'!A:H,5,0)</f>
        <v>#N/A</v>
      </c>
      <c r="R1451" s="78" t="e">
        <f>VLOOKUP(A1451,'לעדכן בסינתזה דאטה אריזה 42+24'!$A:$C,3,0)</f>
        <v>#N/A</v>
      </c>
    </row>
    <row r="1452" spans="4:18" x14ac:dyDescent="0.2">
      <c r="D1452" s="4"/>
      <c r="I1452" s="4"/>
      <c r="J1452" s="4"/>
      <c r="Q1452" s="78" t="e">
        <f>VLOOKUP(A1452,'גיליון דאטה להכל'!A:H,5,0)</f>
        <v>#N/A</v>
      </c>
      <c r="R1452" s="78" t="e">
        <f>VLOOKUP(A1452,'לעדכן בסינתזה דאטה אריזה 42+24'!$A:$C,3,0)</f>
        <v>#N/A</v>
      </c>
    </row>
    <row r="1453" spans="4:18" x14ac:dyDescent="0.2">
      <c r="D1453" s="4"/>
      <c r="I1453" s="4"/>
      <c r="J1453" s="4"/>
      <c r="Q1453" s="78" t="e">
        <f>VLOOKUP(A1453,'גיליון דאטה להכל'!A:H,5,0)</f>
        <v>#N/A</v>
      </c>
      <c r="R1453" s="78" t="e">
        <f>VLOOKUP(A1453,'לעדכן בסינתזה דאטה אריזה 42+24'!$A:$C,3,0)</f>
        <v>#N/A</v>
      </c>
    </row>
    <row r="1454" spans="4:18" x14ac:dyDescent="0.2">
      <c r="D1454" s="4"/>
      <c r="I1454" s="4"/>
      <c r="J1454" s="4"/>
      <c r="Q1454" s="78" t="e">
        <f>VLOOKUP(A1454,'גיליון דאטה להכל'!A:H,5,0)</f>
        <v>#N/A</v>
      </c>
      <c r="R1454" s="78" t="e">
        <f>VLOOKUP(A1454,'לעדכן בסינתזה דאטה אריזה 42+24'!$A:$C,3,0)</f>
        <v>#N/A</v>
      </c>
    </row>
    <row r="1455" spans="4:18" x14ac:dyDescent="0.2">
      <c r="D1455" s="4"/>
      <c r="I1455" s="4"/>
      <c r="J1455" s="4"/>
      <c r="Q1455" s="78" t="e">
        <f>VLOOKUP(A1455,'גיליון דאטה להכל'!A:H,5,0)</f>
        <v>#N/A</v>
      </c>
      <c r="R1455" s="78" t="e">
        <f>VLOOKUP(A1455,'לעדכן בסינתזה דאטה אריזה 42+24'!$A:$C,3,0)</f>
        <v>#N/A</v>
      </c>
    </row>
    <row r="1456" spans="4:18" x14ac:dyDescent="0.2">
      <c r="D1456" s="4"/>
      <c r="I1456" s="4"/>
      <c r="J1456" s="4"/>
      <c r="Q1456" s="78" t="e">
        <f>VLOOKUP(A1456,'גיליון דאטה להכל'!A:H,5,0)</f>
        <v>#N/A</v>
      </c>
      <c r="R1456" s="78" t="e">
        <f>VLOOKUP(A1456,'לעדכן בסינתזה דאטה אריזה 42+24'!$A:$C,3,0)</f>
        <v>#N/A</v>
      </c>
    </row>
    <row r="1457" spans="4:18" x14ac:dyDescent="0.2">
      <c r="D1457" s="4"/>
      <c r="I1457" s="4"/>
      <c r="J1457" s="4"/>
      <c r="Q1457" s="78" t="e">
        <f>VLOOKUP(A1457,'גיליון דאטה להכל'!A:H,5,0)</f>
        <v>#N/A</v>
      </c>
      <c r="R1457" s="78" t="e">
        <f>VLOOKUP(A1457,'לעדכן בסינתזה דאטה אריזה 42+24'!$A:$C,3,0)</f>
        <v>#N/A</v>
      </c>
    </row>
    <row r="1458" spans="4:18" x14ac:dyDescent="0.2">
      <c r="D1458" s="4"/>
      <c r="I1458" s="4"/>
      <c r="J1458" s="4"/>
      <c r="Q1458" s="78" t="e">
        <f>VLOOKUP(A1458,'גיליון דאטה להכל'!A:H,5,0)</f>
        <v>#N/A</v>
      </c>
      <c r="R1458" s="78" t="e">
        <f>VLOOKUP(A1458,'לעדכן בסינתזה דאטה אריזה 42+24'!$A:$C,3,0)</f>
        <v>#N/A</v>
      </c>
    </row>
    <row r="1459" spans="4:18" x14ac:dyDescent="0.2">
      <c r="D1459" s="4"/>
      <c r="I1459" s="4"/>
      <c r="J1459" s="4"/>
      <c r="Q1459" s="78" t="e">
        <f>VLOOKUP(A1459,'גיליון דאטה להכל'!A:H,5,0)</f>
        <v>#N/A</v>
      </c>
      <c r="R1459" s="78" t="e">
        <f>VLOOKUP(A1459,'לעדכן בסינתזה דאטה אריזה 42+24'!$A:$C,3,0)</f>
        <v>#N/A</v>
      </c>
    </row>
    <row r="1460" spans="4:18" x14ac:dyDescent="0.2">
      <c r="D1460" s="4"/>
      <c r="I1460" s="4"/>
      <c r="J1460" s="4"/>
      <c r="Q1460" s="78" t="e">
        <f>VLOOKUP(A1460,'גיליון דאטה להכל'!A:H,5,0)</f>
        <v>#N/A</v>
      </c>
      <c r="R1460" s="78" t="e">
        <f>VLOOKUP(A1460,'לעדכן בסינתזה דאטה אריזה 42+24'!$A:$C,3,0)</f>
        <v>#N/A</v>
      </c>
    </row>
    <row r="1461" spans="4:18" x14ac:dyDescent="0.2">
      <c r="D1461" s="4"/>
      <c r="I1461" s="4"/>
      <c r="J1461" s="4"/>
      <c r="Q1461" s="78" t="e">
        <f>VLOOKUP(A1461,'גיליון דאטה להכל'!A:H,5,0)</f>
        <v>#N/A</v>
      </c>
      <c r="R1461" s="78" t="e">
        <f>VLOOKUP(A1461,'לעדכן בסינתזה דאטה אריזה 42+24'!$A:$C,3,0)</f>
        <v>#N/A</v>
      </c>
    </row>
    <row r="1462" spans="4:18" x14ac:dyDescent="0.2">
      <c r="D1462" s="4"/>
      <c r="I1462" s="4"/>
      <c r="J1462" s="4"/>
      <c r="Q1462" s="78" t="e">
        <f>VLOOKUP(A1462,'גיליון דאטה להכל'!A:H,5,0)</f>
        <v>#N/A</v>
      </c>
      <c r="R1462" s="78" t="e">
        <f>VLOOKUP(A1462,'לעדכן בסינתזה דאטה אריזה 42+24'!$A:$C,3,0)</f>
        <v>#N/A</v>
      </c>
    </row>
    <row r="1463" spans="4:18" x14ac:dyDescent="0.2">
      <c r="D1463" s="4"/>
      <c r="I1463" s="4"/>
      <c r="J1463" s="4"/>
      <c r="Q1463" s="78" t="e">
        <f>VLOOKUP(A1463,'גיליון דאטה להכל'!A:H,5,0)</f>
        <v>#N/A</v>
      </c>
      <c r="R1463" s="78" t="e">
        <f>VLOOKUP(A1463,'לעדכן בסינתזה דאטה אריזה 42+24'!$A:$C,3,0)</f>
        <v>#N/A</v>
      </c>
    </row>
    <row r="1464" spans="4:18" x14ac:dyDescent="0.2">
      <c r="D1464" s="4"/>
      <c r="I1464" s="4"/>
      <c r="J1464" s="4"/>
      <c r="Q1464" s="78" t="e">
        <f>VLOOKUP(A1464,'גיליון דאטה להכל'!A:H,5,0)</f>
        <v>#N/A</v>
      </c>
      <c r="R1464" s="78" t="e">
        <f>VLOOKUP(A1464,'לעדכן בסינתזה דאטה אריזה 42+24'!$A:$C,3,0)</f>
        <v>#N/A</v>
      </c>
    </row>
    <row r="1465" spans="4:18" x14ac:dyDescent="0.2">
      <c r="D1465" s="4"/>
      <c r="I1465" s="4"/>
      <c r="J1465" s="4"/>
      <c r="Q1465" s="78" t="e">
        <f>VLOOKUP(A1465,'גיליון דאטה להכל'!A:H,5,0)</f>
        <v>#N/A</v>
      </c>
      <c r="R1465" s="78" t="e">
        <f>VLOOKUP(A1465,'לעדכן בסינתזה דאטה אריזה 42+24'!$A:$C,3,0)</f>
        <v>#N/A</v>
      </c>
    </row>
    <row r="1466" spans="4:18" x14ac:dyDescent="0.2">
      <c r="D1466" s="4"/>
      <c r="I1466" s="4"/>
      <c r="J1466" s="4"/>
      <c r="Q1466" s="78" t="e">
        <f>VLOOKUP(A1466,'גיליון דאטה להכל'!A:H,5,0)</f>
        <v>#N/A</v>
      </c>
      <c r="R1466" s="78" t="e">
        <f>VLOOKUP(A1466,'לעדכן בסינתזה דאטה אריזה 42+24'!$A:$C,3,0)</f>
        <v>#N/A</v>
      </c>
    </row>
    <row r="1467" spans="4:18" x14ac:dyDescent="0.2">
      <c r="D1467" s="4"/>
      <c r="I1467" s="4"/>
      <c r="J1467" s="4"/>
      <c r="Q1467" s="78" t="e">
        <f>VLOOKUP(A1467,'גיליון דאטה להכל'!A:H,5,0)</f>
        <v>#N/A</v>
      </c>
      <c r="R1467" s="78" t="e">
        <f>VLOOKUP(A1467,'לעדכן בסינתזה דאטה אריזה 42+24'!$A:$C,3,0)</f>
        <v>#N/A</v>
      </c>
    </row>
    <row r="1468" spans="4:18" x14ac:dyDescent="0.2">
      <c r="D1468" s="4"/>
      <c r="I1468" s="4"/>
      <c r="J1468" s="4"/>
      <c r="Q1468" s="78" t="e">
        <f>VLOOKUP(A1468,'גיליון דאטה להכל'!A:H,5,0)</f>
        <v>#N/A</v>
      </c>
      <c r="R1468" s="78" t="e">
        <f>VLOOKUP(A1468,'לעדכן בסינתזה דאטה אריזה 42+24'!$A:$C,3,0)</f>
        <v>#N/A</v>
      </c>
    </row>
    <row r="1469" spans="4:18" x14ac:dyDescent="0.2">
      <c r="D1469" s="4"/>
      <c r="I1469" s="4"/>
      <c r="J1469" s="4"/>
      <c r="Q1469" s="78" t="e">
        <f>VLOOKUP(A1469,'גיליון דאטה להכל'!A:H,5,0)</f>
        <v>#N/A</v>
      </c>
      <c r="R1469" s="78" t="e">
        <f>VLOOKUP(A1469,'לעדכן בסינתזה דאטה אריזה 42+24'!$A:$C,3,0)</f>
        <v>#N/A</v>
      </c>
    </row>
    <row r="1470" spans="4:18" x14ac:dyDescent="0.2">
      <c r="D1470" s="4"/>
      <c r="I1470" s="4"/>
      <c r="J1470" s="4"/>
      <c r="Q1470" s="78" t="e">
        <f>VLOOKUP(A1470,'גיליון דאטה להכל'!A:H,5,0)</f>
        <v>#N/A</v>
      </c>
      <c r="R1470" s="78" t="e">
        <f>VLOOKUP(A1470,'לעדכן בסינתזה דאטה אריזה 42+24'!$A:$C,3,0)</f>
        <v>#N/A</v>
      </c>
    </row>
    <row r="1471" spans="4:18" x14ac:dyDescent="0.2">
      <c r="D1471" s="4"/>
      <c r="I1471" s="4"/>
      <c r="J1471" s="4"/>
      <c r="Q1471" s="78" t="e">
        <f>VLOOKUP(A1471,'גיליון דאטה להכל'!A:H,5,0)</f>
        <v>#N/A</v>
      </c>
      <c r="R1471" s="78" t="e">
        <f>VLOOKUP(A1471,'לעדכן בסינתזה דאטה אריזה 42+24'!$A:$C,3,0)</f>
        <v>#N/A</v>
      </c>
    </row>
    <row r="1472" spans="4:18" x14ac:dyDescent="0.2">
      <c r="D1472" s="4"/>
      <c r="I1472" s="4"/>
      <c r="J1472" s="4"/>
      <c r="Q1472" s="78" t="e">
        <f>VLOOKUP(A1472,'גיליון דאטה להכל'!A:H,5,0)</f>
        <v>#N/A</v>
      </c>
      <c r="R1472" s="78" t="e">
        <f>VLOOKUP(A1472,'לעדכן בסינתזה דאטה אריזה 42+24'!$A:$C,3,0)</f>
        <v>#N/A</v>
      </c>
    </row>
    <row r="1473" spans="4:18" x14ac:dyDescent="0.2">
      <c r="D1473" s="4"/>
      <c r="I1473" s="4"/>
      <c r="J1473" s="4"/>
      <c r="Q1473" s="78" t="e">
        <f>VLOOKUP(A1473,'גיליון דאטה להכל'!A:H,5,0)</f>
        <v>#N/A</v>
      </c>
      <c r="R1473" s="78" t="e">
        <f>VLOOKUP(A1473,'לעדכן בסינתזה דאטה אריזה 42+24'!$A:$C,3,0)</f>
        <v>#N/A</v>
      </c>
    </row>
    <row r="1474" spans="4:18" x14ac:dyDescent="0.2">
      <c r="D1474" s="4"/>
      <c r="I1474" s="4"/>
      <c r="J1474" s="4"/>
      <c r="Q1474" s="78" t="e">
        <f>VLOOKUP(A1474,'גיליון דאטה להכל'!A:H,5,0)</f>
        <v>#N/A</v>
      </c>
      <c r="R1474" s="78" t="e">
        <f>VLOOKUP(A1474,'לעדכן בסינתזה דאטה אריזה 42+24'!$A:$C,3,0)</f>
        <v>#N/A</v>
      </c>
    </row>
    <row r="1475" spans="4:18" x14ac:dyDescent="0.2">
      <c r="D1475" s="4"/>
      <c r="I1475" s="4"/>
      <c r="J1475" s="4"/>
      <c r="Q1475" s="78" t="e">
        <f>VLOOKUP(A1475,'גיליון דאטה להכל'!A:H,5,0)</f>
        <v>#N/A</v>
      </c>
      <c r="R1475" s="78" t="e">
        <f>VLOOKUP(A1475,'לעדכן בסינתזה דאטה אריזה 42+24'!$A:$C,3,0)</f>
        <v>#N/A</v>
      </c>
    </row>
    <row r="1476" spans="4:18" x14ac:dyDescent="0.2">
      <c r="D1476" s="4"/>
      <c r="I1476" s="4"/>
      <c r="J1476" s="4"/>
      <c r="Q1476" s="78" t="e">
        <f>VLOOKUP(A1476,'גיליון דאטה להכל'!A:H,5,0)</f>
        <v>#N/A</v>
      </c>
      <c r="R1476" s="78" t="e">
        <f>VLOOKUP(A1476,'לעדכן בסינתזה דאטה אריזה 42+24'!$A:$C,3,0)</f>
        <v>#N/A</v>
      </c>
    </row>
    <row r="1477" spans="4:18" x14ac:dyDescent="0.2">
      <c r="D1477" s="4"/>
      <c r="I1477" s="4"/>
      <c r="J1477" s="4"/>
      <c r="Q1477" s="78" t="e">
        <f>VLOOKUP(A1477,'גיליון דאטה להכל'!A:H,5,0)</f>
        <v>#N/A</v>
      </c>
      <c r="R1477" s="78" t="e">
        <f>VLOOKUP(A1477,'לעדכן בסינתזה דאטה אריזה 42+24'!$A:$C,3,0)</f>
        <v>#N/A</v>
      </c>
    </row>
    <row r="1478" spans="4:18" x14ac:dyDescent="0.2">
      <c r="D1478" s="4"/>
      <c r="I1478" s="4"/>
      <c r="J1478" s="4"/>
      <c r="Q1478" s="78" t="e">
        <f>VLOOKUP(A1478,'גיליון דאטה להכל'!A:H,5,0)</f>
        <v>#N/A</v>
      </c>
      <c r="R1478" s="78" t="e">
        <f>VLOOKUP(A1478,'לעדכן בסינתזה דאטה אריזה 42+24'!$A:$C,3,0)</f>
        <v>#N/A</v>
      </c>
    </row>
    <row r="1479" spans="4:18" x14ac:dyDescent="0.2">
      <c r="D1479" s="4"/>
      <c r="I1479" s="4"/>
      <c r="J1479" s="4"/>
      <c r="Q1479" s="78" t="e">
        <f>VLOOKUP(A1479,'גיליון דאטה להכל'!A:H,5,0)</f>
        <v>#N/A</v>
      </c>
      <c r="R1479" s="78" t="e">
        <f>VLOOKUP(A1479,'לעדכן בסינתזה דאטה אריזה 42+24'!$A:$C,3,0)</f>
        <v>#N/A</v>
      </c>
    </row>
    <row r="1480" spans="4:18" x14ac:dyDescent="0.2">
      <c r="D1480" s="4"/>
      <c r="I1480" s="4"/>
      <c r="J1480" s="4"/>
      <c r="Q1480" s="78" t="e">
        <f>VLOOKUP(A1480,'גיליון דאטה להכל'!A:H,5,0)</f>
        <v>#N/A</v>
      </c>
      <c r="R1480" s="78" t="e">
        <f>VLOOKUP(A1480,'לעדכן בסינתזה דאטה אריזה 42+24'!$A:$C,3,0)</f>
        <v>#N/A</v>
      </c>
    </row>
    <row r="1481" spans="4:18" x14ac:dyDescent="0.2">
      <c r="D1481" s="4"/>
      <c r="I1481" s="4"/>
      <c r="J1481" s="4"/>
      <c r="Q1481" s="78" t="e">
        <f>VLOOKUP(A1481,'גיליון דאטה להכל'!A:H,5,0)</f>
        <v>#N/A</v>
      </c>
      <c r="R1481" s="78" t="e">
        <f>VLOOKUP(A1481,'לעדכן בסינתזה דאטה אריזה 42+24'!$A:$C,3,0)</f>
        <v>#N/A</v>
      </c>
    </row>
    <row r="1482" spans="4:18" x14ac:dyDescent="0.2">
      <c r="D1482" s="4"/>
      <c r="I1482" s="4"/>
      <c r="J1482" s="4"/>
      <c r="Q1482" s="78" t="e">
        <f>VLOOKUP(A1482,'גיליון דאטה להכל'!A:H,5,0)</f>
        <v>#N/A</v>
      </c>
      <c r="R1482" s="78" t="e">
        <f>VLOOKUP(A1482,'לעדכן בסינתזה דאטה אריזה 42+24'!$A:$C,3,0)</f>
        <v>#N/A</v>
      </c>
    </row>
    <row r="1483" spans="4:18" x14ac:dyDescent="0.2">
      <c r="D1483" s="4"/>
      <c r="I1483" s="4"/>
      <c r="J1483" s="4"/>
      <c r="Q1483" s="78" t="e">
        <f>VLOOKUP(A1483,'גיליון דאטה להכל'!A:H,5,0)</f>
        <v>#N/A</v>
      </c>
      <c r="R1483" s="78" t="e">
        <f>VLOOKUP(A1483,'לעדכן בסינתזה דאטה אריזה 42+24'!$A:$C,3,0)</f>
        <v>#N/A</v>
      </c>
    </row>
    <row r="1484" spans="4:18" x14ac:dyDescent="0.2">
      <c r="D1484" s="4"/>
      <c r="I1484" s="4"/>
      <c r="J1484" s="4"/>
      <c r="Q1484" s="78" t="e">
        <f>VLOOKUP(A1484,'גיליון דאטה להכל'!A:H,5,0)</f>
        <v>#N/A</v>
      </c>
      <c r="R1484" s="78" t="e">
        <f>VLOOKUP(A1484,'לעדכן בסינתזה דאטה אריזה 42+24'!$A:$C,3,0)</f>
        <v>#N/A</v>
      </c>
    </row>
    <row r="1485" spans="4:18" x14ac:dyDescent="0.2">
      <c r="D1485" s="4"/>
      <c r="I1485" s="4"/>
      <c r="J1485" s="4"/>
      <c r="Q1485" s="78" t="e">
        <f>VLOOKUP(A1485,'גיליון דאטה להכל'!A:H,5,0)</f>
        <v>#N/A</v>
      </c>
      <c r="R1485" s="78" t="e">
        <f>VLOOKUP(A1485,'לעדכן בסינתזה דאטה אריזה 42+24'!$A:$C,3,0)</f>
        <v>#N/A</v>
      </c>
    </row>
    <row r="1486" spans="4:18" x14ac:dyDescent="0.2">
      <c r="D1486" s="4"/>
      <c r="I1486" s="4"/>
      <c r="J1486" s="4"/>
      <c r="Q1486" s="78" t="e">
        <f>VLOOKUP(A1486,'גיליון דאטה להכל'!A:H,5,0)</f>
        <v>#N/A</v>
      </c>
      <c r="R1486" s="78" t="e">
        <f>VLOOKUP(A1486,'לעדכן בסינתזה דאטה אריזה 42+24'!$A:$C,3,0)</f>
        <v>#N/A</v>
      </c>
    </row>
    <row r="1487" spans="4:18" x14ac:dyDescent="0.2">
      <c r="D1487" s="4"/>
      <c r="I1487" s="4"/>
      <c r="J1487" s="4"/>
      <c r="Q1487" s="78" t="e">
        <f>VLOOKUP(A1487,'גיליון דאטה להכל'!A:H,5,0)</f>
        <v>#N/A</v>
      </c>
      <c r="R1487" s="78" t="e">
        <f>VLOOKUP(A1487,'לעדכן בסינתזה דאטה אריזה 42+24'!$A:$C,3,0)</f>
        <v>#N/A</v>
      </c>
    </row>
    <row r="1488" spans="4:18" x14ac:dyDescent="0.2">
      <c r="D1488" s="4"/>
      <c r="I1488" s="4"/>
      <c r="J1488" s="4"/>
      <c r="Q1488" s="78" t="e">
        <f>VLOOKUP(A1488,'גיליון דאטה להכל'!A:H,5,0)</f>
        <v>#N/A</v>
      </c>
      <c r="R1488" s="78" t="e">
        <f>VLOOKUP(A1488,'לעדכן בסינתזה דאטה אריזה 42+24'!$A:$C,3,0)</f>
        <v>#N/A</v>
      </c>
    </row>
    <row r="1489" spans="4:18" x14ac:dyDescent="0.2">
      <c r="D1489" s="4"/>
      <c r="I1489" s="4"/>
      <c r="J1489" s="4"/>
      <c r="Q1489" s="78" t="e">
        <f>VLOOKUP(A1489,'גיליון דאטה להכל'!A:H,5,0)</f>
        <v>#N/A</v>
      </c>
      <c r="R1489" s="78" t="e">
        <f>VLOOKUP(A1489,'לעדכן בסינתזה דאטה אריזה 42+24'!$A:$C,3,0)</f>
        <v>#N/A</v>
      </c>
    </row>
    <row r="1490" spans="4:18" x14ac:dyDescent="0.2">
      <c r="D1490" s="4"/>
      <c r="I1490" s="4"/>
      <c r="J1490" s="4"/>
      <c r="Q1490" s="78" t="e">
        <f>VLOOKUP(A1490,'גיליון דאטה להכל'!A:H,5,0)</f>
        <v>#N/A</v>
      </c>
      <c r="R1490" s="78" t="e">
        <f>VLOOKUP(A1490,'לעדכן בסינתזה דאטה אריזה 42+24'!$A:$C,3,0)</f>
        <v>#N/A</v>
      </c>
    </row>
    <row r="1491" spans="4:18" x14ac:dyDescent="0.2">
      <c r="D1491" s="4"/>
      <c r="I1491" s="4"/>
      <c r="J1491" s="4"/>
      <c r="Q1491" s="78" t="e">
        <f>VLOOKUP(A1491,'גיליון דאטה להכל'!A:H,5,0)</f>
        <v>#N/A</v>
      </c>
      <c r="R1491" s="78" t="e">
        <f>VLOOKUP(A1491,'לעדכן בסינתזה דאטה אריזה 42+24'!$A:$C,3,0)</f>
        <v>#N/A</v>
      </c>
    </row>
    <row r="1492" spans="4:18" x14ac:dyDescent="0.2">
      <c r="D1492" s="4"/>
      <c r="I1492" s="4"/>
      <c r="J1492" s="4"/>
      <c r="Q1492" s="78" t="e">
        <f>VLOOKUP(A1492,'גיליון דאטה להכל'!A:H,5,0)</f>
        <v>#N/A</v>
      </c>
      <c r="R1492" s="78" t="e">
        <f>VLOOKUP(A1492,'לעדכן בסינתזה דאטה אריזה 42+24'!$A:$C,3,0)</f>
        <v>#N/A</v>
      </c>
    </row>
    <row r="1493" spans="4:18" x14ac:dyDescent="0.2">
      <c r="D1493" s="4"/>
      <c r="I1493" s="4"/>
      <c r="J1493" s="4"/>
      <c r="Q1493" s="78" t="e">
        <f>VLOOKUP(A1493,'גיליון דאטה להכל'!A:H,5,0)</f>
        <v>#N/A</v>
      </c>
      <c r="R1493" s="78" t="e">
        <f>VLOOKUP(A1493,'לעדכן בסינתזה דאטה אריזה 42+24'!$A:$C,3,0)</f>
        <v>#N/A</v>
      </c>
    </row>
    <row r="1494" spans="4:18" x14ac:dyDescent="0.2">
      <c r="D1494" s="4"/>
      <c r="I1494" s="4"/>
      <c r="J1494" s="4"/>
      <c r="Q1494" s="78" t="e">
        <f>VLOOKUP(A1494,'גיליון דאטה להכל'!A:H,5,0)</f>
        <v>#N/A</v>
      </c>
      <c r="R1494" s="78" t="e">
        <f>VLOOKUP(A1494,'לעדכן בסינתזה דאטה אריזה 42+24'!$A:$C,3,0)</f>
        <v>#N/A</v>
      </c>
    </row>
    <row r="1495" spans="4:18" x14ac:dyDescent="0.2">
      <c r="D1495" s="4"/>
      <c r="I1495" s="4"/>
      <c r="J1495" s="4"/>
      <c r="Q1495" s="78" t="e">
        <f>VLOOKUP(A1495,'גיליון דאטה להכל'!A:H,5,0)</f>
        <v>#N/A</v>
      </c>
      <c r="R1495" s="78" t="e">
        <f>VLOOKUP(A1495,'לעדכן בסינתזה דאטה אריזה 42+24'!$A:$C,3,0)</f>
        <v>#N/A</v>
      </c>
    </row>
    <row r="1496" spans="4:18" x14ac:dyDescent="0.2">
      <c r="D1496" s="4"/>
      <c r="I1496" s="4"/>
      <c r="J1496" s="4"/>
      <c r="Q1496" s="78" t="e">
        <f>VLOOKUP(A1496,'גיליון דאטה להכל'!A:H,5,0)</f>
        <v>#N/A</v>
      </c>
      <c r="R1496" s="78" t="e">
        <f>VLOOKUP(A1496,'לעדכן בסינתזה דאטה אריזה 42+24'!$A:$C,3,0)</f>
        <v>#N/A</v>
      </c>
    </row>
    <row r="1497" spans="4:18" x14ac:dyDescent="0.2">
      <c r="D1497" s="4"/>
      <c r="I1497" s="4"/>
      <c r="J1497" s="4"/>
      <c r="Q1497" s="78" t="e">
        <f>VLOOKUP(A1497,'גיליון דאטה להכל'!A:H,5,0)</f>
        <v>#N/A</v>
      </c>
      <c r="R1497" s="78" t="e">
        <f>VLOOKUP(A1497,'לעדכן בסינתזה דאטה אריזה 42+24'!$A:$C,3,0)</f>
        <v>#N/A</v>
      </c>
    </row>
    <row r="1498" spans="4:18" x14ac:dyDescent="0.2">
      <c r="D1498" s="4"/>
      <c r="I1498" s="4"/>
      <c r="J1498" s="4"/>
      <c r="Q1498" s="78" t="e">
        <f>VLOOKUP(A1498,'גיליון דאטה להכל'!A:H,5,0)</f>
        <v>#N/A</v>
      </c>
      <c r="R1498" s="78" t="e">
        <f>VLOOKUP(A1498,'לעדכן בסינתזה דאטה אריזה 42+24'!$A:$C,3,0)</f>
        <v>#N/A</v>
      </c>
    </row>
    <row r="1499" spans="4:18" x14ac:dyDescent="0.2">
      <c r="D1499" s="4"/>
      <c r="I1499" s="4"/>
      <c r="J1499" s="4"/>
      <c r="Q1499" s="78" t="e">
        <f>VLOOKUP(A1499,'גיליון דאטה להכל'!A:H,5,0)</f>
        <v>#N/A</v>
      </c>
      <c r="R1499" s="78" t="e">
        <f>VLOOKUP(A1499,'לעדכן בסינתזה דאטה אריזה 42+24'!$A:$C,3,0)</f>
        <v>#N/A</v>
      </c>
    </row>
    <row r="1500" spans="4:18" x14ac:dyDescent="0.2">
      <c r="D1500" s="4"/>
      <c r="I1500" s="4"/>
      <c r="J1500" s="4"/>
      <c r="Q1500" s="78" t="e">
        <f>VLOOKUP(A1500,'גיליון דאטה להכל'!A:H,5,0)</f>
        <v>#N/A</v>
      </c>
      <c r="R1500" s="78" t="e">
        <f>VLOOKUP(A1500,'לעדכן בסינתזה דאטה אריזה 42+24'!$A:$C,3,0)</f>
        <v>#N/A</v>
      </c>
    </row>
    <row r="1501" spans="4:18" x14ac:dyDescent="0.2">
      <c r="D1501" s="4"/>
      <c r="I1501" s="4"/>
      <c r="J1501" s="4"/>
      <c r="Q1501" s="78" t="e">
        <f>VLOOKUP(A1501,'גיליון דאטה להכל'!A:H,5,0)</f>
        <v>#N/A</v>
      </c>
      <c r="R1501" s="78" t="e">
        <f>VLOOKUP(A1501,'לעדכן בסינתזה דאטה אריזה 42+24'!$A:$C,3,0)</f>
        <v>#N/A</v>
      </c>
    </row>
    <row r="1502" spans="4:18" x14ac:dyDescent="0.2">
      <c r="D1502" s="4"/>
      <c r="I1502" s="4"/>
      <c r="J1502" s="4"/>
      <c r="Q1502" s="78" t="e">
        <f>VLOOKUP(A1502,'גיליון דאטה להכל'!A:H,5,0)</f>
        <v>#N/A</v>
      </c>
      <c r="R1502" s="78" t="e">
        <f>VLOOKUP(A1502,'לעדכן בסינתזה דאטה אריזה 42+24'!$A:$C,3,0)</f>
        <v>#N/A</v>
      </c>
    </row>
    <row r="1503" spans="4:18" x14ac:dyDescent="0.2">
      <c r="D1503" s="4"/>
      <c r="I1503" s="4"/>
      <c r="J1503" s="4"/>
      <c r="Q1503" s="78" t="e">
        <f>VLOOKUP(A1503,'גיליון דאטה להכל'!A:H,5,0)</f>
        <v>#N/A</v>
      </c>
      <c r="R1503" s="78" t="e">
        <f>VLOOKUP(A1503,'לעדכן בסינתזה דאטה אריזה 42+24'!$A:$C,3,0)</f>
        <v>#N/A</v>
      </c>
    </row>
    <row r="1504" spans="4:18" x14ac:dyDescent="0.2">
      <c r="D1504" s="4"/>
      <c r="I1504" s="4"/>
      <c r="J1504" s="4"/>
      <c r="Q1504" s="78" t="e">
        <f>VLOOKUP(A1504,'גיליון דאטה להכל'!A:H,5,0)</f>
        <v>#N/A</v>
      </c>
      <c r="R1504" s="78" t="e">
        <f>VLOOKUP(A1504,'לעדכן בסינתזה דאטה אריזה 42+24'!$A:$C,3,0)</f>
        <v>#N/A</v>
      </c>
    </row>
    <row r="1505" spans="4:18" x14ac:dyDescent="0.2">
      <c r="D1505" s="4"/>
      <c r="I1505" s="4"/>
      <c r="J1505" s="4"/>
      <c r="Q1505" s="78" t="e">
        <f>VLOOKUP(A1505,'גיליון דאטה להכל'!A:H,5,0)</f>
        <v>#N/A</v>
      </c>
      <c r="R1505" s="78" t="e">
        <f>VLOOKUP(A1505,'לעדכן בסינתזה דאטה אריזה 42+24'!$A:$C,3,0)</f>
        <v>#N/A</v>
      </c>
    </row>
    <row r="1506" spans="4:18" x14ac:dyDescent="0.2">
      <c r="D1506" s="4"/>
      <c r="I1506" s="4"/>
      <c r="J1506" s="4"/>
      <c r="Q1506" s="78" t="e">
        <f>VLOOKUP(A1506,'גיליון דאטה להכל'!A:H,5,0)</f>
        <v>#N/A</v>
      </c>
      <c r="R1506" s="78" t="e">
        <f>VLOOKUP(A1506,'לעדכן בסינתזה דאטה אריזה 42+24'!$A:$C,3,0)</f>
        <v>#N/A</v>
      </c>
    </row>
    <row r="1507" spans="4:18" x14ac:dyDescent="0.2">
      <c r="D1507" s="4"/>
      <c r="I1507" s="4"/>
      <c r="J1507" s="4"/>
      <c r="Q1507" s="78" t="e">
        <f>VLOOKUP(A1507,'גיליון דאטה להכל'!A:H,5,0)</f>
        <v>#N/A</v>
      </c>
      <c r="R1507" s="78" t="e">
        <f>VLOOKUP(A1507,'לעדכן בסינתזה דאטה אריזה 42+24'!$A:$C,3,0)</f>
        <v>#N/A</v>
      </c>
    </row>
    <row r="1508" spans="4:18" x14ac:dyDescent="0.2">
      <c r="D1508" s="4"/>
      <c r="I1508" s="4"/>
      <c r="J1508" s="4"/>
      <c r="Q1508" s="78" t="e">
        <f>VLOOKUP(A1508,'גיליון דאטה להכל'!A:H,5,0)</f>
        <v>#N/A</v>
      </c>
      <c r="R1508" s="78" t="e">
        <f>VLOOKUP(A1508,'לעדכן בסינתזה דאטה אריזה 42+24'!$A:$C,3,0)</f>
        <v>#N/A</v>
      </c>
    </row>
    <row r="1509" spans="4:18" x14ac:dyDescent="0.2">
      <c r="D1509" s="4"/>
      <c r="I1509" s="4"/>
      <c r="J1509" s="4"/>
      <c r="Q1509" s="78" t="e">
        <f>VLOOKUP(A1509,'גיליון דאטה להכל'!A:H,5,0)</f>
        <v>#N/A</v>
      </c>
      <c r="R1509" s="78" t="e">
        <f>VLOOKUP(A1509,'לעדכן בסינתזה דאטה אריזה 42+24'!$A:$C,3,0)</f>
        <v>#N/A</v>
      </c>
    </row>
    <row r="1510" spans="4:18" x14ac:dyDescent="0.2">
      <c r="D1510" s="4"/>
      <c r="I1510" s="4"/>
      <c r="J1510" s="4"/>
      <c r="Q1510" s="78" t="e">
        <f>VLOOKUP(A1510,'גיליון דאטה להכל'!A:H,5,0)</f>
        <v>#N/A</v>
      </c>
      <c r="R1510" s="78" t="e">
        <f>VLOOKUP(A1510,'לעדכן בסינתזה דאטה אריזה 42+24'!$A:$C,3,0)</f>
        <v>#N/A</v>
      </c>
    </row>
    <row r="1511" spans="4:18" x14ac:dyDescent="0.2">
      <c r="D1511" s="4"/>
      <c r="I1511" s="4"/>
      <c r="J1511" s="4"/>
      <c r="Q1511" s="78" t="e">
        <f>VLOOKUP(A1511,'גיליון דאטה להכל'!A:H,5,0)</f>
        <v>#N/A</v>
      </c>
      <c r="R1511" s="78" t="e">
        <f>VLOOKUP(A1511,'לעדכן בסינתזה דאטה אריזה 42+24'!$A:$C,3,0)</f>
        <v>#N/A</v>
      </c>
    </row>
    <row r="1512" spans="4:18" x14ac:dyDescent="0.2">
      <c r="D1512" s="4"/>
      <c r="I1512" s="4"/>
      <c r="J1512" s="4"/>
      <c r="Q1512" s="78" t="e">
        <f>VLOOKUP(A1512,'גיליון דאטה להכל'!A:H,5,0)</f>
        <v>#N/A</v>
      </c>
      <c r="R1512" s="78" t="e">
        <f>VLOOKUP(A1512,'לעדכן בסינתזה דאטה אריזה 42+24'!$A:$C,3,0)</f>
        <v>#N/A</v>
      </c>
    </row>
    <row r="1513" spans="4:18" x14ac:dyDescent="0.2">
      <c r="D1513" s="4"/>
      <c r="I1513" s="4"/>
      <c r="J1513" s="4"/>
      <c r="Q1513" s="78" t="e">
        <f>VLOOKUP(A1513,'גיליון דאטה להכל'!A:H,5,0)</f>
        <v>#N/A</v>
      </c>
      <c r="R1513" s="78" t="e">
        <f>VLOOKUP(A1513,'לעדכן בסינתזה דאטה אריזה 42+24'!$A:$C,3,0)</f>
        <v>#N/A</v>
      </c>
    </row>
    <row r="1514" spans="4:18" x14ac:dyDescent="0.2">
      <c r="D1514" s="4"/>
      <c r="I1514" s="4"/>
      <c r="J1514" s="4"/>
      <c r="Q1514" s="78" t="e">
        <f>VLOOKUP(A1514,'גיליון דאטה להכל'!A:H,5,0)</f>
        <v>#N/A</v>
      </c>
      <c r="R1514" s="78" t="e">
        <f>VLOOKUP(A1514,'לעדכן בסינתזה דאטה אריזה 42+24'!$A:$C,3,0)</f>
        <v>#N/A</v>
      </c>
    </row>
    <row r="1515" spans="4:18" x14ac:dyDescent="0.2">
      <c r="D1515" s="4"/>
      <c r="I1515" s="4"/>
      <c r="J1515" s="4"/>
      <c r="Q1515" s="78" t="e">
        <f>VLOOKUP(A1515,'גיליון דאטה להכל'!A:H,5,0)</f>
        <v>#N/A</v>
      </c>
      <c r="R1515" s="78" t="e">
        <f>VLOOKUP(A1515,'לעדכן בסינתזה דאטה אריזה 42+24'!$A:$C,3,0)</f>
        <v>#N/A</v>
      </c>
    </row>
    <row r="1516" spans="4:18" x14ac:dyDescent="0.2">
      <c r="D1516" s="4"/>
      <c r="I1516" s="4"/>
      <c r="J1516" s="4"/>
      <c r="Q1516" s="78" t="e">
        <f>VLOOKUP(A1516,'גיליון דאטה להכל'!A:H,5,0)</f>
        <v>#N/A</v>
      </c>
      <c r="R1516" s="78" t="e">
        <f>VLOOKUP(A1516,'לעדכן בסינתזה דאטה אריזה 42+24'!$A:$C,3,0)</f>
        <v>#N/A</v>
      </c>
    </row>
    <row r="1517" spans="4:18" x14ac:dyDescent="0.2">
      <c r="D1517" s="4"/>
      <c r="I1517" s="4"/>
      <c r="J1517" s="4"/>
      <c r="Q1517" s="78" t="e">
        <f>VLOOKUP(A1517,'גיליון דאטה להכל'!A:H,5,0)</f>
        <v>#N/A</v>
      </c>
      <c r="R1517" s="78" t="e">
        <f>VLOOKUP(A1517,'לעדכן בסינתזה דאטה אריזה 42+24'!$A:$C,3,0)</f>
        <v>#N/A</v>
      </c>
    </row>
    <row r="1518" spans="4:18" x14ac:dyDescent="0.2">
      <c r="D1518" s="4"/>
      <c r="I1518" s="4"/>
      <c r="J1518" s="4"/>
      <c r="Q1518" s="78" t="e">
        <f>VLOOKUP(A1518,'גיליון דאטה להכל'!A:H,5,0)</f>
        <v>#N/A</v>
      </c>
      <c r="R1518" s="78" t="e">
        <f>VLOOKUP(A1518,'לעדכן בסינתזה דאטה אריזה 42+24'!$A:$C,3,0)</f>
        <v>#N/A</v>
      </c>
    </row>
    <row r="1519" spans="4:18" x14ac:dyDescent="0.2">
      <c r="D1519" s="4"/>
      <c r="I1519" s="4"/>
      <c r="J1519" s="4"/>
      <c r="Q1519" s="78" t="e">
        <f>VLOOKUP(A1519,'גיליון דאטה להכל'!A:H,5,0)</f>
        <v>#N/A</v>
      </c>
      <c r="R1519" s="78" t="e">
        <f>VLOOKUP(A1519,'לעדכן בסינתזה דאטה אריזה 42+24'!$A:$C,3,0)</f>
        <v>#N/A</v>
      </c>
    </row>
    <row r="1520" spans="4:18" x14ac:dyDescent="0.2">
      <c r="D1520" s="4"/>
      <c r="I1520" s="4"/>
      <c r="J1520" s="4"/>
      <c r="Q1520" s="78" t="e">
        <f>VLOOKUP(A1520,'גיליון דאטה להכל'!A:H,5,0)</f>
        <v>#N/A</v>
      </c>
      <c r="R1520" s="78" t="e">
        <f>VLOOKUP(A1520,'לעדכן בסינתזה דאטה אריזה 42+24'!$A:$C,3,0)</f>
        <v>#N/A</v>
      </c>
    </row>
    <row r="1521" spans="4:18" x14ac:dyDescent="0.2">
      <c r="D1521" s="4"/>
      <c r="I1521" s="4"/>
      <c r="J1521" s="4"/>
      <c r="Q1521" s="78" t="e">
        <f>VLOOKUP(A1521,'גיליון דאטה להכל'!A:H,5,0)</f>
        <v>#N/A</v>
      </c>
      <c r="R1521" s="78" t="e">
        <f>VLOOKUP(A1521,'לעדכן בסינתזה דאטה אריזה 42+24'!$A:$C,3,0)</f>
        <v>#N/A</v>
      </c>
    </row>
    <row r="1522" spans="4:18" x14ac:dyDescent="0.2">
      <c r="D1522" s="4"/>
      <c r="I1522" s="4"/>
      <c r="J1522" s="4"/>
      <c r="Q1522" s="78" t="e">
        <f>VLOOKUP(A1522,'גיליון דאטה להכל'!A:H,5,0)</f>
        <v>#N/A</v>
      </c>
      <c r="R1522" s="78" t="e">
        <f>VLOOKUP(A1522,'לעדכן בסינתזה דאטה אריזה 42+24'!$A:$C,3,0)</f>
        <v>#N/A</v>
      </c>
    </row>
    <row r="1523" spans="4:18" x14ac:dyDescent="0.2">
      <c r="D1523" s="4"/>
      <c r="I1523" s="4"/>
      <c r="J1523" s="4"/>
      <c r="Q1523" s="78" t="e">
        <f>VLOOKUP(A1523,'גיליון דאטה להכל'!A:H,5,0)</f>
        <v>#N/A</v>
      </c>
      <c r="R1523" s="78" t="e">
        <f>VLOOKUP(A1523,'לעדכן בסינתזה דאטה אריזה 42+24'!$A:$C,3,0)</f>
        <v>#N/A</v>
      </c>
    </row>
    <row r="1524" spans="4:18" x14ac:dyDescent="0.2">
      <c r="D1524" s="4"/>
      <c r="I1524" s="4"/>
      <c r="J1524" s="4"/>
      <c r="Q1524" s="78" t="e">
        <f>VLOOKUP(A1524,'גיליון דאטה להכל'!A:H,5,0)</f>
        <v>#N/A</v>
      </c>
      <c r="R1524" s="78" t="e">
        <f>VLOOKUP(A1524,'לעדכן בסינתזה דאטה אריזה 42+24'!$A:$C,3,0)</f>
        <v>#N/A</v>
      </c>
    </row>
    <row r="1525" spans="4:18" x14ac:dyDescent="0.2">
      <c r="D1525" s="4"/>
      <c r="I1525" s="4"/>
      <c r="J1525" s="4"/>
      <c r="Q1525" s="78" t="e">
        <f>VLOOKUP(A1525,'גיליון דאטה להכל'!A:H,5,0)</f>
        <v>#N/A</v>
      </c>
      <c r="R1525" s="78" t="e">
        <f>VLOOKUP(A1525,'לעדכן בסינתזה דאטה אריזה 42+24'!$A:$C,3,0)</f>
        <v>#N/A</v>
      </c>
    </row>
    <row r="1526" spans="4:18" x14ac:dyDescent="0.2">
      <c r="D1526" s="4"/>
      <c r="I1526" s="4"/>
      <c r="J1526" s="4"/>
      <c r="Q1526" s="78" t="e">
        <f>VLOOKUP(A1526,'גיליון דאטה להכל'!A:H,5,0)</f>
        <v>#N/A</v>
      </c>
      <c r="R1526" s="78" t="e">
        <f>VLOOKUP(A1526,'לעדכן בסינתזה דאטה אריזה 42+24'!$A:$C,3,0)</f>
        <v>#N/A</v>
      </c>
    </row>
    <row r="1527" spans="4:18" x14ac:dyDescent="0.2">
      <c r="D1527" s="4"/>
      <c r="I1527" s="4"/>
      <c r="J1527" s="4"/>
      <c r="Q1527" s="78" t="e">
        <f>VLOOKUP(A1527,'גיליון דאטה להכל'!A:H,5,0)</f>
        <v>#N/A</v>
      </c>
      <c r="R1527" s="78" t="e">
        <f>VLOOKUP(A1527,'לעדכן בסינתזה דאטה אריזה 42+24'!$A:$C,3,0)</f>
        <v>#N/A</v>
      </c>
    </row>
    <row r="1528" spans="4:18" x14ac:dyDescent="0.2">
      <c r="D1528" s="4"/>
      <c r="I1528" s="4"/>
      <c r="J1528" s="4"/>
      <c r="Q1528" s="78" t="e">
        <f>VLOOKUP(A1528,'גיליון דאטה להכל'!A:H,5,0)</f>
        <v>#N/A</v>
      </c>
      <c r="R1528" s="78" t="e">
        <f>VLOOKUP(A1528,'לעדכן בסינתזה דאטה אריזה 42+24'!$A:$C,3,0)</f>
        <v>#N/A</v>
      </c>
    </row>
    <row r="1529" spans="4:18" x14ac:dyDescent="0.2">
      <c r="D1529" s="4"/>
      <c r="I1529" s="4"/>
      <c r="J1529" s="4"/>
      <c r="Q1529" s="78" t="e">
        <f>VLOOKUP(A1529,'גיליון דאטה להכל'!A:H,5,0)</f>
        <v>#N/A</v>
      </c>
      <c r="R1529" s="78" t="e">
        <f>VLOOKUP(A1529,'לעדכן בסינתזה דאטה אריזה 42+24'!$A:$C,3,0)</f>
        <v>#N/A</v>
      </c>
    </row>
    <row r="1530" spans="4:18" x14ac:dyDescent="0.2">
      <c r="D1530" s="4"/>
      <c r="I1530" s="4"/>
      <c r="J1530" s="4"/>
      <c r="Q1530" s="78" t="e">
        <f>VLOOKUP(A1530,'גיליון דאטה להכל'!A:H,5,0)</f>
        <v>#N/A</v>
      </c>
      <c r="R1530" s="78" t="e">
        <f>VLOOKUP(A1530,'לעדכן בסינתזה דאטה אריזה 42+24'!$A:$C,3,0)</f>
        <v>#N/A</v>
      </c>
    </row>
    <row r="1531" spans="4:18" x14ac:dyDescent="0.2">
      <c r="D1531" s="4"/>
      <c r="I1531" s="4"/>
      <c r="J1531" s="4"/>
      <c r="Q1531" s="78" t="e">
        <f>VLOOKUP(A1531,'גיליון דאטה להכל'!A:H,5,0)</f>
        <v>#N/A</v>
      </c>
      <c r="R1531" s="78" t="e">
        <f>VLOOKUP(A1531,'לעדכן בסינתזה דאטה אריזה 42+24'!$A:$C,3,0)</f>
        <v>#N/A</v>
      </c>
    </row>
    <row r="1532" spans="4:18" x14ac:dyDescent="0.2">
      <c r="D1532" s="4"/>
      <c r="I1532" s="4"/>
      <c r="J1532" s="4"/>
      <c r="Q1532" s="78" t="e">
        <f>VLOOKUP(A1532,'גיליון דאטה להכל'!A:H,5,0)</f>
        <v>#N/A</v>
      </c>
      <c r="R1532" s="78" t="e">
        <f>VLOOKUP(A1532,'לעדכן בסינתזה דאטה אריזה 42+24'!$A:$C,3,0)</f>
        <v>#N/A</v>
      </c>
    </row>
    <row r="1533" spans="4:18" x14ac:dyDescent="0.2">
      <c r="D1533" s="4"/>
      <c r="I1533" s="4"/>
      <c r="J1533" s="4"/>
      <c r="Q1533" s="78" t="e">
        <f>VLOOKUP(A1533,'גיליון דאטה להכל'!A:H,5,0)</f>
        <v>#N/A</v>
      </c>
      <c r="R1533" s="78" t="e">
        <f>VLOOKUP(A1533,'לעדכן בסינתזה דאטה אריזה 42+24'!$A:$C,3,0)</f>
        <v>#N/A</v>
      </c>
    </row>
    <row r="1534" spans="4:18" x14ac:dyDescent="0.2">
      <c r="D1534" s="4"/>
      <c r="I1534" s="4"/>
      <c r="J1534" s="4"/>
      <c r="Q1534" s="78" t="e">
        <f>VLOOKUP(A1534,'גיליון דאטה להכל'!A:H,5,0)</f>
        <v>#N/A</v>
      </c>
      <c r="R1534" s="78" t="e">
        <f>VLOOKUP(A1534,'לעדכן בסינתזה דאטה אריזה 42+24'!$A:$C,3,0)</f>
        <v>#N/A</v>
      </c>
    </row>
    <row r="1535" spans="4:18" x14ac:dyDescent="0.2">
      <c r="D1535" s="4"/>
      <c r="I1535" s="4"/>
      <c r="J1535" s="4"/>
      <c r="Q1535" s="78" t="e">
        <f>VLOOKUP(A1535,'גיליון דאטה להכל'!A:H,5,0)</f>
        <v>#N/A</v>
      </c>
      <c r="R1535" s="78" t="e">
        <f>VLOOKUP(A1535,'לעדכן בסינתזה דאטה אריזה 42+24'!$A:$C,3,0)</f>
        <v>#N/A</v>
      </c>
    </row>
    <row r="1536" spans="4:18" x14ac:dyDescent="0.2">
      <c r="D1536" s="4"/>
      <c r="I1536" s="4"/>
      <c r="J1536" s="4"/>
      <c r="Q1536" s="78" t="e">
        <f>VLOOKUP(A1536,'גיליון דאטה להכל'!A:H,5,0)</f>
        <v>#N/A</v>
      </c>
      <c r="R1536" s="78" t="e">
        <f>VLOOKUP(A1536,'לעדכן בסינתזה דאטה אריזה 42+24'!$A:$C,3,0)</f>
        <v>#N/A</v>
      </c>
    </row>
    <row r="1537" spans="4:18" x14ac:dyDescent="0.2">
      <c r="D1537" s="4"/>
      <c r="I1537" s="4"/>
      <c r="J1537" s="4"/>
      <c r="Q1537" s="78" t="e">
        <f>VLOOKUP(A1537,'גיליון דאטה להכל'!A:H,5,0)</f>
        <v>#N/A</v>
      </c>
      <c r="R1537" s="78" t="e">
        <f>VLOOKUP(A1537,'לעדכן בסינתזה דאטה אריזה 42+24'!$A:$C,3,0)</f>
        <v>#N/A</v>
      </c>
    </row>
    <row r="1538" spans="4:18" x14ac:dyDescent="0.2">
      <c r="D1538" s="4"/>
      <c r="I1538" s="4"/>
      <c r="J1538" s="4"/>
      <c r="Q1538" s="78" t="e">
        <f>VLOOKUP(A1538,'גיליון דאטה להכל'!A:H,5,0)</f>
        <v>#N/A</v>
      </c>
      <c r="R1538" s="78" t="e">
        <f>VLOOKUP(A1538,'לעדכן בסינתזה דאטה אריזה 42+24'!$A:$C,3,0)</f>
        <v>#N/A</v>
      </c>
    </row>
    <row r="1539" spans="4:18" x14ac:dyDescent="0.2">
      <c r="D1539" s="4"/>
      <c r="I1539" s="4"/>
      <c r="J1539" s="4"/>
      <c r="Q1539" s="78" t="e">
        <f>VLOOKUP(A1539,'גיליון דאטה להכל'!A:H,5,0)</f>
        <v>#N/A</v>
      </c>
      <c r="R1539" s="78" t="e">
        <f>VLOOKUP(A1539,'לעדכן בסינתזה דאטה אריזה 42+24'!$A:$C,3,0)</f>
        <v>#N/A</v>
      </c>
    </row>
    <row r="1540" spans="4:18" x14ac:dyDescent="0.2">
      <c r="D1540" s="4"/>
      <c r="I1540" s="4"/>
      <c r="J1540" s="4"/>
      <c r="Q1540" s="78" t="e">
        <f>VLOOKUP(A1540,'גיליון דאטה להכל'!A:H,5,0)</f>
        <v>#N/A</v>
      </c>
      <c r="R1540" s="78" t="e">
        <f>VLOOKUP(A1540,'לעדכן בסינתזה דאטה אריזה 42+24'!$A:$C,3,0)</f>
        <v>#N/A</v>
      </c>
    </row>
    <row r="1541" spans="4:18" x14ac:dyDescent="0.2">
      <c r="D1541" s="4"/>
      <c r="I1541" s="4"/>
      <c r="J1541" s="4"/>
      <c r="Q1541" s="78" t="e">
        <f>VLOOKUP(A1541,'גיליון דאטה להכל'!A:H,5,0)</f>
        <v>#N/A</v>
      </c>
      <c r="R1541" s="78" t="e">
        <f>VLOOKUP(A1541,'לעדכן בסינתזה דאטה אריזה 42+24'!$A:$C,3,0)</f>
        <v>#N/A</v>
      </c>
    </row>
    <row r="1542" spans="4:18" x14ac:dyDescent="0.2">
      <c r="D1542" s="4"/>
      <c r="I1542" s="4"/>
      <c r="J1542" s="4"/>
      <c r="Q1542" s="78" t="e">
        <f>VLOOKUP(A1542,'גיליון דאטה להכל'!A:H,5,0)</f>
        <v>#N/A</v>
      </c>
      <c r="R1542" s="78" t="e">
        <f>VLOOKUP(A1542,'לעדכן בסינתזה דאטה אריזה 42+24'!$A:$C,3,0)</f>
        <v>#N/A</v>
      </c>
    </row>
    <row r="1543" spans="4:18" x14ac:dyDescent="0.2">
      <c r="D1543" s="4"/>
      <c r="I1543" s="4"/>
      <c r="J1543" s="4"/>
      <c r="Q1543" s="78" t="e">
        <f>VLOOKUP(A1543,'גיליון דאטה להכל'!A:H,5,0)</f>
        <v>#N/A</v>
      </c>
      <c r="R1543" s="78" t="e">
        <f>VLOOKUP(A1543,'לעדכן בסינתזה דאטה אריזה 42+24'!$A:$C,3,0)</f>
        <v>#N/A</v>
      </c>
    </row>
    <row r="1544" spans="4:18" x14ac:dyDescent="0.2">
      <c r="D1544" s="4"/>
      <c r="I1544" s="4"/>
      <c r="J1544" s="4"/>
      <c r="Q1544" s="78" t="e">
        <f>VLOOKUP(A1544,'גיליון דאטה להכל'!A:H,5,0)</f>
        <v>#N/A</v>
      </c>
      <c r="R1544" s="78" t="e">
        <f>VLOOKUP(A1544,'לעדכן בסינתזה דאטה אריזה 42+24'!$A:$C,3,0)</f>
        <v>#N/A</v>
      </c>
    </row>
    <row r="1545" spans="4:18" x14ac:dyDescent="0.2">
      <c r="D1545" s="4"/>
      <c r="I1545" s="4"/>
      <c r="J1545" s="4"/>
      <c r="Q1545" s="78" t="e">
        <f>VLOOKUP(A1545,'גיליון דאטה להכל'!A:H,5,0)</f>
        <v>#N/A</v>
      </c>
      <c r="R1545" s="78" t="e">
        <f>VLOOKUP(A1545,'לעדכן בסינתזה דאטה אריזה 42+24'!$A:$C,3,0)</f>
        <v>#N/A</v>
      </c>
    </row>
    <row r="1546" spans="4:18" x14ac:dyDescent="0.2">
      <c r="D1546" s="4"/>
      <c r="I1546" s="4"/>
      <c r="J1546" s="4"/>
      <c r="Q1546" s="78" t="e">
        <f>VLOOKUP(A1546,'גיליון דאטה להכל'!A:H,5,0)</f>
        <v>#N/A</v>
      </c>
      <c r="R1546" s="78" t="e">
        <f>VLOOKUP(A1546,'לעדכן בסינתזה דאטה אריזה 42+24'!$A:$C,3,0)</f>
        <v>#N/A</v>
      </c>
    </row>
    <row r="1547" spans="4:18" x14ac:dyDescent="0.2">
      <c r="D1547" s="4"/>
      <c r="I1547" s="4"/>
      <c r="J1547" s="4"/>
      <c r="Q1547" s="78" t="e">
        <f>VLOOKUP(A1547,'גיליון דאטה להכל'!A:H,5,0)</f>
        <v>#N/A</v>
      </c>
      <c r="R1547" s="78" t="e">
        <f>VLOOKUP(A1547,'לעדכן בסינתזה דאטה אריזה 42+24'!$A:$C,3,0)</f>
        <v>#N/A</v>
      </c>
    </row>
    <row r="1548" spans="4:18" x14ac:dyDescent="0.2">
      <c r="D1548" s="4"/>
      <c r="I1548" s="4"/>
      <c r="J1548" s="4"/>
      <c r="Q1548" s="78" t="e">
        <f>VLOOKUP(A1548,'גיליון דאטה להכל'!A:H,5,0)</f>
        <v>#N/A</v>
      </c>
      <c r="R1548" s="78" t="e">
        <f>VLOOKUP(A1548,'לעדכן בסינתזה דאטה אריזה 42+24'!$A:$C,3,0)</f>
        <v>#N/A</v>
      </c>
    </row>
    <row r="1549" spans="4:18" x14ac:dyDescent="0.2">
      <c r="D1549" s="4"/>
      <c r="I1549" s="4"/>
      <c r="J1549" s="4"/>
      <c r="Q1549" s="78" t="e">
        <f>VLOOKUP(A1549,'גיליון דאטה להכל'!A:H,5,0)</f>
        <v>#N/A</v>
      </c>
      <c r="R1549" s="78" t="e">
        <f>VLOOKUP(A1549,'לעדכן בסינתזה דאטה אריזה 42+24'!$A:$C,3,0)</f>
        <v>#N/A</v>
      </c>
    </row>
    <row r="1550" spans="4:18" x14ac:dyDescent="0.2">
      <c r="D1550" s="4"/>
      <c r="I1550" s="4"/>
      <c r="J1550" s="4"/>
      <c r="Q1550" s="78" t="e">
        <f>VLOOKUP(A1550,'גיליון דאטה להכל'!A:H,5,0)</f>
        <v>#N/A</v>
      </c>
      <c r="R1550" s="78" t="e">
        <f>VLOOKUP(A1550,'לעדכן בסינתזה דאטה אריזה 42+24'!$A:$C,3,0)</f>
        <v>#N/A</v>
      </c>
    </row>
    <row r="1551" spans="4:18" x14ac:dyDescent="0.2">
      <c r="D1551" s="4"/>
      <c r="I1551" s="4"/>
      <c r="J1551" s="4"/>
      <c r="Q1551" s="78" t="e">
        <f>VLOOKUP(A1551,'גיליון דאטה להכל'!A:H,5,0)</f>
        <v>#N/A</v>
      </c>
      <c r="R1551" s="78" t="e">
        <f>VLOOKUP(A1551,'לעדכן בסינתזה דאטה אריזה 42+24'!$A:$C,3,0)</f>
        <v>#N/A</v>
      </c>
    </row>
    <row r="1552" spans="4:18" x14ac:dyDescent="0.2">
      <c r="D1552" s="4"/>
      <c r="I1552" s="4"/>
      <c r="J1552" s="4"/>
      <c r="Q1552" s="78" t="e">
        <f>VLOOKUP(A1552,'גיליון דאטה להכל'!A:H,5,0)</f>
        <v>#N/A</v>
      </c>
      <c r="R1552" s="78" t="e">
        <f>VLOOKUP(A1552,'לעדכן בסינתזה דאטה אריזה 42+24'!$A:$C,3,0)</f>
        <v>#N/A</v>
      </c>
    </row>
    <row r="1553" spans="4:18" x14ac:dyDescent="0.2">
      <c r="D1553" s="4"/>
      <c r="I1553" s="4"/>
      <c r="J1553" s="4"/>
      <c r="Q1553" s="78" t="e">
        <f>VLOOKUP(A1553,'גיליון דאטה להכל'!A:H,5,0)</f>
        <v>#N/A</v>
      </c>
      <c r="R1553" s="78" t="e">
        <f>VLOOKUP(A1553,'לעדכן בסינתזה דאטה אריזה 42+24'!$A:$C,3,0)</f>
        <v>#N/A</v>
      </c>
    </row>
    <row r="1554" spans="4:18" x14ac:dyDescent="0.2">
      <c r="D1554" s="4"/>
      <c r="I1554" s="4"/>
      <c r="J1554" s="4"/>
      <c r="Q1554" s="78" t="e">
        <f>VLOOKUP(A1554,'גיליון דאטה להכל'!A:H,5,0)</f>
        <v>#N/A</v>
      </c>
      <c r="R1554" s="78" t="e">
        <f>VLOOKUP(A1554,'לעדכן בסינתזה דאטה אריזה 42+24'!$A:$C,3,0)</f>
        <v>#N/A</v>
      </c>
    </row>
    <row r="1555" spans="4:18" x14ac:dyDescent="0.2">
      <c r="D1555" s="4"/>
      <c r="I1555" s="4"/>
      <c r="J1555" s="4"/>
      <c r="Q1555" s="78" t="e">
        <f>VLOOKUP(A1555,'גיליון דאטה להכל'!A:H,5,0)</f>
        <v>#N/A</v>
      </c>
      <c r="R1555" s="78" t="e">
        <f>VLOOKUP(A1555,'לעדכן בסינתזה דאטה אריזה 42+24'!$A:$C,3,0)</f>
        <v>#N/A</v>
      </c>
    </row>
    <row r="1556" spans="4:18" x14ac:dyDescent="0.2">
      <c r="D1556" s="4"/>
      <c r="I1556" s="4"/>
      <c r="J1556" s="4"/>
      <c r="Q1556" s="78" t="e">
        <f>VLOOKUP(A1556,'גיליון דאטה להכל'!A:H,5,0)</f>
        <v>#N/A</v>
      </c>
      <c r="R1556" s="78" t="e">
        <f>VLOOKUP(A1556,'לעדכן בסינתזה דאטה אריזה 42+24'!$A:$C,3,0)</f>
        <v>#N/A</v>
      </c>
    </row>
    <row r="1557" spans="4:18" x14ac:dyDescent="0.2">
      <c r="D1557" s="4"/>
      <c r="I1557" s="4"/>
      <c r="J1557" s="4"/>
      <c r="Q1557" s="78" t="e">
        <f>VLOOKUP(A1557,'גיליון דאטה להכל'!A:H,5,0)</f>
        <v>#N/A</v>
      </c>
      <c r="R1557" s="78" t="e">
        <f>VLOOKUP(A1557,'לעדכן בסינתזה דאטה אריזה 42+24'!$A:$C,3,0)</f>
        <v>#N/A</v>
      </c>
    </row>
    <row r="1558" spans="4:18" x14ac:dyDescent="0.2">
      <c r="D1558" s="4"/>
      <c r="I1558" s="4"/>
      <c r="J1558" s="4"/>
      <c r="Q1558" s="78" t="e">
        <f>VLOOKUP(A1558,'גיליון דאטה להכל'!A:H,5,0)</f>
        <v>#N/A</v>
      </c>
      <c r="R1558" s="78" t="e">
        <f>VLOOKUP(A1558,'לעדכן בסינתזה דאטה אריזה 42+24'!$A:$C,3,0)</f>
        <v>#N/A</v>
      </c>
    </row>
    <row r="1559" spans="4:18" x14ac:dyDescent="0.2">
      <c r="D1559" s="4"/>
      <c r="I1559" s="4"/>
      <c r="J1559" s="4"/>
      <c r="Q1559" s="78" t="e">
        <f>VLOOKUP(A1559,'גיליון דאטה להכל'!A:H,5,0)</f>
        <v>#N/A</v>
      </c>
      <c r="R1559" s="78" t="e">
        <f>VLOOKUP(A1559,'לעדכן בסינתזה דאטה אריזה 42+24'!$A:$C,3,0)</f>
        <v>#N/A</v>
      </c>
    </row>
    <row r="1560" spans="4:18" x14ac:dyDescent="0.2">
      <c r="D1560" s="4"/>
      <c r="I1560" s="4"/>
      <c r="J1560" s="4"/>
      <c r="Q1560" s="78" t="e">
        <f>VLOOKUP(A1560,'גיליון דאטה להכל'!A:H,5,0)</f>
        <v>#N/A</v>
      </c>
      <c r="R1560" s="78" t="e">
        <f>VLOOKUP(A1560,'לעדכן בסינתזה דאטה אריזה 42+24'!$A:$C,3,0)</f>
        <v>#N/A</v>
      </c>
    </row>
    <row r="1561" spans="4:18" x14ac:dyDescent="0.2">
      <c r="D1561" s="4"/>
      <c r="I1561" s="4"/>
      <c r="J1561" s="4"/>
      <c r="Q1561" s="78" t="e">
        <f>VLOOKUP(A1561,'גיליון דאטה להכל'!A:H,5,0)</f>
        <v>#N/A</v>
      </c>
      <c r="R1561" s="78" t="e">
        <f>VLOOKUP(A1561,'לעדכן בסינתזה דאטה אריזה 42+24'!$A:$C,3,0)</f>
        <v>#N/A</v>
      </c>
    </row>
    <row r="1562" spans="4:18" x14ac:dyDescent="0.2">
      <c r="D1562" s="4"/>
      <c r="I1562" s="4"/>
      <c r="J1562" s="4"/>
      <c r="Q1562" s="78" t="e">
        <f>VLOOKUP(A1562,'גיליון דאטה להכל'!A:H,5,0)</f>
        <v>#N/A</v>
      </c>
      <c r="R1562" s="78" t="e">
        <f>VLOOKUP(A1562,'לעדכן בסינתזה דאטה אריזה 42+24'!$A:$C,3,0)</f>
        <v>#N/A</v>
      </c>
    </row>
    <row r="1563" spans="4:18" x14ac:dyDescent="0.2">
      <c r="D1563" s="4"/>
      <c r="I1563" s="4"/>
      <c r="J1563" s="4"/>
      <c r="Q1563" s="78" t="e">
        <f>VLOOKUP(A1563,'גיליון דאטה להכל'!A:H,5,0)</f>
        <v>#N/A</v>
      </c>
      <c r="R1563" s="78" t="e">
        <f>VLOOKUP(A1563,'לעדכן בסינתזה דאטה אריזה 42+24'!$A:$C,3,0)</f>
        <v>#N/A</v>
      </c>
    </row>
    <row r="1564" spans="4:18" x14ac:dyDescent="0.2">
      <c r="D1564" s="4"/>
      <c r="I1564" s="4"/>
      <c r="J1564" s="4"/>
      <c r="Q1564" s="78" t="e">
        <f>VLOOKUP(A1564,'גיליון דאטה להכל'!A:H,5,0)</f>
        <v>#N/A</v>
      </c>
      <c r="R1564" s="78" t="e">
        <f>VLOOKUP(A1564,'לעדכן בסינתזה דאטה אריזה 42+24'!$A:$C,3,0)</f>
        <v>#N/A</v>
      </c>
    </row>
    <row r="1565" spans="4:18" x14ac:dyDescent="0.2">
      <c r="D1565" s="4"/>
      <c r="I1565" s="4"/>
      <c r="J1565" s="4"/>
      <c r="Q1565" s="78" t="e">
        <f>VLOOKUP(A1565,'גיליון דאטה להכל'!A:H,5,0)</f>
        <v>#N/A</v>
      </c>
      <c r="R1565" s="78" t="e">
        <f>VLOOKUP(A1565,'לעדכן בסינתזה דאטה אריזה 42+24'!$A:$C,3,0)</f>
        <v>#N/A</v>
      </c>
    </row>
    <row r="1566" spans="4:18" x14ac:dyDescent="0.2">
      <c r="D1566" s="4"/>
      <c r="I1566" s="4"/>
      <c r="J1566" s="4"/>
      <c r="Q1566" s="78" t="e">
        <f>VLOOKUP(A1566,'גיליון דאטה להכל'!A:H,5,0)</f>
        <v>#N/A</v>
      </c>
      <c r="R1566" s="78" t="e">
        <f>VLOOKUP(A1566,'לעדכן בסינתזה דאטה אריזה 42+24'!$A:$C,3,0)</f>
        <v>#N/A</v>
      </c>
    </row>
    <row r="1567" spans="4:18" x14ac:dyDescent="0.2">
      <c r="D1567" s="4"/>
      <c r="I1567" s="4"/>
      <c r="J1567" s="4"/>
      <c r="Q1567" s="78" t="e">
        <f>VLOOKUP(A1567,'גיליון דאטה להכל'!A:H,5,0)</f>
        <v>#N/A</v>
      </c>
      <c r="R1567" s="78" t="e">
        <f>VLOOKUP(A1567,'לעדכן בסינתזה דאטה אריזה 42+24'!$A:$C,3,0)</f>
        <v>#N/A</v>
      </c>
    </row>
    <row r="1568" spans="4:18" x14ac:dyDescent="0.2">
      <c r="D1568" s="4"/>
      <c r="I1568" s="4"/>
      <c r="J1568" s="4"/>
      <c r="Q1568" s="78" t="e">
        <f>VLOOKUP(A1568,'גיליון דאטה להכל'!A:H,5,0)</f>
        <v>#N/A</v>
      </c>
      <c r="R1568" s="78" t="e">
        <f>VLOOKUP(A1568,'לעדכן בסינתזה דאטה אריזה 42+24'!$A:$C,3,0)</f>
        <v>#N/A</v>
      </c>
    </row>
    <row r="1569" spans="4:18" x14ac:dyDescent="0.2">
      <c r="D1569" s="4"/>
      <c r="I1569" s="4"/>
      <c r="J1569" s="4"/>
      <c r="Q1569" s="78" t="e">
        <f>VLOOKUP(A1569,'גיליון דאטה להכל'!A:H,5,0)</f>
        <v>#N/A</v>
      </c>
      <c r="R1569" s="78" t="e">
        <f>VLOOKUP(A1569,'לעדכן בסינתזה דאטה אריזה 42+24'!$A:$C,3,0)</f>
        <v>#N/A</v>
      </c>
    </row>
    <row r="1570" spans="4:18" x14ac:dyDescent="0.2">
      <c r="D1570" s="4"/>
      <c r="I1570" s="4"/>
      <c r="J1570" s="4"/>
      <c r="Q1570" s="78" t="e">
        <f>VLOOKUP(A1570,'גיליון דאטה להכל'!A:H,5,0)</f>
        <v>#N/A</v>
      </c>
      <c r="R1570" s="78" t="e">
        <f>VLOOKUP(A1570,'לעדכן בסינתזה דאטה אריזה 42+24'!$A:$C,3,0)</f>
        <v>#N/A</v>
      </c>
    </row>
    <row r="1571" spans="4:18" x14ac:dyDescent="0.2">
      <c r="D1571" s="4"/>
      <c r="I1571" s="4"/>
      <c r="J1571" s="4"/>
      <c r="Q1571" s="78" t="e">
        <f>VLOOKUP(A1571,'גיליון דאטה להכל'!A:H,5,0)</f>
        <v>#N/A</v>
      </c>
      <c r="R1571" s="78" t="e">
        <f>VLOOKUP(A1571,'לעדכן בסינתזה דאטה אריזה 42+24'!$A:$C,3,0)</f>
        <v>#N/A</v>
      </c>
    </row>
    <row r="1572" spans="4:18" x14ac:dyDescent="0.2">
      <c r="D1572" s="4"/>
      <c r="I1572" s="4"/>
      <c r="J1572" s="4"/>
      <c r="Q1572" s="78" t="e">
        <f>VLOOKUP(A1572,'גיליון דאטה להכל'!A:H,5,0)</f>
        <v>#N/A</v>
      </c>
      <c r="R1572" s="78" t="e">
        <f>VLOOKUP(A1572,'לעדכן בסינתזה דאטה אריזה 42+24'!$A:$C,3,0)</f>
        <v>#N/A</v>
      </c>
    </row>
    <row r="1573" spans="4:18" x14ac:dyDescent="0.2">
      <c r="D1573" s="4"/>
      <c r="I1573" s="4"/>
      <c r="J1573" s="4"/>
      <c r="Q1573" s="78" t="e">
        <f>VLOOKUP(A1573,'גיליון דאטה להכל'!A:H,5,0)</f>
        <v>#N/A</v>
      </c>
      <c r="R1573" s="78" t="e">
        <f>VLOOKUP(A1573,'לעדכן בסינתזה דאטה אריזה 42+24'!$A:$C,3,0)</f>
        <v>#N/A</v>
      </c>
    </row>
    <row r="1574" spans="4:18" x14ac:dyDescent="0.2">
      <c r="D1574" s="4"/>
      <c r="I1574" s="4"/>
      <c r="J1574" s="4"/>
      <c r="Q1574" s="78" t="e">
        <f>VLOOKUP(A1574,'גיליון דאטה להכל'!A:H,5,0)</f>
        <v>#N/A</v>
      </c>
      <c r="R1574" s="78" t="e">
        <f>VLOOKUP(A1574,'לעדכן בסינתזה דאטה אריזה 42+24'!$A:$C,3,0)</f>
        <v>#N/A</v>
      </c>
    </row>
    <row r="1575" spans="4:18" x14ac:dyDescent="0.2">
      <c r="D1575" s="4"/>
      <c r="I1575" s="4"/>
      <c r="J1575" s="4"/>
      <c r="Q1575" s="78" t="e">
        <f>VLOOKUP(A1575,'גיליון דאטה להכל'!A:H,5,0)</f>
        <v>#N/A</v>
      </c>
      <c r="R1575" s="78" t="e">
        <f>VLOOKUP(A1575,'לעדכן בסינתזה דאטה אריזה 42+24'!$A:$C,3,0)</f>
        <v>#N/A</v>
      </c>
    </row>
    <row r="1576" spans="4:18" x14ac:dyDescent="0.2">
      <c r="D1576" s="4"/>
      <c r="I1576" s="4"/>
      <c r="J1576" s="4"/>
      <c r="Q1576" s="78" t="e">
        <f>VLOOKUP(A1576,'גיליון דאטה להכל'!A:H,5,0)</f>
        <v>#N/A</v>
      </c>
      <c r="R1576" s="78" t="e">
        <f>VLOOKUP(A1576,'לעדכן בסינתזה דאטה אריזה 42+24'!$A:$C,3,0)</f>
        <v>#N/A</v>
      </c>
    </row>
    <row r="1577" spans="4:18" x14ac:dyDescent="0.2">
      <c r="D1577" s="4"/>
      <c r="I1577" s="4"/>
      <c r="J1577" s="4"/>
      <c r="Q1577" s="78" t="e">
        <f>VLOOKUP(A1577,'גיליון דאטה להכל'!A:H,5,0)</f>
        <v>#N/A</v>
      </c>
      <c r="R1577" s="78" t="e">
        <f>VLOOKUP(A1577,'לעדכן בסינתזה דאטה אריזה 42+24'!$A:$C,3,0)</f>
        <v>#N/A</v>
      </c>
    </row>
    <row r="1578" spans="4:18" x14ac:dyDescent="0.2">
      <c r="D1578" s="4"/>
      <c r="I1578" s="4"/>
      <c r="J1578" s="4"/>
      <c r="Q1578" s="78" t="e">
        <f>VLOOKUP(A1578,'גיליון דאטה להכל'!A:H,5,0)</f>
        <v>#N/A</v>
      </c>
      <c r="R1578" s="78" t="e">
        <f>VLOOKUP(A1578,'לעדכן בסינתזה דאטה אריזה 42+24'!$A:$C,3,0)</f>
        <v>#N/A</v>
      </c>
    </row>
    <row r="1579" spans="4:18" x14ac:dyDescent="0.2">
      <c r="D1579" s="4"/>
      <c r="I1579" s="4"/>
      <c r="J1579" s="4"/>
      <c r="Q1579" s="78" t="e">
        <f>VLOOKUP(A1579,'גיליון דאטה להכל'!A:H,5,0)</f>
        <v>#N/A</v>
      </c>
      <c r="R1579" s="78" t="e">
        <f>VLOOKUP(A1579,'לעדכן בסינתזה דאטה אריזה 42+24'!$A:$C,3,0)</f>
        <v>#N/A</v>
      </c>
    </row>
    <row r="1580" spans="4:18" x14ac:dyDescent="0.2">
      <c r="D1580" s="4"/>
      <c r="I1580" s="4"/>
      <c r="J1580" s="4"/>
      <c r="Q1580" s="78" t="e">
        <f>VLOOKUP(A1580,'גיליון דאטה להכל'!A:H,5,0)</f>
        <v>#N/A</v>
      </c>
      <c r="R1580" s="78" t="e">
        <f>VLOOKUP(A1580,'לעדכן בסינתזה דאטה אריזה 42+24'!$A:$C,3,0)</f>
        <v>#N/A</v>
      </c>
    </row>
    <row r="1581" spans="4:18" x14ac:dyDescent="0.2">
      <c r="D1581" s="4"/>
      <c r="I1581" s="4"/>
      <c r="J1581" s="4"/>
      <c r="Q1581" s="78" t="e">
        <f>VLOOKUP(A1581,'גיליון דאטה להכל'!A:H,5,0)</f>
        <v>#N/A</v>
      </c>
      <c r="R1581" s="78" t="e">
        <f>VLOOKUP(A1581,'לעדכן בסינתזה דאטה אריזה 42+24'!$A:$C,3,0)</f>
        <v>#N/A</v>
      </c>
    </row>
    <row r="1582" spans="4:18" x14ac:dyDescent="0.2">
      <c r="D1582" s="4"/>
      <c r="I1582" s="4"/>
      <c r="J1582" s="4"/>
      <c r="Q1582" s="78" t="e">
        <f>VLOOKUP(A1582,'גיליון דאטה להכל'!A:H,5,0)</f>
        <v>#N/A</v>
      </c>
      <c r="R1582" s="78" t="e">
        <f>VLOOKUP(A1582,'לעדכן בסינתזה דאטה אריזה 42+24'!$A:$C,3,0)</f>
        <v>#N/A</v>
      </c>
    </row>
    <row r="1583" spans="4:18" x14ac:dyDescent="0.2">
      <c r="D1583" s="4"/>
      <c r="I1583" s="4"/>
      <c r="J1583" s="4"/>
      <c r="Q1583" s="78" t="e">
        <f>VLOOKUP(A1583,'גיליון דאטה להכל'!A:H,5,0)</f>
        <v>#N/A</v>
      </c>
      <c r="R1583" s="78" t="e">
        <f>VLOOKUP(A1583,'לעדכן בסינתזה דאטה אריזה 42+24'!$A:$C,3,0)</f>
        <v>#N/A</v>
      </c>
    </row>
    <row r="1584" spans="4:18" x14ac:dyDescent="0.2">
      <c r="D1584" s="4"/>
      <c r="I1584" s="4"/>
      <c r="J1584" s="4"/>
      <c r="Q1584" s="78" t="e">
        <f>VLOOKUP(A1584,'גיליון דאטה להכל'!A:H,5,0)</f>
        <v>#N/A</v>
      </c>
      <c r="R1584" s="78" t="e">
        <f>VLOOKUP(A1584,'לעדכן בסינתזה דאטה אריזה 42+24'!$A:$C,3,0)</f>
        <v>#N/A</v>
      </c>
    </row>
    <row r="1585" spans="4:18" x14ac:dyDescent="0.2">
      <c r="D1585" s="4"/>
      <c r="I1585" s="4"/>
      <c r="J1585" s="4"/>
      <c r="Q1585" s="78" t="e">
        <f>VLOOKUP(A1585,'גיליון דאטה להכל'!A:H,5,0)</f>
        <v>#N/A</v>
      </c>
      <c r="R1585" s="78" t="e">
        <f>VLOOKUP(A1585,'לעדכן בסינתזה דאטה אריזה 42+24'!$A:$C,3,0)</f>
        <v>#N/A</v>
      </c>
    </row>
    <row r="1586" spans="4:18" x14ac:dyDescent="0.2">
      <c r="D1586" s="4"/>
      <c r="I1586" s="4"/>
      <c r="J1586" s="4"/>
      <c r="Q1586" s="78" t="e">
        <f>VLOOKUP(A1586,'גיליון דאטה להכל'!A:H,5,0)</f>
        <v>#N/A</v>
      </c>
      <c r="R1586" s="78" t="e">
        <f>VLOOKUP(A1586,'לעדכן בסינתזה דאטה אריזה 42+24'!$A:$C,3,0)</f>
        <v>#N/A</v>
      </c>
    </row>
    <row r="1587" spans="4:18" x14ac:dyDescent="0.2">
      <c r="D1587" s="4"/>
      <c r="I1587" s="4"/>
      <c r="J1587" s="4"/>
      <c r="Q1587" s="78" t="e">
        <f>VLOOKUP(A1587,'גיליון דאטה להכל'!A:H,5,0)</f>
        <v>#N/A</v>
      </c>
      <c r="R1587" s="78" t="e">
        <f>VLOOKUP(A1587,'לעדכן בסינתזה דאטה אריזה 42+24'!$A:$C,3,0)</f>
        <v>#N/A</v>
      </c>
    </row>
    <row r="1588" spans="4:18" x14ac:dyDescent="0.2">
      <c r="D1588" s="4"/>
      <c r="I1588" s="4"/>
      <c r="J1588" s="4"/>
      <c r="Q1588" s="78" t="e">
        <f>VLOOKUP(A1588,'גיליון דאטה להכל'!A:H,5,0)</f>
        <v>#N/A</v>
      </c>
      <c r="R1588" s="78" t="e">
        <f>VLOOKUP(A1588,'לעדכן בסינתזה דאטה אריזה 42+24'!$A:$C,3,0)</f>
        <v>#N/A</v>
      </c>
    </row>
    <row r="1589" spans="4:18" x14ac:dyDescent="0.2">
      <c r="D1589" s="4"/>
      <c r="I1589" s="4"/>
      <c r="J1589" s="4"/>
      <c r="Q1589" s="78" t="e">
        <f>VLOOKUP(A1589,'גיליון דאטה להכל'!A:H,5,0)</f>
        <v>#N/A</v>
      </c>
      <c r="R1589" s="78" t="e">
        <f>VLOOKUP(A1589,'לעדכן בסינתזה דאטה אריזה 42+24'!$A:$C,3,0)</f>
        <v>#N/A</v>
      </c>
    </row>
    <row r="1590" spans="4:18" x14ac:dyDescent="0.2">
      <c r="D1590" s="4"/>
      <c r="I1590" s="4"/>
      <c r="J1590" s="4"/>
      <c r="Q1590" s="78" t="e">
        <f>VLOOKUP(A1590,'גיליון דאטה להכל'!A:H,5,0)</f>
        <v>#N/A</v>
      </c>
      <c r="R1590" s="78" t="e">
        <f>VLOOKUP(A1590,'לעדכן בסינתזה דאטה אריזה 42+24'!$A:$C,3,0)</f>
        <v>#N/A</v>
      </c>
    </row>
    <row r="1591" spans="4:18" x14ac:dyDescent="0.2">
      <c r="D1591" s="4"/>
      <c r="I1591" s="4"/>
      <c r="J1591" s="4"/>
      <c r="Q1591" s="78" t="e">
        <f>VLOOKUP(A1591,'גיליון דאטה להכל'!A:H,5,0)</f>
        <v>#N/A</v>
      </c>
      <c r="R1591" s="78" t="e">
        <f>VLOOKUP(A1591,'לעדכן בסינתזה דאטה אריזה 42+24'!$A:$C,3,0)</f>
        <v>#N/A</v>
      </c>
    </row>
    <row r="1592" spans="4:18" x14ac:dyDescent="0.2">
      <c r="D1592" s="4"/>
      <c r="I1592" s="4"/>
      <c r="J1592" s="4"/>
      <c r="Q1592" s="78" t="e">
        <f>VLOOKUP(A1592,'גיליון דאטה להכל'!A:H,5,0)</f>
        <v>#N/A</v>
      </c>
      <c r="R1592" s="78" t="e">
        <f>VLOOKUP(A1592,'לעדכן בסינתזה דאטה אריזה 42+24'!$A:$C,3,0)</f>
        <v>#N/A</v>
      </c>
    </row>
    <row r="1593" spans="4:18" x14ac:dyDescent="0.2">
      <c r="D1593" s="4"/>
      <c r="I1593" s="4"/>
      <c r="J1593" s="4"/>
      <c r="Q1593" s="78" t="e">
        <f>VLOOKUP(A1593,'גיליון דאטה להכל'!A:H,5,0)</f>
        <v>#N/A</v>
      </c>
      <c r="R1593" s="78" t="e">
        <f>VLOOKUP(A1593,'לעדכן בסינתזה דאטה אריזה 42+24'!$A:$C,3,0)</f>
        <v>#N/A</v>
      </c>
    </row>
    <row r="1594" spans="4:18" x14ac:dyDescent="0.2">
      <c r="D1594" s="4"/>
      <c r="I1594" s="4"/>
      <c r="J1594" s="4"/>
      <c r="Q1594" s="78" t="e">
        <f>VLOOKUP(A1594,'גיליון דאטה להכל'!A:H,5,0)</f>
        <v>#N/A</v>
      </c>
      <c r="R1594" s="78" t="e">
        <f>VLOOKUP(A1594,'לעדכן בסינתזה דאטה אריזה 42+24'!$A:$C,3,0)</f>
        <v>#N/A</v>
      </c>
    </row>
    <row r="1595" spans="4:18" x14ac:dyDescent="0.2">
      <c r="D1595" s="4"/>
      <c r="I1595" s="4"/>
      <c r="J1595" s="4"/>
      <c r="Q1595" s="78" t="e">
        <f>VLOOKUP(A1595,'גיליון דאטה להכל'!A:H,5,0)</f>
        <v>#N/A</v>
      </c>
      <c r="R1595" s="78" t="e">
        <f>VLOOKUP(A1595,'לעדכן בסינתזה דאטה אריזה 42+24'!$A:$C,3,0)</f>
        <v>#N/A</v>
      </c>
    </row>
    <row r="1596" spans="4:18" x14ac:dyDescent="0.2">
      <c r="D1596" s="4"/>
      <c r="I1596" s="4"/>
      <c r="J1596" s="4"/>
      <c r="Q1596" s="78" t="e">
        <f>VLOOKUP(A1596,'גיליון דאטה להכל'!A:H,5,0)</f>
        <v>#N/A</v>
      </c>
      <c r="R1596" s="78" t="e">
        <f>VLOOKUP(A1596,'לעדכן בסינתזה דאטה אריזה 42+24'!$A:$C,3,0)</f>
        <v>#N/A</v>
      </c>
    </row>
    <row r="1597" spans="4:18" x14ac:dyDescent="0.2">
      <c r="D1597" s="4"/>
      <c r="I1597" s="4"/>
      <c r="J1597" s="4"/>
      <c r="Q1597" s="78" t="e">
        <f>VLOOKUP(A1597,'גיליון דאטה להכל'!A:H,5,0)</f>
        <v>#N/A</v>
      </c>
      <c r="R1597" s="78" t="e">
        <f>VLOOKUP(A1597,'לעדכן בסינתזה דאטה אריזה 42+24'!$A:$C,3,0)</f>
        <v>#N/A</v>
      </c>
    </row>
    <row r="1598" spans="4:18" x14ac:dyDescent="0.2">
      <c r="D1598" s="4"/>
      <c r="I1598" s="4"/>
      <c r="J1598" s="4"/>
      <c r="Q1598" s="78" t="e">
        <f>VLOOKUP(A1598,'גיליון דאטה להכל'!A:H,5,0)</f>
        <v>#N/A</v>
      </c>
      <c r="R1598" s="78" t="e">
        <f>VLOOKUP(A1598,'לעדכן בסינתזה דאטה אריזה 42+24'!$A:$C,3,0)</f>
        <v>#N/A</v>
      </c>
    </row>
    <row r="1599" spans="4:18" x14ac:dyDescent="0.2">
      <c r="D1599" s="4"/>
      <c r="I1599" s="4"/>
      <c r="J1599" s="4"/>
      <c r="Q1599" s="78" t="e">
        <f>VLOOKUP(A1599,'גיליון דאטה להכל'!A:H,5,0)</f>
        <v>#N/A</v>
      </c>
      <c r="R1599" s="78" t="e">
        <f>VLOOKUP(A1599,'לעדכן בסינתזה דאטה אריזה 42+24'!$A:$C,3,0)</f>
        <v>#N/A</v>
      </c>
    </row>
    <row r="1600" spans="4:18" x14ac:dyDescent="0.2">
      <c r="D1600" s="4"/>
      <c r="I1600" s="4"/>
      <c r="J1600" s="4"/>
      <c r="Q1600" s="78" t="e">
        <f>VLOOKUP(A1600,'גיליון דאטה להכל'!A:H,5,0)</f>
        <v>#N/A</v>
      </c>
      <c r="R1600" s="78" t="e">
        <f>VLOOKUP(A1600,'לעדכן בסינתזה דאטה אריזה 42+24'!$A:$C,3,0)</f>
        <v>#N/A</v>
      </c>
    </row>
    <row r="1601" spans="4:18" x14ac:dyDescent="0.2">
      <c r="D1601" s="4"/>
      <c r="I1601" s="4"/>
      <c r="J1601" s="4"/>
      <c r="Q1601" s="78" t="e">
        <f>VLOOKUP(A1601,'גיליון דאטה להכל'!A:H,5,0)</f>
        <v>#N/A</v>
      </c>
      <c r="R1601" s="78" t="e">
        <f>VLOOKUP(A1601,'לעדכן בסינתזה דאטה אריזה 42+24'!$A:$C,3,0)</f>
        <v>#N/A</v>
      </c>
    </row>
    <row r="1602" spans="4:18" x14ac:dyDescent="0.2">
      <c r="D1602" s="4"/>
      <c r="I1602" s="4"/>
      <c r="J1602" s="4"/>
      <c r="Q1602" s="78" t="e">
        <f>VLOOKUP(A1602,'גיליון דאטה להכל'!A:H,5,0)</f>
        <v>#N/A</v>
      </c>
      <c r="R1602" s="78" t="e">
        <f>VLOOKUP(A1602,'לעדכן בסינתזה דאטה אריזה 42+24'!$A:$C,3,0)</f>
        <v>#N/A</v>
      </c>
    </row>
    <row r="1603" spans="4:18" x14ac:dyDescent="0.2">
      <c r="D1603" s="4"/>
      <c r="I1603" s="4"/>
      <c r="J1603" s="4"/>
      <c r="Q1603" s="78" t="e">
        <f>VLOOKUP(A1603,'גיליון דאטה להכל'!A:H,5,0)</f>
        <v>#N/A</v>
      </c>
      <c r="R1603" s="78" t="e">
        <f>VLOOKUP(A1603,'לעדכן בסינתזה דאטה אריזה 42+24'!$A:$C,3,0)</f>
        <v>#N/A</v>
      </c>
    </row>
    <row r="1604" spans="4:18" x14ac:dyDescent="0.2">
      <c r="D1604" s="4"/>
      <c r="I1604" s="4"/>
      <c r="J1604" s="4"/>
      <c r="Q1604" s="78" t="e">
        <f>VLOOKUP(A1604,'גיליון דאטה להכל'!A:H,5,0)</f>
        <v>#N/A</v>
      </c>
      <c r="R1604" s="78" t="e">
        <f>VLOOKUP(A1604,'לעדכן בסינתזה דאטה אריזה 42+24'!$A:$C,3,0)</f>
        <v>#N/A</v>
      </c>
    </row>
    <row r="1605" spans="4:18" x14ac:dyDescent="0.2">
      <c r="D1605" s="4"/>
      <c r="I1605" s="4"/>
      <c r="J1605" s="4"/>
      <c r="Q1605" s="78" t="e">
        <f>VLOOKUP(A1605,'גיליון דאטה להכל'!A:H,5,0)</f>
        <v>#N/A</v>
      </c>
      <c r="R1605" s="78" t="e">
        <f>VLOOKUP(A1605,'לעדכן בסינתזה דאטה אריזה 42+24'!$A:$C,3,0)</f>
        <v>#N/A</v>
      </c>
    </row>
    <row r="1606" spans="4:18" x14ac:dyDescent="0.2">
      <c r="D1606" s="4"/>
      <c r="I1606" s="4"/>
      <c r="J1606" s="4"/>
      <c r="Q1606" s="78" t="e">
        <f>VLOOKUP(A1606,'גיליון דאטה להכל'!A:H,5,0)</f>
        <v>#N/A</v>
      </c>
      <c r="R1606" s="78" t="e">
        <f>VLOOKUP(A1606,'לעדכן בסינתזה דאטה אריזה 42+24'!$A:$C,3,0)</f>
        <v>#N/A</v>
      </c>
    </row>
    <row r="1607" spans="4:18" x14ac:dyDescent="0.2">
      <c r="D1607" s="4"/>
      <c r="I1607" s="4"/>
      <c r="J1607" s="4"/>
      <c r="Q1607" s="78" t="e">
        <f>VLOOKUP(A1607,'גיליון דאטה להכל'!A:H,5,0)</f>
        <v>#N/A</v>
      </c>
      <c r="R1607" s="78" t="e">
        <f>VLOOKUP(A1607,'לעדכן בסינתזה דאטה אריזה 42+24'!$A:$C,3,0)</f>
        <v>#N/A</v>
      </c>
    </row>
    <row r="1608" spans="4:18" x14ac:dyDescent="0.2">
      <c r="D1608" s="4"/>
      <c r="I1608" s="4"/>
      <c r="J1608" s="4"/>
      <c r="Q1608" s="78" t="e">
        <f>VLOOKUP(A1608,'גיליון דאטה להכל'!A:H,5,0)</f>
        <v>#N/A</v>
      </c>
      <c r="R1608" s="78" t="e">
        <f>VLOOKUP(A1608,'לעדכן בסינתזה דאטה אריזה 42+24'!$A:$C,3,0)</f>
        <v>#N/A</v>
      </c>
    </row>
    <row r="1609" spans="4:18" x14ac:dyDescent="0.2">
      <c r="D1609" s="4"/>
      <c r="I1609" s="4"/>
      <c r="J1609" s="4"/>
      <c r="Q1609" s="78" t="e">
        <f>VLOOKUP(A1609,'גיליון דאטה להכל'!A:H,5,0)</f>
        <v>#N/A</v>
      </c>
      <c r="R1609" s="78" t="e">
        <f>VLOOKUP(A1609,'לעדכן בסינתזה דאטה אריזה 42+24'!$A:$C,3,0)</f>
        <v>#N/A</v>
      </c>
    </row>
    <row r="1610" spans="4:18" x14ac:dyDescent="0.2">
      <c r="D1610" s="4"/>
      <c r="I1610" s="4"/>
      <c r="J1610" s="4"/>
      <c r="Q1610" s="78" t="e">
        <f>VLOOKUP(A1610,'גיליון דאטה להכל'!A:H,5,0)</f>
        <v>#N/A</v>
      </c>
      <c r="R1610" s="78" t="e">
        <f>VLOOKUP(A1610,'לעדכן בסינתזה דאטה אריזה 42+24'!$A:$C,3,0)</f>
        <v>#N/A</v>
      </c>
    </row>
    <row r="1611" spans="4:18" x14ac:dyDescent="0.2">
      <c r="D1611" s="4"/>
      <c r="I1611" s="4"/>
      <c r="J1611" s="4"/>
      <c r="Q1611" s="78" t="e">
        <f>VLOOKUP(A1611,'גיליון דאטה להכל'!A:H,5,0)</f>
        <v>#N/A</v>
      </c>
      <c r="R1611" s="78" t="e">
        <f>VLOOKUP(A1611,'לעדכן בסינתזה דאטה אריזה 42+24'!$A:$C,3,0)</f>
        <v>#N/A</v>
      </c>
    </row>
    <row r="1612" spans="4:18" x14ac:dyDescent="0.2">
      <c r="D1612" s="4"/>
      <c r="I1612" s="4"/>
      <c r="J1612" s="4"/>
      <c r="Q1612" s="78" t="e">
        <f>VLOOKUP(A1612,'גיליון דאטה להכל'!A:H,5,0)</f>
        <v>#N/A</v>
      </c>
      <c r="R1612" s="78" t="e">
        <f>VLOOKUP(A1612,'לעדכן בסינתזה דאטה אריזה 42+24'!$A:$C,3,0)</f>
        <v>#N/A</v>
      </c>
    </row>
    <row r="1613" spans="4:18" x14ac:dyDescent="0.2">
      <c r="D1613" s="4"/>
      <c r="I1613" s="4"/>
      <c r="J1613" s="4"/>
      <c r="Q1613" s="78" t="e">
        <f>VLOOKUP(A1613,'גיליון דאטה להכל'!A:H,5,0)</f>
        <v>#N/A</v>
      </c>
      <c r="R1613" s="78" t="e">
        <f>VLOOKUP(A1613,'לעדכן בסינתזה דאטה אריזה 42+24'!$A:$C,3,0)</f>
        <v>#N/A</v>
      </c>
    </row>
    <row r="1614" spans="4:18" x14ac:dyDescent="0.2">
      <c r="D1614" s="4"/>
      <c r="I1614" s="4"/>
      <c r="J1614" s="4"/>
      <c r="Q1614" s="78" t="e">
        <f>VLOOKUP(A1614,'גיליון דאטה להכל'!A:H,5,0)</f>
        <v>#N/A</v>
      </c>
      <c r="R1614" s="78" t="e">
        <f>VLOOKUP(A1614,'לעדכן בסינתזה דאטה אריזה 42+24'!$A:$C,3,0)</f>
        <v>#N/A</v>
      </c>
    </row>
    <row r="1615" spans="4:18" x14ac:dyDescent="0.2">
      <c r="D1615" s="4"/>
      <c r="I1615" s="4"/>
      <c r="J1615" s="4"/>
      <c r="Q1615" s="78" t="e">
        <f>VLOOKUP(A1615,'גיליון דאטה להכל'!A:H,5,0)</f>
        <v>#N/A</v>
      </c>
      <c r="R1615" s="78" t="e">
        <f>VLOOKUP(A1615,'לעדכן בסינתזה דאטה אריזה 42+24'!$A:$C,3,0)</f>
        <v>#N/A</v>
      </c>
    </row>
    <row r="1616" spans="4:18" x14ac:dyDescent="0.2">
      <c r="D1616" s="4"/>
      <c r="I1616" s="4"/>
      <c r="J1616" s="4"/>
      <c r="Q1616" s="78" t="e">
        <f>VLOOKUP(A1616,'גיליון דאטה להכל'!A:H,5,0)</f>
        <v>#N/A</v>
      </c>
      <c r="R1616" s="78" t="e">
        <f>VLOOKUP(A1616,'לעדכן בסינתזה דאטה אריזה 42+24'!$A:$C,3,0)</f>
        <v>#N/A</v>
      </c>
    </row>
    <row r="1617" spans="4:18" x14ac:dyDescent="0.2">
      <c r="D1617" s="4"/>
      <c r="I1617" s="4"/>
      <c r="J1617" s="4"/>
      <c r="Q1617" s="78" t="e">
        <f>VLOOKUP(A1617,'גיליון דאטה להכל'!A:H,5,0)</f>
        <v>#N/A</v>
      </c>
      <c r="R1617" s="78" t="e">
        <f>VLOOKUP(A1617,'לעדכן בסינתזה דאטה אריזה 42+24'!$A:$C,3,0)</f>
        <v>#N/A</v>
      </c>
    </row>
    <row r="1618" spans="4:18" x14ac:dyDescent="0.2">
      <c r="D1618" s="4"/>
      <c r="I1618" s="4"/>
      <c r="J1618" s="4"/>
      <c r="Q1618" s="78" t="e">
        <f>VLOOKUP(A1618,'גיליון דאטה להכל'!A:H,5,0)</f>
        <v>#N/A</v>
      </c>
      <c r="R1618" s="78" t="e">
        <f>VLOOKUP(A1618,'לעדכן בסינתזה דאטה אריזה 42+24'!$A:$C,3,0)</f>
        <v>#N/A</v>
      </c>
    </row>
    <row r="1619" spans="4:18" x14ac:dyDescent="0.2">
      <c r="D1619" s="4"/>
      <c r="I1619" s="4"/>
      <c r="J1619" s="4"/>
      <c r="Q1619" s="78" t="e">
        <f>VLOOKUP(A1619,'גיליון דאטה להכל'!A:H,5,0)</f>
        <v>#N/A</v>
      </c>
      <c r="R1619" s="78" t="e">
        <f>VLOOKUP(A1619,'לעדכן בסינתזה דאטה אריזה 42+24'!$A:$C,3,0)</f>
        <v>#N/A</v>
      </c>
    </row>
    <row r="1620" spans="4:18" x14ac:dyDescent="0.2">
      <c r="D1620" s="4"/>
      <c r="I1620" s="4"/>
      <c r="J1620" s="4"/>
      <c r="Q1620" s="78" t="e">
        <f>VLOOKUP(A1620,'גיליון דאטה להכל'!A:H,5,0)</f>
        <v>#N/A</v>
      </c>
      <c r="R1620" s="78" t="e">
        <f>VLOOKUP(A1620,'לעדכן בסינתזה דאטה אריזה 42+24'!$A:$C,3,0)</f>
        <v>#N/A</v>
      </c>
    </row>
    <row r="1621" spans="4:18" x14ac:dyDescent="0.2">
      <c r="D1621" s="4"/>
      <c r="I1621" s="4"/>
      <c r="J1621" s="4"/>
      <c r="Q1621" s="78" t="e">
        <f>VLOOKUP(A1621,'גיליון דאטה להכל'!A:H,5,0)</f>
        <v>#N/A</v>
      </c>
      <c r="R1621" s="78" t="e">
        <f>VLOOKUP(A1621,'לעדכן בסינתזה דאטה אריזה 42+24'!$A:$C,3,0)</f>
        <v>#N/A</v>
      </c>
    </row>
    <row r="1622" spans="4:18" x14ac:dyDescent="0.2">
      <c r="D1622" s="4"/>
      <c r="I1622" s="4"/>
      <c r="J1622" s="4"/>
      <c r="Q1622" s="78" t="e">
        <f>VLOOKUP(A1622,'גיליון דאטה להכל'!A:H,5,0)</f>
        <v>#N/A</v>
      </c>
      <c r="R1622" s="78" t="e">
        <f>VLOOKUP(A1622,'לעדכן בסינתזה דאטה אריזה 42+24'!$A:$C,3,0)</f>
        <v>#N/A</v>
      </c>
    </row>
    <row r="1623" spans="4:18" x14ac:dyDescent="0.2">
      <c r="D1623" s="4"/>
      <c r="I1623" s="4"/>
      <c r="J1623" s="4"/>
      <c r="Q1623" s="78" t="e">
        <f>VLOOKUP(A1623,'גיליון דאטה להכל'!A:H,5,0)</f>
        <v>#N/A</v>
      </c>
      <c r="R1623" s="78" t="e">
        <f>VLOOKUP(A1623,'לעדכן בסינתזה דאטה אריזה 42+24'!$A:$C,3,0)</f>
        <v>#N/A</v>
      </c>
    </row>
    <row r="1624" spans="4:18" x14ac:dyDescent="0.2">
      <c r="D1624" s="4"/>
      <c r="I1624" s="4"/>
      <c r="J1624" s="4"/>
      <c r="Q1624" s="78" t="e">
        <f>VLOOKUP(A1624,'גיליון דאטה להכל'!A:H,5,0)</f>
        <v>#N/A</v>
      </c>
      <c r="R1624" s="78" t="e">
        <f>VLOOKUP(A1624,'לעדכן בסינתזה דאטה אריזה 42+24'!$A:$C,3,0)</f>
        <v>#N/A</v>
      </c>
    </row>
    <row r="1625" spans="4:18" x14ac:dyDescent="0.2">
      <c r="D1625" s="4"/>
      <c r="I1625" s="4"/>
      <c r="J1625" s="4"/>
      <c r="Q1625" s="78" t="e">
        <f>VLOOKUP(A1625,'גיליון דאטה להכל'!A:H,5,0)</f>
        <v>#N/A</v>
      </c>
      <c r="R1625" s="78" t="e">
        <f>VLOOKUP(A1625,'לעדכן בסינתזה דאטה אריזה 42+24'!$A:$C,3,0)</f>
        <v>#N/A</v>
      </c>
    </row>
    <row r="1626" spans="4:18" x14ac:dyDescent="0.2">
      <c r="D1626" s="4"/>
      <c r="I1626" s="4"/>
      <c r="J1626" s="4"/>
      <c r="Q1626" s="78" t="e">
        <f>VLOOKUP(A1626,'גיליון דאטה להכל'!A:H,5,0)</f>
        <v>#N/A</v>
      </c>
      <c r="R1626" s="78" t="e">
        <f>VLOOKUP(A1626,'לעדכן בסינתזה דאטה אריזה 42+24'!$A:$C,3,0)</f>
        <v>#N/A</v>
      </c>
    </row>
    <row r="1627" spans="4:18" x14ac:dyDescent="0.2">
      <c r="D1627" s="4"/>
      <c r="I1627" s="4"/>
      <c r="J1627" s="4"/>
      <c r="Q1627" s="78" t="e">
        <f>VLOOKUP(A1627,'גיליון דאטה להכל'!A:H,5,0)</f>
        <v>#N/A</v>
      </c>
      <c r="R1627" s="78" t="e">
        <f>VLOOKUP(A1627,'לעדכן בסינתזה דאטה אריזה 42+24'!$A:$C,3,0)</f>
        <v>#N/A</v>
      </c>
    </row>
    <row r="1628" spans="4:18" x14ac:dyDescent="0.2">
      <c r="D1628" s="4"/>
      <c r="I1628" s="4"/>
      <c r="J1628" s="4"/>
      <c r="Q1628" s="78" t="e">
        <f>VLOOKUP(A1628,'גיליון דאטה להכל'!A:H,5,0)</f>
        <v>#N/A</v>
      </c>
      <c r="R1628" s="78" t="e">
        <f>VLOOKUP(A1628,'לעדכן בסינתזה דאטה אריזה 42+24'!$A:$C,3,0)</f>
        <v>#N/A</v>
      </c>
    </row>
    <row r="1629" spans="4:18" x14ac:dyDescent="0.2">
      <c r="D1629" s="4"/>
      <c r="I1629" s="4"/>
      <c r="J1629" s="4"/>
      <c r="Q1629" s="78" t="e">
        <f>VLOOKUP(A1629,'גיליון דאטה להכל'!A:H,5,0)</f>
        <v>#N/A</v>
      </c>
      <c r="R1629" s="78" t="e">
        <f>VLOOKUP(A1629,'לעדכן בסינתזה דאטה אריזה 42+24'!$A:$C,3,0)</f>
        <v>#N/A</v>
      </c>
    </row>
    <row r="1630" spans="4:18" x14ac:dyDescent="0.2">
      <c r="D1630" s="4"/>
      <c r="I1630" s="4"/>
      <c r="J1630" s="4"/>
      <c r="Q1630" s="78" t="e">
        <f>VLOOKUP(A1630,'גיליון דאטה להכל'!A:H,5,0)</f>
        <v>#N/A</v>
      </c>
      <c r="R1630" s="78" t="e">
        <f>VLOOKUP(A1630,'לעדכן בסינתזה דאטה אריזה 42+24'!$A:$C,3,0)</f>
        <v>#N/A</v>
      </c>
    </row>
    <row r="1631" spans="4:18" x14ac:dyDescent="0.2">
      <c r="D1631" s="4"/>
      <c r="I1631" s="4"/>
      <c r="J1631" s="4"/>
      <c r="Q1631" s="78" t="e">
        <f>VLOOKUP(A1631,'גיליון דאטה להכל'!A:H,5,0)</f>
        <v>#N/A</v>
      </c>
      <c r="R1631" s="78" t="e">
        <f>VLOOKUP(A1631,'לעדכן בסינתזה דאטה אריזה 42+24'!$A:$C,3,0)</f>
        <v>#N/A</v>
      </c>
    </row>
    <row r="1632" spans="4:18" x14ac:dyDescent="0.2">
      <c r="D1632" s="4"/>
      <c r="I1632" s="4"/>
      <c r="J1632" s="4"/>
      <c r="Q1632" s="78" t="e">
        <f>VLOOKUP(A1632,'גיליון דאטה להכל'!A:H,5,0)</f>
        <v>#N/A</v>
      </c>
      <c r="R1632" s="78" t="e">
        <f>VLOOKUP(A1632,'לעדכן בסינתזה דאטה אריזה 42+24'!$A:$C,3,0)</f>
        <v>#N/A</v>
      </c>
    </row>
    <row r="1633" spans="4:18" x14ac:dyDescent="0.2">
      <c r="D1633" s="4"/>
      <c r="I1633" s="4"/>
      <c r="J1633" s="4"/>
      <c r="Q1633" s="78" t="e">
        <f>VLOOKUP(A1633,'גיליון דאטה להכל'!A:H,5,0)</f>
        <v>#N/A</v>
      </c>
      <c r="R1633" s="78" t="e">
        <f>VLOOKUP(A1633,'לעדכן בסינתזה דאטה אריזה 42+24'!$A:$C,3,0)</f>
        <v>#N/A</v>
      </c>
    </row>
    <row r="1634" spans="4:18" x14ac:dyDescent="0.2">
      <c r="D1634" s="4"/>
      <c r="I1634" s="4"/>
      <c r="J1634" s="4"/>
      <c r="Q1634" s="78" t="e">
        <f>VLOOKUP(A1634,'גיליון דאטה להכל'!A:H,5,0)</f>
        <v>#N/A</v>
      </c>
      <c r="R1634" s="78" t="e">
        <f>VLOOKUP(A1634,'לעדכן בסינתזה דאטה אריזה 42+24'!$A:$C,3,0)</f>
        <v>#N/A</v>
      </c>
    </row>
    <row r="1635" spans="4:18" x14ac:dyDescent="0.2">
      <c r="D1635" s="4"/>
      <c r="I1635" s="4"/>
      <c r="J1635" s="4"/>
      <c r="Q1635" s="78" t="e">
        <f>VLOOKUP(A1635,'גיליון דאטה להכל'!A:H,5,0)</f>
        <v>#N/A</v>
      </c>
      <c r="R1635" s="78" t="e">
        <f>VLOOKUP(A1635,'לעדכן בסינתזה דאטה אריזה 42+24'!$A:$C,3,0)</f>
        <v>#N/A</v>
      </c>
    </row>
    <row r="1636" spans="4:18" x14ac:dyDescent="0.2">
      <c r="D1636" s="4"/>
      <c r="I1636" s="4"/>
      <c r="J1636" s="4"/>
      <c r="Q1636" s="78" t="e">
        <f>VLOOKUP(A1636,'גיליון דאטה להכל'!A:H,5,0)</f>
        <v>#N/A</v>
      </c>
      <c r="R1636" s="78" t="e">
        <f>VLOOKUP(A1636,'לעדכן בסינתזה דאטה אריזה 42+24'!$A:$C,3,0)</f>
        <v>#N/A</v>
      </c>
    </row>
    <row r="1637" spans="4:18" x14ac:dyDescent="0.2">
      <c r="D1637" s="4"/>
      <c r="I1637" s="4"/>
      <c r="J1637" s="4"/>
      <c r="Q1637" s="78" t="e">
        <f>VLOOKUP(A1637,'גיליון דאטה להכל'!A:H,5,0)</f>
        <v>#N/A</v>
      </c>
      <c r="R1637" s="78" t="e">
        <f>VLOOKUP(A1637,'לעדכן בסינתזה דאטה אריזה 42+24'!$A:$C,3,0)</f>
        <v>#N/A</v>
      </c>
    </row>
    <row r="1638" spans="4:18" x14ac:dyDescent="0.2">
      <c r="D1638" s="4"/>
      <c r="I1638" s="4"/>
      <c r="J1638" s="4"/>
      <c r="Q1638" s="78" t="e">
        <f>VLOOKUP(A1638,'גיליון דאטה להכל'!A:H,5,0)</f>
        <v>#N/A</v>
      </c>
      <c r="R1638" s="78" t="e">
        <f>VLOOKUP(A1638,'לעדכן בסינתזה דאטה אריזה 42+24'!$A:$C,3,0)</f>
        <v>#N/A</v>
      </c>
    </row>
    <row r="1639" spans="4:18" x14ac:dyDescent="0.2">
      <c r="D1639" s="4"/>
      <c r="I1639" s="4"/>
      <c r="J1639" s="4"/>
      <c r="Q1639" s="78" t="e">
        <f>VLOOKUP(A1639,'גיליון דאטה להכל'!A:H,5,0)</f>
        <v>#N/A</v>
      </c>
      <c r="R1639" s="78" t="e">
        <f>VLOOKUP(A1639,'לעדכן בסינתזה דאטה אריזה 42+24'!$A:$C,3,0)</f>
        <v>#N/A</v>
      </c>
    </row>
    <row r="1640" spans="4:18" x14ac:dyDescent="0.2">
      <c r="D1640" s="4"/>
      <c r="I1640" s="4"/>
      <c r="J1640" s="4"/>
      <c r="Q1640" s="78" t="e">
        <f>VLOOKUP(A1640,'גיליון דאטה להכל'!A:H,5,0)</f>
        <v>#N/A</v>
      </c>
      <c r="R1640" s="78" t="e">
        <f>VLOOKUP(A1640,'לעדכן בסינתזה דאטה אריזה 42+24'!$A:$C,3,0)</f>
        <v>#N/A</v>
      </c>
    </row>
    <row r="1641" spans="4:18" x14ac:dyDescent="0.2">
      <c r="D1641" s="4"/>
      <c r="I1641" s="4"/>
      <c r="J1641" s="4"/>
      <c r="Q1641" s="78" t="e">
        <f>VLOOKUP(A1641,'גיליון דאטה להכל'!A:H,5,0)</f>
        <v>#N/A</v>
      </c>
      <c r="R1641" s="78" t="e">
        <f>VLOOKUP(A1641,'לעדכן בסינתזה דאטה אריזה 42+24'!$A:$C,3,0)</f>
        <v>#N/A</v>
      </c>
    </row>
    <row r="1642" spans="4:18" x14ac:dyDescent="0.2">
      <c r="D1642" s="4"/>
      <c r="I1642" s="4"/>
      <c r="J1642" s="4"/>
      <c r="Q1642" s="78" t="e">
        <f>VLOOKUP(A1642,'גיליון דאטה להכל'!A:H,5,0)</f>
        <v>#N/A</v>
      </c>
      <c r="R1642" s="78" t="e">
        <f>VLOOKUP(A1642,'לעדכן בסינתזה דאטה אריזה 42+24'!$A:$C,3,0)</f>
        <v>#N/A</v>
      </c>
    </row>
    <row r="1643" spans="4:18" x14ac:dyDescent="0.2">
      <c r="D1643" s="4"/>
      <c r="I1643" s="4"/>
      <c r="J1643" s="4"/>
      <c r="Q1643" s="78" t="e">
        <f>VLOOKUP(A1643,'גיליון דאטה להכל'!A:H,5,0)</f>
        <v>#N/A</v>
      </c>
      <c r="R1643" s="78" t="e">
        <f>VLOOKUP(A1643,'לעדכן בסינתזה דאטה אריזה 42+24'!$A:$C,3,0)</f>
        <v>#N/A</v>
      </c>
    </row>
    <row r="1644" spans="4:18" x14ac:dyDescent="0.2">
      <c r="D1644" s="4"/>
      <c r="I1644" s="4"/>
      <c r="J1644" s="4"/>
      <c r="Q1644" s="78" t="e">
        <f>VLOOKUP(A1644,'גיליון דאטה להכל'!A:H,5,0)</f>
        <v>#N/A</v>
      </c>
      <c r="R1644" s="78" t="e">
        <f>VLOOKUP(A1644,'לעדכן בסינתזה דאטה אריזה 42+24'!$A:$C,3,0)</f>
        <v>#N/A</v>
      </c>
    </row>
    <row r="1645" spans="4:18" x14ac:dyDescent="0.2">
      <c r="D1645" s="4"/>
      <c r="I1645" s="4"/>
      <c r="J1645" s="4"/>
      <c r="Q1645" s="78" t="e">
        <f>VLOOKUP(A1645,'גיליון דאטה להכל'!A:H,5,0)</f>
        <v>#N/A</v>
      </c>
      <c r="R1645" s="78" t="e">
        <f>VLOOKUP(A1645,'לעדכן בסינתזה דאטה אריזה 42+24'!$A:$C,3,0)</f>
        <v>#N/A</v>
      </c>
    </row>
    <row r="1646" spans="4:18" x14ac:dyDescent="0.2">
      <c r="D1646" s="4"/>
      <c r="I1646" s="4"/>
      <c r="J1646" s="4"/>
      <c r="Q1646" s="78" t="e">
        <f>VLOOKUP(A1646,'גיליון דאטה להכל'!A:H,5,0)</f>
        <v>#N/A</v>
      </c>
      <c r="R1646" s="78" t="e">
        <f>VLOOKUP(A1646,'לעדכן בסינתזה דאטה אריזה 42+24'!$A:$C,3,0)</f>
        <v>#N/A</v>
      </c>
    </row>
    <row r="1647" spans="4:18" x14ac:dyDescent="0.2">
      <c r="D1647" s="4"/>
      <c r="I1647" s="4"/>
      <c r="J1647" s="4"/>
      <c r="Q1647" s="78" t="e">
        <f>VLOOKUP(A1647,'גיליון דאטה להכל'!A:H,5,0)</f>
        <v>#N/A</v>
      </c>
      <c r="R1647" s="78" t="e">
        <f>VLOOKUP(A1647,'לעדכן בסינתזה דאטה אריזה 42+24'!$A:$C,3,0)</f>
        <v>#N/A</v>
      </c>
    </row>
    <row r="1648" spans="4:18" x14ac:dyDescent="0.2">
      <c r="D1648" s="4"/>
      <c r="I1648" s="4"/>
      <c r="J1648" s="4"/>
      <c r="Q1648" s="78" t="e">
        <f>VLOOKUP(A1648,'גיליון דאטה להכל'!A:H,5,0)</f>
        <v>#N/A</v>
      </c>
      <c r="R1648" s="78" t="e">
        <f>VLOOKUP(A1648,'לעדכן בסינתזה דאטה אריזה 42+24'!$A:$C,3,0)</f>
        <v>#N/A</v>
      </c>
    </row>
    <row r="1649" spans="4:18" x14ac:dyDescent="0.2">
      <c r="D1649" s="4"/>
      <c r="I1649" s="4"/>
      <c r="J1649" s="4"/>
      <c r="Q1649" s="78" t="e">
        <f>VLOOKUP(A1649,'גיליון דאטה להכל'!A:H,5,0)</f>
        <v>#N/A</v>
      </c>
      <c r="R1649" s="78" t="e">
        <f>VLOOKUP(A1649,'לעדכן בסינתזה דאטה אריזה 42+24'!$A:$C,3,0)</f>
        <v>#N/A</v>
      </c>
    </row>
    <row r="1650" spans="4:18" x14ac:dyDescent="0.2">
      <c r="D1650" s="4"/>
      <c r="I1650" s="4"/>
      <c r="J1650" s="4"/>
      <c r="Q1650" s="78" t="e">
        <f>VLOOKUP(A1650,'גיליון דאטה להכל'!A:H,5,0)</f>
        <v>#N/A</v>
      </c>
      <c r="R1650" s="78" t="e">
        <f>VLOOKUP(A1650,'לעדכן בסינתזה דאטה אריזה 42+24'!$A:$C,3,0)</f>
        <v>#N/A</v>
      </c>
    </row>
    <row r="1651" spans="4:18" x14ac:dyDescent="0.2">
      <c r="D1651" s="4"/>
      <c r="I1651" s="4"/>
      <c r="J1651" s="4"/>
      <c r="Q1651" s="78" t="e">
        <f>VLOOKUP(A1651,'גיליון דאטה להכל'!A:H,5,0)</f>
        <v>#N/A</v>
      </c>
      <c r="R1651" s="78" t="e">
        <f>VLOOKUP(A1651,'לעדכן בסינתזה דאטה אריזה 42+24'!$A:$C,3,0)</f>
        <v>#N/A</v>
      </c>
    </row>
    <row r="1652" spans="4:18" x14ac:dyDescent="0.2">
      <c r="D1652" s="4"/>
      <c r="I1652" s="4"/>
      <c r="J1652" s="4"/>
      <c r="Q1652" s="78" t="e">
        <f>VLOOKUP(A1652,'גיליון דאטה להכל'!A:H,5,0)</f>
        <v>#N/A</v>
      </c>
      <c r="R1652" s="78" t="e">
        <f>VLOOKUP(A1652,'לעדכן בסינתזה דאטה אריזה 42+24'!$A:$C,3,0)</f>
        <v>#N/A</v>
      </c>
    </row>
    <row r="1653" spans="4:18" x14ac:dyDescent="0.2">
      <c r="D1653" s="4"/>
      <c r="I1653" s="4"/>
      <c r="J1653" s="4"/>
      <c r="Q1653" s="78" t="e">
        <f>VLOOKUP(A1653,'גיליון דאטה להכל'!A:H,5,0)</f>
        <v>#N/A</v>
      </c>
      <c r="R1653" s="78" t="e">
        <f>VLOOKUP(A1653,'לעדכן בסינתזה דאטה אריזה 42+24'!$A:$C,3,0)</f>
        <v>#N/A</v>
      </c>
    </row>
    <row r="1654" spans="4:18" x14ac:dyDescent="0.2">
      <c r="D1654" s="4"/>
      <c r="I1654" s="4"/>
      <c r="J1654" s="4"/>
      <c r="Q1654" s="78" t="e">
        <f>VLOOKUP(A1654,'גיליון דאטה להכל'!A:H,5,0)</f>
        <v>#N/A</v>
      </c>
      <c r="R1654" s="78" t="e">
        <f>VLOOKUP(A1654,'לעדכן בסינתזה דאטה אריזה 42+24'!$A:$C,3,0)</f>
        <v>#N/A</v>
      </c>
    </row>
    <row r="1655" spans="4:18" x14ac:dyDescent="0.2">
      <c r="D1655" s="4"/>
      <c r="I1655" s="4"/>
      <c r="J1655" s="4"/>
      <c r="Q1655" s="78" t="e">
        <f>VLOOKUP(A1655,'גיליון דאטה להכל'!A:H,5,0)</f>
        <v>#N/A</v>
      </c>
      <c r="R1655" s="78" t="e">
        <f>VLOOKUP(A1655,'לעדכן בסינתזה דאטה אריזה 42+24'!$A:$C,3,0)</f>
        <v>#N/A</v>
      </c>
    </row>
    <row r="1656" spans="4:18" x14ac:dyDescent="0.2">
      <c r="D1656" s="4"/>
      <c r="I1656" s="4"/>
      <c r="J1656" s="4"/>
      <c r="Q1656" s="78" t="e">
        <f>VLOOKUP(A1656,'גיליון דאטה להכל'!A:H,5,0)</f>
        <v>#N/A</v>
      </c>
      <c r="R1656" s="78" t="e">
        <f>VLOOKUP(A1656,'לעדכן בסינתזה דאטה אריזה 42+24'!$A:$C,3,0)</f>
        <v>#N/A</v>
      </c>
    </row>
    <row r="1657" spans="4:18" x14ac:dyDescent="0.2">
      <c r="D1657" s="4"/>
      <c r="I1657" s="4"/>
      <c r="J1657" s="4"/>
      <c r="Q1657" s="78" t="e">
        <f>VLOOKUP(A1657,'גיליון דאטה להכל'!A:H,5,0)</f>
        <v>#N/A</v>
      </c>
      <c r="R1657" s="78" t="e">
        <f>VLOOKUP(A1657,'לעדכן בסינתזה דאטה אריזה 42+24'!$A:$C,3,0)</f>
        <v>#N/A</v>
      </c>
    </row>
    <row r="1658" spans="4:18" x14ac:dyDescent="0.2">
      <c r="D1658" s="4"/>
      <c r="I1658" s="4"/>
      <c r="J1658" s="4"/>
      <c r="Q1658" s="78" t="e">
        <f>VLOOKUP(A1658,'גיליון דאטה להכל'!A:H,5,0)</f>
        <v>#N/A</v>
      </c>
      <c r="R1658" s="78" t="e">
        <f>VLOOKUP(A1658,'לעדכן בסינתזה דאטה אריזה 42+24'!$A:$C,3,0)</f>
        <v>#N/A</v>
      </c>
    </row>
    <row r="1659" spans="4:18" x14ac:dyDescent="0.2">
      <c r="D1659" s="4"/>
      <c r="I1659" s="4"/>
      <c r="J1659" s="4"/>
      <c r="Q1659" s="78" t="e">
        <f>VLOOKUP(A1659,'גיליון דאטה להכל'!A:H,5,0)</f>
        <v>#N/A</v>
      </c>
      <c r="R1659" s="78" t="e">
        <f>VLOOKUP(A1659,'לעדכן בסינתזה דאטה אריזה 42+24'!$A:$C,3,0)</f>
        <v>#N/A</v>
      </c>
    </row>
    <row r="1660" spans="4:18" x14ac:dyDescent="0.2">
      <c r="D1660" s="4"/>
      <c r="I1660" s="4"/>
      <c r="J1660" s="4"/>
      <c r="Q1660" s="78" t="e">
        <f>VLOOKUP(A1660,'גיליון דאטה להכל'!A:H,5,0)</f>
        <v>#N/A</v>
      </c>
      <c r="R1660" s="78" t="e">
        <f>VLOOKUP(A1660,'לעדכן בסינתזה דאטה אריזה 42+24'!$A:$C,3,0)</f>
        <v>#N/A</v>
      </c>
    </row>
    <row r="1661" spans="4:18" x14ac:dyDescent="0.2">
      <c r="D1661" s="4"/>
      <c r="I1661" s="4"/>
      <c r="J1661" s="4"/>
      <c r="Q1661" s="78" t="e">
        <f>VLOOKUP(A1661,'גיליון דאטה להכל'!A:H,5,0)</f>
        <v>#N/A</v>
      </c>
      <c r="R1661" s="78" t="e">
        <f>VLOOKUP(A1661,'לעדכן בסינתזה דאטה אריזה 42+24'!$A:$C,3,0)</f>
        <v>#N/A</v>
      </c>
    </row>
    <row r="1662" spans="4:18" x14ac:dyDescent="0.2">
      <c r="D1662" s="4"/>
      <c r="I1662" s="4"/>
      <c r="J1662" s="4"/>
      <c r="Q1662" s="78" t="e">
        <f>VLOOKUP(A1662,'גיליון דאטה להכל'!A:H,5,0)</f>
        <v>#N/A</v>
      </c>
      <c r="R1662" s="78" t="e">
        <f>VLOOKUP(A1662,'לעדכן בסינתזה דאטה אריזה 42+24'!$A:$C,3,0)</f>
        <v>#N/A</v>
      </c>
    </row>
    <row r="1663" spans="4:18" x14ac:dyDescent="0.2">
      <c r="D1663" s="4"/>
      <c r="I1663" s="4"/>
      <c r="J1663" s="4"/>
      <c r="Q1663" s="78" t="e">
        <f>VLOOKUP(A1663,'גיליון דאטה להכל'!A:H,5,0)</f>
        <v>#N/A</v>
      </c>
      <c r="R1663" s="78" t="e">
        <f>VLOOKUP(A1663,'לעדכן בסינתזה דאטה אריזה 42+24'!$A:$C,3,0)</f>
        <v>#N/A</v>
      </c>
    </row>
    <row r="1664" spans="4:18" x14ac:dyDescent="0.2">
      <c r="D1664" s="4"/>
      <c r="I1664" s="4"/>
      <c r="J1664" s="4"/>
      <c r="Q1664" s="78" t="e">
        <f>VLOOKUP(A1664,'גיליון דאטה להכל'!A:H,5,0)</f>
        <v>#N/A</v>
      </c>
      <c r="R1664" s="78" t="e">
        <f>VLOOKUP(A1664,'לעדכן בסינתזה דאטה אריזה 42+24'!$A:$C,3,0)</f>
        <v>#N/A</v>
      </c>
    </row>
    <row r="1665" spans="4:18" x14ac:dyDescent="0.2">
      <c r="D1665" s="4"/>
      <c r="I1665" s="4"/>
      <c r="J1665" s="4"/>
      <c r="Q1665" s="78" t="e">
        <f>VLOOKUP(A1665,'גיליון דאטה להכל'!A:H,5,0)</f>
        <v>#N/A</v>
      </c>
      <c r="R1665" s="78" t="e">
        <f>VLOOKUP(A1665,'לעדכן בסינתזה דאטה אריזה 42+24'!$A:$C,3,0)</f>
        <v>#N/A</v>
      </c>
    </row>
    <row r="1666" spans="4:18" x14ac:dyDescent="0.2">
      <c r="D1666" s="4"/>
      <c r="I1666" s="4"/>
      <c r="J1666" s="4"/>
      <c r="Q1666" s="78" t="e">
        <f>VLOOKUP(A1666,'גיליון דאטה להכל'!A:H,5,0)</f>
        <v>#N/A</v>
      </c>
      <c r="R1666" s="78" t="e">
        <f>VLOOKUP(A1666,'לעדכן בסינתזה דאטה אריזה 42+24'!$A:$C,3,0)</f>
        <v>#N/A</v>
      </c>
    </row>
    <row r="1667" spans="4:18" x14ac:dyDescent="0.2">
      <c r="D1667" s="4"/>
      <c r="I1667" s="4"/>
      <c r="J1667" s="4"/>
      <c r="Q1667" s="78" t="e">
        <f>VLOOKUP(A1667,'גיליון דאטה להכל'!A:H,5,0)</f>
        <v>#N/A</v>
      </c>
      <c r="R1667" s="78" t="e">
        <f>VLOOKUP(A1667,'לעדכן בסינתזה דאטה אריזה 42+24'!$A:$C,3,0)</f>
        <v>#N/A</v>
      </c>
    </row>
    <row r="1668" spans="4:18" x14ac:dyDescent="0.2">
      <c r="D1668" s="4"/>
      <c r="I1668" s="4"/>
      <c r="J1668" s="4"/>
      <c r="Q1668" s="78" t="e">
        <f>VLOOKUP(A1668,'גיליון דאטה להכל'!A:H,5,0)</f>
        <v>#N/A</v>
      </c>
      <c r="R1668" s="78" t="e">
        <f>VLOOKUP(A1668,'לעדכן בסינתזה דאטה אריזה 42+24'!$A:$C,3,0)</f>
        <v>#N/A</v>
      </c>
    </row>
    <row r="1669" spans="4:18" x14ac:dyDescent="0.2">
      <c r="D1669" s="4"/>
      <c r="I1669" s="4"/>
      <c r="J1669" s="4"/>
      <c r="Q1669" s="78" t="e">
        <f>VLOOKUP(A1669,'גיליון דאטה להכל'!A:H,5,0)</f>
        <v>#N/A</v>
      </c>
      <c r="R1669" s="78" t="e">
        <f>VLOOKUP(A1669,'לעדכן בסינתזה דאטה אריזה 42+24'!$A:$C,3,0)</f>
        <v>#N/A</v>
      </c>
    </row>
    <row r="1670" spans="4:18" x14ac:dyDescent="0.2">
      <c r="D1670" s="4"/>
      <c r="I1670" s="4"/>
      <c r="J1670" s="4"/>
      <c r="Q1670" s="78" t="e">
        <f>VLOOKUP(A1670,'גיליון דאטה להכל'!A:H,5,0)</f>
        <v>#N/A</v>
      </c>
      <c r="R1670" s="78" t="e">
        <f>VLOOKUP(A1670,'לעדכן בסינתזה דאטה אריזה 42+24'!$A:$C,3,0)</f>
        <v>#N/A</v>
      </c>
    </row>
    <row r="1671" spans="4:18" x14ac:dyDescent="0.2">
      <c r="D1671" s="4"/>
      <c r="I1671" s="4"/>
      <c r="J1671" s="4"/>
      <c r="Q1671" s="78" t="e">
        <f>VLOOKUP(A1671,'גיליון דאטה להכל'!A:H,5,0)</f>
        <v>#N/A</v>
      </c>
      <c r="R1671" s="78" t="e">
        <f>VLOOKUP(A1671,'לעדכן בסינתזה דאטה אריזה 42+24'!$A:$C,3,0)</f>
        <v>#N/A</v>
      </c>
    </row>
    <row r="1672" spans="4:18" x14ac:dyDescent="0.2">
      <c r="D1672" s="4"/>
      <c r="I1672" s="4"/>
      <c r="J1672" s="4"/>
      <c r="Q1672" s="78" t="e">
        <f>VLOOKUP(A1672,'גיליון דאטה להכל'!A:H,5,0)</f>
        <v>#N/A</v>
      </c>
      <c r="R1672" s="78" t="e">
        <f>VLOOKUP(A1672,'לעדכן בסינתזה דאטה אריזה 42+24'!$A:$C,3,0)</f>
        <v>#N/A</v>
      </c>
    </row>
    <row r="1673" spans="4:18" x14ac:dyDescent="0.2">
      <c r="D1673" s="4"/>
      <c r="I1673" s="4"/>
      <c r="J1673" s="4"/>
      <c r="Q1673" s="78" t="e">
        <f>VLOOKUP(A1673,'גיליון דאטה להכל'!A:H,5,0)</f>
        <v>#N/A</v>
      </c>
      <c r="R1673" s="78" t="e">
        <f>VLOOKUP(A1673,'לעדכן בסינתזה דאטה אריזה 42+24'!$A:$C,3,0)</f>
        <v>#N/A</v>
      </c>
    </row>
    <row r="1674" spans="4:18" x14ac:dyDescent="0.2">
      <c r="D1674" s="4"/>
      <c r="I1674" s="4"/>
      <c r="J1674" s="4"/>
      <c r="Q1674" s="78" t="e">
        <f>VLOOKUP(A1674,'גיליון דאטה להכל'!A:H,5,0)</f>
        <v>#N/A</v>
      </c>
      <c r="R1674" s="78" t="e">
        <f>VLOOKUP(A1674,'לעדכן בסינתזה דאטה אריזה 42+24'!$A:$C,3,0)</f>
        <v>#N/A</v>
      </c>
    </row>
    <row r="1675" spans="4:18" x14ac:dyDescent="0.2">
      <c r="D1675" s="4"/>
      <c r="I1675" s="4"/>
      <c r="J1675" s="4"/>
      <c r="Q1675" s="78" t="e">
        <f>VLOOKUP(A1675,'גיליון דאטה להכל'!A:H,5,0)</f>
        <v>#N/A</v>
      </c>
      <c r="R1675" s="78" t="e">
        <f>VLOOKUP(A1675,'לעדכן בסינתזה דאטה אריזה 42+24'!$A:$C,3,0)</f>
        <v>#N/A</v>
      </c>
    </row>
    <row r="1676" spans="4:18" x14ac:dyDescent="0.2">
      <c r="I1676" s="4"/>
      <c r="J1676" s="4"/>
      <c r="Q1676" s="78" t="e">
        <f>VLOOKUP(A1676,'גיליון דאטה להכל'!A:H,5,0)</f>
        <v>#N/A</v>
      </c>
      <c r="R1676" s="78" t="e">
        <f>VLOOKUP(A1676,'לעדכן בסינתזה דאטה אריזה 42+24'!$A:$C,3,0)</f>
        <v>#N/A</v>
      </c>
    </row>
    <row r="1677" spans="4:18" x14ac:dyDescent="0.2">
      <c r="I1677" s="4"/>
      <c r="J1677" s="4"/>
      <c r="Q1677" s="78" t="e">
        <f>VLOOKUP(A1677,'גיליון דאטה להכל'!A:H,5,0)</f>
        <v>#N/A</v>
      </c>
      <c r="R1677" s="78" t="e">
        <f>VLOOKUP(A1677,'לעדכן בסינתזה דאטה אריזה 42+24'!$A:$C,3,0)</f>
        <v>#N/A</v>
      </c>
    </row>
    <row r="1678" spans="4:18" x14ac:dyDescent="0.2">
      <c r="I1678" s="4"/>
      <c r="J1678" s="4"/>
      <c r="Q1678" s="78" t="e">
        <f>VLOOKUP(A1678,'גיליון דאטה להכל'!A:H,5,0)</f>
        <v>#N/A</v>
      </c>
      <c r="R1678" s="78" t="e">
        <f>VLOOKUP(A1678,'לעדכן בסינתזה דאטה אריזה 42+24'!$A:$C,3,0)</f>
        <v>#N/A</v>
      </c>
    </row>
    <row r="1679" spans="4:18" x14ac:dyDescent="0.2">
      <c r="I1679" s="4"/>
      <c r="J1679" s="4"/>
      <c r="Q1679" s="78" t="e">
        <f>VLOOKUP(A1679,'גיליון דאטה להכל'!A:H,5,0)</f>
        <v>#N/A</v>
      </c>
      <c r="R1679" s="78" t="e">
        <f>VLOOKUP(A1679,'לעדכן בסינתזה דאטה אריזה 42+24'!$A:$C,3,0)</f>
        <v>#N/A</v>
      </c>
    </row>
    <row r="1680" spans="4:18" x14ac:dyDescent="0.2">
      <c r="I1680" s="4"/>
      <c r="J1680" s="4"/>
      <c r="Q1680" s="78" t="e">
        <f>VLOOKUP(A1680,'גיליון דאטה להכל'!A:H,5,0)</f>
        <v>#N/A</v>
      </c>
      <c r="R1680" s="78" t="e">
        <f>VLOOKUP(A1680,'לעדכן בסינתזה דאטה אריזה 42+24'!$A:$C,3,0)</f>
        <v>#N/A</v>
      </c>
    </row>
    <row r="1681" spans="9:18" x14ac:dyDescent="0.2">
      <c r="I1681" s="4"/>
      <c r="J1681" s="4"/>
      <c r="Q1681" s="78" t="e">
        <f>VLOOKUP(A1681,'גיליון דאטה להכל'!A:H,5,0)</f>
        <v>#N/A</v>
      </c>
      <c r="R1681" s="78" t="e">
        <f>VLOOKUP(A1681,'לעדכן בסינתזה דאטה אריזה 42+24'!$A:$C,3,0)</f>
        <v>#N/A</v>
      </c>
    </row>
    <row r="1682" spans="9:18" x14ac:dyDescent="0.2">
      <c r="I1682" s="4"/>
      <c r="J1682" s="4"/>
      <c r="Q1682" s="78" t="e">
        <f>VLOOKUP(A1682,'גיליון דאטה להכל'!A:H,5,0)</f>
        <v>#N/A</v>
      </c>
      <c r="R1682" s="78" t="e">
        <f>VLOOKUP(A1682,'לעדכן בסינתזה דאטה אריזה 42+24'!$A:$C,3,0)</f>
        <v>#N/A</v>
      </c>
    </row>
    <row r="1683" spans="9:18" x14ac:dyDescent="0.2">
      <c r="I1683" s="4"/>
      <c r="J1683" s="4"/>
      <c r="Q1683" s="78" t="e">
        <f>VLOOKUP(A1683,'גיליון דאטה להכל'!A:H,5,0)</f>
        <v>#N/A</v>
      </c>
      <c r="R1683" s="78" t="e">
        <f>VLOOKUP(A1683,'לעדכן בסינתזה דאטה אריזה 42+24'!$A:$C,3,0)</f>
        <v>#N/A</v>
      </c>
    </row>
    <row r="1684" spans="9:18" x14ac:dyDescent="0.2">
      <c r="I1684" s="4"/>
      <c r="J1684" s="4"/>
      <c r="Q1684" s="78" t="e">
        <f>VLOOKUP(A1684,'גיליון דאטה להכל'!A:H,5,0)</f>
        <v>#N/A</v>
      </c>
      <c r="R1684" s="78" t="e">
        <f>VLOOKUP(A1684,'לעדכן בסינתזה דאטה אריזה 42+24'!$A:$C,3,0)</f>
        <v>#N/A</v>
      </c>
    </row>
    <row r="1685" spans="9:18" x14ac:dyDescent="0.2">
      <c r="I1685" s="4"/>
      <c r="J1685" s="4"/>
      <c r="Q1685" s="78" t="e">
        <f>VLOOKUP(A1685,'גיליון דאטה להכל'!A:H,5,0)</f>
        <v>#N/A</v>
      </c>
      <c r="R1685" s="78" t="e">
        <f>VLOOKUP(A1685,'לעדכן בסינתזה דאטה אריזה 42+24'!$A:$C,3,0)</f>
        <v>#N/A</v>
      </c>
    </row>
    <row r="1686" spans="9:18" x14ac:dyDescent="0.2">
      <c r="I1686" s="4"/>
      <c r="J1686" s="4"/>
      <c r="Q1686" s="78" t="e">
        <f>VLOOKUP(A1686,'גיליון דאטה להכל'!A:H,5,0)</f>
        <v>#N/A</v>
      </c>
      <c r="R1686" s="78" t="e">
        <f>VLOOKUP(A1686,'לעדכן בסינתזה דאטה אריזה 42+24'!$A:$C,3,0)</f>
        <v>#N/A</v>
      </c>
    </row>
    <row r="1687" spans="9:18" x14ac:dyDescent="0.2">
      <c r="I1687" s="4"/>
      <c r="J1687" s="4"/>
      <c r="Q1687" s="78" t="e">
        <f>VLOOKUP(A1687,'גיליון דאטה להכל'!A:H,5,0)</f>
        <v>#N/A</v>
      </c>
      <c r="R1687" s="78" t="e">
        <f>VLOOKUP(A1687,'לעדכן בסינתזה דאטה אריזה 42+24'!$A:$C,3,0)</f>
        <v>#N/A</v>
      </c>
    </row>
    <row r="1688" spans="9:18" x14ac:dyDescent="0.2">
      <c r="I1688" s="4"/>
      <c r="J1688" s="4"/>
      <c r="Q1688" s="78" t="e">
        <f>VLOOKUP(A1688,'גיליון דאטה להכל'!A:H,5,0)</f>
        <v>#N/A</v>
      </c>
      <c r="R1688" s="78" t="e">
        <f>VLOOKUP(A1688,'לעדכן בסינתזה דאטה אריזה 42+24'!$A:$C,3,0)</f>
        <v>#N/A</v>
      </c>
    </row>
    <row r="1689" spans="9:18" x14ac:dyDescent="0.2">
      <c r="I1689" s="4"/>
      <c r="J1689" s="4"/>
      <c r="Q1689" s="78" t="e">
        <f>VLOOKUP(A1689,'גיליון דאטה להכל'!A:H,5,0)</f>
        <v>#N/A</v>
      </c>
      <c r="R1689" s="78" t="e">
        <f>VLOOKUP(A1689,'לעדכן בסינתזה דאטה אריזה 42+24'!$A:$C,3,0)</f>
        <v>#N/A</v>
      </c>
    </row>
    <row r="1690" spans="9:18" x14ac:dyDescent="0.2">
      <c r="I1690" s="4"/>
      <c r="J1690" s="4"/>
      <c r="Q1690" s="78" t="e">
        <f>VLOOKUP(A1690,'גיליון דאטה להכל'!A:H,5,0)</f>
        <v>#N/A</v>
      </c>
      <c r="R1690" s="78" t="e">
        <f>VLOOKUP(A1690,'לעדכן בסינתזה דאטה אריזה 42+24'!$A:$C,3,0)</f>
        <v>#N/A</v>
      </c>
    </row>
    <row r="1691" spans="9:18" x14ac:dyDescent="0.2">
      <c r="I1691" s="4"/>
      <c r="J1691" s="4"/>
      <c r="Q1691" s="78" t="e">
        <f>VLOOKUP(A1691,'גיליון דאטה להכל'!A:H,5,0)</f>
        <v>#N/A</v>
      </c>
      <c r="R1691" s="78" t="e">
        <f>VLOOKUP(A1691,'לעדכן בסינתזה דאטה אריזה 42+24'!$A:$C,3,0)</f>
        <v>#N/A</v>
      </c>
    </row>
    <row r="1692" spans="9:18" x14ac:dyDescent="0.2">
      <c r="I1692" s="4"/>
      <c r="J1692" s="4"/>
      <c r="Q1692" s="78" t="e">
        <f>VLOOKUP(A1692,'גיליון דאטה להכל'!A:H,5,0)</f>
        <v>#N/A</v>
      </c>
      <c r="R1692" s="78" t="e">
        <f>VLOOKUP(A1692,'לעדכן בסינתזה דאטה אריזה 42+24'!$A:$C,3,0)</f>
        <v>#N/A</v>
      </c>
    </row>
    <row r="1693" spans="9:18" x14ac:dyDescent="0.2">
      <c r="I1693" s="4"/>
      <c r="J1693" s="4"/>
      <c r="Q1693" s="78" t="e">
        <f>VLOOKUP(A1693,'גיליון דאטה להכל'!A:H,5,0)</f>
        <v>#N/A</v>
      </c>
      <c r="R1693" s="78" t="e">
        <f>VLOOKUP(A1693,'לעדכן בסינתזה דאטה אריזה 42+24'!$A:$C,3,0)</f>
        <v>#N/A</v>
      </c>
    </row>
    <row r="1694" spans="9:18" x14ac:dyDescent="0.2">
      <c r="I1694" s="4"/>
      <c r="J1694" s="4"/>
      <c r="Q1694" s="78" t="e">
        <f>VLOOKUP(A1694,'גיליון דאטה להכל'!A:H,5,0)</f>
        <v>#N/A</v>
      </c>
      <c r="R1694" s="78" t="e">
        <f>VLOOKUP(A1694,'לעדכן בסינתזה דאטה אריזה 42+24'!$A:$C,3,0)</f>
        <v>#N/A</v>
      </c>
    </row>
    <row r="1695" spans="9:18" x14ac:dyDescent="0.2">
      <c r="I1695" s="4"/>
      <c r="J1695" s="4"/>
      <c r="Q1695" s="78" t="e">
        <f>VLOOKUP(A1695,'גיליון דאטה להכל'!A:H,5,0)</f>
        <v>#N/A</v>
      </c>
      <c r="R1695" s="78" t="e">
        <f>VLOOKUP(A1695,'לעדכן בסינתזה דאטה אריזה 42+24'!$A:$C,3,0)</f>
        <v>#N/A</v>
      </c>
    </row>
    <row r="1696" spans="9:18" x14ac:dyDescent="0.2">
      <c r="I1696" s="4"/>
      <c r="J1696" s="4"/>
      <c r="Q1696" s="78" t="e">
        <f>VLOOKUP(A1696,'גיליון דאטה להכל'!A:H,5,0)</f>
        <v>#N/A</v>
      </c>
      <c r="R1696" s="78" t="e">
        <f>VLOOKUP(A1696,'לעדכן בסינתזה דאטה אריזה 42+24'!$A:$C,3,0)</f>
        <v>#N/A</v>
      </c>
    </row>
    <row r="1697" spans="9:18" x14ac:dyDescent="0.2">
      <c r="I1697" s="4"/>
      <c r="J1697" s="4"/>
      <c r="Q1697" s="78" t="e">
        <f>VLOOKUP(A1697,'גיליון דאטה להכל'!A:H,5,0)</f>
        <v>#N/A</v>
      </c>
      <c r="R1697" s="78" t="e">
        <f>VLOOKUP(A1697,'לעדכן בסינתזה דאטה אריזה 42+24'!$A:$C,3,0)</f>
        <v>#N/A</v>
      </c>
    </row>
    <row r="1698" spans="9:18" x14ac:dyDescent="0.2">
      <c r="I1698" s="4"/>
      <c r="J1698" s="4"/>
      <c r="Q1698" s="78" t="e">
        <f>VLOOKUP(A1698,'גיליון דאטה להכל'!A:H,5,0)</f>
        <v>#N/A</v>
      </c>
      <c r="R1698" s="78" t="e">
        <f>VLOOKUP(A1698,'לעדכן בסינתזה דאטה אריזה 42+24'!$A:$C,3,0)</f>
        <v>#N/A</v>
      </c>
    </row>
    <row r="1699" spans="9:18" x14ac:dyDescent="0.2">
      <c r="Q1699" s="78" t="e">
        <f>VLOOKUP(A1699,'גיליון דאטה להכל'!A:H,5,0)</f>
        <v>#N/A</v>
      </c>
      <c r="R1699" s="78" t="e">
        <f>VLOOKUP(A1699,'לעדכן בסינתזה דאטה אריזה 42+24'!$A:$C,3,0)</f>
        <v>#N/A</v>
      </c>
    </row>
    <row r="1700" spans="9:18" x14ac:dyDescent="0.2">
      <c r="Q1700" s="78" t="e">
        <f>VLOOKUP(A1700,'גיליון דאטה להכל'!A:H,5,0)</f>
        <v>#N/A</v>
      </c>
      <c r="R1700" s="78" t="e">
        <f>VLOOKUP(A1700,'לעדכן בסינתזה דאטה אריזה 42+24'!$A:$C,3,0)</f>
        <v>#N/A</v>
      </c>
    </row>
    <row r="1701" spans="9:18" x14ac:dyDescent="0.2">
      <c r="Q1701" s="78" t="e">
        <f>VLOOKUP(A1701,'גיליון דאטה להכל'!A:H,5,0)</f>
        <v>#N/A</v>
      </c>
      <c r="R1701" s="78" t="e">
        <f>VLOOKUP(A1701,'לעדכן בסינתזה דאטה אריזה 42+24'!$A:$C,3,0)</f>
        <v>#N/A</v>
      </c>
    </row>
    <row r="1702" spans="9:18" x14ac:dyDescent="0.2">
      <c r="Q1702" s="78" t="e">
        <f>VLOOKUP(A1702,'גיליון דאטה להכל'!A:H,5,0)</f>
        <v>#N/A</v>
      </c>
      <c r="R1702" s="78" t="e">
        <f>VLOOKUP(A1702,'לעדכן בסינתזה דאטה אריזה 42+24'!$A:$C,3,0)</f>
        <v>#N/A</v>
      </c>
    </row>
    <row r="1703" spans="9:18" x14ac:dyDescent="0.2">
      <c r="Q1703" s="78" t="e">
        <f>VLOOKUP(A1703,'גיליון דאטה להכל'!A:H,5,0)</f>
        <v>#N/A</v>
      </c>
      <c r="R1703" s="78" t="e">
        <f>VLOOKUP(A1703,'לעדכן בסינתזה דאטה אריזה 42+24'!$A:$C,3,0)</f>
        <v>#N/A</v>
      </c>
    </row>
    <row r="1704" spans="9:18" x14ac:dyDescent="0.2">
      <c r="Q1704" s="78" t="e">
        <f>VLOOKUP(A1704,'גיליון דאטה להכל'!A:H,5,0)</f>
        <v>#N/A</v>
      </c>
      <c r="R1704" s="78" t="e">
        <f>VLOOKUP(A1704,'לעדכן בסינתזה דאטה אריזה 42+24'!$A:$C,3,0)</f>
        <v>#N/A</v>
      </c>
    </row>
    <row r="1705" spans="9:18" x14ac:dyDescent="0.2">
      <c r="Q1705" s="78" t="e">
        <f>VLOOKUP(A1705,'גיליון דאטה להכל'!A:H,5,0)</f>
        <v>#N/A</v>
      </c>
      <c r="R1705" s="78" t="e">
        <f>VLOOKUP(A1705,'לעדכן בסינתזה דאטה אריזה 42+24'!$A:$C,3,0)</f>
        <v>#N/A</v>
      </c>
    </row>
    <row r="1706" spans="9:18" x14ac:dyDescent="0.2">
      <c r="Q1706" s="78" t="e">
        <f>VLOOKUP(A1706,'גיליון דאטה להכל'!A:H,5,0)</f>
        <v>#N/A</v>
      </c>
      <c r="R1706" s="78" t="e">
        <f>VLOOKUP(A1706,'לעדכן בסינתזה דאטה אריזה 42+24'!$A:$C,3,0)</f>
        <v>#N/A</v>
      </c>
    </row>
    <row r="1707" spans="9:18" x14ac:dyDescent="0.2">
      <c r="Q1707" s="78" t="e">
        <f>VLOOKUP(A1707,'גיליון דאטה להכל'!A:H,5,0)</f>
        <v>#N/A</v>
      </c>
      <c r="R1707" s="78" t="e">
        <f>VLOOKUP(A1707,'לעדכן בסינתזה דאטה אריזה 42+24'!$A:$C,3,0)</f>
        <v>#N/A</v>
      </c>
    </row>
    <row r="1708" spans="9:18" x14ac:dyDescent="0.2">
      <c r="Q1708" s="78" t="e">
        <f>VLOOKUP(A1708,'גיליון דאטה להכל'!A:H,5,0)</f>
        <v>#N/A</v>
      </c>
      <c r="R1708" s="78" t="e">
        <f>VLOOKUP(A1708,'לעדכן בסינתזה דאטה אריזה 42+24'!$A:$C,3,0)</f>
        <v>#N/A</v>
      </c>
    </row>
    <row r="1709" spans="9:18" x14ac:dyDescent="0.2">
      <c r="Q1709" s="78" t="e">
        <f>VLOOKUP(A1709,'גיליון דאטה להכל'!A:H,5,0)</f>
        <v>#N/A</v>
      </c>
      <c r="R1709" s="78" t="e">
        <f>VLOOKUP(A1709,'לעדכן בסינתזה דאטה אריזה 42+24'!$A:$C,3,0)</f>
        <v>#N/A</v>
      </c>
    </row>
    <row r="1710" spans="9:18" x14ac:dyDescent="0.2">
      <c r="Q1710" s="78" t="e">
        <f>VLOOKUP(A1710,'גיליון דאטה להכל'!A:H,5,0)</f>
        <v>#N/A</v>
      </c>
      <c r="R1710" s="78" t="e">
        <f>VLOOKUP(A1710,'לעדכן בסינתזה דאטה אריזה 42+24'!$A:$C,3,0)</f>
        <v>#N/A</v>
      </c>
    </row>
    <row r="1711" spans="9:18" x14ac:dyDescent="0.2">
      <c r="Q1711" s="78" t="e">
        <f>VLOOKUP(A1711,'גיליון דאטה להכל'!A:H,5,0)</f>
        <v>#N/A</v>
      </c>
      <c r="R1711" s="78" t="e">
        <f>VLOOKUP(A1711,'לעדכן בסינתזה דאטה אריזה 42+24'!$A:$C,3,0)</f>
        <v>#N/A</v>
      </c>
    </row>
    <row r="1712" spans="9:18" x14ac:dyDescent="0.2">
      <c r="Q1712" s="78" t="e">
        <f>VLOOKUP(A1712,'גיליון דאטה להכל'!A:H,5,0)</f>
        <v>#N/A</v>
      </c>
      <c r="R1712" s="78" t="e">
        <f>VLOOKUP(A1712,'לעדכן בסינתזה דאטה אריזה 42+24'!$A:$C,3,0)</f>
        <v>#N/A</v>
      </c>
    </row>
    <row r="1713" spans="17:18" x14ac:dyDescent="0.2">
      <c r="Q1713" s="78" t="e">
        <f>VLOOKUP(A1713,'גיליון דאטה להכל'!A:H,5,0)</f>
        <v>#N/A</v>
      </c>
      <c r="R1713" s="78" t="e">
        <f>VLOOKUP(A1713,'לעדכן בסינתזה דאטה אריזה 42+24'!$A:$C,3,0)</f>
        <v>#N/A</v>
      </c>
    </row>
    <row r="1714" spans="17:18" x14ac:dyDescent="0.2">
      <c r="Q1714" s="78" t="e">
        <f>VLOOKUP(A1714,'גיליון דאטה להכל'!A:H,5,0)</f>
        <v>#N/A</v>
      </c>
      <c r="R1714" s="78" t="e">
        <f>VLOOKUP(A1714,'לעדכן בסינתזה דאטה אריזה 42+24'!$A:$C,3,0)</f>
        <v>#N/A</v>
      </c>
    </row>
    <row r="1715" spans="17:18" x14ac:dyDescent="0.2">
      <c r="Q1715" s="78" t="e">
        <f>VLOOKUP(A1715,'גיליון דאטה להכל'!A:H,5,0)</f>
        <v>#N/A</v>
      </c>
      <c r="R1715" s="78" t="e">
        <f>VLOOKUP(A1715,'לעדכן בסינתזה דאטה אריזה 42+24'!$A:$C,3,0)</f>
        <v>#N/A</v>
      </c>
    </row>
    <row r="1716" spans="17:18" x14ac:dyDescent="0.2">
      <c r="Q1716" s="78" t="e">
        <f>VLOOKUP(A1716,'גיליון דאטה להכל'!A:H,5,0)</f>
        <v>#N/A</v>
      </c>
      <c r="R1716" s="78" t="e">
        <f>VLOOKUP(A1716,'לעדכן בסינתזה דאטה אריזה 42+24'!$A:$C,3,0)</f>
        <v>#N/A</v>
      </c>
    </row>
    <row r="1717" spans="17:18" x14ac:dyDescent="0.2">
      <c r="Q1717" s="78" t="e">
        <f>VLOOKUP(A1717,'גיליון דאטה להכל'!A:H,5,0)</f>
        <v>#N/A</v>
      </c>
      <c r="R1717" s="78" t="e">
        <f>VLOOKUP(A1717,'לעדכן בסינתזה דאטה אריזה 42+24'!$A:$C,3,0)</f>
        <v>#N/A</v>
      </c>
    </row>
    <row r="1718" spans="17:18" x14ac:dyDescent="0.2">
      <c r="Q1718" s="78" t="e">
        <f>VLOOKUP(A1718,'גיליון דאטה להכל'!A:H,5,0)</f>
        <v>#N/A</v>
      </c>
      <c r="R1718" s="78" t="e">
        <f>VLOOKUP(A1718,'לעדכן בסינתזה דאטה אריזה 42+24'!$A:$C,3,0)</f>
        <v>#N/A</v>
      </c>
    </row>
    <row r="1719" spans="17:18" x14ac:dyDescent="0.2">
      <c r="Q1719" s="78" t="e">
        <f>VLOOKUP(A1719,'גיליון דאטה להכל'!A:H,5,0)</f>
        <v>#N/A</v>
      </c>
      <c r="R1719" s="78" t="e">
        <f>VLOOKUP(A1719,'לעדכן בסינתזה דאטה אריזה 42+24'!$A:$C,3,0)</f>
        <v>#N/A</v>
      </c>
    </row>
    <row r="1720" spans="17:18" x14ac:dyDescent="0.2">
      <c r="Q1720" s="78" t="e">
        <f>VLOOKUP(A1720,'גיליון דאטה להכל'!A:H,5,0)</f>
        <v>#N/A</v>
      </c>
      <c r="R1720" s="78" t="e">
        <f>VLOOKUP(A1720,'לעדכן בסינתזה דאטה אריזה 42+24'!$A:$C,3,0)</f>
        <v>#N/A</v>
      </c>
    </row>
    <row r="1721" spans="17:18" x14ac:dyDescent="0.2">
      <c r="Q1721" s="78" t="e">
        <f>VLOOKUP(A1721,'גיליון דאטה להכל'!A:H,5,0)</f>
        <v>#N/A</v>
      </c>
      <c r="R1721" s="78" t="e">
        <f>VLOOKUP(A1721,'לעדכן בסינתזה דאטה אריזה 42+24'!$A:$C,3,0)</f>
        <v>#N/A</v>
      </c>
    </row>
    <row r="1722" spans="17:18" x14ac:dyDescent="0.2">
      <c r="Q1722" s="78" t="e">
        <f>VLOOKUP(A1722,'גיליון דאטה להכל'!A:H,5,0)</f>
        <v>#N/A</v>
      </c>
      <c r="R1722" s="78" t="e">
        <f>VLOOKUP(A1722,'לעדכן בסינתזה דאטה אריזה 42+24'!$A:$C,3,0)</f>
        <v>#N/A</v>
      </c>
    </row>
    <row r="1723" spans="17:18" x14ac:dyDescent="0.2">
      <c r="Q1723" s="78" t="e">
        <f>VLOOKUP(A1723,'גיליון דאטה להכל'!A:H,5,0)</f>
        <v>#N/A</v>
      </c>
      <c r="R1723" s="78" t="e">
        <f>VLOOKUP(A1723,'לעדכן בסינתזה דאטה אריזה 42+24'!$A:$C,3,0)</f>
        <v>#N/A</v>
      </c>
    </row>
    <row r="1724" spans="17:18" x14ac:dyDescent="0.2">
      <c r="Q1724" s="78" t="e">
        <f>VLOOKUP(A1724,'גיליון דאטה להכל'!A:H,5,0)</f>
        <v>#N/A</v>
      </c>
      <c r="R1724" s="78" t="e">
        <f>VLOOKUP(A1724,'לעדכן בסינתזה דאטה אריזה 42+24'!$A:$C,3,0)</f>
        <v>#N/A</v>
      </c>
    </row>
    <row r="1725" spans="17:18" x14ac:dyDescent="0.2">
      <c r="Q1725" s="78" t="e">
        <f>VLOOKUP(A1725,'גיליון דאטה להכל'!A:H,5,0)</f>
        <v>#N/A</v>
      </c>
      <c r="R1725" s="78" t="e">
        <f>VLOOKUP(A1725,'לעדכן בסינתזה דאטה אריזה 42+24'!$A:$C,3,0)</f>
        <v>#N/A</v>
      </c>
    </row>
    <row r="1726" spans="17:18" x14ac:dyDescent="0.2">
      <c r="Q1726" s="78" t="e">
        <f>VLOOKUP(A1726,'גיליון דאטה להכל'!A:H,5,0)</f>
        <v>#N/A</v>
      </c>
      <c r="R1726" s="78" t="e">
        <f>VLOOKUP(A1726,'לעדכן בסינתזה דאטה אריזה 42+24'!$A:$C,3,0)</f>
        <v>#N/A</v>
      </c>
    </row>
    <row r="1727" spans="17:18" x14ac:dyDescent="0.2">
      <c r="Q1727" s="78" t="e">
        <f>VLOOKUP(A1727,'גיליון דאטה להכל'!A:H,5,0)</f>
        <v>#N/A</v>
      </c>
      <c r="R1727" s="78" t="e">
        <f>VLOOKUP(A1727,'לעדכן בסינתזה דאטה אריזה 42+24'!$A:$C,3,0)</f>
        <v>#N/A</v>
      </c>
    </row>
    <row r="1728" spans="17:18" x14ac:dyDescent="0.2">
      <c r="Q1728" s="78" t="e">
        <f>VLOOKUP(A1728,'גיליון דאטה להכל'!A:H,5,0)</f>
        <v>#N/A</v>
      </c>
      <c r="R1728" s="78" t="e">
        <f>VLOOKUP(A1728,'לעדכן בסינתזה דאטה אריזה 42+24'!$A:$C,3,0)</f>
        <v>#N/A</v>
      </c>
    </row>
    <row r="1729" spans="17:18" x14ac:dyDescent="0.2">
      <c r="Q1729" s="78" t="e">
        <f>VLOOKUP(A1729,'גיליון דאטה להכל'!A:H,5,0)</f>
        <v>#N/A</v>
      </c>
      <c r="R1729" s="78" t="e">
        <f>VLOOKUP(A1729,'לעדכן בסינתזה דאטה אריזה 42+24'!$A:$C,3,0)</f>
        <v>#N/A</v>
      </c>
    </row>
    <row r="1730" spans="17:18" x14ac:dyDescent="0.2">
      <c r="Q1730" s="78" t="e">
        <f>VLOOKUP(A1730,'גיליון דאטה להכל'!A:H,5,0)</f>
        <v>#N/A</v>
      </c>
      <c r="R1730" s="78" t="e">
        <f>VLOOKUP(A1730,'לעדכן בסינתזה דאטה אריזה 42+24'!$A:$C,3,0)</f>
        <v>#N/A</v>
      </c>
    </row>
    <row r="1731" spans="17:18" x14ac:dyDescent="0.2">
      <c r="Q1731" s="78" t="e">
        <f>VLOOKUP(A1731,'גיליון דאטה להכל'!A:H,5,0)</f>
        <v>#N/A</v>
      </c>
      <c r="R1731" s="78" t="e">
        <f>VLOOKUP(A1731,'לעדכן בסינתזה דאטה אריזה 42+24'!$A:$C,3,0)</f>
        <v>#N/A</v>
      </c>
    </row>
    <row r="1732" spans="17:18" x14ac:dyDescent="0.2">
      <c r="Q1732" s="78" t="e">
        <f>VLOOKUP(A1732,'גיליון דאטה להכל'!A:H,5,0)</f>
        <v>#N/A</v>
      </c>
      <c r="R1732" s="78" t="e">
        <f>VLOOKUP(A1732,'לעדכן בסינתזה דאטה אריזה 42+24'!$A:$C,3,0)</f>
        <v>#N/A</v>
      </c>
    </row>
    <row r="1733" spans="17:18" x14ac:dyDescent="0.2">
      <c r="Q1733" s="78" t="e">
        <f>VLOOKUP(A1733,'גיליון דאטה להכל'!A:H,5,0)</f>
        <v>#N/A</v>
      </c>
      <c r="R1733" s="78" t="e">
        <f>VLOOKUP(A1733,'לעדכן בסינתזה דאטה אריזה 42+24'!$A:$C,3,0)</f>
        <v>#N/A</v>
      </c>
    </row>
    <row r="1734" spans="17:18" x14ac:dyDescent="0.2">
      <c r="Q1734" s="78" t="e">
        <f>VLOOKUP(A1734,'גיליון דאטה להכל'!A:H,5,0)</f>
        <v>#N/A</v>
      </c>
      <c r="R1734" s="78" t="e">
        <f>VLOOKUP(A1734,'לעדכן בסינתזה דאטה אריזה 42+24'!$A:$C,3,0)</f>
        <v>#N/A</v>
      </c>
    </row>
    <row r="1735" spans="17:18" x14ac:dyDescent="0.2">
      <c r="Q1735" s="78" t="e">
        <f>VLOOKUP(A1735,'גיליון דאטה להכל'!A:H,5,0)</f>
        <v>#N/A</v>
      </c>
      <c r="R1735" s="78" t="e">
        <f>VLOOKUP(A1735,'לעדכן בסינתזה דאטה אריזה 42+24'!$A:$C,3,0)</f>
        <v>#N/A</v>
      </c>
    </row>
    <row r="1736" spans="17:18" x14ac:dyDescent="0.2">
      <c r="Q1736" s="78" t="e">
        <f>VLOOKUP(A1736,'גיליון דאטה להכל'!A:H,5,0)</f>
        <v>#N/A</v>
      </c>
      <c r="R1736" s="78" t="e">
        <f>VLOOKUP(A1736,'לעדכן בסינתזה דאטה אריזה 42+24'!$A:$C,3,0)</f>
        <v>#N/A</v>
      </c>
    </row>
    <row r="1737" spans="17:18" x14ac:dyDescent="0.2">
      <c r="Q1737" s="78" t="e">
        <f>VLOOKUP(A1737,'גיליון דאטה להכל'!A:H,5,0)</f>
        <v>#N/A</v>
      </c>
      <c r="R1737" s="78" t="e">
        <f>VLOOKUP(A1737,'לעדכן בסינתזה דאטה אריזה 42+24'!$A:$C,3,0)</f>
        <v>#N/A</v>
      </c>
    </row>
    <row r="1738" spans="17:18" x14ac:dyDescent="0.2">
      <c r="Q1738" s="78" t="e">
        <f>VLOOKUP(A1738,'גיליון דאטה להכל'!A:H,5,0)</f>
        <v>#N/A</v>
      </c>
      <c r="R1738" s="78" t="e">
        <f>VLOOKUP(A1738,'לעדכן בסינתזה דאטה אריזה 42+24'!$A:$C,3,0)</f>
        <v>#N/A</v>
      </c>
    </row>
    <row r="1739" spans="17:18" x14ac:dyDescent="0.2">
      <c r="Q1739" s="78" t="e">
        <f>VLOOKUP(A1739,'גיליון דאטה להכל'!A:H,5,0)</f>
        <v>#N/A</v>
      </c>
      <c r="R1739" s="78" t="e">
        <f>VLOOKUP(A1739,'לעדכן בסינתזה דאטה אריזה 42+24'!$A:$C,3,0)</f>
        <v>#N/A</v>
      </c>
    </row>
    <row r="1740" spans="17:18" x14ac:dyDescent="0.2">
      <c r="Q1740" s="78" t="e">
        <f>VLOOKUP(A1740,'גיליון דאטה להכל'!A:H,5,0)</f>
        <v>#N/A</v>
      </c>
      <c r="R1740" s="78" t="e">
        <f>VLOOKUP(A1740,'לעדכן בסינתזה דאטה אריזה 42+24'!$A:$C,3,0)</f>
        <v>#N/A</v>
      </c>
    </row>
    <row r="1741" spans="17:18" x14ac:dyDescent="0.2">
      <c r="Q1741" s="78" t="e">
        <f>VLOOKUP(A1741,'גיליון דאטה להכל'!A:H,5,0)</f>
        <v>#N/A</v>
      </c>
      <c r="R1741" s="78" t="e">
        <f>VLOOKUP(A1741,'לעדכן בסינתזה דאטה אריזה 42+24'!$A:$C,3,0)</f>
        <v>#N/A</v>
      </c>
    </row>
    <row r="1742" spans="17:18" x14ac:dyDescent="0.2">
      <c r="Q1742" s="78" t="e">
        <f>VLOOKUP(A1742,'גיליון דאטה להכל'!A:H,5,0)</f>
        <v>#N/A</v>
      </c>
      <c r="R1742" s="78" t="e">
        <f>VLOOKUP(A1742,'לעדכן בסינתזה דאטה אריזה 42+24'!$A:$C,3,0)</f>
        <v>#N/A</v>
      </c>
    </row>
    <row r="1743" spans="17:18" x14ac:dyDescent="0.2">
      <c r="Q1743" s="78" t="e">
        <f>VLOOKUP(A1743,'גיליון דאטה להכל'!A:H,5,0)</f>
        <v>#N/A</v>
      </c>
      <c r="R1743" s="78" t="e">
        <f>VLOOKUP(A1743,'לעדכן בסינתזה דאטה אריזה 42+24'!$A:$C,3,0)</f>
        <v>#N/A</v>
      </c>
    </row>
    <row r="1744" spans="17:18" x14ac:dyDescent="0.2">
      <c r="Q1744" s="78" t="e">
        <f>VLOOKUP(A1744,'גיליון דאטה להכל'!A:H,5,0)</f>
        <v>#N/A</v>
      </c>
      <c r="R1744" s="78" t="e">
        <f>VLOOKUP(A1744,'לעדכן בסינתזה דאטה אריזה 42+24'!$A:$C,3,0)</f>
        <v>#N/A</v>
      </c>
    </row>
    <row r="1745" spans="17:18" x14ac:dyDescent="0.2">
      <c r="Q1745" s="78" t="e">
        <f>VLOOKUP(A1745,'גיליון דאטה להכל'!A:H,5,0)</f>
        <v>#N/A</v>
      </c>
      <c r="R1745" s="78" t="e">
        <f>VLOOKUP(A1745,'לעדכן בסינתזה דאטה אריזה 42+24'!$A:$C,3,0)</f>
        <v>#N/A</v>
      </c>
    </row>
    <row r="1746" spans="17:18" x14ac:dyDescent="0.2">
      <c r="Q1746" s="78" t="e">
        <f>VLOOKUP(A1746,'גיליון דאטה להכל'!A:H,5,0)</f>
        <v>#N/A</v>
      </c>
      <c r="R1746" s="78" t="e">
        <f>VLOOKUP(A1746,'לעדכן בסינתזה דאטה אריזה 42+24'!$A:$C,3,0)</f>
        <v>#N/A</v>
      </c>
    </row>
    <row r="1747" spans="17:18" x14ac:dyDescent="0.2">
      <c r="Q1747" s="78" t="e">
        <f>VLOOKUP(A1747,'גיליון דאטה להכל'!A:H,5,0)</f>
        <v>#N/A</v>
      </c>
      <c r="R1747" s="78" t="e">
        <f>VLOOKUP(A1747,'לעדכן בסינתזה דאטה אריזה 42+24'!$A:$C,3,0)</f>
        <v>#N/A</v>
      </c>
    </row>
    <row r="1748" spans="17:18" x14ac:dyDescent="0.2">
      <c r="Q1748" s="78" t="e">
        <f>VLOOKUP(A1748,'גיליון דאטה להכל'!A:H,5,0)</f>
        <v>#N/A</v>
      </c>
      <c r="R1748" s="78" t="e">
        <f>VLOOKUP(A1748,'לעדכן בסינתזה דאטה אריזה 42+24'!$A:$C,3,0)</f>
        <v>#N/A</v>
      </c>
    </row>
    <row r="1749" spans="17:18" x14ac:dyDescent="0.2">
      <c r="Q1749" s="78" t="e">
        <f>VLOOKUP(A1749,'גיליון דאטה להכל'!A:H,5,0)</f>
        <v>#N/A</v>
      </c>
      <c r="R1749" s="78" t="e">
        <f>VLOOKUP(A1749,'לעדכן בסינתזה דאטה אריזה 42+24'!$A:$C,3,0)</f>
        <v>#N/A</v>
      </c>
    </row>
    <row r="1750" spans="17:18" x14ac:dyDescent="0.2">
      <c r="Q1750" s="78" t="e">
        <f>VLOOKUP(A1750,'גיליון דאטה להכל'!A:H,5,0)</f>
        <v>#N/A</v>
      </c>
      <c r="R1750" s="78" t="e">
        <f>VLOOKUP(A1750,'לעדכן בסינתזה דאטה אריזה 42+24'!$A:$C,3,0)</f>
        <v>#N/A</v>
      </c>
    </row>
    <row r="1751" spans="17:18" x14ac:dyDescent="0.2">
      <c r="Q1751" s="78" t="e">
        <f>VLOOKUP(A1751,'גיליון דאטה להכל'!A:H,5,0)</f>
        <v>#N/A</v>
      </c>
      <c r="R1751" s="78" t="e">
        <f>VLOOKUP(A1751,'לעדכן בסינתזה דאטה אריזה 42+24'!$A:$C,3,0)</f>
        <v>#N/A</v>
      </c>
    </row>
    <row r="1752" spans="17:18" x14ac:dyDescent="0.2">
      <c r="Q1752" s="78" t="e">
        <f>VLOOKUP(A1752,'גיליון דאטה להכל'!A:H,5,0)</f>
        <v>#N/A</v>
      </c>
      <c r="R1752" s="78" t="e">
        <f>VLOOKUP(A1752,'לעדכן בסינתזה דאטה אריזה 42+24'!$A:$C,3,0)</f>
        <v>#N/A</v>
      </c>
    </row>
    <row r="1753" spans="17:18" x14ac:dyDescent="0.2">
      <c r="Q1753" s="78" t="e">
        <f>VLOOKUP(A1753,'גיליון דאטה להכל'!A:H,5,0)</f>
        <v>#N/A</v>
      </c>
      <c r="R1753" s="78" t="e">
        <f>VLOOKUP(A1753,'לעדכן בסינתזה דאטה אריזה 42+24'!$A:$C,3,0)</f>
        <v>#N/A</v>
      </c>
    </row>
    <row r="1754" spans="17:18" x14ac:dyDescent="0.2">
      <c r="Q1754" s="78" t="e">
        <f>VLOOKUP(A1754,'גיליון דאטה להכל'!A:H,5,0)</f>
        <v>#N/A</v>
      </c>
      <c r="R1754" s="78" t="e">
        <f>VLOOKUP(A1754,'לעדכן בסינתזה דאטה אריזה 42+24'!$A:$C,3,0)</f>
        <v>#N/A</v>
      </c>
    </row>
    <row r="1755" spans="17:18" x14ac:dyDescent="0.2">
      <c r="Q1755" s="78" t="e">
        <f>VLOOKUP(A1755,'גיליון דאטה להכל'!A:H,5,0)</f>
        <v>#N/A</v>
      </c>
      <c r="R1755" s="78" t="e">
        <f>VLOOKUP(A1755,'לעדכן בסינתזה דאטה אריזה 42+24'!$A:$C,3,0)</f>
        <v>#N/A</v>
      </c>
    </row>
    <row r="1756" spans="17:18" x14ac:dyDescent="0.2">
      <c r="Q1756" s="78" t="e">
        <f>VLOOKUP(A1756,'גיליון דאטה להכל'!A:H,5,0)</f>
        <v>#N/A</v>
      </c>
      <c r="R1756" s="78" t="e">
        <f>VLOOKUP(A1756,'לעדכן בסינתזה דאטה אריזה 42+24'!$A:$C,3,0)</f>
        <v>#N/A</v>
      </c>
    </row>
    <row r="1757" spans="17:18" x14ac:dyDescent="0.2">
      <c r="Q1757" s="78" t="e">
        <f>VLOOKUP(A1757,'גיליון דאטה להכל'!A:H,5,0)</f>
        <v>#N/A</v>
      </c>
      <c r="R1757" s="78" t="e">
        <f>VLOOKUP(A1757,'לעדכן בסינתזה דאטה אריזה 42+24'!$A:$C,3,0)</f>
        <v>#N/A</v>
      </c>
    </row>
    <row r="1758" spans="17:18" x14ac:dyDescent="0.2">
      <c r="Q1758" s="78" t="e">
        <f>VLOOKUP(A1758,'גיליון דאטה להכל'!A:H,5,0)</f>
        <v>#N/A</v>
      </c>
      <c r="R1758" s="78" t="e">
        <f>VLOOKUP(A1758,'לעדכן בסינתזה דאטה אריזה 42+24'!$A:$C,3,0)</f>
        <v>#N/A</v>
      </c>
    </row>
    <row r="1759" spans="17:18" x14ac:dyDescent="0.2">
      <c r="Q1759" s="78" t="e">
        <f>VLOOKUP(A1759,'גיליון דאטה להכל'!A:H,5,0)</f>
        <v>#N/A</v>
      </c>
      <c r="R1759" s="78" t="e">
        <f>VLOOKUP(A1759,'לעדכן בסינתזה דאטה אריזה 42+24'!$A:$C,3,0)</f>
        <v>#N/A</v>
      </c>
    </row>
    <row r="1760" spans="17:18" x14ac:dyDescent="0.2">
      <c r="Q1760" s="78" t="e">
        <f>VLOOKUP(A1760,'גיליון דאטה להכל'!A:H,5,0)</f>
        <v>#N/A</v>
      </c>
      <c r="R1760" s="78" t="e">
        <f>VLOOKUP(A1760,'לעדכן בסינתזה דאטה אריזה 42+24'!$A:$C,3,0)</f>
        <v>#N/A</v>
      </c>
    </row>
    <row r="1761" spans="17:18" x14ac:dyDescent="0.2">
      <c r="Q1761" s="78" t="e">
        <f>VLOOKUP(A1761,'גיליון דאטה להכל'!A:H,5,0)</f>
        <v>#N/A</v>
      </c>
      <c r="R1761" s="78" t="e">
        <f>VLOOKUP(A1761,'לעדכן בסינתזה דאטה אריזה 42+24'!$A:$C,3,0)</f>
        <v>#N/A</v>
      </c>
    </row>
    <row r="1762" spans="17:18" x14ac:dyDescent="0.2">
      <c r="Q1762" s="78" t="e">
        <f>VLOOKUP(A1762,'גיליון דאטה להכל'!A:H,5,0)</f>
        <v>#N/A</v>
      </c>
      <c r="R1762" s="78" t="e">
        <f>VLOOKUP(A1762,'לעדכן בסינתזה דאטה אריזה 42+24'!$A:$C,3,0)</f>
        <v>#N/A</v>
      </c>
    </row>
    <row r="1763" spans="17:18" x14ac:dyDescent="0.2">
      <c r="Q1763" s="78" t="e">
        <f>VLOOKUP(A1763,'גיליון דאטה להכל'!A:H,5,0)</f>
        <v>#N/A</v>
      </c>
      <c r="R1763" s="78" t="e">
        <f>VLOOKUP(A1763,'לעדכן בסינתזה דאטה אריזה 42+24'!$A:$C,3,0)</f>
        <v>#N/A</v>
      </c>
    </row>
    <row r="1764" spans="17:18" x14ac:dyDescent="0.2">
      <c r="Q1764" s="78" t="e">
        <f>VLOOKUP(A1764,'גיליון דאטה להכל'!A:H,5,0)</f>
        <v>#N/A</v>
      </c>
      <c r="R1764" s="78" t="e">
        <f>VLOOKUP(A1764,'לעדכן בסינתזה דאטה אריזה 42+24'!$A:$C,3,0)</f>
        <v>#N/A</v>
      </c>
    </row>
    <row r="1765" spans="17:18" x14ac:dyDescent="0.2">
      <c r="Q1765" s="78" t="e">
        <f>VLOOKUP(A1765,'גיליון דאטה להכל'!A:H,5,0)</f>
        <v>#N/A</v>
      </c>
      <c r="R1765" s="78" t="e">
        <f>VLOOKUP(A1765,'לעדכן בסינתזה דאטה אריזה 42+24'!$A:$C,3,0)</f>
        <v>#N/A</v>
      </c>
    </row>
    <row r="1766" spans="17:18" x14ac:dyDescent="0.2">
      <c r="Q1766" s="78" t="e">
        <f>VLOOKUP(A1766,'גיליון דאטה להכל'!A:H,5,0)</f>
        <v>#N/A</v>
      </c>
      <c r="R1766" s="78" t="e">
        <f>VLOOKUP(A1766,'לעדכן בסינתזה דאטה אריזה 42+24'!$A:$C,3,0)</f>
        <v>#N/A</v>
      </c>
    </row>
    <row r="1767" spans="17:18" x14ac:dyDescent="0.2">
      <c r="Q1767" s="78" t="e">
        <f>VLOOKUP(A1767,'גיליון דאטה להכל'!A:H,5,0)</f>
        <v>#N/A</v>
      </c>
      <c r="R1767" s="78" t="e">
        <f>VLOOKUP(A1767,'לעדכן בסינתזה דאטה אריזה 42+24'!$A:$C,3,0)</f>
        <v>#N/A</v>
      </c>
    </row>
    <row r="1768" spans="17:18" x14ac:dyDescent="0.2">
      <c r="Q1768" s="78" t="e">
        <f>VLOOKUP(A1768,'גיליון דאטה להכל'!A:H,5,0)</f>
        <v>#N/A</v>
      </c>
      <c r="R1768" s="78" t="e">
        <f>VLOOKUP(A1768,'לעדכן בסינתזה דאטה אריזה 42+24'!$A:$C,3,0)</f>
        <v>#N/A</v>
      </c>
    </row>
    <row r="1769" spans="17:18" x14ac:dyDescent="0.2">
      <c r="Q1769" s="78" t="e">
        <f>VLOOKUP(A1769,'גיליון דאטה להכל'!A:H,5,0)</f>
        <v>#N/A</v>
      </c>
      <c r="R1769" s="78" t="e">
        <f>VLOOKUP(A1769,'לעדכן בסינתזה דאטה אריזה 42+24'!$A:$C,3,0)</f>
        <v>#N/A</v>
      </c>
    </row>
    <row r="1770" spans="17:18" x14ac:dyDescent="0.2">
      <c r="Q1770" s="78" t="e">
        <f>VLOOKUP(A1770,'גיליון דאטה להכל'!A:H,5,0)</f>
        <v>#N/A</v>
      </c>
      <c r="R1770" s="78" t="e">
        <f>VLOOKUP(A1770,'לעדכן בסינתזה דאטה אריזה 42+24'!$A:$C,3,0)</f>
        <v>#N/A</v>
      </c>
    </row>
    <row r="1771" spans="17:18" x14ac:dyDescent="0.2">
      <c r="Q1771" s="78" t="e">
        <f>VLOOKUP(A1771,'גיליון דאטה להכל'!A:H,5,0)</f>
        <v>#N/A</v>
      </c>
      <c r="R1771" s="78" t="e">
        <f>VLOOKUP(A1771,'לעדכן בסינתזה דאטה אריזה 42+24'!$A:$C,3,0)</f>
        <v>#N/A</v>
      </c>
    </row>
    <row r="1772" spans="17:18" x14ac:dyDescent="0.2">
      <c r="Q1772" s="78" t="e">
        <f>VLOOKUP(A1772,'גיליון דאטה להכל'!A:H,5,0)</f>
        <v>#N/A</v>
      </c>
      <c r="R1772" s="78" t="e">
        <f>VLOOKUP(A1772,'לעדכן בסינתזה דאטה אריזה 42+24'!$A:$C,3,0)</f>
        <v>#N/A</v>
      </c>
    </row>
    <row r="1773" spans="17:18" x14ac:dyDescent="0.2">
      <c r="Q1773" s="78" t="e">
        <f>VLOOKUP(A1773,'גיליון דאטה להכל'!A:H,5,0)</f>
        <v>#N/A</v>
      </c>
      <c r="R1773" s="78" t="e">
        <f>VLOOKUP(A1773,'לעדכן בסינתזה דאטה אריזה 42+24'!$A:$C,3,0)</f>
        <v>#N/A</v>
      </c>
    </row>
    <row r="1774" spans="17:18" x14ac:dyDescent="0.2">
      <c r="Q1774" s="78" t="e">
        <f>VLOOKUP(A1774,'גיליון דאטה להכל'!A:H,5,0)</f>
        <v>#N/A</v>
      </c>
      <c r="R1774" s="78" t="e">
        <f>VLOOKUP(A1774,'לעדכן בסינתזה דאטה אריזה 42+24'!$A:$C,3,0)</f>
        <v>#N/A</v>
      </c>
    </row>
    <row r="1775" spans="17:18" x14ac:dyDescent="0.2">
      <c r="Q1775" s="78" t="e">
        <f>VLOOKUP(A1775,'גיליון דאטה להכל'!A:H,5,0)</f>
        <v>#N/A</v>
      </c>
      <c r="R1775" s="78" t="e">
        <f>VLOOKUP(A1775,'לעדכן בסינתזה דאטה אריזה 42+24'!$A:$C,3,0)</f>
        <v>#N/A</v>
      </c>
    </row>
    <row r="1776" spans="17:18" x14ac:dyDescent="0.2">
      <c r="Q1776" s="78" t="e">
        <f>VLOOKUP(A1776,'גיליון דאטה להכל'!A:H,5,0)</f>
        <v>#N/A</v>
      </c>
      <c r="R1776" s="78" t="e">
        <f>VLOOKUP(A1776,'לעדכן בסינתזה דאטה אריזה 42+24'!$A:$C,3,0)</f>
        <v>#N/A</v>
      </c>
    </row>
    <row r="1777" spans="17:18" x14ac:dyDescent="0.2">
      <c r="Q1777" s="78" t="e">
        <f>VLOOKUP(A1777,'גיליון דאטה להכל'!A:H,5,0)</f>
        <v>#N/A</v>
      </c>
      <c r="R1777" s="78" t="e">
        <f>VLOOKUP(A1777,'לעדכן בסינתזה דאטה אריזה 42+24'!$A:$C,3,0)</f>
        <v>#N/A</v>
      </c>
    </row>
    <row r="1778" spans="17:18" x14ac:dyDescent="0.2">
      <c r="Q1778" s="78" t="e">
        <f>VLOOKUP(A1778,'גיליון דאטה להכל'!A:H,5,0)</f>
        <v>#N/A</v>
      </c>
      <c r="R1778" s="78" t="e">
        <f>VLOOKUP(A1778,'לעדכן בסינתזה דאטה אריזה 42+24'!$A:$C,3,0)</f>
        <v>#N/A</v>
      </c>
    </row>
    <row r="1779" spans="17:18" x14ac:dyDescent="0.2">
      <c r="Q1779" s="78" t="e">
        <f>VLOOKUP(A1779,'גיליון דאטה להכל'!A:H,5,0)</f>
        <v>#N/A</v>
      </c>
      <c r="R1779" s="78" t="e">
        <f>VLOOKUP(A1779,'לעדכן בסינתזה דאטה אריזה 42+24'!$A:$C,3,0)</f>
        <v>#N/A</v>
      </c>
    </row>
    <row r="1780" spans="17:18" x14ac:dyDescent="0.2">
      <c r="Q1780" s="78" t="e">
        <f>VLOOKUP(A1780,'גיליון דאטה להכל'!A:H,5,0)</f>
        <v>#N/A</v>
      </c>
      <c r="R1780" s="78" t="e">
        <f>VLOOKUP(A1780,'לעדכן בסינתזה דאטה אריזה 42+24'!$A:$C,3,0)</f>
        <v>#N/A</v>
      </c>
    </row>
    <row r="1781" spans="17:18" x14ac:dyDescent="0.2">
      <c r="Q1781" s="78" t="e">
        <f>VLOOKUP(A1781,'גיליון דאטה להכל'!A:H,5,0)</f>
        <v>#N/A</v>
      </c>
      <c r="R1781" s="78" t="e">
        <f>VLOOKUP(A1781,'לעדכן בסינתזה דאטה אריזה 42+24'!$A:$C,3,0)</f>
        <v>#N/A</v>
      </c>
    </row>
    <row r="1782" spans="17:18" x14ac:dyDescent="0.2">
      <c r="Q1782" s="78" t="e">
        <f>VLOOKUP(A1782,'גיליון דאטה להכל'!A:H,5,0)</f>
        <v>#N/A</v>
      </c>
      <c r="R1782" s="78" t="e">
        <f>VLOOKUP(A1782,'לעדכן בסינתזה דאטה אריזה 42+24'!$A:$C,3,0)</f>
        <v>#N/A</v>
      </c>
    </row>
    <row r="1783" spans="17:18" x14ac:dyDescent="0.2">
      <c r="Q1783" s="78" t="e">
        <f>VLOOKUP(A1783,'גיליון דאטה להכל'!A:H,5,0)</f>
        <v>#N/A</v>
      </c>
      <c r="R1783" s="78" t="e">
        <f>VLOOKUP(A1783,'לעדכן בסינתזה דאטה אריזה 42+24'!$A:$C,3,0)</f>
        <v>#N/A</v>
      </c>
    </row>
    <row r="1784" spans="17:18" x14ac:dyDescent="0.2">
      <c r="Q1784" s="78" t="e">
        <f>VLOOKUP(A1784,'גיליון דאטה להכל'!A:H,5,0)</f>
        <v>#N/A</v>
      </c>
      <c r="R1784" s="78" t="e">
        <f>VLOOKUP(A1784,'לעדכן בסינתזה דאטה אריזה 42+24'!$A:$C,3,0)</f>
        <v>#N/A</v>
      </c>
    </row>
    <row r="1785" spans="17:18" x14ac:dyDescent="0.2">
      <c r="Q1785" s="78" t="e">
        <f>VLOOKUP(A1785,'גיליון דאטה להכל'!A:H,5,0)</f>
        <v>#N/A</v>
      </c>
      <c r="R1785" s="78" t="e">
        <f>VLOOKUP(A1785,'לעדכן בסינתזה דאטה אריזה 42+24'!$A:$C,3,0)</f>
        <v>#N/A</v>
      </c>
    </row>
    <row r="1786" spans="17:18" x14ac:dyDescent="0.2">
      <c r="Q1786" s="78" t="e">
        <f>VLOOKUP(A1786,'גיליון דאטה להכל'!A:H,5,0)</f>
        <v>#N/A</v>
      </c>
      <c r="R1786" s="78" t="e">
        <f>VLOOKUP(A1786,'לעדכן בסינתזה דאטה אריזה 42+24'!$A:$C,3,0)</f>
        <v>#N/A</v>
      </c>
    </row>
    <row r="1787" spans="17:18" x14ac:dyDescent="0.2">
      <c r="Q1787" s="78" t="e">
        <f>VLOOKUP(A1787,'גיליון דאטה להכל'!A:H,5,0)</f>
        <v>#N/A</v>
      </c>
      <c r="R1787" s="78" t="e">
        <f>VLOOKUP(A1787,'לעדכן בסינתזה דאטה אריזה 42+24'!$A:$C,3,0)</f>
        <v>#N/A</v>
      </c>
    </row>
    <row r="1788" spans="17:18" x14ac:dyDescent="0.2">
      <c r="Q1788" s="78" t="e">
        <f>VLOOKUP(A1788,'גיליון דאטה להכל'!A:H,5,0)</f>
        <v>#N/A</v>
      </c>
      <c r="R1788" s="78" t="e">
        <f>VLOOKUP(A1788,'לעדכן בסינתזה דאטה אריזה 42+24'!$A:$C,3,0)</f>
        <v>#N/A</v>
      </c>
    </row>
    <row r="1789" spans="17:18" x14ac:dyDescent="0.2">
      <c r="Q1789" s="78" t="e">
        <f>VLOOKUP(A1789,'גיליון דאטה להכל'!A:H,5,0)</f>
        <v>#N/A</v>
      </c>
      <c r="R1789" s="78" t="e">
        <f>VLOOKUP(A1789,'לעדכן בסינתזה דאטה אריזה 42+24'!$A:$C,3,0)</f>
        <v>#N/A</v>
      </c>
    </row>
    <row r="1790" spans="17:18" x14ac:dyDescent="0.2">
      <c r="Q1790" s="78" t="e">
        <f>VLOOKUP(A1790,'גיליון דאטה להכל'!A:H,5,0)</f>
        <v>#N/A</v>
      </c>
      <c r="R1790" s="78" t="e">
        <f>VLOOKUP(A1790,'לעדכן בסינתזה דאטה אריזה 42+24'!$A:$C,3,0)</f>
        <v>#N/A</v>
      </c>
    </row>
    <row r="1791" spans="17:18" x14ac:dyDescent="0.2">
      <c r="Q1791" s="78" t="e">
        <f>VLOOKUP(A1791,'גיליון דאטה להכל'!A:H,5,0)</f>
        <v>#N/A</v>
      </c>
      <c r="R1791" s="78" t="e">
        <f>VLOOKUP(A1791,'לעדכן בסינתזה דאטה אריזה 42+24'!$A:$C,3,0)</f>
        <v>#N/A</v>
      </c>
    </row>
    <row r="1792" spans="17:18" x14ac:dyDescent="0.2">
      <c r="Q1792" s="78" t="e">
        <f>VLOOKUP(A1792,'גיליון דאטה להכל'!A:H,5,0)</f>
        <v>#N/A</v>
      </c>
      <c r="R1792" s="78" t="e">
        <f>VLOOKUP(A1792,'לעדכן בסינתזה דאטה אריזה 42+24'!$A:$C,3,0)</f>
        <v>#N/A</v>
      </c>
    </row>
    <row r="1793" spans="17:18" x14ac:dyDescent="0.2">
      <c r="Q1793" s="78" t="e">
        <f>VLOOKUP(A1793,'גיליון דאטה להכל'!A:H,5,0)</f>
        <v>#N/A</v>
      </c>
      <c r="R1793" s="78" t="e">
        <f>VLOOKUP(A1793,'לעדכן בסינתזה דאטה אריזה 42+24'!$A:$C,3,0)</f>
        <v>#N/A</v>
      </c>
    </row>
    <row r="1794" spans="17:18" x14ac:dyDescent="0.2">
      <c r="Q1794" s="78" t="e">
        <f>VLOOKUP(A1794,'גיליון דאטה להכל'!A:H,5,0)</f>
        <v>#N/A</v>
      </c>
      <c r="R1794" s="78" t="e">
        <f>VLOOKUP(A1794,'לעדכן בסינתזה דאטה אריזה 42+24'!$A:$C,3,0)</f>
        <v>#N/A</v>
      </c>
    </row>
    <row r="1795" spans="17:18" x14ac:dyDescent="0.2">
      <c r="Q1795" s="78" t="e">
        <f>VLOOKUP(A1795,'גיליון דאטה להכל'!A:H,5,0)</f>
        <v>#N/A</v>
      </c>
      <c r="R1795" s="78" t="e">
        <f>VLOOKUP(A1795,'לעדכן בסינתזה דאטה אריזה 42+24'!$A:$C,3,0)</f>
        <v>#N/A</v>
      </c>
    </row>
    <row r="1796" spans="17:18" x14ac:dyDescent="0.2">
      <c r="Q1796" s="78" t="e">
        <f>VLOOKUP(A1796,'גיליון דאטה להכל'!A:H,5,0)</f>
        <v>#N/A</v>
      </c>
      <c r="R1796" s="78" t="e">
        <f>VLOOKUP(A1796,'לעדכן בסינתזה דאטה אריזה 42+24'!$A:$C,3,0)</f>
        <v>#N/A</v>
      </c>
    </row>
    <row r="1797" spans="17:18" x14ac:dyDescent="0.2">
      <c r="Q1797" s="78" t="e">
        <f>VLOOKUP(A1797,'גיליון דאטה להכל'!A:H,5,0)</f>
        <v>#N/A</v>
      </c>
      <c r="R1797" s="78" t="e">
        <f>VLOOKUP(A1797,'לעדכן בסינתזה דאטה אריזה 42+24'!$A:$C,3,0)</f>
        <v>#N/A</v>
      </c>
    </row>
    <row r="1798" spans="17:18" x14ac:dyDescent="0.2">
      <c r="Q1798" s="78" t="e">
        <f>VLOOKUP(A1798,'גיליון דאטה להכל'!A:H,5,0)</f>
        <v>#N/A</v>
      </c>
      <c r="R1798" s="78" t="e">
        <f>VLOOKUP(A1798,'לעדכן בסינתזה דאטה אריזה 42+24'!$A:$C,3,0)</f>
        <v>#N/A</v>
      </c>
    </row>
    <row r="1799" spans="17:18" x14ac:dyDescent="0.2">
      <c r="Q1799" s="78" t="e">
        <f>VLOOKUP(A1799,'גיליון דאטה להכל'!A:H,5,0)</f>
        <v>#N/A</v>
      </c>
      <c r="R1799" s="78" t="e">
        <f>VLOOKUP(A1799,'לעדכן בסינתזה דאטה אריזה 42+24'!$A:$C,3,0)</f>
        <v>#N/A</v>
      </c>
    </row>
    <row r="1800" spans="17:18" x14ac:dyDescent="0.2">
      <c r="Q1800" s="78" t="e">
        <f>VLOOKUP(A1800,'גיליון דאטה להכל'!A:H,5,0)</f>
        <v>#N/A</v>
      </c>
      <c r="R1800" s="78" t="e">
        <f>VLOOKUP(A1800,'לעדכן בסינתזה דאטה אריזה 42+24'!$A:$C,3,0)</f>
        <v>#N/A</v>
      </c>
    </row>
    <row r="1801" spans="17:18" x14ac:dyDescent="0.2">
      <c r="Q1801" s="78" t="e">
        <f>VLOOKUP(A1801,'גיליון דאטה להכל'!A:H,5,0)</f>
        <v>#N/A</v>
      </c>
      <c r="R1801" s="78" t="e">
        <f>VLOOKUP(A1801,'לעדכן בסינתזה דאטה אריזה 42+24'!$A:$C,3,0)</f>
        <v>#N/A</v>
      </c>
    </row>
    <row r="1802" spans="17:18" x14ac:dyDescent="0.2">
      <c r="Q1802" s="78" t="e">
        <f>VLOOKUP(A1802,'גיליון דאטה להכל'!A:H,5,0)</f>
        <v>#N/A</v>
      </c>
      <c r="R1802" s="78" t="e">
        <f>VLOOKUP(A1802,'לעדכן בסינתזה דאטה אריזה 42+24'!$A:$C,3,0)</f>
        <v>#N/A</v>
      </c>
    </row>
    <row r="1803" spans="17:18" x14ac:dyDescent="0.2">
      <c r="Q1803" s="78" t="e">
        <f>VLOOKUP(A1803,'גיליון דאטה להכל'!A:H,5,0)</f>
        <v>#N/A</v>
      </c>
      <c r="R1803" s="78" t="e">
        <f>VLOOKUP(A1803,'לעדכן בסינתזה דאטה אריזה 42+24'!$A:$C,3,0)</f>
        <v>#N/A</v>
      </c>
    </row>
    <row r="1804" spans="17:18" x14ac:dyDescent="0.2">
      <c r="Q1804" s="78" t="e">
        <f>VLOOKUP(A1804,'גיליון דאטה להכל'!A:H,5,0)</f>
        <v>#N/A</v>
      </c>
      <c r="R1804" s="78" t="e">
        <f>VLOOKUP(A1804,'לעדכן בסינתזה דאטה אריזה 42+24'!$A:$C,3,0)</f>
        <v>#N/A</v>
      </c>
    </row>
    <row r="1805" spans="17:18" x14ac:dyDescent="0.2">
      <c r="Q1805" s="78" t="e">
        <f>VLOOKUP(A1805,'גיליון דאטה להכל'!A:H,5,0)</f>
        <v>#N/A</v>
      </c>
      <c r="R1805" s="78" t="e">
        <f>VLOOKUP(A1805,'לעדכן בסינתזה דאטה אריזה 42+24'!$A:$C,3,0)</f>
        <v>#N/A</v>
      </c>
    </row>
    <row r="1806" spans="17:18" x14ac:dyDescent="0.2">
      <c r="Q1806" s="78" t="e">
        <f>VLOOKUP(A1806,'גיליון דאטה להכל'!A:H,5,0)</f>
        <v>#N/A</v>
      </c>
      <c r="R1806" s="78" t="e">
        <f>VLOOKUP(A1806,'לעדכן בסינתזה דאטה אריזה 42+24'!$A:$C,3,0)</f>
        <v>#N/A</v>
      </c>
    </row>
    <row r="1807" spans="17:18" x14ac:dyDescent="0.2">
      <c r="Q1807" s="78" t="e">
        <f>VLOOKUP(A1807,'גיליון דאטה להכל'!A:H,5,0)</f>
        <v>#N/A</v>
      </c>
      <c r="R1807" s="78" t="e">
        <f>VLOOKUP(A1807,'לעדכן בסינתזה דאטה אריזה 42+24'!$A:$C,3,0)</f>
        <v>#N/A</v>
      </c>
    </row>
    <row r="1808" spans="17:18" x14ac:dyDescent="0.2">
      <c r="Q1808" s="78" t="e">
        <f>VLOOKUP(A1808,'גיליון דאטה להכל'!A:H,5,0)</f>
        <v>#N/A</v>
      </c>
      <c r="R1808" s="78" t="e">
        <f>VLOOKUP(A1808,'לעדכן בסינתזה דאטה אריזה 42+24'!$A:$C,3,0)</f>
        <v>#N/A</v>
      </c>
    </row>
    <row r="1809" spans="17:18" x14ac:dyDescent="0.2">
      <c r="Q1809" s="78" t="e">
        <f>VLOOKUP(A1809,'גיליון דאטה להכל'!A:H,5,0)</f>
        <v>#N/A</v>
      </c>
      <c r="R1809" s="78" t="e">
        <f>VLOOKUP(A1809,'לעדכן בסינתזה דאטה אריזה 42+24'!$A:$C,3,0)</f>
        <v>#N/A</v>
      </c>
    </row>
    <row r="1810" spans="17:18" x14ac:dyDescent="0.2">
      <c r="Q1810" s="78" t="e">
        <f>VLOOKUP(A1810,'גיליון דאטה להכל'!A:H,5,0)</f>
        <v>#N/A</v>
      </c>
      <c r="R1810" s="78" t="e">
        <f>VLOOKUP(A1810,'לעדכן בסינתזה דאטה אריזה 42+24'!$A:$C,3,0)</f>
        <v>#N/A</v>
      </c>
    </row>
    <row r="1811" spans="17:18" x14ac:dyDescent="0.2">
      <c r="Q1811" s="78" t="e">
        <f>VLOOKUP(A1811,'גיליון דאטה להכל'!A:H,5,0)</f>
        <v>#N/A</v>
      </c>
      <c r="R1811" s="78" t="e">
        <f>VLOOKUP(A1811,'לעדכן בסינתזה דאטה אריזה 42+24'!$A:$C,3,0)</f>
        <v>#N/A</v>
      </c>
    </row>
    <row r="1812" spans="17:18" x14ac:dyDescent="0.2">
      <c r="Q1812" s="78" t="e">
        <f>VLOOKUP(A1812,'גיליון דאטה להכל'!A:H,5,0)</f>
        <v>#N/A</v>
      </c>
      <c r="R1812" s="78" t="e">
        <f>VLOOKUP(A1812,'לעדכן בסינתזה דאטה אריזה 42+24'!$A:$C,3,0)</f>
        <v>#N/A</v>
      </c>
    </row>
    <row r="1813" spans="17:18" x14ac:dyDescent="0.2">
      <c r="Q1813" s="78" t="e">
        <f>VLOOKUP(A1813,'גיליון דאטה להכל'!A:H,5,0)</f>
        <v>#N/A</v>
      </c>
      <c r="R1813" s="78" t="e">
        <f>VLOOKUP(A1813,'לעדכן בסינתזה דאטה אריזה 42+24'!$A:$C,3,0)</f>
        <v>#N/A</v>
      </c>
    </row>
    <row r="1814" spans="17:18" x14ac:dyDescent="0.2">
      <c r="Q1814" s="78" t="e">
        <f>VLOOKUP(A1814,'גיליון דאטה להכל'!A:H,5,0)</f>
        <v>#N/A</v>
      </c>
      <c r="R1814" s="78" t="e">
        <f>VLOOKUP(A1814,'לעדכן בסינתזה דאטה אריזה 42+24'!$A:$C,3,0)</f>
        <v>#N/A</v>
      </c>
    </row>
    <row r="1815" spans="17:18" x14ac:dyDescent="0.2">
      <c r="Q1815" s="78" t="e">
        <f>VLOOKUP(A1815,'גיליון דאטה להכל'!A:H,5,0)</f>
        <v>#N/A</v>
      </c>
      <c r="R1815" s="78" t="e">
        <f>VLOOKUP(A1815,'לעדכן בסינתזה דאטה אריזה 42+24'!$A:$C,3,0)</f>
        <v>#N/A</v>
      </c>
    </row>
    <row r="1816" spans="17:18" x14ac:dyDescent="0.2">
      <c r="Q1816" s="78" t="e">
        <f>VLOOKUP(A1816,'גיליון דאטה להכל'!A:H,5,0)</f>
        <v>#N/A</v>
      </c>
      <c r="R1816" s="78" t="e">
        <f>VLOOKUP(A1816,'לעדכן בסינתזה דאטה אריזה 42+24'!$A:$C,3,0)</f>
        <v>#N/A</v>
      </c>
    </row>
    <row r="1817" spans="17:18" x14ac:dyDescent="0.2">
      <c r="Q1817" s="78" t="e">
        <f>VLOOKUP(A1817,'גיליון דאטה להכל'!A:H,5,0)</f>
        <v>#N/A</v>
      </c>
      <c r="R1817" s="78" t="e">
        <f>VLOOKUP(A1817,'לעדכן בסינתזה דאטה אריזה 42+24'!$A:$C,3,0)</f>
        <v>#N/A</v>
      </c>
    </row>
    <row r="1818" spans="17:18" x14ac:dyDescent="0.2">
      <c r="Q1818" s="78" t="e">
        <f>VLOOKUP(A1818,'גיליון דאטה להכל'!A:H,5,0)</f>
        <v>#N/A</v>
      </c>
      <c r="R1818" s="78" t="e">
        <f>VLOOKUP(A1818,'לעדכן בסינתזה דאטה אריזה 42+24'!$A:$C,3,0)</f>
        <v>#N/A</v>
      </c>
    </row>
    <row r="1819" spans="17:18" x14ac:dyDescent="0.2">
      <c r="Q1819" s="78" t="e">
        <f>VLOOKUP(A1819,'גיליון דאטה להכל'!A:H,5,0)</f>
        <v>#N/A</v>
      </c>
      <c r="R1819" s="78" t="e">
        <f>VLOOKUP(A1819,'לעדכן בסינתזה דאטה אריזה 42+24'!$A:$C,3,0)</f>
        <v>#N/A</v>
      </c>
    </row>
    <row r="1820" spans="17:18" x14ac:dyDescent="0.2">
      <c r="Q1820" s="78" t="e">
        <f>VLOOKUP(A1820,'גיליון דאטה להכל'!A:H,5,0)</f>
        <v>#N/A</v>
      </c>
      <c r="R1820" s="78" t="e">
        <f>VLOOKUP(A1820,'לעדכן בסינתזה דאטה אריזה 42+24'!$A:$C,3,0)</f>
        <v>#N/A</v>
      </c>
    </row>
    <row r="1821" spans="17:18" x14ac:dyDescent="0.2">
      <c r="Q1821" s="78" t="e">
        <f>VLOOKUP(A1821,'גיליון דאטה להכל'!A:H,5,0)</f>
        <v>#N/A</v>
      </c>
      <c r="R1821" s="78" t="e">
        <f>VLOOKUP(A1821,'לעדכן בסינתזה דאטה אריזה 42+24'!$A:$C,3,0)</f>
        <v>#N/A</v>
      </c>
    </row>
    <row r="1822" spans="17:18" x14ac:dyDescent="0.2">
      <c r="Q1822" s="78" t="e">
        <f>VLOOKUP(A1822,'גיליון דאטה להכל'!A:H,5,0)</f>
        <v>#N/A</v>
      </c>
      <c r="R1822" s="78" t="e">
        <f>VLOOKUP(A1822,'לעדכן בסינתזה דאטה אריזה 42+24'!$A:$C,3,0)</f>
        <v>#N/A</v>
      </c>
    </row>
    <row r="1823" spans="17:18" x14ac:dyDescent="0.2">
      <c r="Q1823" s="78" t="e">
        <f>VLOOKUP(A1823,'גיליון דאטה להכל'!A:H,5,0)</f>
        <v>#N/A</v>
      </c>
      <c r="R1823" s="78" t="e">
        <f>VLOOKUP(A1823,'לעדכן בסינתזה דאטה אריזה 42+24'!$A:$C,3,0)</f>
        <v>#N/A</v>
      </c>
    </row>
    <row r="1824" spans="17:18" x14ac:dyDescent="0.2">
      <c r="Q1824" s="78" t="e">
        <f>VLOOKUP(A1824,'גיליון דאטה להכל'!A:H,5,0)</f>
        <v>#N/A</v>
      </c>
      <c r="R1824" s="78" t="e">
        <f>VLOOKUP(A1824,'לעדכן בסינתזה דאטה אריזה 42+24'!$A:$C,3,0)</f>
        <v>#N/A</v>
      </c>
    </row>
    <row r="1825" spans="17:18" x14ac:dyDescent="0.2">
      <c r="Q1825" s="78" t="e">
        <f>VLOOKUP(A1825,'גיליון דאטה להכל'!A:H,5,0)</f>
        <v>#N/A</v>
      </c>
      <c r="R1825" s="78" t="e">
        <f>VLOOKUP(A1825,'לעדכן בסינתזה דאטה אריזה 42+24'!$A:$C,3,0)</f>
        <v>#N/A</v>
      </c>
    </row>
    <row r="1826" spans="17:18" x14ac:dyDescent="0.2">
      <c r="Q1826" s="78" t="e">
        <f>VLOOKUP(A1826,'גיליון דאטה להכל'!A:H,5,0)</f>
        <v>#N/A</v>
      </c>
      <c r="R1826" s="78" t="e">
        <f>VLOOKUP(A1826,'לעדכן בסינתזה דאטה אריזה 42+24'!$A:$C,3,0)</f>
        <v>#N/A</v>
      </c>
    </row>
    <row r="1827" spans="17:18" x14ac:dyDescent="0.2">
      <c r="Q1827" s="78" t="e">
        <f>VLOOKUP(A1827,'גיליון דאטה להכל'!A:H,5,0)</f>
        <v>#N/A</v>
      </c>
      <c r="R1827" s="78" t="e">
        <f>VLOOKUP(A1827,'לעדכן בסינתזה דאטה אריזה 42+24'!$A:$C,3,0)</f>
        <v>#N/A</v>
      </c>
    </row>
    <row r="1828" spans="17:18" x14ac:dyDescent="0.2">
      <c r="Q1828" s="78" t="e">
        <f>VLOOKUP(A1828,'גיליון דאטה להכל'!A:H,5,0)</f>
        <v>#N/A</v>
      </c>
      <c r="R1828" s="78" t="e">
        <f>VLOOKUP(A1828,'לעדכן בסינתזה דאטה אריזה 42+24'!$A:$C,3,0)</f>
        <v>#N/A</v>
      </c>
    </row>
    <row r="1829" spans="17:18" x14ac:dyDescent="0.2">
      <c r="Q1829" s="78" t="e">
        <f>VLOOKUP(A1829,'גיליון דאטה להכל'!A:H,5,0)</f>
        <v>#N/A</v>
      </c>
      <c r="R1829" s="78" t="e">
        <f>VLOOKUP(A1829,'לעדכן בסינתזה דאטה אריזה 42+24'!$A:$C,3,0)</f>
        <v>#N/A</v>
      </c>
    </row>
    <row r="1830" spans="17:18" x14ac:dyDescent="0.2">
      <c r="Q1830" s="78" t="e">
        <f>VLOOKUP(A1830,'גיליון דאטה להכל'!A:H,5,0)</f>
        <v>#N/A</v>
      </c>
      <c r="R1830" s="78" t="e">
        <f>VLOOKUP(A1830,'לעדכן בסינתזה דאטה אריזה 42+24'!$A:$C,3,0)</f>
        <v>#N/A</v>
      </c>
    </row>
    <row r="1831" spans="17:18" x14ac:dyDescent="0.2">
      <c r="Q1831" s="78" t="e">
        <f>VLOOKUP(A1831,'גיליון דאטה להכל'!A:H,5,0)</f>
        <v>#N/A</v>
      </c>
      <c r="R1831" s="78" t="e">
        <f>VLOOKUP(A1831,'לעדכן בסינתזה דאטה אריזה 42+24'!$A:$C,3,0)</f>
        <v>#N/A</v>
      </c>
    </row>
    <row r="1832" spans="17:18" x14ac:dyDescent="0.2">
      <c r="Q1832" s="78" t="e">
        <f>VLOOKUP(A1832,'גיליון דאטה להכל'!A:H,5,0)</f>
        <v>#N/A</v>
      </c>
      <c r="R1832" s="78" t="e">
        <f>VLOOKUP(A1832,'לעדכן בסינתזה דאטה אריזה 42+24'!$A:$C,3,0)</f>
        <v>#N/A</v>
      </c>
    </row>
    <row r="1833" spans="17:18" x14ac:dyDescent="0.2">
      <c r="Q1833" s="78" t="e">
        <f>VLOOKUP(A1833,'גיליון דאטה להכל'!A:H,5,0)</f>
        <v>#N/A</v>
      </c>
      <c r="R1833" s="78" t="e">
        <f>VLOOKUP(A1833,'לעדכן בסינתזה דאטה אריזה 42+24'!$A:$C,3,0)</f>
        <v>#N/A</v>
      </c>
    </row>
    <row r="1834" spans="17:18" x14ac:dyDescent="0.2">
      <c r="Q1834" s="78" t="e">
        <f>VLOOKUP(A1834,'גיליון דאטה להכל'!A:H,5,0)</f>
        <v>#N/A</v>
      </c>
      <c r="R1834" s="78" t="e">
        <f>VLOOKUP(A1834,'לעדכן בסינתזה דאטה אריזה 42+24'!$A:$C,3,0)</f>
        <v>#N/A</v>
      </c>
    </row>
    <row r="1835" spans="17:18" x14ac:dyDescent="0.2">
      <c r="Q1835" s="78" t="e">
        <f>VLOOKUP(A1835,'גיליון דאטה להכל'!A:H,5,0)</f>
        <v>#N/A</v>
      </c>
      <c r="R1835" s="78" t="e">
        <f>VLOOKUP(A1835,'לעדכן בסינתזה דאטה אריזה 42+24'!$A:$C,3,0)</f>
        <v>#N/A</v>
      </c>
    </row>
    <row r="1836" spans="17:18" x14ac:dyDescent="0.2">
      <c r="Q1836" s="78" t="e">
        <f>VLOOKUP(A1836,'גיליון דאטה להכל'!A:H,5,0)</f>
        <v>#N/A</v>
      </c>
      <c r="R1836" s="78" t="e">
        <f>VLOOKUP(A1836,'לעדכן בסינתזה דאטה אריזה 42+24'!$A:$C,3,0)</f>
        <v>#N/A</v>
      </c>
    </row>
    <row r="1837" spans="17:18" x14ac:dyDescent="0.2">
      <c r="Q1837" s="78" t="e">
        <f>VLOOKUP(A1837,'גיליון דאטה להכל'!A:H,5,0)</f>
        <v>#N/A</v>
      </c>
      <c r="R1837" s="78" t="e">
        <f>VLOOKUP(A1837,'לעדכן בסינתזה דאטה אריזה 42+24'!$A:$C,3,0)</f>
        <v>#N/A</v>
      </c>
    </row>
    <row r="1838" spans="17:18" x14ac:dyDescent="0.2">
      <c r="Q1838" s="78" t="e">
        <f>VLOOKUP(A1838,'גיליון דאטה להכל'!A:H,5,0)</f>
        <v>#N/A</v>
      </c>
      <c r="R1838" s="78" t="e">
        <f>VLOOKUP(A1838,'לעדכן בסינתזה דאטה אריזה 42+24'!$A:$C,3,0)</f>
        <v>#N/A</v>
      </c>
    </row>
    <row r="1839" spans="17:18" x14ac:dyDescent="0.2">
      <c r="Q1839" s="78" t="e">
        <f>VLOOKUP(A1839,'גיליון דאטה להכל'!A:H,5,0)</f>
        <v>#N/A</v>
      </c>
      <c r="R1839" s="78" t="e">
        <f>VLOOKUP(A1839,'לעדכן בסינתזה דאטה אריזה 42+24'!$A:$C,3,0)</f>
        <v>#N/A</v>
      </c>
    </row>
    <row r="1840" spans="17:18" x14ac:dyDescent="0.2">
      <c r="Q1840" s="78" t="e">
        <f>VLOOKUP(A1840,'גיליון דאטה להכל'!A:H,5,0)</f>
        <v>#N/A</v>
      </c>
      <c r="R1840" s="78" t="e">
        <f>VLOOKUP(A1840,'לעדכן בסינתזה דאטה אריזה 42+24'!$A:$C,3,0)</f>
        <v>#N/A</v>
      </c>
    </row>
    <row r="1841" spans="17:18" x14ac:dyDescent="0.2">
      <c r="Q1841" s="78" t="e">
        <f>VLOOKUP(A1841,'גיליון דאטה להכל'!A:H,5,0)</f>
        <v>#N/A</v>
      </c>
      <c r="R1841" s="78" t="e">
        <f>VLOOKUP(A1841,'לעדכן בסינתזה דאטה אריזה 42+24'!$A:$C,3,0)</f>
        <v>#N/A</v>
      </c>
    </row>
    <row r="1842" spans="17:18" x14ac:dyDescent="0.2">
      <c r="Q1842" s="78" t="e">
        <f>VLOOKUP(A1842,'גיליון דאטה להכל'!A:H,5,0)</f>
        <v>#N/A</v>
      </c>
      <c r="R1842" s="78" t="e">
        <f>VLOOKUP(A1842,'לעדכן בסינתזה דאטה אריזה 42+24'!$A:$C,3,0)</f>
        <v>#N/A</v>
      </c>
    </row>
    <row r="1843" spans="17:18" x14ac:dyDescent="0.2">
      <c r="Q1843" s="78" t="e">
        <f>VLOOKUP(A1843,'גיליון דאטה להכל'!A:H,5,0)</f>
        <v>#N/A</v>
      </c>
      <c r="R1843" s="78" t="e">
        <f>VLOOKUP(A1843,'לעדכן בסינתזה דאטה אריזה 42+24'!$A:$C,3,0)</f>
        <v>#N/A</v>
      </c>
    </row>
    <row r="1844" spans="17:18" x14ac:dyDescent="0.2">
      <c r="Q1844" s="78" t="e">
        <f>VLOOKUP(A1844,'גיליון דאטה להכל'!A:H,5,0)</f>
        <v>#N/A</v>
      </c>
      <c r="R1844" s="78" t="e">
        <f>VLOOKUP(A1844,'לעדכן בסינתזה דאטה אריזה 42+24'!$A:$C,3,0)</f>
        <v>#N/A</v>
      </c>
    </row>
    <row r="1845" spans="17:18" x14ac:dyDescent="0.2">
      <c r="Q1845" s="78" t="e">
        <f>VLOOKUP(A1845,'גיליון דאטה להכל'!A:H,5,0)</f>
        <v>#N/A</v>
      </c>
      <c r="R1845" s="78" t="e">
        <f>VLOOKUP(A1845,'לעדכן בסינתזה דאטה אריזה 42+24'!$A:$C,3,0)</f>
        <v>#N/A</v>
      </c>
    </row>
    <row r="1846" spans="17:18" x14ac:dyDescent="0.2">
      <c r="Q1846" s="78" t="e">
        <f>VLOOKUP(A1846,'גיליון דאטה להכל'!A:H,5,0)</f>
        <v>#N/A</v>
      </c>
      <c r="R1846" s="78" t="e">
        <f>VLOOKUP(A1846,'לעדכן בסינתזה דאטה אריזה 42+24'!$A:$C,3,0)</f>
        <v>#N/A</v>
      </c>
    </row>
    <row r="1847" spans="17:18" x14ac:dyDescent="0.2">
      <c r="Q1847" s="78" t="e">
        <f>VLOOKUP(A1847,'גיליון דאטה להכל'!A:H,5,0)</f>
        <v>#N/A</v>
      </c>
      <c r="R1847" s="78" t="e">
        <f>VLOOKUP(A1847,'לעדכן בסינתזה דאטה אריזה 42+24'!$A:$C,3,0)</f>
        <v>#N/A</v>
      </c>
    </row>
    <row r="1848" spans="17:18" x14ac:dyDescent="0.2">
      <c r="Q1848" s="78" t="e">
        <f>VLOOKUP(A1848,'גיליון דאטה להכל'!A:H,5,0)</f>
        <v>#N/A</v>
      </c>
      <c r="R1848" s="78" t="e">
        <f>VLOOKUP(A1848,'לעדכן בסינתזה דאטה אריזה 42+24'!$A:$C,3,0)</f>
        <v>#N/A</v>
      </c>
    </row>
    <row r="1849" spans="17:18" x14ac:dyDescent="0.2">
      <c r="Q1849" s="78" t="e">
        <f>VLOOKUP(A1849,'גיליון דאטה להכל'!A:H,5,0)</f>
        <v>#N/A</v>
      </c>
      <c r="R1849" s="78" t="e">
        <f>VLOOKUP(A1849,'לעדכן בסינתזה דאטה אריזה 42+24'!$A:$C,3,0)</f>
        <v>#N/A</v>
      </c>
    </row>
    <row r="1850" spans="17:18" x14ac:dyDescent="0.2">
      <c r="Q1850" s="78" t="e">
        <f>VLOOKUP(A1850,'גיליון דאטה להכל'!A:H,5,0)</f>
        <v>#N/A</v>
      </c>
      <c r="R1850" s="78" t="e">
        <f>VLOOKUP(A1850,'לעדכן בסינתזה דאטה אריזה 42+24'!$A:$C,3,0)</f>
        <v>#N/A</v>
      </c>
    </row>
    <row r="1851" spans="17:18" x14ac:dyDescent="0.2">
      <c r="Q1851" s="78" t="e">
        <f>VLOOKUP(A1851,'גיליון דאטה להכל'!A:H,5,0)</f>
        <v>#N/A</v>
      </c>
      <c r="R1851" s="78" t="e">
        <f>VLOOKUP(A1851,'לעדכן בסינתזה דאטה אריזה 42+24'!$A:$C,3,0)</f>
        <v>#N/A</v>
      </c>
    </row>
    <row r="1852" spans="17:18" x14ac:dyDescent="0.2">
      <c r="Q1852" s="78" t="e">
        <f>VLOOKUP(A1852,'גיליון דאטה להכל'!A:H,5,0)</f>
        <v>#N/A</v>
      </c>
      <c r="R1852" s="78" t="e">
        <f>VLOOKUP(A1852,'לעדכן בסינתזה דאטה אריזה 42+24'!$A:$C,3,0)</f>
        <v>#N/A</v>
      </c>
    </row>
    <row r="1853" spans="17:18" x14ac:dyDescent="0.2">
      <c r="Q1853" s="78" t="e">
        <f>VLOOKUP(A1853,'גיליון דאטה להכל'!A:H,5,0)</f>
        <v>#N/A</v>
      </c>
      <c r="R1853" s="78" t="e">
        <f>VLOOKUP(A1853,'לעדכן בסינתזה דאטה אריזה 42+24'!$A:$C,3,0)</f>
        <v>#N/A</v>
      </c>
    </row>
    <row r="1854" spans="17:18" x14ac:dyDescent="0.2">
      <c r="Q1854" s="78" t="e">
        <f>VLOOKUP(A1854,'גיליון דאטה להכל'!A:H,5,0)</f>
        <v>#N/A</v>
      </c>
      <c r="R1854" s="78" t="e">
        <f>VLOOKUP(A1854,'לעדכן בסינתזה דאטה אריזה 42+24'!$A:$C,3,0)</f>
        <v>#N/A</v>
      </c>
    </row>
    <row r="1855" spans="17:18" x14ac:dyDescent="0.2">
      <c r="Q1855" s="78" t="e">
        <f>VLOOKUP(A1855,'גיליון דאטה להכל'!A:H,5,0)</f>
        <v>#N/A</v>
      </c>
      <c r="R1855" s="78" t="e">
        <f>VLOOKUP(A1855,'לעדכן בסינתזה דאטה אריזה 42+24'!$A:$C,3,0)</f>
        <v>#N/A</v>
      </c>
    </row>
    <row r="1856" spans="17:18" x14ac:dyDescent="0.2">
      <c r="Q1856" s="78" t="e">
        <f>VLOOKUP(A1856,'גיליון דאטה להכל'!A:H,5,0)</f>
        <v>#N/A</v>
      </c>
      <c r="R1856" s="78" t="e">
        <f>VLOOKUP(A1856,'לעדכן בסינתזה דאטה אריזה 42+24'!$A:$C,3,0)</f>
        <v>#N/A</v>
      </c>
    </row>
    <row r="1857" spans="17:18" x14ac:dyDescent="0.2">
      <c r="Q1857" s="78" t="e">
        <f>VLOOKUP(A1857,'גיליון דאטה להכל'!A:H,5,0)</f>
        <v>#N/A</v>
      </c>
      <c r="R1857" s="78" t="e">
        <f>VLOOKUP(A1857,'לעדכן בסינתזה דאטה אריזה 42+24'!$A:$C,3,0)</f>
        <v>#N/A</v>
      </c>
    </row>
    <row r="1858" spans="17:18" x14ac:dyDescent="0.2">
      <c r="Q1858" s="78" t="e">
        <f>VLOOKUP(A1858,'גיליון דאטה להכל'!A:H,5,0)</f>
        <v>#N/A</v>
      </c>
      <c r="R1858" s="78" t="e">
        <f>VLOOKUP(A1858,'לעדכן בסינתזה דאטה אריזה 42+24'!$A:$C,3,0)</f>
        <v>#N/A</v>
      </c>
    </row>
    <row r="1859" spans="17:18" x14ac:dyDescent="0.2">
      <c r="Q1859" s="78" t="e">
        <f>VLOOKUP(A1859,'גיליון דאטה להכל'!A:H,5,0)</f>
        <v>#N/A</v>
      </c>
      <c r="R1859" s="78" t="e">
        <f>VLOOKUP(A1859,'לעדכן בסינתזה דאטה אריזה 42+24'!$A:$C,3,0)</f>
        <v>#N/A</v>
      </c>
    </row>
    <row r="1860" spans="17:18" x14ac:dyDescent="0.2">
      <c r="Q1860" s="78" t="e">
        <f>VLOOKUP(A1860,'גיליון דאטה להכל'!A:H,5,0)</f>
        <v>#N/A</v>
      </c>
      <c r="R1860" s="78" t="e">
        <f>VLOOKUP(A1860,'לעדכן בסינתזה דאטה אריזה 42+24'!$A:$C,3,0)</f>
        <v>#N/A</v>
      </c>
    </row>
    <row r="1861" spans="17:18" x14ac:dyDescent="0.2">
      <c r="Q1861" s="78" t="e">
        <f>VLOOKUP(A1861,'גיליון דאטה להכל'!A:H,5,0)</f>
        <v>#N/A</v>
      </c>
      <c r="R1861" s="78" t="e">
        <f>VLOOKUP(A1861,'לעדכן בסינתזה דאטה אריזה 42+24'!$A:$C,3,0)</f>
        <v>#N/A</v>
      </c>
    </row>
    <row r="1862" spans="17:18" x14ac:dyDescent="0.2">
      <c r="Q1862" s="78" t="e">
        <f>VLOOKUP(A1862,'גיליון דאטה להכל'!A:H,5,0)</f>
        <v>#N/A</v>
      </c>
      <c r="R1862" s="78" t="e">
        <f>VLOOKUP(A1862,'לעדכן בסינתזה דאטה אריזה 42+24'!$A:$C,3,0)</f>
        <v>#N/A</v>
      </c>
    </row>
    <row r="1863" spans="17:18" x14ac:dyDescent="0.2">
      <c r="Q1863" s="78" t="e">
        <f>VLOOKUP(A1863,'גיליון דאטה להכל'!A:H,5,0)</f>
        <v>#N/A</v>
      </c>
      <c r="R1863" s="78" t="e">
        <f>VLOOKUP(A1863,'לעדכן בסינתזה דאטה אריזה 42+24'!$A:$C,3,0)</f>
        <v>#N/A</v>
      </c>
    </row>
    <row r="1864" spans="17:18" x14ac:dyDescent="0.2">
      <c r="Q1864" s="78" t="e">
        <f>VLOOKUP(A1864,'גיליון דאטה להכל'!A:H,5,0)</f>
        <v>#N/A</v>
      </c>
      <c r="R1864" s="78" t="e">
        <f>VLOOKUP(A1864,'לעדכן בסינתזה דאטה אריזה 42+24'!$A:$C,3,0)</f>
        <v>#N/A</v>
      </c>
    </row>
    <row r="1865" spans="17:18" x14ac:dyDescent="0.2">
      <c r="Q1865" s="78" t="e">
        <f>VLOOKUP(A1865,'גיליון דאטה להכל'!A:H,5,0)</f>
        <v>#N/A</v>
      </c>
      <c r="R1865" s="78" t="e">
        <f>VLOOKUP(A1865,'לעדכן בסינתזה דאטה אריזה 42+24'!$A:$C,3,0)</f>
        <v>#N/A</v>
      </c>
    </row>
    <row r="1866" spans="17:18" x14ac:dyDescent="0.2">
      <c r="Q1866" s="78" t="e">
        <f>VLOOKUP(A1866,'גיליון דאטה להכל'!A:H,5,0)</f>
        <v>#N/A</v>
      </c>
      <c r="R1866" s="78" t="e">
        <f>VLOOKUP(A1866,'לעדכן בסינתזה דאטה אריזה 42+24'!$A:$C,3,0)</f>
        <v>#N/A</v>
      </c>
    </row>
    <row r="1867" spans="17:18" x14ac:dyDescent="0.2">
      <c r="Q1867" s="78" t="e">
        <f>VLOOKUP(A1867,'גיליון דאטה להכל'!A:H,5,0)</f>
        <v>#N/A</v>
      </c>
      <c r="R1867" s="78" t="e">
        <f>VLOOKUP(A1867,'לעדכן בסינתזה דאטה אריזה 42+24'!$A:$C,3,0)</f>
        <v>#N/A</v>
      </c>
    </row>
    <row r="1868" spans="17:18" x14ac:dyDescent="0.2">
      <c r="Q1868" s="78" t="e">
        <f>VLOOKUP(A1868,'גיליון דאטה להכל'!A:H,5,0)</f>
        <v>#N/A</v>
      </c>
      <c r="R1868" s="78" t="e">
        <f>VLOOKUP(A1868,'לעדכן בסינתזה דאטה אריזה 42+24'!$A:$C,3,0)</f>
        <v>#N/A</v>
      </c>
    </row>
    <row r="1869" spans="17:18" x14ac:dyDescent="0.2">
      <c r="Q1869" s="78" t="e">
        <f>VLOOKUP(A1869,'גיליון דאטה להכל'!A:H,5,0)</f>
        <v>#N/A</v>
      </c>
      <c r="R1869" s="78" t="e">
        <f>VLOOKUP(A1869,'לעדכן בסינתזה דאטה אריזה 42+24'!$A:$C,3,0)</f>
        <v>#N/A</v>
      </c>
    </row>
    <row r="1870" spans="17:18" x14ac:dyDescent="0.2">
      <c r="Q1870" s="78" t="e">
        <f>VLOOKUP(A1870,'גיליון דאטה להכל'!A:H,5,0)</f>
        <v>#N/A</v>
      </c>
      <c r="R1870" s="78" t="e">
        <f>VLOOKUP(A1870,'לעדכן בסינתזה דאטה אריזה 42+24'!$A:$C,3,0)</f>
        <v>#N/A</v>
      </c>
    </row>
    <row r="1871" spans="17:18" x14ac:dyDescent="0.2">
      <c r="Q1871" s="78" t="e">
        <f>VLOOKUP(A1871,'גיליון דאטה להכל'!A:H,5,0)</f>
        <v>#N/A</v>
      </c>
      <c r="R1871" s="78" t="e">
        <f>VLOOKUP(A1871,'לעדכן בסינתזה דאטה אריזה 42+24'!$A:$C,3,0)</f>
        <v>#N/A</v>
      </c>
    </row>
    <row r="1872" spans="17:18" x14ac:dyDescent="0.2">
      <c r="Q1872" s="78" t="e">
        <f>VLOOKUP(A1872,'גיליון דאטה להכל'!A:H,5,0)</f>
        <v>#N/A</v>
      </c>
      <c r="R1872" s="78" t="e">
        <f>VLOOKUP(A1872,'לעדכן בסינתזה דאטה אריזה 42+24'!$A:$C,3,0)</f>
        <v>#N/A</v>
      </c>
    </row>
    <row r="1873" spans="17:18" x14ac:dyDescent="0.2">
      <c r="Q1873" s="78" t="e">
        <f>VLOOKUP(A1873,'גיליון דאטה להכל'!A:H,5,0)</f>
        <v>#N/A</v>
      </c>
      <c r="R1873" s="78" t="e">
        <f>VLOOKUP(A1873,'לעדכן בסינתזה דאטה אריזה 42+24'!$A:$C,3,0)</f>
        <v>#N/A</v>
      </c>
    </row>
    <row r="1874" spans="17:18" x14ac:dyDescent="0.2">
      <c r="Q1874" s="78" t="e">
        <f>VLOOKUP(A1874,'גיליון דאטה להכל'!A:H,5,0)</f>
        <v>#N/A</v>
      </c>
      <c r="R1874" s="78" t="e">
        <f>VLOOKUP(A1874,'לעדכן בסינתזה דאטה אריזה 42+24'!$A:$C,3,0)</f>
        <v>#N/A</v>
      </c>
    </row>
    <row r="1875" spans="17:18" x14ac:dyDescent="0.2">
      <c r="Q1875" s="78" t="e">
        <f>VLOOKUP(A1875,'גיליון דאטה להכל'!A:H,5,0)</f>
        <v>#N/A</v>
      </c>
      <c r="R1875" s="78" t="e">
        <f>VLOOKUP(A1875,'לעדכן בסינתזה דאטה אריזה 42+24'!$A:$C,3,0)</f>
        <v>#N/A</v>
      </c>
    </row>
    <row r="1876" spans="17:18" x14ac:dyDescent="0.2">
      <c r="Q1876" s="78" t="e">
        <f>VLOOKUP(A1876,'גיליון דאטה להכל'!A:H,5,0)</f>
        <v>#N/A</v>
      </c>
      <c r="R1876" s="78" t="e">
        <f>VLOOKUP(A1876,'לעדכן בסינתזה דאטה אריזה 42+24'!$A:$C,3,0)</f>
        <v>#N/A</v>
      </c>
    </row>
    <row r="1877" spans="17:18" x14ac:dyDescent="0.2">
      <c r="Q1877" s="78" t="e">
        <f>VLOOKUP(A1877,'גיליון דאטה להכל'!A:H,5,0)</f>
        <v>#N/A</v>
      </c>
      <c r="R1877" s="78" t="e">
        <f>VLOOKUP(A1877,'לעדכן בסינתזה דאטה אריזה 42+24'!$A:$C,3,0)</f>
        <v>#N/A</v>
      </c>
    </row>
    <row r="1878" spans="17:18" x14ac:dyDescent="0.2">
      <c r="Q1878" s="78" t="e">
        <f>VLOOKUP(A1878,'גיליון דאטה להכל'!A:H,5,0)</f>
        <v>#N/A</v>
      </c>
      <c r="R1878" s="78" t="e">
        <f>VLOOKUP(A1878,'לעדכן בסינתזה דאטה אריזה 42+24'!$A:$C,3,0)</f>
        <v>#N/A</v>
      </c>
    </row>
    <row r="1879" spans="17:18" x14ac:dyDescent="0.2">
      <c r="Q1879" s="78" t="e">
        <f>VLOOKUP(A1879,'גיליון דאטה להכל'!A:H,5,0)</f>
        <v>#N/A</v>
      </c>
      <c r="R1879" s="78" t="e">
        <f>VLOOKUP(A1879,'לעדכן בסינתזה דאטה אריזה 42+24'!$A:$C,3,0)</f>
        <v>#N/A</v>
      </c>
    </row>
    <row r="1880" spans="17:18" x14ac:dyDescent="0.2">
      <c r="Q1880" s="78" t="e">
        <f>VLOOKUP(A1880,'גיליון דאטה להכל'!A:H,5,0)</f>
        <v>#N/A</v>
      </c>
      <c r="R1880" s="78" t="e">
        <f>VLOOKUP(A1880,'לעדכן בסינתזה דאטה אריזה 42+24'!$A:$C,3,0)</f>
        <v>#N/A</v>
      </c>
    </row>
    <row r="1881" spans="17:18" x14ac:dyDescent="0.2">
      <c r="Q1881" s="78" t="e">
        <f>VLOOKUP(A1881,'גיליון דאטה להכל'!A:H,5,0)</f>
        <v>#N/A</v>
      </c>
      <c r="R1881" s="78" t="e">
        <f>VLOOKUP(A1881,'לעדכן בסינתזה דאטה אריזה 42+24'!$A:$C,3,0)</f>
        <v>#N/A</v>
      </c>
    </row>
    <row r="1882" spans="17:18" x14ac:dyDescent="0.2">
      <c r="Q1882" s="78" t="e">
        <f>VLOOKUP(A1882,'גיליון דאטה להכל'!A:H,5,0)</f>
        <v>#N/A</v>
      </c>
      <c r="R1882" s="78" t="e">
        <f>VLOOKUP(A1882,'לעדכן בסינתזה דאטה אריזה 42+24'!$A:$C,3,0)</f>
        <v>#N/A</v>
      </c>
    </row>
    <row r="1883" spans="17:18" x14ac:dyDescent="0.2">
      <c r="Q1883" s="78" t="e">
        <f>VLOOKUP(A1883,'גיליון דאטה להכל'!A:H,5,0)</f>
        <v>#N/A</v>
      </c>
      <c r="R1883" s="78" t="e">
        <f>VLOOKUP(A1883,'לעדכן בסינתזה דאטה אריזה 42+24'!$A:$C,3,0)</f>
        <v>#N/A</v>
      </c>
    </row>
    <row r="1884" spans="17:18" x14ac:dyDescent="0.2">
      <c r="Q1884" s="78" t="e">
        <f>VLOOKUP(A1884,'גיליון דאטה להכל'!A:H,5,0)</f>
        <v>#N/A</v>
      </c>
      <c r="R1884" s="78" t="e">
        <f>VLOOKUP(A1884,'לעדכן בסינתזה דאטה אריזה 42+24'!$A:$C,3,0)</f>
        <v>#N/A</v>
      </c>
    </row>
    <row r="1885" spans="17:18" x14ac:dyDescent="0.2">
      <c r="Q1885" s="78" t="e">
        <f>VLOOKUP(A1885,'גיליון דאטה להכל'!A:H,5,0)</f>
        <v>#N/A</v>
      </c>
      <c r="R1885" s="78" t="e">
        <f>VLOOKUP(A1885,'לעדכן בסינתזה דאטה אריזה 42+24'!$A:$C,3,0)</f>
        <v>#N/A</v>
      </c>
    </row>
    <row r="1886" spans="17:18" x14ac:dyDescent="0.2">
      <c r="Q1886" s="78" t="e">
        <f>VLOOKUP(A1886,'גיליון דאטה להכל'!A:H,5,0)</f>
        <v>#N/A</v>
      </c>
      <c r="R1886" s="78" t="e">
        <f>VLOOKUP(A1886,'לעדכן בסינתזה דאטה אריזה 42+24'!$A:$C,3,0)</f>
        <v>#N/A</v>
      </c>
    </row>
    <row r="1887" spans="17:18" x14ac:dyDescent="0.2">
      <c r="Q1887" s="78" t="e">
        <f>VLOOKUP(A1887,'גיליון דאטה להכל'!A:H,5,0)</f>
        <v>#N/A</v>
      </c>
      <c r="R1887" s="78" t="e">
        <f>VLOOKUP(A1887,'לעדכן בסינתזה דאטה אריזה 42+24'!$A:$C,3,0)</f>
        <v>#N/A</v>
      </c>
    </row>
    <row r="1888" spans="17:18" x14ac:dyDescent="0.2">
      <c r="Q1888" s="78" t="e">
        <f>VLOOKUP(A1888,'גיליון דאטה להכל'!A:H,5,0)</f>
        <v>#N/A</v>
      </c>
      <c r="R1888" s="78" t="e">
        <f>VLOOKUP(A1888,'לעדכן בסינתזה דאטה אריזה 42+24'!$A:$C,3,0)</f>
        <v>#N/A</v>
      </c>
    </row>
    <row r="1889" spans="17:18" x14ac:dyDescent="0.2">
      <c r="Q1889" s="78" t="e">
        <f>VLOOKUP(A1889,'גיליון דאטה להכל'!A:H,5,0)</f>
        <v>#N/A</v>
      </c>
      <c r="R1889" s="78" t="e">
        <f>VLOOKUP(A1889,'לעדכן בסינתזה דאטה אריזה 42+24'!$A:$C,3,0)</f>
        <v>#N/A</v>
      </c>
    </row>
    <row r="1890" spans="17:18" x14ac:dyDescent="0.2">
      <c r="Q1890" s="78" t="e">
        <f>VLOOKUP(A1890,'גיליון דאטה להכל'!A:H,5,0)</f>
        <v>#N/A</v>
      </c>
      <c r="R1890" s="78" t="e">
        <f>VLOOKUP(A1890,'לעדכן בסינתזה דאטה אריזה 42+24'!$A:$C,3,0)</f>
        <v>#N/A</v>
      </c>
    </row>
    <row r="1891" spans="17:18" x14ac:dyDescent="0.2">
      <c r="Q1891" s="78" t="e">
        <f>VLOOKUP(A1891,'גיליון דאטה להכל'!A:H,5,0)</f>
        <v>#N/A</v>
      </c>
      <c r="R1891" s="78" t="e">
        <f>VLOOKUP(A1891,'לעדכן בסינתזה דאטה אריזה 42+24'!$A:$C,3,0)</f>
        <v>#N/A</v>
      </c>
    </row>
    <row r="1892" spans="17:18" x14ac:dyDescent="0.2">
      <c r="Q1892" s="78" t="e">
        <f>VLOOKUP(A1892,'גיליון דאטה להכל'!A:H,5,0)</f>
        <v>#N/A</v>
      </c>
      <c r="R1892" s="78" t="e">
        <f>VLOOKUP(A1892,'לעדכן בסינתזה דאטה אריזה 42+24'!$A:$C,3,0)</f>
        <v>#N/A</v>
      </c>
    </row>
    <row r="1893" spans="17:18" x14ac:dyDescent="0.2">
      <c r="Q1893" s="78" t="e">
        <f>VLOOKUP(A1893,'גיליון דאטה להכל'!A:H,5,0)</f>
        <v>#N/A</v>
      </c>
      <c r="R1893" s="78" t="e">
        <f>VLOOKUP(A1893,'לעדכן בסינתזה דאטה אריזה 42+24'!$A:$C,3,0)</f>
        <v>#N/A</v>
      </c>
    </row>
    <row r="1894" spans="17:18" x14ac:dyDescent="0.2">
      <c r="Q1894" s="78" t="e">
        <f>VLOOKUP(A1894,'גיליון דאטה להכל'!A:H,5,0)</f>
        <v>#N/A</v>
      </c>
      <c r="R1894" s="78" t="e">
        <f>VLOOKUP(A1894,'לעדכן בסינתזה דאטה אריזה 42+24'!$A:$C,3,0)</f>
        <v>#N/A</v>
      </c>
    </row>
    <row r="1895" spans="17:18" x14ac:dyDescent="0.2">
      <c r="Q1895" s="78" t="e">
        <f>VLOOKUP(A1895,'גיליון דאטה להכל'!A:H,5,0)</f>
        <v>#N/A</v>
      </c>
      <c r="R1895" s="78" t="e">
        <f>VLOOKUP(A1895,'לעדכן בסינתזה דאטה אריזה 42+24'!$A:$C,3,0)</f>
        <v>#N/A</v>
      </c>
    </row>
    <row r="1896" spans="17:18" x14ac:dyDescent="0.2">
      <c r="Q1896" s="78" t="e">
        <f>VLOOKUP(A1896,'גיליון דאטה להכל'!A:H,5,0)</f>
        <v>#N/A</v>
      </c>
      <c r="R1896" s="78" t="e">
        <f>VLOOKUP(A1896,'לעדכן בסינתזה דאטה אריזה 42+24'!$A:$C,3,0)</f>
        <v>#N/A</v>
      </c>
    </row>
    <row r="1897" spans="17:18" x14ac:dyDescent="0.2">
      <c r="Q1897" s="78" t="e">
        <f>VLOOKUP(A1897,'גיליון דאטה להכל'!A:H,5,0)</f>
        <v>#N/A</v>
      </c>
      <c r="R1897" s="78" t="e">
        <f>VLOOKUP(A1897,'לעדכן בסינתזה דאטה אריזה 42+24'!$A:$C,3,0)</f>
        <v>#N/A</v>
      </c>
    </row>
    <row r="1898" spans="17:18" x14ac:dyDescent="0.2">
      <c r="Q1898" s="78" t="e">
        <f>VLOOKUP(A1898,'גיליון דאטה להכל'!A:H,5,0)</f>
        <v>#N/A</v>
      </c>
      <c r="R1898" s="78" t="e">
        <f>VLOOKUP(A1898,'לעדכן בסינתזה דאטה אריזה 42+24'!$A:$C,3,0)</f>
        <v>#N/A</v>
      </c>
    </row>
    <row r="1899" spans="17:18" x14ac:dyDescent="0.2">
      <c r="Q1899" s="78" t="e">
        <f>VLOOKUP(A1899,'גיליון דאטה להכל'!A:H,5,0)</f>
        <v>#N/A</v>
      </c>
      <c r="R1899" s="78" t="e">
        <f>VLOOKUP(A1899,'לעדכן בסינתזה דאטה אריזה 42+24'!$A:$C,3,0)</f>
        <v>#N/A</v>
      </c>
    </row>
    <row r="1900" spans="17:18" x14ac:dyDescent="0.2">
      <c r="Q1900" s="78" t="e">
        <f>VLOOKUP(A1900,'גיליון דאטה להכל'!A:H,5,0)</f>
        <v>#N/A</v>
      </c>
      <c r="R1900" s="78" t="e">
        <f>VLOOKUP(A1900,'לעדכן בסינתזה דאטה אריזה 42+24'!$A:$C,3,0)</f>
        <v>#N/A</v>
      </c>
    </row>
    <row r="1901" spans="17:18" x14ac:dyDescent="0.2">
      <c r="Q1901" s="78" t="e">
        <f>VLOOKUP(A1901,'גיליון דאטה להכל'!A:H,5,0)</f>
        <v>#N/A</v>
      </c>
      <c r="R1901" s="78" t="e">
        <f>VLOOKUP(A1901,'לעדכן בסינתזה דאטה אריזה 42+24'!$A:$C,3,0)</f>
        <v>#N/A</v>
      </c>
    </row>
    <row r="1902" spans="17:18" x14ac:dyDescent="0.2">
      <c r="Q1902" s="78" t="e">
        <f>VLOOKUP(A1902,'גיליון דאטה להכל'!A:H,5,0)</f>
        <v>#N/A</v>
      </c>
      <c r="R1902" s="78" t="e">
        <f>VLOOKUP(A1902,'לעדכן בסינתזה דאטה אריזה 42+24'!$A:$C,3,0)</f>
        <v>#N/A</v>
      </c>
    </row>
    <row r="1903" spans="17:18" x14ac:dyDescent="0.2">
      <c r="Q1903" s="78" t="e">
        <f>VLOOKUP(A1903,'גיליון דאטה להכל'!A:H,5,0)</f>
        <v>#N/A</v>
      </c>
      <c r="R1903" s="78" t="e">
        <f>VLOOKUP(A1903,'לעדכן בסינתזה דאטה אריזה 42+24'!$A:$C,3,0)</f>
        <v>#N/A</v>
      </c>
    </row>
    <row r="1904" spans="17:18" x14ac:dyDescent="0.2">
      <c r="Q1904" s="78" t="e">
        <f>VLOOKUP(A1904,'גיליון דאטה להכל'!A:H,5,0)</f>
        <v>#N/A</v>
      </c>
      <c r="R1904" s="78" t="e">
        <f>VLOOKUP(A1904,'לעדכן בסינתזה דאטה אריזה 42+24'!$A:$C,3,0)</f>
        <v>#N/A</v>
      </c>
    </row>
    <row r="1905" spans="17:18" x14ac:dyDescent="0.2">
      <c r="Q1905" s="78" t="e">
        <f>VLOOKUP(A1905,'גיליון דאטה להכל'!A:H,5,0)</f>
        <v>#N/A</v>
      </c>
      <c r="R1905" s="78" t="e">
        <f>VLOOKUP(A1905,'לעדכן בסינתזה דאטה אריזה 42+24'!$A:$C,3,0)</f>
        <v>#N/A</v>
      </c>
    </row>
    <row r="1906" spans="17:18" x14ac:dyDescent="0.2">
      <c r="Q1906" s="78" t="e">
        <f>VLOOKUP(A1906,'גיליון דאטה להכל'!A:H,5,0)</f>
        <v>#N/A</v>
      </c>
      <c r="R1906" s="78" t="e">
        <f>VLOOKUP(A1906,'לעדכן בסינתזה דאטה אריזה 42+24'!$A:$C,3,0)</f>
        <v>#N/A</v>
      </c>
    </row>
    <row r="1907" spans="17:18" x14ac:dyDescent="0.2">
      <c r="Q1907" s="78" t="e">
        <f>VLOOKUP(A1907,'גיליון דאטה להכל'!A:H,5,0)</f>
        <v>#N/A</v>
      </c>
      <c r="R1907" s="78" t="e">
        <f>VLOOKUP(A1907,'לעדכן בסינתזה דאטה אריזה 42+24'!$A:$C,3,0)</f>
        <v>#N/A</v>
      </c>
    </row>
    <row r="1908" spans="17:18" x14ac:dyDescent="0.2">
      <c r="Q1908" s="78" t="e">
        <f>VLOOKUP(A1908,'גיליון דאטה להכל'!A:H,5,0)</f>
        <v>#N/A</v>
      </c>
      <c r="R1908" s="78" t="e">
        <f>VLOOKUP(A1908,'לעדכן בסינתזה דאטה אריזה 42+24'!$A:$C,3,0)</f>
        <v>#N/A</v>
      </c>
    </row>
    <row r="1909" spans="17:18" x14ac:dyDescent="0.2">
      <c r="Q1909" s="78" t="e">
        <f>VLOOKUP(A1909,'גיליון דאטה להכל'!A:H,5,0)</f>
        <v>#N/A</v>
      </c>
      <c r="R1909" s="78" t="e">
        <f>VLOOKUP(A1909,'לעדכן בסינתזה דאטה אריזה 42+24'!$A:$C,3,0)</f>
        <v>#N/A</v>
      </c>
    </row>
    <row r="1910" spans="17:18" x14ac:dyDescent="0.2">
      <c r="Q1910" s="78" t="e">
        <f>VLOOKUP(A1910,'גיליון דאטה להכל'!A:H,5,0)</f>
        <v>#N/A</v>
      </c>
      <c r="R1910" s="78" t="e">
        <f>VLOOKUP(A1910,'לעדכן בסינתזה דאטה אריזה 42+24'!$A:$C,3,0)</f>
        <v>#N/A</v>
      </c>
    </row>
    <row r="1911" spans="17:18" x14ac:dyDescent="0.2">
      <c r="Q1911" s="78" t="e">
        <f>VLOOKUP(A1911,'גיליון דאטה להכל'!A:H,5,0)</f>
        <v>#N/A</v>
      </c>
      <c r="R1911" s="78" t="e">
        <f>VLOOKUP(A1911,'לעדכן בסינתזה דאטה אריזה 42+24'!$A:$C,3,0)</f>
        <v>#N/A</v>
      </c>
    </row>
    <row r="1912" spans="17:18" x14ac:dyDescent="0.2">
      <c r="Q1912" s="78" t="e">
        <f>VLOOKUP(A1912,'גיליון דאטה להכל'!A:H,5,0)</f>
        <v>#N/A</v>
      </c>
      <c r="R1912" s="78" t="e">
        <f>VLOOKUP(A1912,'לעדכן בסינתזה דאטה אריזה 42+24'!$A:$C,3,0)</f>
        <v>#N/A</v>
      </c>
    </row>
    <row r="1913" spans="17:18" x14ac:dyDescent="0.2">
      <c r="Q1913" s="78" t="e">
        <f>VLOOKUP(A1913,'גיליון דאטה להכל'!A:H,5,0)</f>
        <v>#N/A</v>
      </c>
      <c r="R1913" s="78" t="e">
        <f>VLOOKUP(A1913,'לעדכן בסינתזה דאטה אריזה 42+24'!$A:$C,3,0)</f>
        <v>#N/A</v>
      </c>
    </row>
    <row r="1914" spans="17:18" x14ac:dyDescent="0.2">
      <c r="Q1914" s="78" t="e">
        <f>VLOOKUP(A1914,'גיליון דאטה להכל'!A:H,5,0)</f>
        <v>#N/A</v>
      </c>
      <c r="R1914" s="78" t="e">
        <f>VLOOKUP(A1914,'לעדכן בסינתזה דאטה אריזה 42+24'!$A:$C,3,0)</f>
        <v>#N/A</v>
      </c>
    </row>
    <row r="1915" spans="17:18" x14ac:dyDescent="0.2">
      <c r="Q1915" s="78" t="e">
        <f>VLOOKUP(A1915,'גיליון דאטה להכל'!A:H,5,0)</f>
        <v>#N/A</v>
      </c>
      <c r="R1915" s="78" t="e">
        <f>VLOOKUP(A1915,'לעדכן בסינתזה דאטה אריזה 42+24'!$A:$C,3,0)</f>
        <v>#N/A</v>
      </c>
    </row>
    <row r="1916" spans="17:18" x14ac:dyDescent="0.2">
      <c r="Q1916" s="78" t="e">
        <f>VLOOKUP(A1916,'גיליון דאטה להכל'!A:H,5,0)</f>
        <v>#N/A</v>
      </c>
      <c r="R1916" s="78" t="e">
        <f>VLOOKUP(A1916,'לעדכן בסינתזה דאטה אריזה 42+24'!$A:$C,3,0)</f>
        <v>#N/A</v>
      </c>
    </row>
    <row r="1917" spans="17:18" x14ac:dyDescent="0.2">
      <c r="Q1917" s="78" t="e">
        <f>VLOOKUP(A1917,'גיליון דאטה להכל'!A:H,5,0)</f>
        <v>#N/A</v>
      </c>
      <c r="R1917" s="78" t="e">
        <f>VLOOKUP(A1917,'לעדכן בסינתזה דאטה אריזה 42+24'!$A:$C,3,0)</f>
        <v>#N/A</v>
      </c>
    </row>
    <row r="1918" spans="17:18" x14ac:dyDescent="0.2">
      <c r="Q1918" s="78" t="e">
        <f>VLOOKUP(A1918,'גיליון דאטה להכל'!A:H,5,0)</f>
        <v>#N/A</v>
      </c>
      <c r="R1918" s="78" t="e">
        <f>VLOOKUP(A1918,'לעדכן בסינתזה דאטה אריזה 42+24'!$A:$C,3,0)</f>
        <v>#N/A</v>
      </c>
    </row>
    <row r="1919" spans="17:18" x14ac:dyDescent="0.2">
      <c r="Q1919" s="78" t="e">
        <f>VLOOKUP(A1919,'גיליון דאטה להכל'!A:H,5,0)</f>
        <v>#N/A</v>
      </c>
      <c r="R1919" s="78" t="e">
        <f>VLOOKUP(A1919,'לעדכן בסינתזה דאטה אריזה 42+24'!$A:$C,3,0)</f>
        <v>#N/A</v>
      </c>
    </row>
    <row r="1920" spans="17:18" x14ac:dyDescent="0.2">
      <c r="Q1920" s="78" t="e">
        <f>VLOOKUP(A1920,'גיליון דאטה להכל'!A:H,5,0)</f>
        <v>#N/A</v>
      </c>
      <c r="R1920" s="78" t="e">
        <f>VLOOKUP(A1920,'לעדכן בסינתזה דאטה אריזה 42+24'!$A:$C,3,0)</f>
        <v>#N/A</v>
      </c>
    </row>
    <row r="1921" spans="17:18" x14ac:dyDescent="0.2">
      <c r="Q1921" s="78" t="e">
        <f>VLOOKUP(A1921,'גיליון דאטה להכל'!A:H,5,0)</f>
        <v>#N/A</v>
      </c>
      <c r="R1921" s="78" t="e">
        <f>VLOOKUP(A1921,'לעדכן בסינתזה דאטה אריזה 42+24'!$A:$C,3,0)</f>
        <v>#N/A</v>
      </c>
    </row>
    <row r="1922" spans="17:18" x14ac:dyDescent="0.2">
      <c r="Q1922" s="78" t="e">
        <f>VLOOKUP(A1922,'גיליון דאטה להכל'!A:H,5,0)</f>
        <v>#N/A</v>
      </c>
      <c r="R1922" s="78" t="e">
        <f>VLOOKUP(A1922,'לעדכן בסינתזה דאטה אריזה 42+24'!$A:$C,3,0)</f>
        <v>#N/A</v>
      </c>
    </row>
    <row r="1923" spans="17:18" x14ac:dyDescent="0.2">
      <c r="Q1923" s="78" t="e">
        <f>VLOOKUP(A1923,'גיליון דאטה להכל'!A:H,5,0)</f>
        <v>#N/A</v>
      </c>
      <c r="R1923" s="78" t="e">
        <f>VLOOKUP(A1923,'לעדכן בסינתזה דאטה אריזה 42+24'!$A:$C,3,0)</f>
        <v>#N/A</v>
      </c>
    </row>
    <row r="1924" spans="17:18" x14ac:dyDescent="0.2">
      <c r="Q1924" s="78" t="e">
        <f>VLOOKUP(A1924,'גיליון דאטה להכל'!A:H,5,0)</f>
        <v>#N/A</v>
      </c>
      <c r="R1924" s="78" t="e">
        <f>VLOOKUP(A1924,'לעדכן בסינתזה דאטה אריזה 42+24'!$A:$C,3,0)</f>
        <v>#N/A</v>
      </c>
    </row>
    <row r="1925" spans="17:18" x14ac:dyDescent="0.2">
      <c r="Q1925" s="78" t="e">
        <f>VLOOKUP(A1925,'גיליון דאטה להכל'!A:H,5,0)</f>
        <v>#N/A</v>
      </c>
      <c r="R1925" s="78" t="e">
        <f>VLOOKUP(A1925,'לעדכן בסינתזה דאטה אריזה 42+24'!$A:$C,3,0)</f>
        <v>#N/A</v>
      </c>
    </row>
    <row r="1926" spans="17:18" x14ac:dyDescent="0.2">
      <c r="Q1926" s="78" t="e">
        <f>VLOOKUP(A1926,'גיליון דאטה להכל'!A:H,5,0)</f>
        <v>#N/A</v>
      </c>
      <c r="R1926" s="78" t="e">
        <f>VLOOKUP(A1926,'לעדכן בסינתזה דאטה אריזה 42+24'!$A:$C,3,0)</f>
        <v>#N/A</v>
      </c>
    </row>
    <row r="1927" spans="17:18" x14ac:dyDescent="0.2">
      <c r="Q1927" s="78" t="e">
        <f>VLOOKUP(A1927,'גיליון דאטה להכל'!A:H,5,0)</f>
        <v>#N/A</v>
      </c>
      <c r="R1927" s="78" t="e">
        <f>VLOOKUP(A1927,'לעדכן בסינתזה דאטה אריזה 42+24'!$A:$C,3,0)</f>
        <v>#N/A</v>
      </c>
    </row>
    <row r="1928" spans="17:18" x14ac:dyDescent="0.2">
      <c r="Q1928" s="78" t="e">
        <f>VLOOKUP(A1928,'גיליון דאטה להכל'!A:H,5,0)</f>
        <v>#N/A</v>
      </c>
      <c r="R1928" s="78" t="e">
        <f>VLOOKUP(A1928,'לעדכן בסינתזה דאטה אריזה 42+24'!$A:$C,3,0)</f>
        <v>#N/A</v>
      </c>
    </row>
    <row r="1929" spans="17:18" x14ac:dyDescent="0.2">
      <c r="Q1929" s="78" t="e">
        <f>VLOOKUP(A1929,'גיליון דאטה להכל'!A:H,5,0)</f>
        <v>#N/A</v>
      </c>
      <c r="R1929" s="78" t="e">
        <f>VLOOKUP(A1929,'לעדכן בסינתזה דאטה אריזה 42+24'!$A:$C,3,0)</f>
        <v>#N/A</v>
      </c>
    </row>
    <row r="1930" spans="17:18" x14ac:dyDescent="0.2">
      <c r="Q1930" s="78" t="e">
        <f>VLOOKUP(A1930,'גיליון דאטה להכל'!A:H,5,0)</f>
        <v>#N/A</v>
      </c>
      <c r="R1930" s="78" t="e">
        <f>VLOOKUP(A1930,'לעדכן בסינתזה דאטה אריזה 42+24'!$A:$C,3,0)</f>
        <v>#N/A</v>
      </c>
    </row>
    <row r="1931" spans="17:18" x14ac:dyDescent="0.2">
      <c r="Q1931" s="78" t="e">
        <f>VLOOKUP(A1931,'גיליון דאטה להכל'!A:H,5,0)</f>
        <v>#N/A</v>
      </c>
      <c r="R1931" s="78" t="e">
        <f>VLOOKUP(A1931,'לעדכן בסינתזה דאטה אריזה 42+24'!$A:$C,3,0)</f>
        <v>#N/A</v>
      </c>
    </row>
    <row r="1932" spans="17:18" x14ac:dyDescent="0.2">
      <c r="Q1932" s="78" t="e">
        <f>VLOOKUP(A1932,'גיליון דאטה להכל'!A:H,5,0)</f>
        <v>#N/A</v>
      </c>
      <c r="R1932" s="78" t="e">
        <f>VLOOKUP(A1932,'לעדכן בסינתזה דאטה אריזה 42+24'!$A:$C,3,0)</f>
        <v>#N/A</v>
      </c>
    </row>
    <row r="1933" spans="17:18" x14ac:dyDescent="0.2">
      <c r="Q1933" s="78" t="e">
        <f>VLOOKUP(A1933,'גיליון דאטה להכל'!A:H,5,0)</f>
        <v>#N/A</v>
      </c>
      <c r="R1933" s="78" t="e">
        <f>VLOOKUP(A1933,'לעדכן בסינתזה דאטה אריזה 42+24'!$A:$C,3,0)</f>
        <v>#N/A</v>
      </c>
    </row>
    <row r="1934" spans="17:18" x14ac:dyDescent="0.2">
      <c r="Q1934" s="78" t="e">
        <f>VLOOKUP(A1934,'גיליון דאטה להכל'!A:H,5,0)</f>
        <v>#N/A</v>
      </c>
      <c r="R1934" s="78" t="e">
        <f>VLOOKUP(A1934,'לעדכן בסינתזה דאטה אריזה 42+24'!$A:$C,3,0)</f>
        <v>#N/A</v>
      </c>
    </row>
    <row r="1935" spans="17:18" x14ac:dyDescent="0.2">
      <c r="Q1935" s="78" t="e">
        <f>VLOOKUP(A1935,'גיליון דאטה להכל'!A:H,5,0)</f>
        <v>#N/A</v>
      </c>
      <c r="R1935" s="78" t="e">
        <f>VLOOKUP(A1935,'לעדכן בסינתזה דאטה אריזה 42+24'!$A:$C,3,0)</f>
        <v>#N/A</v>
      </c>
    </row>
    <row r="1936" spans="17:18" x14ac:dyDescent="0.2">
      <c r="Q1936" s="78" t="e">
        <f>VLOOKUP(A1936,'גיליון דאטה להכל'!A:H,5,0)</f>
        <v>#N/A</v>
      </c>
      <c r="R1936" s="78" t="e">
        <f>VLOOKUP(A1936,'לעדכן בסינתזה דאטה אריזה 42+24'!$A:$C,3,0)</f>
        <v>#N/A</v>
      </c>
    </row>
    <row r="1937" spans="17:18" x14ac:dyDescent="0.2">
      <c r="Q1937" s="78" t="e">
        <f>VLOOKUP(A1937,'גיליון דאטה להכל'!A:H,5,0)</f>
        <v>#N/A</v>
      </c>
      <c r="R1937" s="78" t="e">
        <f>VLOOKUP(A1937,'לעדכן בסינתזה דאטה אריזה 42+24'!$A:$C,3,0)</f>
        <v>#N/A</v>
      </c>
    </row>
    <row r="1938" spans="17:18" x14ac:dyDescent="0.2">
      <c r="Q1938" s="78" t="e">
        <f>VLOOKUP(A1938,'גיליון דאטה להכל'!A:H,5,0)</f>
        <v>#N/A</v>
      </c>
      <c r="R1938" s="78" t="e">
        <f>VLOOKUP(A1938,'לעדכן בסינתזה דאטה אריזה 42+24'!$A:$C,3,0)</f>
        <v>#N/A</v>
      </c>
    </row>
    <row r="1939" spans="17:18" x14ac:dyDescent="0.2">
      <c r="Q1939" s="78" t="e">
        <f>VLOOKUP(A1939,'גיליון דאטה להכל'!A:H,5,0)</f>
        <v>#N/A</v>
      </c>
      <c r="R1939" s="78" t="e">
        <f>VLOOKUP(A1939,'לעדכן בסינתזה דאטה אריזה 42+24'!$A:$C,3,0)</f>
        <v>#N/A</v>
      </c>
    </row>
    <row r="1940" spans="17:18" x14ac:dyDescent="0.2">
      <c r="Q1940" s="78" t="e">
        <f>VLOOKUP(A1940,'גיליון דאטה להכל'!A:H,5,0)</f>
        <v>#N/A</v>
      </c>
      <c r="R1940" s="78" t="e">
        <f>VLOOKUP(A1940,'לעדכן בסינתזה דאטה אריזה 42+24'!$A:$C,3,0)</f>
        <v>#N/A</v>
      </c>
    </row>
    <row r="1941" spans="17:18" x14ac:dyDescent="0.2">
      <c r="Q1941" s="78" t="e">
        <f>VLOOKUP(A1941,'גיליון דאטה להכל'!A:H,5,0)</f>
        <v>#N/A</v>
      </c>
      <c r="R1941" s="78" t="e">
        <f>VLOOKUP(A1941,'לעדכן בסינתזה דאטה אריזה 42+24'!$A:$C,3,0)</f>
        <v>#N/A</v>
      </c>
    </row>
    <row r="1942" spans="17:18" x14ac:dyDescent="0.2">
      <c r="Q1942" s="78" t="e">
        <f>VLOOKUP(A1942,'גיליון דאטה להכל'!A:H,5,0)</f>
        <v>#N/A</v>
      </c>
      <c r="R1942" s="78" t="e">
        <f>VLOOKUP(A1942,'לעדכן בסינתזה דאטה אריזה 42+24'!$A:$C,3,0)</f>
        <v>#N/A</v>
      </c>
    </row>
    <row r="1943" spans="17:18" x14ac:dyDescent="0.2">
      <c r="Q1943" s="78" t="e">
        <f>VLOOKUP(A1943,'גיליון דאטה להכל'!A:H,5,0)</f>
        <v>#N/A</v>
      </c>
      <c r="R1943" s="78" t="e">
        <f>VLOOKUP(A1943,'לעדכן בסינתזה דאטה אריזה 42+24'!$A:$C,3,0)</f>
        <v>#N/A</v>
      </c>
    </row>
    <row r="1944" spans="17:18" x14ac:dyDescent="0.2">
      <c r="Q1944" s="78" t="e">
        <f>VLOOKUP(A1944,'גיליון דאטה להכל'!A:H,5,0)</f>
        <v>#N/A</v>
      </c>
      <c r="R1944" s="78" t="e">
        <f>VLOOKUP(A1944,'לעדכן בסינתזה דאטה אריזה 42+24'!$A:$C,3,0)</f>
        <v>#N/A</v>
      </c>
    </row>
    <row r="1945" spans="17:18" x14ac:dyDescent="0.2">
      <c r="Q1945" s="78" t="e">
        <f>VLOOKUP(A1945,'גיליון דאטה להכל'!A:H,5,0)</f>
        <v>#N/A</v>
      </c>
      <c r="R1945" s="78" t="e">
        <f>VLOOKUP(A1945,'לעדכן בסינתזה דאטה אריזה 42+24'!$A:$C,3,0)</f>
        <v>#N/A</v>
      </c>
    </row>
    <row r="1946" spans="17:18" x14ac:dyDescent="0.2">
      <c r="Q1946" s="78" t="e">
        <f>VLOOKUP(A1946,'גיליון דאטה להכל'!A:H,5,0)</f>
        <v>#N/A</v>
      </c>
      <c r="R1946" s="78" t="e">
        <f>VLOOKUP(A1946,'לעדכן בסינתזה דאטה אריזה 42+24'!$A:$C,3,0)</f>
        <v>#N/A</v>
      </c>
    </row>
    <row r="1947" spans="17:18" x14ac:dyDescent="0.2">
      <c r="Q1947" s="78" t="e">
        <f>VLOOKUP(A1947,'גיליון דאטה להכל'!A:H,5,0)</f>
        <v>#N/A</v>
      </c>
      <c r="R1947" s="78" t="e">
        <f>VLOOKUP(A1947,'לעדכן בסינתזה דאטה אריזה 42+24'!$A:$C,3,0)</f>
        <v>#N/A</v>
      </c>
    </row>
    <row r="1948" spans="17:18" x14ac:dyDescent="0.2">
      <c r="Q1948" s="78" t="e">
        <f>VLOOKUP(A1948,'גיליון דאטה להכל'!A:H,5,0)</f>
        <v>#N/A</v>
      </c>
      <c r="R1948" s="78" t="e">
        <f>VLOOKUP(A1948,'לעדכן בסינתזה דאטה אריזה 42+24'!$A:$C,3,0)</f>
        <v>#N/A</v>
      </c>
    </row>
    <row r="1949" spans="17:18" x14ac:dyDescent="0.2">
      <c r="Q1949" s="78" t="e">
        <f>VLOOKUP(A1949,'גיליון דאטה להכל'!A:H,5,0)</f>
        <v>#N/A</v>
      </c>
      <c r="R1949" s="78" t="e">
        <f>VLOOKUP(A1949,'לעדכן בסינתזה דאטה אריזה 42+24'!$A:$C,3,0)</f>
        <v>#N/A</v>
      </c>
    </row>
    <row r="1950" spans="17:18" x14ac:dyDescent="0.2">
      <c r="Q1950" s="78" t="e">
        <f>VLOOKUP(A1950,'גיליון דאטה להכל'!A:H,5,0)</f>
        <v>#N/A</v>
      </c>
      <c r="R1950" s="78" t="e">
        <f>VLOOKUP(A1950,'לעדכן בסינתזה דאטה אריזה 42+24'!$A:$C,3,0)</f>
        <v>#N/A</v>
      </c>
    </row>
    <row r="1951" spans="17:18" x14ac:dyDescent="0.2">
      <c r="Q1951" s="78" t="e">
        <f>VLOOKUP(A1951,'גיליון דאטה להכל'!A:H,5,0)</f>
        <v>#N/A</v>
      </c>
      <c r="R1951" s="78" t="e">
        <f>VLOOKUP(A1951,'לעדכן בסינתזה דאטה אריזה 42+24'!$A:$C,3,0)</f>
        <v>#N/A</v>
      </c>
    </row>
    <row r="1952" spans="17:18" x14ac:dyDescent="0.2">
      <c r="Q1952" s="78" t="e">
        <f>VLOOKUP(A1952,'גיליון דאטה להכל'!A:H,5,0)</f>
        <v>#N/A</v>
      </c>
      <c r="R1952" s="78" t="e">
        <f>VLOOKUP(A1952,'לעדכן בסינתזה דאטה אריזה 42+24'!$A:$C,3,0)</f>
        <v>#N/A</v>
      </c>
    </row>
    <row r="1953" spans="17:18" x14ac:dyDescent="0.2">
      <c r="Q1953" s="78" t="e">
        <f>VLOOKUP(A1953,'גיליון דאטה להכל'!A:H,5,0)</f>
        <v>#N/A</v>
      </c>
      <c r="R1953" s="78" t="e">
        <f>VLOOKUP(A1953,'לעדכן בסינתזה דאטה אריזה 42+24'!$A:$C,3,0)</f>
        <v>#N/A</v>
      </c>
    </row>
    <row r="1954" spans="17:18" x14ac:dyDescent="0.2">
      <c r="Q1954" s="78" t="e">
        <f>VLOOKUP(A1954,'גיליון דאטה להכל'!A:H,5,0)</f>
        <v>#N/A</v>
      </c>
      <c r="R1954" s="78" t="e">
        <f>VLOOKUP(A1954,'לעדכן בסינתזה דאטה אריזה 42+24'!$A:$C,3,0)</f>
        <v>#N/A</v>
      </c>
    </row>
    <row r="1955" spans="17:18" x14ac:dyDescent="0.2">
      <c r="Q1955" s="78" t="e">
        <f>VLOOKUP(A1955,'גיליון דאטה להכל'!A:H,5,0)</f>
        <v>#N/A</v>
      </c>
      <c r="R1955" s="78" t="e">
        <f>VLOOKUP(A1955,'לעדכן בסינתזה דאטה אריזה 42+24'!$A:$C,3,0)</f>
        <v>#N/A</v>
      </c>
    </row>
    <row r="1956" spans="17:18" x14ac:dyDescent="0.2">
      <c r="Q1956" s="78" t="e">
        <f>VLOOKUP(A1956,'גיליון דאטה להכל'!A:H,5,0)</f>
        <v>#N/A</v>
      </c>
      <c r="R1956" s="78" t="e">
        <f>VLOOKUP(A1956,'לעדכן בסינתזה דאטה אריזה 42+24'!$A:$C,3,0)</f>
        <v>#N/A</v>
      </c>
    </row>
    <row r="1957" spans="17:18" x14ac:dyDescent="0.2">
      <c r="Q1957" s="78" t="e">
        <f>VLOOKUP(A1957,'גיליון דאטה להכל'!A:H,5,0)</f>
        <v>#N/A</v>
      </c>
      <c r="R1957" s="78" t="e">
        <f>VLOOKUP(A1957,'לעדכן בסינתזה דאטה אריזה 42+24'!$A:$C,3,0)</f>
        <v>#N/A</v>
      </c>
    </row>
    <row r="1958" spans="17:18" x14ac:dyDescent="0.2">
      <c r="Q1958" s="78" t="e">
        <f>VLOOKUP(A1958,'גיליון דאטה להכל'!A:H,5,0)</f>
        <v>#N/A</v>
      </c>
      <c r="R1958" s="78" t="e">
        <f>VLOOKUP(A1958,'לעדכן בסינתזה דאטה אריזה 42+24'!$A:$C,3,0)</f>
        <v>#N/A</v>
      </c>
    </row>
    <row r="1959" spans="17:18" x14ac:dyDescent="0.2">
      <c r="Q1959" s="78" t="e">
        <f>VLOOKUP(A1959,'גיליון דאטה להכל'!A:H,5,0)</f>
        <v>#N/A</v>
      </c>
      <c r="R1959" s="78" t="e">
        <f>VLOOKUP(A1959,'לעדכן בסינתזה דאטה אריזה 42+24'!$A:$C,3,0)</f>
        <v>#N/A</v>
      </c>
    </row>
    <row r="1960" spans="17:18" x14ac:dyDescent="0.2">
      <c r="Q1960" s="78" t="e">
        <f>VLOOKUP(A1960,'גיליון דאטה להכל'!A:H,5,0)</f>
        <v>#N/A</v>
      </c>
      <c r="R1960" s="78" t="e">
        <f>VLOOKUP(A1960,'לעדכן בסינתזה דאטה אריזה 42+24'!$A:$C,3,0)</f>
        <v>#N/A</v>
      </c>
    </row>
    <row r="1961" spans="17:18" x14ac:dyDescent="0.2">
      <c r="Q1961" s="78" t="e">
        <f>VLOOKUP(A1961,'גיליון דאטה להכל'!A:H,5,0)</f>
        <v>#N/A</v>
      </c>
      <c r="R1961" s="78" t="e">
        <f>VLOOKUP(A1961,'לעדכן בסינתזה דאטה אריזה 42+24'!$A:$C,3,0)</f>
        <v>#N/A</v>
      </c>
    </row>
    <row r="1962" spans="17:18" x14ac:dyDescent="0.2">
      <c r="Q1962" s="78" t="e">
        <f>VLOOKUP(A1962,'גיליון דאטה להכל'!A:H,5,0)</f>
        <v>#N/A</v>
      </c>
      <c r="R1962" s="78" t="e">
        <f>VLOOKUP(A1962,'לעדכן בסינתזה דאטה אריזה 42+24'!$A:$C,3,0)</f>
        <v>#N/A</v>
      </c>
    </row>
    <row r="1963" spans="17:18" x14ac:dyDescent="0.2">
      <c r="Q1963" s="78" t="e">
        <f>VLOOKUP(A1963,'גיליון דאטה להכל'!A:H,5,0)</f>
        <v>#N/A</v>
      </c>
      <c r="R1963" s="78" t="e">
        <f>VLOOKUP(A1963,'לעדכן בסינתזה דאטה אריזה 42+24'!$A:$C,3,0)</f>
        <v>#N/A</v>
      </c>
    </row>
    <row r="1964" spans="17:18" x14ac:dyDescent="0.2">
      <c r="Q1964" s="78" t="e">
        <f>VLOOKUP(A1964,'גיליון דאטה להכל'!A:H,5,0)</f>
        <v>#N/A</v>
      </c>
      <c r="R1964" s="78" t="e">
        <f>VLOOKUP(A1964,'לעדכן בסינתזה דאטה אריזה 42+24'!$A:$C,3,0)</f>
        <v>#N/A</v>
      </c>
    </row>
    <row r="1965" spans="17:18" x14ac:dyDescent="0.2">
      <c r="Q1965" s="78" t="e">
        <f>VLOOKUP(A1965,'גיליון דאטה להכל'!A:H,5,0)</f>
        <v>#N/A</v>
      </c>
      <c r="R1965" s="78" t="e">
        <f>VLOOKUP(A1965,'לעדכן בסינתזה דאטה אריזה 42+24'!$A:$C,3,0)</f>
        <v>#N/A</v>
      </c>
    </row>
    <row r="1966" spans="17:18" x14ac:dyDescent="0.2">
      <c r="Q1966" s="78" t="e">
        <f>VLOOKUP(A1966,'גיליון דאטה להכל'!A:H,5,0)</f>
        <v>#N/A</v>
      </c>
      <c r="R1966" s="78" t="e">
        <f>VLOOKUP(A1966,'לעדכן בסינתזה דאטה אריזה 42+24'!$A:$C,3,0)</f>
        <v>#N/A</v>
      </c>
    </row>
    <row r="1967" spans="17:18" x14ac:dyDescent="0.2">
      <c r="Q1967" s="78" t="e">
        <f>VLOOKUP(A1967,'גיליון דאטה להכל'!A:H,5,0)</f>
        <v>#N/A</v>
      </c>
      <c r="R1967" s="78" t="e">
        <f>VLOOKUP(A1967,'לעדכן בסינתזה דאטה אריזה 42+24'!$A:$C,3,0)</f>
        <v>#N/A</v>
      </c>
    </row>
    <row r="1968" spans="17:18" x14ac:dyDescent="0.2">
      <c r="Q1968" s="78" t="e">
        <f>VLOOKUP(A1968,'גיליון דאטה להכל'!A:H,5,0)</f>
        <v>#N/A</v>
      </c>
      <c r="R1968" s="78" t="e">
        <f>VLOOKUP(A1968,'לעדכן בסינתזה דאטה אריזה 42+24'!$A:$C,3,0)</f>
        <v>#N/A</v>
      </c>
    </row>
    <row r="1969" spans="17:18" x14ac:dyDescent="0.2">
      <c r="Q1969" s="78" t="e">
        <f>VLOOKUP(A1969,'גיליון דאטה להכל'!A:H,5,0)</f>
        <v>#N/A</v>
      </c>
      <c r="R1969" s="78" t="e">
        <f>VLOOKUP(A1969,'לעדכן בסינתזה דאטה אריזה 42+24'!$A:$C,3,0)</f>
        <v>#N/A</v>
      </c>
    </row>
    <row r="1970" spans="17:18" x14ac:dyDescent="0.2">
      <c r="Q1970" s="78" t="e">
        <f>VLOOKUP(A1970,'גיליון דאטה להכל'!A:H,5,0)</f>
        <v>#N/A</v>
      </c>
      <c r="R1970" s="78" t="e">
        <f>VLOOKUP(A1970,'לעדכן בסינתזה דאטה אריזה 42+24'!$A:$C,3,0)</f>
        <v>#N/A</v>
      </c>
    </row>
    <row r="1971" spans="17:18" x14ac:dyDescent="0.2">
      <c r="Q1971" s="78" t="e">
        <f>VLOOKUP(A1971,'גיליון דאטה להכל'!A:H,5,0)</f>
        <v>#N/A</v>
      </c>
      <c r="R1971" s="78" t="e">
        <f>VLOOKUP(A1971,'לעדכן בסינתזה דאטה אריזה 42+24'!$A:$C,3,0)</f>
        <v>#N/A</v>
      </c>
    </row>
    <row r="1972" spans="17:18" x14ac:dyDescent="0.2">
      <c r="Q1972" s="78" t="e">
        <f>VLOOKUP(A1972,'גיליון דאטה להכל'!A:H,5,0)</f>
        <v>#N/A</v>
      </c>
      <c r="R1972" s="78" t="e">
        <f>VLOOKUP(A1972,'לעדכן בסינתזה דאטה אריזה 42+24'!$A:$C,3,0)</f>
        <v>#N/A</v>
      </c>
    </row>
    <row r="1973" spans="17:18" x14ac:dyDescent="0.2">
      <c r="Q1973" s="78" t="e">
        <f>VLOOKUP(A1973,'גיליון דאטה להכל'!A:H,5,0)</f>
        <v>#N/A</v>
      </c>
      <c r="R1973" s="78" t="e">
        <f>VLOOKUP(A1973,'לעדכן בסינתזה דאטה אריזה 42+24'!$A:$C,3,0)</f>
        <v>#N/A</v>
      </c>
    </row>
    <row r="1974" spans="17:18" x14ac:dyDescent="0.2">
      <c r="Q1974" s="78" t="e">
        <f>VLOOKUP(A1974,'גיליון דאטה להכל'!A:H,5,0)</f>
        <v>#N/A</v>
      </c>
      <c r="R1974" s="78" t="e">
        <f>VLOOKUP(A1974,'לעדכן בסינתזה דאטה אריזה 42+24'!$A:$C,3,0)</f>
        <v>#N/A</v>
      </c>
    </row>
    <row r="1975" spans="17:18" x14ac:dyDescent="0.2">
      <c r="Q1975" s="78" t="e">
        <f>VLOOKUP(A1975,'גיליון דאטה להכל'!A:H,5,0)</f>
        <v>#N/A</v>
      </c>
      <c r="R1975" s="78" t="e">
        <f>VLOOKUP(A1975,'לעדכן בסינתזה דאטה אריזה 42+24'!$A:$C,3,0)</f>
        <v>#N/A</v>
      </c>
    </row>
    <row r="1976" spans="17:18" x14ac:dyDescent="0.2">
      <c r="Q1976" s="78" t="e">
        <f>VLOOKUP(A1976,'גיליון דאטה להכל'!A:H,5,0)</f>
        <v>#N/A</v>
      </c>
      <c r="R1976" s="78" t="e">
        <f>VLOOKUP(A1976,'לעדכן בסינתזה דאטה אריזה 42+24'!$A:$C,3,0)</f>
        <v>#N/A</v>
      </c>
    </row>
    <row r="1977" spans="17:18" x14ac:dyDescent="0.2">
      <c r="Q1977" s="78" t="e">
        <f>VLOOKUP(A1977,'גיליון דאטה להכל'!A:H,5,0)</f>
        <v>#N/A</v>
      </c>
      <c r="R1977" s="78" t="e">
        <f>VLOOKUP(A1977,'לעדכן בסינתזה דאטה אריזה 42+24'!$A:$C,3,0)</f>
        <v>#N/A</v>
      </c>
    </row>
    <row r="1978" spans="17:18" x14ac:dyDescent="0.2">
      <c r="Q1978" s="78" t="e">
        <f>VLOOKUP(A1978,'גיליון דאטה להכל'!A:H,5,0)</f>
        <v>#N/A</v>
      </c>
      <c r="R1978" s="78" t="e">
        <f>VLOOKUP(A1978,'לעדכן בסינתזה דאטה אריזה 42+24'!$A:$C,3,0)</f>
        <v>#N/A</v>
      </c>
    </row>
    <row r="1979" spans="17:18" x14ac:dyDescent="0.2">
      <c r="Q1979" s="78" t="e">
        <f>VLOOKUP(A1979,'גיליון דאטה להכל'!A:H,5,0)</f>
        <v>#N/A</v>
      </c>
      <c r="R1979" s="78" t="e">
        <f>VLOOKUP(A1979,'לעדכן בסינתזה דאטה אריזה 42+24'!$A:$C,3,0)</f>
        <v>#N/A</v>
      </c>
    </row>
    <row r="1980" spans="17:18" x14ac:dyDescent="0.2">
      <c r="Q1980" s="78" t="e">
        <f>VLOOKUP(A1980,'גיליון דאטה להכל'!A:H,5,0)</f>
        <v>#N/A</v>
      </c>
      <c r="R1980" s="78" t="e">
        <f>VLOOKUP(A1980,'לעדכן בסינתזה דאטה אריזה 42+24'!$A:$C,3,0)</f>
        <v>#N/A</v>
      </c>
    </row>
    <row r="1981" spans="17:18" x14ac:dyDescent="0.2">
      <c r="Q1981" s="78" t="e">
        <f>VLOOKUP(A1981,'גיליון דאטה להכל'!A:H,5,0)</f>
        <v>#N/A</v>
      </c>
      <c r="R1981" s="78" t="e">
        <f>VLOOKUP(A1981,'לעדכן בסינתזה דאטה אריזה 42+24'!$A:$C,3,0)</f>
        <v>#N/A</v>
      </c>
    </row>
    <row r="1982" spans="17:18" x14ac:dyDescent="0.2">
      <c r="Q1982" s="78" t="e">
        <f>VLOOKUP(A1982,'גיליון דאטה להכל'!A:H,5,0)</f>
        <v>#N/A</v>
      </c>
      <c r="R1982" s="78" t="e">
        <f>VLOOKUP(A1982,'לעדכן בסינתזה דאטה אריזה 42+24'!$A:$C,3,0)</f>
        <v>#N/A</v>
      </c>
    </row>
    <row r="1983" spans="17:18" x14ac:dyDescent="0.2">
      <c r="Q1983" s="78" t="e">
        <f>VLOOKUP(A1983,'גיליון דאטה להכל'!A:H,5,0)</f>
        <v>#N/A</v>
      </c>
      <c r="R1983" s="78" t="e">
        <f>VLOOKUP(A1983,'לעדכן בסינתזה דאטה אריזה 42+24'!$A:$C,3,0)</f>
        <v>#N/A</v>
      </c>
    </row>
    <row r="1984" spans="17:18" x14ac:dyDescent="0.2">
      <c r="Q1984" s="78" t="e">
        <f>VLOOKUP(A1984,'גיליון דאטה להכל'!A:H,5,0)</f>
        <v>#N/A</v>
      </c>
      <c r="R1984" s="78" t="e">
        <f>VLOOKUP(A1984,'לעדכן בסינתזה דאטה אריזה 42+24'!$A:$C,3,0)</f>
        <v>#N/A</v>
      </c>
    </row>
    <row r="1985" spans="17:18" x14ac:dyDescent="0.2">
      <c r="Q1985" s="78" t="e">
        <f>VLOOKUP(A1985,'גיליון דאטה להכל'!A:H,5,0)</f>
        <v>#N/A</v>
      </c>
      <c r="R1985" s="78" t="e">
        <f>VLOOKUP(A1985,'לעדכן בסינתזה דאטה אריזה 42+24'!$A:$C,3,0)</f>
        <v>#N/A</v>
      </c>
    </row>
    <row r="1986" spans="17:18" x14ac:dyDescent="0.2">
      <c r="Q1986" s="78" t="e">
        <f>VLOOKUP(A1986,'גיליון דאטה להכל'!A:H,5,0)</f>
        <v>#N/A</v>
      </c>
      <c r="R1986" s="78" t="e">
        <f>VLOOKUP(A1986,'לעדכן בסינתזה דאטה אריזה 42+24'!$A:$C,3,0)</f>
        <v>#N/A</v>
      </c>
    </row>
    <row r="1987" spans="17:18" x14ac:dyDescent="0.2">
      <c r="Q1987" s="78" t="e">
        <f>VLOOKUP(A1987,'גיליון דאטה להכל'!A:H,5,0)</f>
        <v>#N/A</v>
      </c>
      <c r="R1987" s="78" t="e">
        <f>VLOOKUP(A1987,'לעדכן בסינתזה דאטה אריזה 42+24'!$A:$C,3,0)</f>
        <v>#N/A</v>
      </c>
    </row>
    <row r="1988" spans="17:18" x14ac:dyDescent="0.2">
      <c r="Q1988" s="78" t="e">
        <f>VLOOKUP(A1988,'גיליון דאטה להכל'!A:H,5,0)</f>
        <v>#N/A</v>
      </c>
      <c r="R1988" s="78" t="e">
        <f>VLOOKUP(A1988,'לעדכן בסינתזה דאטה אריזה 42+24'!$A:$C,3,0)</f>
        <v>#N/A</v>
      </c>
    </row>
    <row r="1989" spans="17:18" x14ac:dyDescent="0.2">
      <c r="Q1989" s="78" t="e">
        <f>VLOOKUP(A1989,'גיליון דאטה להכל'!A:H,5,0)</f>
        <v>#N/A</v>
      </c>
      <c r="R1989" s="78" t="e">
        <f>VLOOKUP(A1989,'לעדכן בסינתזה דאטה אריזה 42+24'!$A:$C,3,0)</f>
        <v>#N/A</v>
      </c>
    </row>
    <row r="1990" spans="17:18" x14ac:dyDescent="0.2">
      <c r="Q1990" s="78" t="e">
        <f>VLOOKUP(A1990,'גיליון דאטה להכל'!A:H,5,0)</f>
        <v>#N/A</v>
      </c>
      <c r="R1990" s="78" t="e">
        <f>VLOOKUP(A1990,'לעדכן בסינתזה דאטה אריזה 42+24'!$A:$C,3,0)</f>
        <v>#N/A</v>
      </c>
    </row>
    <row r="1991" spans="17:18" x14ac:dyDescent="0.2">
      <c r="Q1991" s="78" t="e">
        <f>VLOOKUP(A1991,'גיליון דאטה להכל'!A:H,5,0)</f>
        <v>#N/A</v>
      </c>
      <c r="R1991" s="78" t="e">
        <f>VLOOKUP(A1991,'לעדכן בסינתזה דאטה אריזה 42+24'!$A:$C,3,0)</f>
        <v>#N/A</v>
      </c>
    </row>
    <row r="1992" spans="17:18" x14ac:dyDescent="0.2">
      <c r="Q1992" s="78" t="e">
        <f>VLOOKUP(A1992,'גיליון דאטה להכל'!A:H,5,0)</f>
        <v>#N/A</v>
      </c>
      <c r="R1992" s="78" t="e">
        <f>VLOOKUP(A1992,'לעדכן בסינתזה דאטה אריזה 42+24'!$A:$C,3,0)</f>
        <v>#N/A</v>
      </c>
    </row>
    <row r="1993" spans="17:18" x14ac:dyDescent="0.2">
      <c r="Q1993" s="78" t="e">
        <f>VLOOKUP(A1993,'גיליון דאטה להכל'!A:H,5,0)</f>
        <v>#N/A</v>
      </c>
      <c r="R1993" s="78" t="e">
        <f>VLOOKUP(A1993,'לעדכן בסינתזה דאטה אריזה 42+24'!$A:$C,3,0)</f>
        <v>#N/A</v>
      </c>
    </row>
    <row r="1994" spans="17:18" x14ac:dyDescent="0.2">
      <c r="Q1994" s="78" t="e">
        <f>VLOOKUP(A1994,'גיליון דאטה להכל'!A:H,5,0)</f>
        <v>#N/A</v>
      </c>
      <c r="R1994" s="78" t="e">
        <f>VLOOKUP(A1994,'לעדכן בסינתזה דאטה אריזה 42+24'!$A:$C,3,0)</f>
        <v>#N/A</v>
      </c>
    </row>
    <row r="1995" spans="17:18" x14ac:dyDescent="0.2">
      <c r="Q1995" s="78" t="e">
        <f>VLOOKUP(A1995,'גיליון דאטה להכל'!A:H,5,0)</f>
        <v>#N/A</v>
      </c>
      <c r="R1995" s="78" t="e">
        <f>VLOOKUP(A1995,'לעדכן בסינתזה דאטה אריזה 42+24'!$A:$C,3,0)</f>
        <v>#N/A</v>
      </c>
    </row>
    <row r="1996" spans="17:18" x14ac:dyDescent="0.2">
      <c r="Q1996" s="78" t="e">
        <f>VLOOKUP(A1996,'גיליון דאטה להכל'!A:H,5,0)</f>
        <v>#N/A</v>
      </c>
      <c r="R1996" s="78" t="e">
        <f>VLOOKUP(A1996,'לעדכן בסינתזה דאטה אריזה 42+24'!$A:$C,3,0)</f>
        <v>#N/A</v>
      </c>
    </row>
    <row r="1997" spans="17:18" x14ac:dyDescent="0.2">
      <c r="Q1997" s="78" t="e">
        <f>VLOOKUP(A1997,'גיליון דאטה להכל'!A:H,5,0)</f>
        <v>#N/A</v>
      </c>
      <c r="R1997" s="78" t="e">
        <f>VLOOKUP(A1997,'לעדכן בסינתזה דאטה אריזה 42+24'!$A:$C,3,0)</f>
        <v>#N/A</v>
      </c>
    </row>
    <row r="1998" spans="17:18" x14ac:dyDescent="0.2">
      <c r="Q1998" s="78" t="e">
        <f>VLOOKUP(A1998,'גיליון דאטה להכל'!A:H,5,0)</f>
        <v>#N/A</v>
      </c>
      <c r="R1998" s="78" t="e">
        <f>VLOOKUP(A1998,'לעדכן בסינתזה דאטה אריזה 42+24'!$A:$C,3,0)</f>
        <v>#N/A</v>
      </c>
    </row>
    <row r="1999" spans="17:18" x14ac:dyDescent="0.2">
      <c r="Q1999" s="78" t="e">
        <f>VLOOKUP(A1999,'גיליון דאטה להכל'!A:H,5,0)</f>
        <v>#N/A</v>
      </c>
      <c r="R1999" s="78" t="e">
        <f>VLOOKUP(A1999,'לעדכן בסינתזה דאטה אריזה 42+24'!$A:$C,3,0)</f>
        <v>#N/A</v>
      </c>
    </row>
    <row r="2000" spans="17:18" x14ac:dyDescent="0.2">
      <c r="Q2000" s="78" t="e">
        <f>VLOOKUP(A2000,'גיליון דאטה להכל'!A:H,5,0)</f>
        <v>#N/A</v>
      </c>
      <c r="R2000" s="78" t="e">
        <f>VLOOKUP(A2000,'לעדכן בסינתזה דאטה אריזה 42+24'!$A:$C,3,0)</f>
        <v>#N/A</v>
      </c>
    </row>
    <row r="2001" spans="17:18" x14ac:dyDescent="0.2">
      <c r="Q2001" s="78" t="e">
        <f>VLOOKUP(A2001,'גיליון דאטה להכל'!A:H,5,0)</f>
        <v>#N/A</v>
      </c>
      <c r="R2001" s="78" t="e">
        <f>VLOOKUP(A2001,'לעדכן בסינתזה דאטה אריזה 42+24'!$A:$C,3,0)</f>
        <v>#N/A</v>
      </c>
    </row>
    <row r="2002" spans="17:18" x14ac:dyDescent="0.2">
      <c r="Q2002" s="78" t="e">
        <f>VLOOKUP(A2002,'גיליון דאטה להכל'!A:H,5,0)</f>
        <v>#N/A</v>
      </c>
      <c r="R2002" s="78" t="e">
        <f>VLOOKUP(A2002,'לעדכן בסינתזה דאטה אריזה 42+24'!$A:$C,3,0)</f>
        <v>#N/A</v>
      </c>
    </row>
    <row r="2003" spans="17:18" x14ac:dyDescent="0.2">
      <c r="Q2003" s="78" t="e">
        <f>VLOOKUP(A2003,'גיליון דאטה להכל'!A:H,5,0)</f>
        <v>#N/A</v>
      </c>
      <c r="R2003" s="78" t="e">
        <f>VLOOKUP(A2003,'לעדכן בסינתזה דאטה אריזה 42+24'!$A:$C,3,0)</f>
        <v>#N/A</v>
      </c>
    </row>
    <row r="2004" spans="17:18" x14ac:dyDescent="0.2">
      <c r="Q2004" s="78" t="e">
        <f>VLOOKUP(A2004,'גיליון דאטה להכל'!A:H,5,0)</f>
        <v>#N/A</v>
      </c>
      <c r="R2004" s="78" t="e">
        <f>VLOOKUP(A2004,'לעדכן בסינתזה דאטה אריזה 42+24'!$A:$C,3,0)</f>
        <v>#N/A</v>
      </c>
    </row>
    <row r="2005" spans="17:18" x14ac:dyDescent="0.2">
      <c r="Q2005" s="78" t="e">
        <f>VLOOKUP(A2005,'גיליון דאטה להכל'!A:H,5,0)</f>
        <v>#N/A</v>
      </c>
      <c r="R2005" s="78" t="e">
        <f>VLOOKUP(A2005,'לעדכן בסינתזה דאטה אריזה 42+24'!$A:$C,3,0)</f>
        <v>#N/A</v>
      </c>
    </row>
    <row r="2006" spans="17:18" x14ac:dyDescent="0.2">
      <c r="Q2006" s="78" t="e">
        <f>VLOOKUP(A2006,'גיליון דאטה להכל'!A:H,5,0)</f>
        <v>#N/A</v>
      </c>
      <c r="R2006" s="78" t="e">
        <f>VLOOKUP(A2006,'לעדכן בסינתזה דאטה אריזה 42+24'!$A:$C,3,0)</f>
        <v>#N/A</v>
      </c>
    </row>
    <row r="2007" spans="17:18" x14ac:dyDescent="0.2">
      <c r="Q2007" s="78" t="e">
        <f>VLOOKUP(A2007,'גיליון דאטה להכל'!A:H,5,0)</f>
        <v>#N/A</v>
      </c>
      <c r="R2007" s="78" t="e">
        <f>VLOOKUP(A2007,'לעדכן בסינתזה דאטה אריזה 42+24'!$A:$C,3,0)</f>
        <v>#N/A</v>
      </c>
    </row>
    <row r="2008" spans="17:18" x14ac:dyDescent="0.2">
      <c r="Q2008" s="78" t="e">
        <f>VLOOKUP(A2008,'גיליון דאטה להכל'!A:H,5,0)</f>
        <v>#N/A</v>
      </c>
      <c r="R2008" s="78" t="e">
        <f>VLOOKUP(A2008,'לעדכן בסינתזה דאטה אריזה 42+24'!$A:$C,3,0)</f>
        <v>#N/A</v>
      </c>
    </row>
    <row r="2009" spans="17:18" x14ac:dyDescent="0.2">
      <c r="Q2009" s="78" t="e">
        <f>VLOOKUP(A2009,'גיליון דאטה להכל'!A:H,5,0)</f>
        <v>#N/A</v>
      </c>
      <c r="R2009" s="78" t="e">
        <f>VLOOKUP(A2009,'לעדכן בסינתזה דאטה אריזה 42+24'!$A:$C,3,0)</f>
        <v>#N/A</v>
      </c>
    </row>
    <row r="2010" spans="17:18" x14ac:dyDescent="0.2">
      <c r="Q2010" s="78" t="e">
        <f>VLOOKUP(A2010,'גיליון דאטה להכל'!A:H,5,0)</f>
        <v>#N/A</v>
      </c>
      <c r="R2010" s="78" t="e">
        <f>VLOOKUP(A2010,'לעדכן בסינתזה דאטה אריזה 42+24'!$A:$C,3,0)</f>
        <v>#N/A</v>
      </c>
    </row>
    <row r="2011" spans="17:18" x14ac:dyDescent="0.2">
      <c r="Q2011" s="78" t="e">
        <f>VLOOKUP(A2011,'גיליון דאטה להכל'!A:H,5,0)</f>
        <v>#N/A</v>
      </c>
      <c r="R2011" s="78" t="e">
        <f>VLOOKUP(A2011,'לעדכן בסינתזה דאטה אריזה 42+24'!$A:$C,3,0)</f>
        <v>#N/A</v>
      </c>
    </row>
    <row r="2012" spans="17:18" x14ac:dyDescent="0.2">
      <c r="Q2012" s="78" t="e">
        <f>VLOOKUP(A2012,'גיליון דאטה להכל'!A:H,5,0)</f>
        <v>#N/A</v>
      </c>
      <c r="R2012" s="78" t="e">
        <f>VLOOKUP(A2012,'לעדכן בסינתזה דאטה אריזה 42+24'!$A:$C,3,0)</f>
        <v>#N/A</v>
      </c>
    </row>
    <row r="2013" spans="17:18" x14ac:dyDescent="0.2">
      <c r="Q2013" s="78" t="e">
        <f>VLOOKUP(A2013,'גיליון דאטה להכל'!A:H,5,0)</f>
        <v>#N/A</v>
      </c>
      <c r="R2013" s="78" t="e">
        <f>VLOOKUP(A2013,'לעדכן בסינתזה דאטה אריזה 42+24'!$A:$C,3,0)</f>
        <v>#N/A</v>
      </c>
    </row>
    <row r="2014" spans="17:18" x14ac:dyDescent="0.2">
      <c r="Q2014" s="78" t="e">
        <f>VLOOKUP(A2014,'גיליון דאטה להכל'!A:H,5,0)</f>
        <v>#N/A</v>
      </c>
      <c r="R2014" s="78" t="e">
        <f>VLOOKUP(A2014,'לעדכן בסינתזה דאטה אריזה 42+24'!$A:$C,3,0)</f>
        <v>#N/A</v>
      </c>
    </row>
    <row r="2015" spans="17:18" x14ac:dyDescent="0.2">
      <c r="Q2015" s="78" t="e">
        <f>VLOOKUP(A2015,'גיליון דאטה להכל'!A:H,5,0)</f>
        <v>#N/A</v>
      </c>
      <c r="R2015" s="78" t="e">
        <f>VLOOKUP(A2015,'לעדכן בסינתזה דאטה אריזה 42+24'!$A:$C,3,0)</f>
        <v>#N/A</v>
      </c>
    </row>
    <row r="2016" spans="17:18" x14ac:dyDescent="0.2">
      <c r="Q2016" s="78" t="e">
        <f>VLOOKUP(A2016,'גיליון דאטה להכל'!A:H,5,0)</f>
        <v>#N/A</v>
      </c>
      <c r="R2016" s="78" t="e">
        <f>VLOOKUP(A2016,'לעדכן בסינתזה דאטה אריזה 42+24'!$A:$C,3,0)</f>
        <v>#N/A</v>
      </c>
    </row>
    <row r="2017" spans="17:18" x14ac:dyDescent="0.2">
      <c r="Q2017" s="78" t="e">
        <f>VLOOKUP(A2017,'גיליון דאטה להכל'!A:H,5,0)</f>
        <v>#N/A</v>
      </c>
      <c r="R2017" s="78" t="e">
        <f>VLOOKUP(A2017,'לעדכן בסינתזה דאטה אריזה 42+24'!$A:$C,3,0)</f>
        <v>#N/A</v>
      </c>
    </row>
    <row r="2018" spans="17:18" x14ac:dyDescent="0.2">
      <c r="Q2018" s="78" t="e">
        <f>VLOOKUP(A2018,'גיליון דאטה להכל'!A:H,5,0)</f>
        <v>#N/A</v>
      </c>
      <c r="R2018" s="78" t="e">
        <f>VLOOKUP(A2018,'לעדכן בסינתזה דאטה אריזה 42+24'!$A:$C,3,0)</f>
        <v>#N/A</v>
      </c>
    </row>
    <row r="2019" spans="17:18" x14ac:dyDescent="0.2">
      <c r="Q2019" s="78" t="e">
        <f>VLOOKUP(A2019,'גיליון דאטה להכל'!A:H,5,0)</f>
        <v>#N/A</v>
      </c>
      <c r="R2019" s="78" t="e">
        <f>VLOOKUP(A2019,'לעדכן בסינתזה דאטה אריזה 42+24'!$A:$C,3,0)</f>
        <v>#N/A</v>
      </c>
    </row>
    <row r="2020" spans="17:18" x14ac:dyDescent="0.2">
      <c r="Q2020" s="78" t="e">
        <f>VLOOKUP(A2020,'גיליון דאטה להכל'!A:H,5,0)</f>
        <v>#N/A</v>
      </c>
      <c r="R2020" s="78" t="e">
        <f>VLOOKUP(A2020,'לעדכן בסינתזה דאטה אריזה 42+24'!$A:$C,3,0)</f>
        <v>#N/A</v>
      </c>
    </row>
    <row r="2021" spans="17:18" x14ac:dyDescent="0.2">
      <c r="Q2021" s="78" t="e">
        <f>VLOOKUP(A2021,'גיליון דאטה להכל'!A:H,5,0)</f>
        <v>#N/A</v>
      </c>
      <c r="R2021" s="78" t="e">
        <f>VLOOKUP(A2021,'לעדכן בסינתזה דאטה אריזה 42+24'!$A:$C,3,0)</f>
        <v>#N/A</v>
      </c>
    </row>
    <row r="2022" spans="17:18" x14ac:dyDescent="0.2">
      <c r="Q2022" s="78" t="e">
        <f>VLOOKUP(A2022,'גיליון דאטה להכל'!A:H,5,0)</f>
        <v>#N/A</v>
      </c>
      <c r="R2022" s="78" t="e">
        <f>VLOOKUP(A2022,'לעדכן בסינתזה דאטה אריזה 42+24'!$A:$C,3,0)</f>
        <v>#N/A</v>
      </c>
    </row>
    <row r="2023" spans="17:18" x14ac:dyDescent="0.2">
      <c r="Q2023" s="78" t="e">
        <f>VLOOKUP(A2023,'גיליון דאטה להכל'!A:H,5,0)</f>
        <v>#N/A</v>
      </c>
      <c r="R2023" s="78" t="e">
        <f>VLOOKUP(A2023,'לעדכן בסינתזה דאטה אריזה 42+24'!$A:$C,3,0)</f>
        <v>#N/A</v>
      </c>
    </row>
    <row r="2024" spans="17:18" x14ac:dyDescent="0.2">
      <c r="Q2024" s="78" t="e">
        <f>VLOOKUP(A2024,'גיליון דאטה להכל'!A:H,5,0)</f>
        <v>#N/A</v>
      </c>
      <c r="R2024" s="78" t="e">
        <f>VLOOKUP(A2024,'לעדכן בסינתזה דאטה אריזה 42+24'!$A:$C,3,0)</f>
        <v>#N/A</v>
      </c>
    </row>
    <row r="2025" spans="17:18" x14ac:dyDescent="0.2">
      <c r="Q2025" s="78" t="e">
        <f>VLOOKUP(A2025,'גיליון דאטה להכל'!A:H,5,0)</f>
        <v>#N/A</v>
      </c>
      <c r="R2025" s="78" t="e">
        <f>VLOOKUP(A2025,'לעדכן בסינתזה דאטה אריזה 42+24'!$A:$C,3,0)</f>
        <v>#N/A</v>
      </c>
    </row>
    <row r="2026" spans="17:18" x14ac:dyDescent="0.2">
      <c r="Q2026" s="78" t="e">
        <f>VLOOKUP(A2026,'גיליון דאטה להכל'!A:H,5,0)</f>
        <v>#N/A</v>
      </c>
      <c r="R2026" s="78" t="e">
        <f>VLOOKUP(A2026,'לעדכן בסינתזה דאטה אריזה 42+24'!$A:$C,3,0)</f>
        <v>#N/A</v>
      </c>
    </row>
    <row r="2027" spans="17:18" x14ac:dyDescent="0.2">
      <c r="Q2027" s="78" t="e">
        <f>VLOOKUP(A2027,'גיליון דאטה להכל'!A:H,5,0)</f>
        <v>#N/A</v>
      </c>
      <c r="R2027" s="78" t="e">
        <f>VLOOKUP(A2027,'לעדכן בסינתזה דאטה אריזה 42+24'!$A:$C,3,0)</f>
        <v>#N/A</v>
      </c>
    </row>
    <row r="2028" spans="17:18" x14ac:dyDescent="0.2">
      <c r="Q2028" s="78" t="e">
        <f>VLOOKUP(A2028,'גיליון דאטה להכל'!A:H,5,0)</f>
        <v>#N/A</v>
      </c>
      <c r="R2028" s="78" t="e">
        <f>VLOOKUP(A2028,'לעדכן בסינתזה דאטה אריזה 42+24'!$A:$C,3,0)</f>
        <v>#N/A</v>
      </c>
    </row>
    <row r="2029" spans="17:18" x14ac:dyDescent="0.2">
      <c r="Q2029" s="78" t="e">
        <f>VLOOKUP(A2029,'גיליון דאטה להכל'!A:H,5,0)</f>
        <v>#N/A</v>
      </c>
      <c r="R2029" s="78" t="e">
        <f>VLOOKUP(A2029,'לעדכן בסינתזה דאטה אריזה 42+24'!$A:$C,3,0)</f>
        <v>#N/A</v>
      </c>
    </row>
    <row r="2030" spans="17:18" x14ac:dyDescent="0.2">
      <c r="Q2030" s="78" t="e">
        <f>VLOOKUP(A2030,'גיליון דאטה להכל'!A:H,5,0)</f>
        <v>#N/A</v>
      </c>
      <c r="R2030" s="78" t="e">
        <f>VLOOKUP(A2030,'לעדכן בסינתזה דאטה אריזה 42+24'!$A:$C,3,0)</f>
        <v>#N/A</v>
      </c>
    </row>
    <row r="2031" spans="17:18" x14ac:dyDescent="0.2">
      <c r="Q2031" s="78" t="e">
        <f>VLOOKUP(A2031,'גיליון דאטה להכל'!A:H,5,0)</f>
        <v>#N/A</v>
      </c>
      <c r="R2031" s="78" t="e">
        <f>VLOOKUP(A2031,'לעדכן בסינתזה דאטה אריזה 42+24'!$A:$C,3,0)</f>
        <v>#N/A</v>
      </c>
    </row>
    <row r="2032" spans="17:18" x14ac:dyDescent="0.2">
      <c r="Q2032" s="78" t="e">
        <f>VLOOKUP(A2032,'גיליון דאטה להכל'!A:H,5,0)</f>
        <v>#N/A</v>
      </c>
      <c r="R2032" s="78" t="e">
        <f>VLOOKUP(A2032,'לעדכן בסינתזה דאטה אריזה 42+24'!$A:$C,3,0)</f>
        <v>#N/A</v>
      </c>
    </row>
    <row r="2033" spans="17:18" x14ac:dyDescent="0.2">
      <c r="Q2033" s="78" t="e">
        <f>VLOOKUP(A2033,'גיליון דאטה להכל'!A:H,5,0)</f>
        <v>#N/A</v>
      </c>
      <c r="R2033" s="78" t="e">
        <f>VLOOKUP(A2033,'לעדכן בסינתזה דאטה אריזה 42+24'!$A:$C,3,0)</f>
        <v>#N/A</v>
      </c>
    </row>
    <row r="2034" spans="17:18" x14ac:dyDescent="0.2">
      <c r="Q2034" s="78" t="e">
        <f>VLOOKUP(A2034,'גיליון דאטה להכל'!A:H,5,0)</f>
        <v>#N/A</v>
      </c>
      <c r="R2034" s="78" t="e">
        <f>VLOOKUP(A2034,'לעדכן בסינתזה דאטה אריזה 42+24'!$A:$C,3,0)</f>
        <v>#N/A</v>
      </c>
    </row>
    <row r="2035" spans="17:18" x14ac:dyDescent="0.2">
      <c r="Q2035" s="78" t="e">
        <f>VLOOKUP(A2035,'גיליון דאטה להכל'!A:H,5,0)</f>
        <v>#N/A</v>
      </c>
      <c r="R2035" s="78" t="e">
        <f>VLOOKUP(A2035,'לעדכן בסינתזה דאטה אריזה 42+24'!$A:$C,3,0)</f>
        <v>#N/A</v>
      </c>
    </row>
    <row r="2036" spans="17:18" x14ac:dyDescent="0.2">
      <c r="Q2036" s="78" t="e">
        <f>VLOOKUP(A2036,'גיליון דאטה להכל'!A:H,5,0)</f>
        <v>#N/A</v>
      </c>
      <c r="R2036" s="78" t="e">
        <f>VLOOKUP(A2036,'לעדכן בסינתזה דאטה אריזה 42+24'!$A:$C,3,0)</f>
        <v>#N/A</v>
      </c>
    </row>
    <row r="2037" spans="17:18" x14ac:dyDescent="0.2">
      <c r="Q2037" s="78" t="e">
        <f>VLOOKUP(A2037,'גיליון דאטה להכל'!A:H,5,0)</f>
        <v>#N/A</v>
      </c>
      <c r="R2037" s="78" t="e">
        <f>VLOOKUP(A2037,'לעדכן בסינתזה דאטה אריזה 42+24'!$A:$C,3,0)</f>
        <v>#N/A</v>
      </c>
    </row>
    <row r="2038" spans="17:18" x14ac:dyDescent="0.2">
      <c r="Q2038" s="78" t="e">
        <f>VLOOKUP(A2038,'גיליון דאטה להכל'!A:H,5,0)</f>
        <v>#N/A</v>
      </c>
      <c r="R2038" s="78" t="e">
        <f>VLOOKUP(A2038,'לעדכן בסינתזה דאטה אריזה 42+24'!$A:$C,3,0)</f>
        <v>#N/A</v>
      </c>
    </row>
    <row r="2039" spans="17:18" x14ac:dyDescent="0.2">
      <c r="Q2039" s="78" t="e">
        <f>VLOOKUP(A2039,'גיליון דאטה להכל'!A:H,5,0)</f>
        <v>#N/A</v>
      </c>
      <c r="R2039" s="78" t="e">
        <f>VLOOKUP(A2039,'לעדכן בסינתזה דאטה אריזה 42+24'!$A:$C,3,0)</f>
        <v>#N/A</v>
      </c>
    </row>
    <row r="2040" spans="17:18" x14ac:dyDescent="0.2">
      <c r="Q2040" s="78" t="e">
        <f>VLOOKUP(A2040,'גיליון דאטה להכל'!A:H,5,0)</f>
        <v>#N/A</v>
      </c>
      <c r="R2040" s="78" t="e">
        <f>VLOOKUP(A2040,'לעדכן בסינתזה דאטה אריזה 42+24'!$A:$C,3,0)</f>
        <v>#N/A</v>
      </c>
    </row>
    <row r="2041" spans="17:18" x14ac:dyDescent="0.2">
      <c r="Q2041" s="78" t="e">
        <f>VLOOKUP(A2041,'גיליון דאטה להכל'!A:H,5,0)</f>
        <v>#N/A</v>
      </c>
      <c r="R2041" s="78" t="e">
        <f>VLOOKUP(A2041,'לעדכן בסינתזה דאטה אריזה 42+24'!$A:$C,3,0)</f>
        <v>#N/A</v>
      </c>
    </row>
    <row r="2042" spans="17:18" x14ac:dyDescent="0.2">
      <c r="Q2042" s="78" t="e">
        <f>VLOOKUP(A2042,'גיליון דאטה להכל'!A:H,5,0)</f>
        <v>#N/A</v>
      </c>
      <c r="R2042" s="78" t="e">
        <f>VLOOKUP(A2042,'לעדכן בסינתזה דאטה אריזה 42+24'!$A:$C,3,0)</f>
        <v>#N/A</v>
      </c>
    </row>
    <row r="2043" spans="17:18" x14ac:dyDescent="0.2">
      <c r="Q2043" s="78" t="e">
        <f>VLOOKUP(A2043,'גיליון דאטה להכל'!A:H,5,0)</f>
        <v>#N/A</v>
      </c>
      <c r="R2043" s="78" t="e">
        <f>VLOOKUP(A2043,'לעדכן בסינתזה דאטה אריזה 42+24'!$A:$C,3,0)</f>
        <v>#N/A</v>
      </c>
    </row>
    <row r="2044" spans="17:18" x14ac:dyDescent="0.2">
      <c r="Q2044" s="78" t="e">
        <f>VLOOKUP(A2044,'גיליון דאטה להכל'!A:H,5,0)</f>
        <v>#N/A</v>
      </c>
      <c r="R2044" s="78" t="e">
        <f>VLOOKUP(A2044,'לעדכן בסינתזה דאטה אריזה 42+24'!$A:$C,3,0)</f>
        <v>#N/A</v>
      </c>
    </row>
    <row r="2045" spans="17:18" x14ac:dyDescent="0.2">
      <c r="Q2045" s="78" t="e">
        <f>VLOOKUP(A2045,'גיליון דאטה להכל'!A:H,5,0)</f>
        <v>#N/A</v>
      </c>
      <c r="R2045" s="78" t="e">
        <f>VLOOKUP(A2045,'לעדכן בסינתזה דאטה אריזה 42+24'!$A:$C,3,0)</f>
        <v>#N/A</v>
      </c>
    </row>
    <row r="2046" spans="17:18" x14ac:dyDescent="0.2">
      <c r="Q2046" s="78" t="e">
        <f>VLOOKUP(A2046,'גיליון דאטה להכל'!A:H,5,0)</f>
        <v>#N/A</v>
      </c>
      <c r="R2046" s="78" t="e">
        <f>VLOOKUP(A2046,'לעדכן בסינתזה דאטה אריזה 42+24'!$A:$C,3,0)</f>
        <v>#N/A</v>
      </c>
    </row>
    <row r="2047" spans="17:18" x14ac:dyDescent="0.2">
      <c r="Q2047" s="78" t="e">
        <f>VLOOKUP(A2047,'גיליון דאטה להכל'!A:H,5,0)</f>
        <v>#N/A</v>
      </c>
      <c r="R2047" s="78" t="e">
        <f>VLOOKUP(A2047,'לעדכן בסינתזה דאטה אריזה 42+24'!$A:$C,3,0)</f>
        <v>#N/A</v>
      </c>
    </row>
    <row r="2048" spans="17:18" x14ac:dyDescent="0.2">
      <c r="Q2048" s="78" t="e">
        <f>VLOOKUP(A2048,'גיליון דאטה להכל'!A:H,5,0)</f>
        <v>#N/A</v>
      </c>
      <c r="R2048" s="78" t="e">
        <f>VLOOKUP(A2048,'לעדכן בסינתזה דאטה אריזה 42+24'!$A:$C,3,0)</f>
        <v>#N/A</v>
      </c>
    </row>
    <row r="2049" spans="17:18" x14ac:dyDescent="0.2">
      <c r="Q2049" s="78" t="e">
        <f>VLOOKUP(A2049,'גיליון דאטה להכל'!A:H,5,0)</f>
        <v>#N/A</v>
      </c>
      <c r="R2049" s="78" t="e">
        <f>VLOOKUP(A2049,'לעדכן בסינתזה דאטה אריזה 42+24'!$A:$C,3,0)</f>
        <v>#N/A</v>
      </c>
    </row>
    <row r="2050" spans="17:18" x14ac:dyDescent="0.2">
      <c r="Q2050" s="78" t="e">
        <f>VLOOKUP(A2050,'גיליון דאטה להכל'!A:H,5,0)</f>
        <v>#N/A</v>
      </c>
      <c r="R2050" s="78" t="e">
        <f>VLOOKUP(A2050,'לעדכן בסינתזה דאטה אריזה 42+24'!$A:$C,3,0)</f>
        <v>#N/A</v>
      </c>
    </row>
    <row r="2051" spans="17:18" x14ac:dyDescent="0.2">
      <c r="Q2051" s="78" t="e">
        <f>VLOOKUP(A2051,'גיליון דאטה להכל'!A:H,5,0)</f>
        <v>#N/A</v>
      </c>
      <c r="R2051" s="78" t="e">
        <f>VLOOKUP(A2051,'לעדכן בסינתזה דאטה אריזה 42+24'!$A:$C,3,0)</f>
        <v>#N/A</v>
      </c>
    </row>
    <row r="2052" spans="17:18" x14ac:dyDescent="0.2">
      <c r="Q2052" s="78" t="e">
        <f>VLOOKUP(A2052,'גיליון דאטה להכל'!A:H,5,0)</f>
        <v>#N/A</v>
      </c>
      <c r="R2052" s="78" t="e">
        <f>VLOOKUP(A2052,'לעדכן בסינתזה דאטה אריזה 42+24'!$A:$C,3,0)</f>
        <v>#N/A</v>
      </c>
    </row>
    <row r="2053" spans="17:18" x14ac:dyDescent="0.2">
      <c r="Q2053" s="78" t="e">
        <f>VLOOKUP(A2053,'גיליון דאטה להכל'!A:H,5,0)</f>
        <v>#N/A</v>
      </c>
      <c r="R2053" s="78" t="e">
        <f>VLOOKUP(A2053,'לעדכן בסינתזה דאטה אריזה 42+24'!$A:$C,3,0)</f>
        <v>#N/A</v>
      </c>
    </row>
    <row r="2054" spans="17:18" x14ac:dyDescent="0.2">
      <c r="Q2054" s="78" t="e">
        <f>VLOOKUP(A2054,'גיליון דאטה להכל'!A:H,5,0)</f>
        <v>#N/A</v>
      </c>
      <c r="R2054" s="78" t="e">
        <f>VLOOKUP(A2054,'לעדכן בסינתזה דאטה אריזה 42+24'!$A:$C,3,0)</f>
        <v>#N/A</v>
      </c>
    </row>
    <row r="2055" spans="17:18" x14ac:dyDescent="0.2">
      <c r="Q2055" s="78" t="e">
        <f>VLOOKUP(A2055,'גיליון דאטה להכל'!A:H,5,0)</f>
        <v>#N/A</v>
      </c>
      <c r="R2055" s="78" t="e">
        <f>VLOOKUP(A2055,'לעדכן בסינתזה דאטה אריזה 42+24'!$A:$C,3,0)</f>
        <v>#N/A</v>
      </c>
    </row>
    <row r="2056" spans="17:18" x14ac:dyDescent="0.2">
      <c r="Q2056" s="78" t="e">
        <f>VLOOKUP(A2056,'גיליון דאטה להכל'!A:H,5,0)</f>
        <v>#N/A</v>
      </c>
      <c r="R2056" s="78" t="e">
        <f>VLOOKUP(A2056,'לעדכן בסינתזה דאטה אריזה 42+24'!$A:$C,3,0)</f>
        <v>#N/A</v>
      </c>
    </row>
    <row r="2057" spans="17:18" x14ac:dyDescent="0.2">
      <c r="Q2057" s="78" t="e">
        <f>VLOOKUP(A2057,'גיליון דאטה להכל'!A:H,5,0)</f>
        <v>#N/A</v>
      </c>
      <c r="R2057" s="78" t="e">
        <f>VLOOKUP(A2057,'לעדכן בסינתזה דאטה אריזה 42+24'!$A:$C,3,0)</f>
        <v>#N/A</v>
      </c>
    </row>
    <row r="2058" spans="17:18" x14ac:dyDescent="0.2">
      <c r="Q2058" s="78" t="e">
        <f>VLOOKUP(A2058,'גיליון דאטה להכל'!A:H,5,0)</f>
        <v>#N/A</v>
      </c>
      <c r="R2058" s="78" t="e">
        <f>VLOOKUP(A2058,'לעדכן בסינתזה דאטה אריזה 42+24'!$A:$C,3,0)</f>
        <v>#N/A</v>
      </c>
    </row>
    <row r="2059" spans="17:18" x14ac:dyDescent="0.2">
      <c r="Q2059" s="78" t="e">
        <f>VLOOKUP(A2059,'גיליון דאטה להכל'!A:H,5,0)</f>
        <v>#N/A</v>
      </c>
      <c r="R2059" s="78" t="e">
        <f>VLOOKUP(A2059,'לעדכן בסינתזה דאטה אריזה 42+24'!$A:$C,3,0)</f>
        <v>#N/A</v>
      </c>
    </row>
    <row r="2060" spans="17:18" x14ac:dyDescent="0.2">
      <c r="Q2060" s="78" t="e">
        <f>VLOOKUP(A2060,'גיליון דאטה להכל'!A:H,5,0)</f>
        <v>#N/A</v>
      </c>
      <c r="R2060" s="78" t="e">
        <f>VLOOKUP(A2060,'לעדכן בסינתזה דאטה אריזה 42+24'!$A:$C,3,0)</f>
        <v>#N/A</v>
      </c>
    </row>
    <row r="2061" spans="17:18" x14ac:dyDescent="0.2">
      <c r="Q2061" s="78" t="e">
        <f>VLOOKUP(A2061,'גיליון דאטה להכל'!A:H,5,0)</f>
        <v>#N/A</v>
      </c>
      <c r="R2061" s="78" t="e">
        <f>VLOOKUP(A2061,'לעדכן בסינתזה דאטה אריזה 42+24'!$A:$C,3,0)</f>
        <v>#N/A</v>
      </c>
    </row>
    <row r="2062" spans="17:18" x14ac:dyDescent="0.2">
      <c r="Q2062" s="78" t="e">
        <f>VLOOKUP(A2062,'גיליון דאטה להכל'!A:H,5,0)</f>
        <v>#N/A</v>
      </c>
      <c r="R2062" s="78" t="e">
        <f>VLOOKUP(A2062,'לעדכן בסינתזה דאטה אריזה 42+24'!$A:$C,3,0)</f>
        <v>#N/A</v>
      </c>
    </row>
    <row r="2063" spans="17:18" x14ac:dyDescent="0.2">
      <c r="Q2063" s="78" t="e">
        <f>VLOOKUP(A2063,'גיליון דאטה להכל'!A:H,5,0)</f>
        <v>#N/A</v>
      </c>
      <c r="R2063" s="78" t="e">
        <f>VLOOKUP(A2063,'לעדכן בסינתזה דאטה אריזה 42+24'!$A:$C,3,0)</f>
        <v>#N/A</v>
      </c>
    </row>
    <row r="2064" spans="17:18" x14ac:dyDescent="0.2">
      <c r="Q2064" s="78" t="e">
        <f>VLOOKUP(A2064,'גיליון דאטה להכל'!A:H,5,0)</f>
        <v>#N/A</v>
      </c>
      <c r="R2064" s="78" t="e">
        <f>VLOOKUP(A2064,'לעדכן בסינתזה דאטה אריזה 42+24'!$A:$C,3,0)</f>
        <v>#N/A</v>
      </c>
    </row>
    <row r="2065" spans="17:18" x14ac:dyDescent="0.2">
      <c r="Q2065" s="78" t="e">
        <f>VLOOKUP(A2065,'גיליון דאטה להכל'!A:H,5,0)</f>
        <v>#N/A</v>
      </c>
      <c r="R2065" s="78" t="e">
        <f>VLOOKUP(A2065,'לעדכן בסינתזה דאטה אריזה 42+24'!$A:$C,3,0)</f>
        <v>#N/A</v>
      </c>
    </row>
    <row r="2066" spans="17:18" x14ac:dyDescent="0.2">
      <c r="Q2066" s="78" t="e">
        <f>VLOOKUP(A2066,'גיליון דאטה להכל'!A:H,5,0)</f>
        <v>#N/A</v>
      </c>
      <c r="R2066" s="78" t="e">
        <f>VLOOKUP(A2066,'לעדכן בסינתזה דאטה אריזה 42+24'!$A:$C,3,0)</f>
        <v>#N/A</v>
      </c>
    </row>
    <row r="2067" spans="17:18" x14ac:dyDescent="0.2">
      <c r="Q2067" s="78" t="e">
        <f>VLOOKUP(A2067,'גיליון דאטה להכל'!A:H,5,0)</f>
        <v>#N/A</v>
      </c>
      <c r="R2067" s="78" t="e">
        <f>VLOOKUP(A2067,'לעדכן בסינתזה דאטה אריזה 42+24'!$A:$C,3,0)</f>
        <v>#N/A</v>
      </c>
    </row>
    <row r="2068" spans="17:18" x14ac:dyDescent="0.2">
      <c r="Q2068" s="78" t="e">
        <f>VLOOKUP(A2068,'גיליון דאטה להכל'!A:H,5,0)</f>
        <v>#N/A</v>
      </c>
      <c r="R2068" s="78" t="e">
        <f>VLOOKUP(A2068,'לעדכן בסינתזה דאטה אריזה 42+24'!$A:$C,3,0)</f>
        <v>#N/A</v>
      </c>
    </row>
    <row r="2069" spans="17:18" x14ac:dyDescent="0.2">
      <c r="Q2069" s="78" t="e">
        <f>VLOOKUP(A2069,'גיליון דאטה להכל'!A:H,5,0)</f>
        <v>#N/A</v>
      </c>
      <c r="R2069" s="78" t="e">
        <f>VLOOKUP(A2069,'לעדכן בסינתזה דאטה אריזה 42+24'!$A:$C,3,0)</f>
        <v>#N/A</v>
      </c>
    </row>
    <row r="2070" spans="17:18" x14ac:dyDescent="0.2">
      <c r="Q2070" s="78" t="e">
        <f>VLOOKUP(A2070,'גיליון דאטה להכל'!A:H,5,0)</f>
        <v>#N/A</v>
      </c>
      <c r="R2070" s="78" t="e">
        <f>VLOOKUP(A2070,'לעדכן בסינתזה דאטה אריזה 42+24'!$A:$C,3,0)</f>
        <v>#N/A</v>
      </c>
    </row>
    <row r="2071" spans="17:18" x14ac:dyDescent="0.2">
      <c r="Q2071" s="78" t="e">
        <f>VLOOKUP(A2071,'גיליון דאטה להכל'!A:H,5,0)</f>
        <v>#N/A</v>
      </c>
      <c r="R2071" s="78" t="e">
        <f>VLOOKUP(A2071,'לעדכן בסינתזה דאטה אריזה 42+24'!$A:$C,3,0)</f>
        <v>#N/A</v>
      </c>
    </row>
    <row r="2072" spans="17:18" x14ac:dyDescent="0.2">
      <c r="Q2072" s="78" t="e">
        <f>VLOOKUP(A2072,'גיליון דאטה להכל'!A:H,5,0)</f>
        <v>#N/A</v>
      </c>
      <c r="R2072" s="78" t="e">
        <f>VLOOKUP(A2072,'לעדכן בסינתזה דאטה אריזה 42+24'!$A:$C,3,0)</f>
        <v>#N/A</v>
      </c>
    </row>
    <row r="2073" spans="17:18" x14ac:dyDescent="0.2">
      <c r="Q2073" s="78" t="e">
        <f>VLOOKUP(A2073,'גיליון דאטה להכל'!A:H,5,0)</f>
        <v>#N/A</v>
      </c>
      <c r="R2073" s="78" t="e">
        <f>VLOOKUP(A2073,'לעדכן בסינתזה דאטה אריזה 42+24'!$A:$C,3,0)</f>
        <v>#N/A</v>
      </c>
    </row>
    <row r="2074" spans="17:18" x14ac:dyDescent="0.2">
      <c r="Q2074" s="78" t="e">
        <f>VLOOKUP(A2074,'גיליון דאטה להכל'!A:H,5,0)</f>
        <v>#N/A</v>
      </c>
      <c r="R2074" s="78" t="e">
        <f>VLOOKUP(A2074,'לעדכן בסינתזה דאטה אריזה 42+24'!$A:$C,3,0)</f>
        <v>#N/A</v>
      </c>
    </row>
    <row r="2075" spans="17:18" x14ac:dyDescent="0.2">
      <c r="Q2075" s="78" t="e">
        <f>VLOOKUP(A2075,'גיליון דאטה להכל'!A:H,5,0)</f>
        <v>#N/A</v>
      </c>
      <c r="R2075" s="78" t="e">
        <f>VLOOKUP(A2075,'לעדכן בסינתזה דאטה אריזה 42+24'!$A:$C,3,0)</f>
        <v>#N/A</v>
      </c>
    </row>
    <row r="2076" spans="17:18" x14ac:dyDescent="0.2">
      <c r="Q2076" s="78" t="e">
        <f>VLOOKUP(A2076,'גיליון דאטה להכל'!A:H,5,0)</f>
        <v>#N/A</v>
      </c>
      <c r="R2076" s="78" t="e">
        <f>VLOOKUP(A2076,'לעדכן בסינתזה דאטה אריזה 42+24'!$A:$C,3,0)</f>
        <v>#N/A</v>
      </c>
    </row>
    <row r="2077" spans="17:18" x14ac:dyDescent="0.2">
      <c r="Q2077" s="78" t="e">
        <f>VLOOKUP(A2077,'גיליון דאטה להכל'!A:H,5,0)</f>
        <v>#N/A</v>
      </c>
      <c r="R2077" s="78" t="e">
        <f>VLOOKUP(A2077,'לעדכן בסינתזה דאטה אריזה 42+24'!$A:$C,3,0)</f>
        <v>#N/A</v>
      </c>
    </row>
    <row r="2078" spans="17:18" x14ac:dyDescent="0.2">
      <c r="Q2078" s="78" t="e">
        <f>VLOOKUP(A2078,'גיליון דאטה להכל'!A:H,5,0)</f>
        <v>#N/A</v>
      </c>
      <c r="R2078" s="78" t="e">
        <f>VLOOKUP(A2078,'לעדכן בסינתזה דאטה אריזה 42+24'!$A:$C,3,0)</f>
        <v>#N/A</v>
      </c>
    </row>
    <row r="2079" spans="17:18" x14ac:dyDescent="0.2">
      <c r="Q2079" s="78" t="e">
        <f>VLOOKUP(A2079,'גיליון דאטה להכל'!A:H,5,0)</f>
        <v>#N/A</v>
      </c>
      <c r="R2079" s="78" t="e">
        <f>VLOOKUP(A2079,'לעדכן בסינתזה דאטה אריזה 42+24'!$A:$C,3,0)</f>
        <v>#N/A</v>
      </c>
    </row>
    <row r="2080" spans="17:18" x14ac:dyDescent="0.2">
      <c r="Q2080" s="78" t="e">
        <f>VLOOKUP(A2080,'גיליון דאטה להכל'!A:H,5,0)</f>
        <v>#N/A</v>
      </c>
      <c r="R2080" s="78" t="e">
        <f>VLOOKUP(A2080,'לעדכן בסינתזה דאטה אריזה 42+24'!$A:$C,3,0)</f>
        <v>#N/A</v>
      </c>
    </row>
    <row r="2081" spans="17:18" x14ac:dyDescent="0.2">
      <c r="Q2081" s="78" t="e">
        <f>VLOOKUP(A2081,'גיליון דאטה להכל'!A:H,5,0)</f>
        <v>#N/A</v>
      </c>
      <c r="R2081" s="78" t="e">
        <f>VLOOKUP(A2081,'לעדכן בסינתזה דאטה אריזה 42+24'!$A:$C,3,0)</f>
        <v>#N/A</v>
      </c>
    </row>
    <row r="2082" spans="17:18" x14ac:dyDescent="0.2">
      <c r="Q2082" s="78" t="e">
        <f>VLOOKUP(A2082,'גיליון דאטה להכל'!A:H,5,0)</f>
        <v>#N/A</v>
      </c>
      <c r="R2082" s="78" t="e">
        <f>VLOOKUP(A2082,'לעדכן בסינתזה דאטה אריזה 42+24'!$A:$C,3,0)</f>
        <v>#N/A</v>
      </c>
    </row>
    <row r="2083" spans="17:18" x14ac:dyDescent="0.2">
      <c r="Q2083" s="78" t="e">
        <f>VLOOKUP(A2083,'גיליון דאטה להכל'!A:H,5,0)</f>
        <v>#N/A</v>
      </c>
      <c r="R2083" s="78" t="e">
        <f>VLOOKUP(A2083,'לעדכן בסינתזה דאטה אריזה 42+24'!$A:$C,3,0)</f>
        <v>#N/A</v>
      </c>
    </row>
    <row r="2084" spans="17:18" x14ac:dyDescent="0.2">
      <c r="Q2084" s="78" t="e">
        <f>VLOOKUP(A2084,'גיליון דאטה להכל'!A:H,5,0)</f>
        <v>#N/A</v>
      </c>
      <c r="R2084" s="78" t="e">
        <f>VLOOKUP(A2084,'לעדכן בסינתזה דאטה אריזה 42+24'!$A:$C,3,0)</f>
        <v>#N/A</v>
      </c>
    </row>
    <row r="2085" spans="17:18" x14ac:dyDescent="0.2">
      <c r="Q2085" s="78" t="e">
        <f>VLOOKUP(A2085,'גיליון דאטה להכל'!A:H,5,0)</f>
        <v>#N/A</v>
      </c>
      <c r="R2085" s="78" t="e">
        <f>VLOOKUP(A2085,'לעדכן בסינתזה דאטה אריזה 42+24'!$A:$C,3,0)</f>
        <v>#N/A</v>
      </c>
    </row>
    <row r="2086" spans="17:18" x14ac:dyDescent="0.2">
      <c r="Q2086" s="78" t="e">
        <f>VLOOKUP(A2086,'גיליון דאטה להכל'!A:H,5,0)</f>
        <v>#N/A</v>
      </c>
      <c r="R2086" s="78" t="e">
        <f>VLOOKUP(A2086,'לעדכן בסינתזה דאטה אריזה 42+24'!$A:$C,3,0)</f>
        <v>#N/A</v>
      </c>
    </row>
    <row r="2087" spans="17:18" x14ac:dyDescent="0.2">
      <c r="Q2087" s="78" t="e">
        <f>VLOOKUP(A2087,'גיליון דאטה להכל'!A:H,5,0)</f>
        <v>#N/A</v>
      </c>
      <c r="R2087" s="78" t="e">
        <f>VLOOKUP(A2087,'לעדכן בסינתזה דאטה אריזה 42+24'!$A:$C,3,0)</f>
        <v>#N/A</v>
      </c>
    </row>
    <row r="2088" spans="17:18" x14ac:dyDescent="0.2">
      <c r="Q2088" s="78" t="e">
        <f>VLOOKUP(A2088,'גיליון דאטה להכל'!A:H,5,0)</f>
        <v>#N/A</v>
      </c>
      <c r="R2088" s="78" t="e">
        <f>VLOOKUP(A2088,'לעדכן בסינתזה דאטה אריזה 42+24'!$A:$C,3,0)</f>
        <v>#N/A</v>
      </c>
    </row>
    <row r="2089" spans="17:18" x14ac:dyDescent="0.2">
      <c r="Q2089" s="78" t="e">
        <f>VLOOKUP(A2089,'גיליון דאטה להכל'!A:H,5,0)</f>
        <v>#N/A</v>
      </c>
      <c r="R2089" s="78" t="e">
        <f>VLOOKUP(A2089,'לעדכן בסינתזה דאטה אריזה 42+24'!$A:$C,3,0)</f>
        <v>#N/A</v>
      </c>
    </row>
    <row r="2090" spans="17:18" x14ac:dyDescent="0.2">
      <c r="Q2090" s="78" t="e">
        <f>VLOOKUP(A2090,'גיליון דאטה להכל'!A:H,5,0)</f>
        <v>#N/A</v>
      </c>
      <c r="R2090" s="78" t="e">
        <f>VLOOKUP(A2090,'לעדכן בסינתזה דאטה אריזה 42+24'!$A:$C,3,0)</f>
        <v>#N/A</v>
      </c>
    </row>
    <row r="2091" spans="17:18" x14ac:dyDescent="0.2">
      <c r="Q2091" s="78" t="e">
        <f>VLOOKUP(A2091,'גיליון דאטה להכל'!A:H,5,0)</f>
        <v>#N/A</v>
      </c>
      <c r="R2091" s="78" t="e">
        <f>VLOOKUP(A2091,'לעדכן בסינתזה דאטה אריזה 42+24'!$A:$C,3,0)</f>
        <v>#N/A</v>
      </c>
    </row>
    <row r="2092" spans="17:18" x14ac:dyDescent="0.2">
      <c r="Q2092" s="78" t="e">
        <f>VLOOKUP(A2092,'גיליון דאטה להכל'!A:H,5,0)</f>
        <v>#N/A</v>
      </c>
      <c r="R2092" s="78" t="e">
        <f>VLOOKUP(A2092,'לעדכן בסינתזה דאטה אריזה 42+24'!$A:$C,3,0)</f>
        <v>#N/A</v>
      </c>
    </row>
    <row r="2093" spans="17:18" x14ac:dyDescent="0.2">
      <c r="Q2093" s="78" t="e">
        <f>VLOOKUP(A2093,'גיליון דאטה להכל'!A:H,5,0)</f>
        <v>#N/A</v>
      </c>
      <c r="R2093" s="78" t="e">
        <f>VLOOKUP(A2093,'לעדכן בסינתזה דאטה אריזה 42+24'!$A:$C,3,0)</f>
        <v>#N/A</v>
      </c>
    </row>
    <row r="2094" spans="17:18" x14ac:dyDescent="0.2">
      <c r="Q2094" s="78" t="e">
        <f>VLOOKUP(A2094,'גיליון דאטה להכל'!A:H,5,0)</f>
        <v>#N/A</v>
      </c>
      <c r="R2094" s="78" t="e">
        <f>VLOOKUP(A2094,'לעדכן בסינתזה דאטה אריזה 42+24'!$A:$C,3,0)</f>
        <v>#N/A</v>
      </c>
    </row>
    <row r="2095" spans="17:18" x14ac:dyDescent="0.2">
      <c r="Q2095" s="78" t="e">
        <f>VLOOKUP(A2095,'גיליון דאטה להכל'!A:H,5,0)</f>
        <v>#N/A</v>
      </c>
      <c r="R2095" s="78" t="e">
        <f>VLOOKUP(A2095,'לעדכן בסינתזה דאטה אריזה 42+24'!$A:$C,3,0)</f>
        <v>#N/A</v>
      </c>
    </row>
    <row r="2096" spans="17:18" x14ac:dyDescent="0.2">
      <c r="Q2096" s="78" t="e">
        <f>VLOOKUP(A2096,'גיליון דאטה להכל'!A:H,5,0)</f>
        <v>#N/A</v>
      </c>
      <c r="R2096" s="78" t="e">
        <f>VLOOKUP(A2096,'לעדכן בסינתזה דאטה אריזה 42+24'!$A:$C,3,0)</f>
        <v>#N/A</v>
      </c>
    </row>
    <row r="2097" spans="17:18" x14ac:dyDescent="0.2">
      <c r="Q2097" s="78" t="e">
        <f>VLOOKUP(A2097,'גיליון דאטה להכל'!A:H,5,0)</f>
        <v>#N/A</v>
      </c>
      <c r="R2097" s="78" t="e">
        <f>VLOOKUP(A2097,'לעדכן בסינתזה דאטה אריזה 42+24'!$A:$C,3,0)</f>
        <v>#N/A</v>
      </c>
    </row>
    <row r="2098" spans="17:18" x14ac:dyDescent="0.2">
      <c r="Q2098" s="78" t="e">
        <f>VLOOKUP(A2098,'גיליון דאטה להכל'!A:H,5,0)</f>
        <v>#N/A</v>
      </c>
      <c r="R2098" s="78" t="e">
        <f>VLOOKUP(A2098,'לעדכן בסינתזה דאטה אריזה 42+24'!$A:$C,3,0)</f>
        <v>#N/A</v>
      </c>
    </row>
    <row r="2099" spans="17:18" x14ac:dyDescent="0.2">
      <c r="Q2099" s="78" t="e">
        <f>VLOOKUP(A2099,'גיליון דאטה להכל'!A:H,5,0)</f>
        <v>#N/A</v>
      </c>
      <c r="R2099" s="78" t="e">
        <f>VLOOKUP(A2099,'לעדכן בסינתזה דאטה אריזה 42+24'!$A:$C,3,0)</f>
        <v>#N/A</v>
      </c>
    </row>
    <row r="2100" spans="17:18" x14ac:dyDescent="0.2">
      <c r="Q2100" s="78" t="e">
        <f>VLOOKUP(A2100,'גיליון דאטה להכל'!A:H,5,0)</f>
        <v>#N/A</v>
      </c>
      <c r="R2100" s="78" t="e">
        <f>VLOOKUP(A2100,'לעדכן בסינתזה דאטה אריזה 42+24'!$A:$C,3,0)</f>
        <v>#N/A</v>
      </c>
    </row>
    <row r="2101" spans="17:18" x14ac:dyDescent="0.2">
      <c r="Q2101" s="78" t="e">
        <f>VLOOKUP(A2101,'גיליון דאטה להכל'!A:H,5,0)</f>
        <v>#N/A</v>
      </c>
      <c r="R2101" s="78" t="e">
        <f>VLOOKUP(A2101,'לעדכן בסינתזה דאטה אריזה 42+24'!$A:$C,3,0)</f>
        <v>#N/A</v>
      </c>
    </row>
    <row r="2102" spans="17:18" x14ac:dyDescent="0.2">
      <c r="Q2102" s="78" t="e">
        <f>VLOOKUP(A2102,'גיליון דאטה להכל'!A:H,5,0)</f>
        <v>#N/A</v>
      </c>
      <c r="R2102" s="78" t="e">
        <f>VLOOKUP(A2102,'לעדכן בסינתזה דאטה אריזה 42+24'!$A:$C,3,0)</f>
        <v>#N/A</v>
      </c>
    </row>
    <row r="2103" spans="17:18" x14ac:dyDescent="0.2">
      <c r="Q2103" s="78" t="e">
        <f>VLOOKUP(A2103,'גיליון דאטה להכל'!A:H,5,0)</f>
        <v>#N/A</v>
      </c>
      <c r="R2103" s="78" t="e">
        <f>VLOOKUP(A2103,'לעדכן בסינתזה דאטה אריזה 42+24'!$A:$C,3,0)</f>
        <v>#N/A</v>
      </c>
    </row>
    <row r="2104" spans="17:18" x14ac:dyDescent="0.2">
      <c r="Q2104" s="78" t="e">
        <f>VLOOKUP(A2104,'גיליון דאטה להכל'!A:H,5,0)</f>
        <v>#N/A</v>
      </c>
      <c r="R2104" s="78" t="e">
        <f>VLOOKUP(A2104,'לעדכן בסינתזה דאטה אריזה 42+24'!$A:$C,3,0)</f>
        <v>#N/A</v>
      </c>
    </row>
    <row r="2105" spans="17:18" x14ac:dyDescent="0.2">
      <c r="Q2105" s="78" t="e">
        <f>VLOOKUP(A2105,'גיליון דאטה להכל'!A:H,5,0)</f>
        <v>#N/A</v>
      </c>
      <c r="R2105" s="78" t="e">
        <f>VLOOKUP(A2105,'לעדכן בסינתזה דאטה אריזה 42+24'!$A:$C,3,0)</f>
        <v>#N/A</v>
      </c>
    </row>
    <row r="2106" spans="17:18" x14ac:dyDescent="0.2">
      <c r="Q2106" s="78" t="e">
        <f>VLOOKUP(A2106,'גיליון דאטה להכל'!A:H,5,0)</f>
        <v>#N/A</v>
      </c>
      <c r="R2106" s="78" t="e">
        <f>VLOOKUP(A2106,'לעדכן בסינתזה דאטה אריזה 42+24'!$A:$C,3,0)</f>
        <v>#N/A</v>
      </c>
    </row>
    <row r="2107" spans="17:18" x14ac:dyDescent="0.2">
      <c r="Q2107" s="78" t="e">
        <f>VLOOKUP(A2107,'גיליון דאטה להכל'!A:H,5,0)</f>
        <v>#N/A</v>
      </c>
      <c r="R2107" s="78" t="e">
        <f>VLOOKUP(A2107,'לעדכן בסינתזה דאטה אריזה 42+24'!$A:$C,3,0)</f>
        <v>#N/A</v>
      </c>
    </row>
    <row r="2108" spans="17:18" x14ac:dyDescent="0.2">
      <c r="Q2108" s="78" t="e">
        <f>VLOOKUP(A2108,'גיליון דאטה להכל'!A:H,5,0)</f>
        <v>#N/A</v>
      </c>
      <c r="R2108" s="78" t="e">
        <f>VLOOKUP(A2108,'לעדכן בסינתזה דאטה אריזה 42+24'!$A:$C,3,0)</f>
        <v>#N/A</v>
      </c>
    </row>
    <row r="2109" spans="17:18" x14ac:dyDescent="0.2">
      <c r="Q2109" s="78" t="e">
        <f>VLOOKUP(A2109,'גיליון דאטה להכל'!A:H,5,0)</f>
        <v>#N/A</v>
      </c>
      <c r="R2109" s="78" t="e">
        <f>VLOOKUP(A2109,'לעדכן בסינתזה דאטה אריזה 42+24'!$A:$C,3,0)</f>
        <v>#N/A</v>
      </c>
    </row>
    <row r="2110" spans="17:18" x14ac:dyDescent="0.2">
      <c r="Q2110" s="78" t="e">
        <f>VLOOKUP(A2110,'גיליון דאטה להכל'!A:H,5,0)</f>
        <v>#N/A</v>
      </c>
      <c r="R2110" s="78" t="e">
        <f>VLOOKUP(A2110,'לעדכן בסינתזה דאטה אריזה 42+24'!$A:$C,3,0)</f>
        <v>#N/A</v>
      </c>
    </row>
    <row r="2111" spans="17:18" x14ac:dyDescent="0.2">
      <c r="Q2111" s="78" t="e">
        <f>VLOOKUP(A2111,'גיליון דאטה להכל'!A:H,5,0)</f>
        <v>#N/A</v>
      </c>
      <c r="R2111" s="78" t="e">
        <f>VLOOKUP(A2111,'לעדכן בסינתזה דאטה אריזה 42+24'!$A:$C,3,0)</f>
        <v>#N/A</v>
      </c>
    </row>
    <row r="2112" spans="17:18" x14ac:dyDescent="0.2">
      <c r="Q2112" s="78" t="e">
        <f>VLOOKUP(A2112,'גיליון דאטה להכל'!A:H,5,0)</f>
        <v>#N/A</v>
      </c>
      <c r="R2112" s="78" t="e">
        <f>VLOOKUP(A2112,'לעדכן בסינתזה דאטה אריזה 42+24'!$A:$C,3,0)</f>
        <v>#N/A</v>
      </c>
    </row>
    <row r="2113" spans="17:18" x14ac:dyDescent="0.2">
      <c r="Q2113" s="78" t="e">
        <f>VLOOKUP(A2113,'גיליון דאטה להכל'!A:H,5,0)</f>
        <v>#N/A</v>
      </c>
      <c r="R2113" s="78" t="e">
        <f>VLOOKUP(A2113,'לעדכן בסינתזה דאטה אריזה 42+24'!$A:$C,3,0)</f>
        <v>#N/A</v>
      </c>
    </row>
    <row r="2114" spans="17:18" x14ac:dyDescent="0.2">
      <c r="Q2114" s="78" t="e">
        <f>VLOOKUP(A2114,'גיליון דאטה להכל'!A:H,5,0)</f>
        <v>#N/A</v>
      </c>
      <c r="R2114" s="78" t="e">
        <f>VLOOKUP(A2114,'לעדכן בסינתזה דאטה אריזה 42+24'!$A:$C,3,0)</f>
        <v>#N/A</v>
      </c>
    </row>
    <row r="2115" spans="17:18" x14ac:dyDescent="0.2">
      <c r="Q2115" s="78" t="e">
        <f>VLOOKUP(A2115,'גיליון דאטה להכל'!A:H,5,0)</f>
        <v>#N/A</v>
      </c>
      <c r="R2115" s="78" t="e">
        <f>VLOOKUP(A2115,'לעדכן בסינתזה דאטה אריזה 42+24'!$A:$C,3,0)</f>
        <v>#N/A</v>
      </c>
    </row>
    <row r="2116" spans="17:18" x14ac:dyDescent="0.2">
      <c r="Q2116" s="78" t="e">
        <f>VLOOKUP(A2116,'גיליון דאטה להכל'!A:H,5,0)</f>
        <v>#N/A</v>
      </c>
      <c r="R2116" s="78" t="e">
        <f>VLOOKUP(A2116,'לעדכן בסינתזה דאטה אריזה 42+24'!$A:$C,3,0)</f>
        <v>#N/A</v>
      </c>
    </row>
    <row r="2117" spans="17:18" x14ac:dyDescent="0.2">
      <c r="Q2117" s="78" t="e">
        <f>VLOOKUP(A2117,'גיליון דאטה להכל'!A:H,5,0)</f>
        <v>#N/A</v>
      </c>
      <c r="R2117" s="78" t="e">
        <f>VLOOKUP(A2117,'לעדכן בסינתזה דאטה אריזה 42+24'!$A:$C,3,0)</f>
        <v>#N/A</v>
      </c>
    </row>
    <row r="2118" spans="17:18" x14ac:dyDescent="0.2">
      <c r="Q2118" s="78" t="e">
        <f>VLOOKUP(A2118,'גיליון דאטה להכל'!A:H,5,0)</f>
        <v>#N/A</v>
      </c>
      <c r="R2118" s="78" t="e">
        <f>VLOOKUP(A2118,'לעדכן בסינתזה דאטה אריזה 42+24'!$A:$C,3,0)</f>
        <v>#N/A</v>
      </c>
    </row>
    <row r="2119" spans="17:18" x14ac:dyDescent="0.2">
      <c r="Q2119" s="78" t="e">
        <f>VLOOKUP(A2119,'גיליון דאטה להכל'!A:H,5,0)</f>
        <v>#N/A</v>
      </c>
      <c r="R2119" s="78" t="e">
        <f>VLOOKUP(A2119,'לעדכן בסינתזה דאטה אריזה 42+24'!$A:$C,3,0)</f>
        <v>#N/A</v>
      </c>
    </row>
    <row r="2120" spans="17:18" x14ac:dyDescent="0.2">
      <c r="Q2120" s="78" t="e">
        <f>VLOOKUP(A2120,'גיליון דאטה להכל'!A:H,5,0)</f>
        <v>#N/A</v>
      </c>
      <c r="R2120" s="78" t="e">
        <f>VLOOKUP(A2120,'לעדכן בסינתזה דאטה אריזה 42+24'!$A:$C,3,0)</f>
        <v>#N/A</v>
      </c>
    </row>
    <row r="2121" spans="17:18" x14ac:dyDescent="0.2">
      <c r="Q2121" s="78" t="e">
        <f>VLOOKUP(A2121,'גיליון דאטה להכל'!A:H,5,0)</f>
        <v>#N/A</v>
      </c>
      <c r="R2121" s="78" t="e">
        <f>VLOOKUP(A2121,'לעדכן בסינתזה דאטה אריזה 42+24'!$A:$C,3,0)</f>
        <v>#N/A</v>
      </c>
    </row>
    <row r="2122" spans="17:18" x14ac:dyDescent="0.2">
      <c r="Q2122" s="78" t="e">
        <f>VLOOKUP(A2122,'גיליון דאטה להכל'!A:H,5,0)</f>
        <v>#N/A</v>
      </c>
      <c r="R2122" s="78" t="e">
        <f>VLOOKUP(A2122,'לעדכן בסינתזה דאטה אריזה 42+24'!$A:$C,3,0)</f>
        <v>#N/A</v>
      </c>
    </row>
    <row r="2123" spans="17:18" x14ac:dyDescent="0.2">
      <c r="Q2123" s="78" t="e">
        <f>VLOOKUP(A2123,'גיליון דאטה להכל'!A:H,5,0)</f>
        <v>#N/A</v>
      </c>
      <c r="R2123" s="78" t="e">
        <f>VLOOKUP(A2123,'לעדכן בסינתזה דאטה אריזה 42+24'!$A:$C,3,0)</f>
        <v>#N/A</v>
      </c>
    </row>
    <row r="2124" spans="17:18" x14ac:dyDescent="0.2">
      <c r="Q2124" s="78" t="e">
        <f>VLOOKUP(A2124,'גיליון דאטה להכל'!A:H,5,0)</f>
        <v>#N/A</v>
      </c>
      <c r="R2124" s="78" t="e">
        <f>VLOOKUP(A2124,'לעדכן בסינתזה דאטה אריזה 42+24'!$A:$C,3,0)</f>
        <v>#N/A</v>
      </c>
    </row>
    <row r="2125" spans="17:18" x14ac:dyDescent="0.2">
      <c r="Q2125" s="78" t="e">
        <f>VLOOKUP(A2125,'גיליון דאטה להכל'!A:H,5,0)</f>
        <v>#N/A</v>
      </c>
      <c r="R2125" s="78" t="e">
        <f>VLOOKUP(A2125,'לעדכן בסינתזה דאטה אריזה 42+24'!$A:$C,3,0)</f>
        <v>#N/A</v>
      </c>
    </row>
    <row r="2126" spans="17:18" x14ac:dyDescent="0.2">
      <c r="Q2126" s="78" t="e">
        <f>VLOOKUP(A2126,'גיליון דאטה להכל'!A:H,5,0)</f>
        <v>#N/A</v>
      </c>
      <c r="R2126" s="78" t="e">
        <f>VLOOKUP(A2126,'לעדכן בסינתזה דאטה אריזה 42+24'!$A:$C,3,0)</f>
        <v>#N/A</v>
      </c>
    </row>
    <row r="2127" spans="17:18" x14ac:dyDescent="0.2">
      <c r="Q2127" s="78" t="e">
        <f>VLOOKUP(A2127,'גיליון דאטה להכל'!A:H,5,0)</f>
        <v>#N/A</v>
      </c>
      <c r="R2127" s="78" t="e">
        <f>VLOOKUP(A2127,'לעדכן בסינתזה דאטה אריזה 42+24'!$A:$C,3,0)</f>
        <v>#N/A</v>
      </c>
    </row>
    <row r="2128" spans="17:18" x14ac:dyDescent="0.2">
      <c r="Q2128" s="78" t="e">
        <f>VLOOKUP(A2128,'גיליון דאטה להכל'!A:H,5,0)</f>
        <v>#N/A</v>
      </c>
      <c r="R2128" s="78" t="e">
        <f>VLOOKUP(A2128,'לעדכן בסינתזה דאטה אריזה 42+24'!$A:$C,3,0)</f>
        <v>#N/A</v>
      </c>
    </row>
    <row r="2129" spans="17:18" x14ac:dyDescent="0.2">
      <c r="Q2129" s="78" t="e">
        <f>VLOOKUP(A2129,'גיליון דאטה להכל'!A:H,5,0)</f>
        <v>#N/A</v>
      </c>
      <c r="R2129" s="78" t="e">
        <f>VLOOKUP(A2129,'לעדכן בסינתזה דאטה אריזה 42+24'!$A:$C,3,0)</f>
        <v>#N/A</v>
      </c>
    </row>
    <row r="2130" spans="17:18" x14ac:dyDescent="0.2">
      <c r="Q2130" s="78" t="e">
        <f>VLOOKUP(A2130,'גיליון דאטה להכל'!A:H,5,0)</f>
        <v>#N/A</v>
      </c>
      <c r="R2130" s="78" t="e">
        <f>VLOOKUP(A2130,'לעדכן בסינתזה דאטה אריזה 42+24'!$A:$C,3,0)</f>
        <v>#N/A</v>
      </c>
    </row>
    <row r="2131" spans="17:18" x14ac:dyDescent="0.2">
      <c r="Q2131" s="78" t="e">
        <f>VLOOKUP(A2131,'גיליון דאטה להכל'!A:H,5,0)</f>
        <v>#N/A</v>
      </c>
      <c r="R2131" s="78" t="e">
        <f>VLOOKUP(A2131,'לעדכן בסינתזה דאטה אריזה 42+24'!$A:$C,3,0)</f>
        <v>#N/A</v>
      </c>
    </row>
    <row r="2132" spans="17:18" x14ac:dyDescent="0.2">
      <c r="Q2132" s="78" t="e">
        <f>VLOOKUP(A2132,'גיליון דאטה להכל'!A:H,5,0)</f>
        <v>#N/A</v>
      </c>
      <c r="R2132" s="78" t="e">
        <f>VLOOKUP(A2132,'לעדכן בסינתזה דאטה אריזה 42+24'!$A:$C,3,0)</f>
        <v>#N/A</v>
      </c>
    </row>
    <row r="2133" spans="17:18" x14ac:dyDescent="0.2">
      <c r="Q2133" s="78" t="e">
        <f>VLOOKUP(A2133,'גיליון דאטה להכל'!A:H,5,0)</f>
        <v>#N/A</v>
      </c>
      <c r="R2133" s="78" t="e">
        <f>VLOOKUP(A2133,'לעדכן בסינתזה דאטה אריזה 42+24'!$A:$C,3,0)</f>
        <v>#N/A</v>
      </c>
    </row>
    <row r="2134" spans="17:18" x14ac:dyDescent="0.2">
      <c r="Q2134" s="78" t="e">
        <f>VLOOKUP(A2134,'גיליון דאטה להכל'!A:H,5,0)</f>
        <v>#N/A</v>
      </c>
      <c r="R2134" s="78" t="e">
        <f>VLOOKUP(A2134,'לעדכן בסינתזה דאטה אריזה 42+24'!$A:$C,3,0)</f>
        <v>#N/A</v>
      </c>
    </row>
    <row r="2135" spans="17:18" x14ac:dyDescent="0.2">
      <c r="Q2135" s="78" t="e">
        <f>VLOOKUP(A2135,'גיליון דאטה להכל'!A:H,5,0)</f>
        <v>#N/A</v>
      </c>
      <c r="R2135" s="78" t="e">
        <f>VLOOKUP(A2135,'לעדכן בסינתזה דאטה אריזה 42+24'!$A:$C,3,0)</f>
        <v>#N/A</v>
      </c>
    </row>
    <row r="2136" spans="17:18" x14ac:dyDescent="0.2">
      <c r="Q2136" s="78" t="e">
        <f>VLOOKUP(A2136,'גיליון דאטה להכל'!A:H,5,0)</f>
        <v>#N/A</v>
      </c>
      <c r="R2136" s="78" t="e">
        <f>VLOOKUP(A2136,'לעדכן בסינתזה דאטה אריזה 42+24'!$A:$C,3,0)</f>
        <v>#N/A</v>
      </c>
    </row>
    <row r="2137" spans="17:18" x14ac:dyDescent="0.2">
      <c r="Q2137" s="78" t="e">
        <f>VLOOKUP(A2137,'גיליון דאטה להכל'!A:H,5,0)</f>
        <v>#N/A</v>
      </c>
      <c r="R2137" s="78" t="e">
        <f>VLOOKUP(A2137,'לעדכן בסינתזה דאטה אריזה 42+24'!$A:$C,3,0)</f>
        <v>#N/A</v>
      </c>
    </row>
    <row r="2138" spans="17:18" x14ac:dyDescent="0.2">
      <c r="Q2138" s="78" t="e">
        <f>VLOOKUP(A2138,'גיליון דאטה להכל'!A:H,5,0)</f>
        <v>#N/A</v>
      </c>
      <c r="R2138" s="78" t="e">
        <f>VLOOKUP(A2138,'לעדכן בסינתזה דאטה אריזה 42+24'!$A:$C,3,0)</f>
        <v>#N/A</v>
      </c>
    </row>
    <row r="2139" spans="17:18" x14ac:dyDescent="0.2">
      <c r="Q2139" s="78" t="e">
        <f>VLOOKUP(A2139,'גיליון דאטה להכל'!A:H,5,0)</f>
        <v>#N/A</v>
      </c>
      <c r="R2139" s="78" t="e">
        <f>VLOOKUP(A2139,'לעדכן בסינתזה דאטה אריזה 42+24'!$A:$C,3,0)</f>
        <v>#N/A</v>
      </c>
    </row>
    <row r="2140" spans="17:18" x14ac:dyDescent="0.2">
      <c r="Q2140" s="78" t="e">
        <f>VLOOKUP(A2140,'גיליון דאטה להכל'!A:H,5,0)</f>
        <v>#N/A</v>
      </c>
      <c r="R2140" s="78" t="e">
        <f>VLOOKUP(A2140,'לעדכן בסינתזה דאטה אריזה 42+24'!$A:$C,3,0)</f>
        <v>#N/A</v>
      </c>
    </row>
    <row r="2141" spans="17:18" x14ac:dyDescent="0.2">
      <c r="Q2141" s="78" t="e">
        <f>VLOOKUP(A2141,'גיליון דאטה להכל'!A:H,5,0)</f>
        <v>#N/A</v>
      </c>
      <c r="R2141" s="78" t="e">
        <f>VLOOKUP(A2141,'לעדכן בסינתזה דאטה אריזה 42+24'!$A:$C,3,0)</f>
        <v>#N/A</v>
      </c>
    </row>
    <row r="2142" spans="17:18" x14ac:dyDescent="0.2">
      <c r="Q2142" s="78" t="e">
        <f>VLOOKUP(A2142,'גיליון דאטה להכל'!A:H,5,0)</f>
        <v>#N/A</v>
      </c>
      <c r="R2142" s="78" t="e">
        <f>VLOOKUP(A2142,'לעדכן בסינתזה דאטה אריזה 42+24'!$A:$C,3,0)</f>
        <v>#N/A</v>
      </c>
    </row>
    <row r="2143" spans="17:18" x14ac:dyDescent="0.2">
      <c r="Q2143" s="78" t="e">
        <f>VLOOKUP(A2143,'גיליון דאטה להכל'!A:H,5,0)</f>
        <v>#N/A</v>
      </c>
      <c r="R2143" s="78" t="e">
        <f>VLOOKUP(A2143,'לעדכן בסינתזה דאטה אריזה 42+24'!$A:$C,3,0)</f>
        <v>#N/A</v>
      </c>
    </row>
    <row r="2144" spans="17:18" x14ac:dyDescent="0.2">
      <c r="Q2144" s="78" t="e">
        <f>VLOOKUP(A2144,'גיליון דאטה להכל'!A:H,5,0)</f>
        <v>#N/A</v>
      </c>
      <c r="R2144" s="78" t="e">
        <f>VLOOKUP(A2144,'לעדכן בסינתזה דאטה אריזה 42+24'!$A:$C,3,0)</f>
        <v>#N/A</v>
      </c>
    </row>
    <row r="2145" spans="17:18" x14ac:dyDescent="0.2">
      <c r="Q2145" s="78" t="e">
        <f>VLOOKUP(A2145,'גיליון דאטה להכל'!A:H,5,0)</f>
        <v>#N/A</v>
      </c>
      <c r="R2145" s="78" t="e">
        <f>VLOOKUP(A2145,'לעדכן בסינתזה דאטה אריזה 42+24'!$A:$C,3,0)</f>
        <v>#N/A</v>
      </c>
    </row>
    <row r="2146" spans="17:18" x14ac:dyDescent="0.2">
      <c r="Q2146" s="78" t="e">
        <f>VLOOKUP(A2146,'גיליון דאטה להכל'!A:H,5,0)</f>
        <v>#N/A</v>
      </c>
      <c r="R2146" s="78" t="e">
        <f>VLOOKUP(A2146,'לעדכן בסינתזה דאטה אריזה 42+24'!$A:$C,3,0)</f>
        <v>#N/A</v>
      </c>
    </row>
    <row r="2147" spans="17:18" x14ac:dyDescent="0.2">
      <c r="Q2147" s="78" t="e">
        <f>VLOOKUP(A2147,'גיליון דאטה להכל'!A:H,5,0)</f>
        <v>#N/A</v>
      </c>
      <c r="R2147" s="78" t="e">
        <f>VLOOKUP(A2147,'לעדכן בסינתזה דאטה אריזה 42+24'!$A:$C,3,0)</f>
        <v>#N/A</v>
      </c>
    </row>
    <row r="2148" spans="17:18" x14ac:dyDescent="0.2">
      <c r="Q2148" s="78" t="e">
        <f>VLOOKUP(A2148,'גיליון דאטה להכל'!A:H,5,0)</f>
        <v>#N/A</v>
      </c>
      <c r="R2148" s="78" t="e">
        <f>VLOOKUP(A2148,'לעדכן בסינתזה דאטה אריזה 42+24'!$A:$C,3,0)</f>
        <v>#N/A</v>
      </c>
    </row>
    <row r="2149" spans="17:18" x14ac:dyDescent="0.2">
      <c r="Q2149" s="78" t="e">
        <f>VLOOKUP(A2149,'גיליון דאטה להכל'!A:H,5,0)</f>
        <v>#N/A</v>
      </c>
      <c r="R2149" s="78" t="e">
        <f>VLOOKUP(A2149,'לעדכן בסינתזה דאטה אריזה 42+24'!$A:$C,3,0)</f>
        <v>#N/A</v>
      </c>
    </row>
    <row r="2150" spans="17:18" x14ac:dyDescent="0.2">
      <c r="Q2150" s="78" t="e">
        <f>VLOOKUP(A2150,'גיליון דאטה להכל'!A:H,5,0)</f>
        <v>#N/A</v>
      </c>
      <c r="R2150" s="78" t="e">
        <f>VLOOKUP(A2150,'לעדכן בסינתזה דאטה אריזה 42+24'!$A:$C,3,0)</f>
        <v>#N/A</v>
      </c>
    </row>
    <row r="2151" spans="17:18" x14ac:dyDescent="0.2">
      <c r="Q2151" s="78" t="e">
        <f>VLOOKUP(A2151,'גיליון דאטה להכל'!A:H,5,0)</f>
        <v>#N/A</v>
      </c>
      <c r="R2151" s="78" t="e">
        <f>VLOOKUP(A2151,'לעדכן בסינתזה דאטה אריזה 42+24'!$A:$C,3,0)</f>
        <v>#N/A</v>
      </c>
    </row>
    <row r="2152" spans="17:18" x14ac:dyDescent="0.2">
      <c r="Q2152" s="78" t="e">
        <f>VLOOKUP(A2152,'גיליון דאטה להכל'!A:H,5,0)</f>
        <v>#N/A</v>
      </c>
      <c r="R2152" s="78" t="e">
        <f>VLOOKUP(A2152,'לעדכן בסינתזה דאטה אריזה 42+24'!$A:$C,3,0)</f>
        <v>#N/A</v>
      </c>
    </row>
    <row r="2153" spans="17:18" x14ac:dyDescent="0.2">
      <c r="Q2153" s="78" t="e">
        <f>VLOOKUP(A2153,'גיליון דאטה להכל'!A:H,5,0)</f>
        <v>#N/A</v>
      </c>
      <c r="R2153" s="78" t="e">
        <f>VLOOKUP(A2153,'לעדכן בסינתזה דאטה אריזה 42+24'!$A:$C,3,0)</f>
        <v>#N/A</v>
      </c>
    </row>
    <row r="2154" spans="17:18" x14ac:dyDescent="0.2">
      <c r="Q2154" s="78" t="e">
        <f>VLOOKUP(A2154,'גיליון דאטה להכל'!A:H,5,0)</f>
        <v>#N/A</v>
      </c>
      <c r="R2154" s="78" t="e">
        <f>VLOOKUP(A2154,'לעדכן בסינתזה דאטה אריזה 42+24'!$A:$C,3,0)</f>
        <v>#N/A</v>
      </c>
    </row>
    <row r="2155" spans="17:18" x14ac:dyDescent="0.2">
      <c r="Q2155" s="78" t="e">
        <f>VLOOKUP(A2155,'גיליון דאטה להכל'!A:H,5,0)</f>
        <v>#N/A</v>
      </c>
      <c r="R2155" s="78" t="e">
        <f>VLOOKUP(A2155,'לעדכן בסינתזה דאטה אריזה 42+24'!$A:$C,3,0)</f>
        <v>#N/A</v>
      </c>
    </row>
    <row r="2156" spans="17:18" x14ac:dyDescent="0.2">
      <c r="Q2156" s="78" t="e">
        <f>VLOOKUP(A2156,'גיליון דאטה להכל'!A:H,5,0)</f>
        <v>#N/A</v>
      </c>
      <c r="R2156" s="78" t="e">
        <f>VLOOKUP(A2156,'לעדכן בסינתזה דאטה אריזה 42+24'!$A:$C,3,0)</f>
        <v>#N/A</v>
      </c>
    </row>
    <row r="2157" spans="17:18" x14ac:dyDescent="0.2">
      <c r="Q2157" s="78" t="e">
        <f>VLOOKUP(A2157,'גיליון דאטה להכל'!A:H,5,0)</f>
        <v>#N/A</v>
      </c>
      <c r="R2157" s="78" t="e">
        <f>VLOOKUP(A2157,'לעדכן בסינתזה דאטה אריזה 42+24'!$A:$C,3,0)</f>
        <v>#N/A</v>
      </c>
    </row>
    <row r="2158" spans="17:18" x14ac:dyDescent="0.2">
      <c r="Q2158" s="78" t="e">
        <f>VLOOKUP(A2158,'גיליון דאטה להכל'!A:H,5,0)</f>
        <v>#N/A</v>
      </c>
      <c r="R2158" s="78" t="e">
        <f>VLOOKUP(A2158,'לעדכן בסינתזה דאטה אריזה 42+24'!$A:$C,3,0)</f>
        <v>#N/A</v>
      </c>
    </row>
    <row r="2159" spans="17:18" x14ac:dyDescent="0.2">
      <c r="Q2159" s="78" t="e">
        <f>VLOOKUP(A2159,'גיליון דאטה להכל'!A:H,5,0)</f>
        <v>#N/A</v>
      </c>
      <c r="R2159" s="78" t="e">
        <f>VLOOKUP(A2159,'לעדכן בסינתזה דאטה אריזה 42+24'!$A:$C,3,0)</f>
        <v>#N/A</v>
      </c>
    </row>
    <row r="2160" spans="17:18" x14ac:dyDescent="0.2">
      <c r="Q2160" s="78" t="e">
        <f>VLOOKUP(A2160,'גיליון דאטה להכל'!A:H,5,0)</f>
        <v>#N/A</v>
      </c>
      <c r="R2160" s="78" t="e">
        <f>VLOOKUP(A2160,'לעדכן בסינתזה דאטה אריזה 42+24'!$A:$C,3,0)</f>
        <v>#N/A</v>
      </c>
    </row>
    <row r="2161" spans="17:18" x14ac:dyDescent="0.2">
      <c r="Q2161" s="78" t="e">
        <f>VLOOKUP(A2161,'גיליון דאטה להכל'!A:H,5,0)</f>
        <v>#N/A</v>
      </c>
      <c r="R2161" s="78" t="e">
        <f>VLOOKUP(A2161,'לעדכן בסינתזה דאטה אריזה 42+24'!$A:$C,3,0)</f>
        <v>#N/A</v>
      </c>
    </row>
    <row r="2162" spans="17:18" x14ac:dyDescent="0.2">
      <c r="Q2162" s="78" t="e">
        <f>VLOOKUP(A2162,'גיליון דאטה להכל'!A:H,5,0)</f>
        <v>#N/A</v>
      </c>
      <c r="R2162" s="78" t="e">
        <f>VLOOKUP(A2162,'לעדכן בסינתזה דאטה אריזה 42+24'!$A:$C,3,0)</f>
        <v>#N/A</v>
      </c>
    </row>
    <row r="2163" spans="17:18" x14ac:dyDescent="0.2">
      <c r="Q2163" s="78" t="e">
        <f>VLOOKUP(A2163,'גיליון דאטה להכל'!A:H,5,0)</f>
        <v>#N/A</v>
      </c>
      <c r="R2163" s="78" t="e">
        <f>VLOOKUP(A2163,'לעדכן בסינתזה דאטה אריזה 42+24'!$A:$C,3,0)</f>
        <v>#N/A</v>
      </c>
    </row>
    <row r="2164" spans="17:18" x14ac:dyDescent="0.2">
      <c r="Q2164" s="78" t="e">
        <f>VLOOKUP(A2164,'גיליון דאטה להכל'!A:H,5,0)</f>
        <v>#N/A</v>
      </c>
      <c r="R2164" s="78" t="e">
        <f>VLOOKUP(A2164,'לעדכן בסינתזה דאטה אריזה 42+24'!$A:$C,3,0)</f>
        <v>#N/A</v>
      </c>
    </row>
    <row r="2165" spans="17:18" x14ac:dyDescent="0.2">
      <c r="Q2165" s="78" t="e">
        <f>VLOOKUP(A2165,'גיליון דאטה להכל'!A:H,5,0)</f>
        <v>#N/A</v>
      </c>
      <c r="R2165" s="78" t="e">
        <f>VLOOKUP(A2165,'לעדכן בסינתזה דאטה אריזה 42+24'!$A:$C,3,0)</f>
        <v>#N/A</v>
      </c>
    </row>
    <row r="2166" spans="17:18" x14ac:dyDescent="0.2">
      <c r="Q2166" s="78" t="e">
        <f>VLOOKUP(A2166,'גיליון דאטה להכל'!A:H,5,0)</f>
        <v>#N/A</v>
      </c>
      <c r="R2166" s="78" t="e">
        <f>VLOOKUP(A2166,'לעדכן בסינתזה דאטה אריזה 42+24'!$A:$C,3,0)</f>
        <v>#N/A</v>
      </c>
    </row>
    <row r="2167" spans="17:18" x14ac:dyDescent="0.2">
      <c r="Q2167" s="78" t="e">
        <f>VLOOKUP(A2167,'גיליון דאטה להכל'!A:H,5,0)</f>
        <v>#N/A</v>
      </c>
      <c r="R2167" s="78" t="e">
        <f>VLOOKUP(A2167,'לעדכן בסינתזה דאטה אריזה 42+24'!$A:$C,3,0)</f>
        <v>#N/A</v>
      </c>
    </row>
    <row r="2168" spans="17:18" x14ac:dyDescent="0.2">
      <c r="Q2168" s="78" t="e">
        <f>VLOOKUP(A2168,'גיליון דאטה להכל'!A:H,5,0)</f>
        <v>#N/A</v>
      </c>
      <c r="R2168" s="78" t="e">
        <f>VLOOKUP(A2168,'לעדכן בסינתזה דאטה אריזה 42+24'!$A:$C,3,0)</f>
        <v>#N/A</v>
      </c>
    </row>
    <row r="2169" spans="17:18" x14ac:dyDescent="0.2">
      <c r="Q2169" s="78" t="e">
        <f>VLOOKUP(A2169,'גיליון דאטה להכל'!A:H,5,0)</f>
        <v>#N/A</v>
      </c>
      <c r="R2169" s="78" t="e">
        <f>VLOOKUP(A2169,'לעדכן בסינתזה דאטה אריזה 42+24'!$A:$C,3,0)</f>
        <v>#N/A</v>
      </c>
    </row>
    <row r="2170" spans="17:18" x14ac:dyDescent="0.2">
      <c r="Q2170" s="78" t="e">
        <f>VLOOKUP(A2170,'גיליון דאטה להכל'!A:H,5,0)</f>
        <v>#N/A</v>
      </c>
      <c r="R2170" s="78" t="e">
        <f>VLOOKUP(A2170,'לעדכן בסינתזה דאטה אריזה 42+24'!$A:$C,3,0)</f>
        <v>#N/A</v>
      </c>
    </row>
    <row r="2171" spans="17:18" x14ac:dyDescent="0.2">
      <c r="Q2171" s="78" t="e">
        <f>VLOOKUP(A2171,'גיליון דאטה להכל'!A:H,5,0)</f>
        <v>#N/A</v>
      </c>
      <c r="R2171" s="78" t="e">
        <f>VLOOKUP(A2171,'לעדכן בסינתזה דאטה אריזה 42+24'!$A:$C,3,0)</f>
        <v>#N/A</v>
      </c>
    </row>
    <row r="2172" spans="17:18" x14ac:dyDescent="0.2">
      <c r="Q2172" s="78" t="e">
        <f>VLOOKUP(A2172,'גיליון דאטה להכל'!A:H,5,0)</f>
        <v>#N/A</v>
      </c>
      <c r="R2172" s="78" t="e">
        <f>VLOOKUP(A2172,'לעדכן בסינתזה דאטה אריזה 42+24'!$A:$C,3,0)</f>
        <v>#N/A</v>
      </c>
    </row>
    <row r="2173" spans="17:18" x14ac:dyDescent="0.2">
      <c r="Q2173" s="78" t="e">
        <f>VLOOKUP(A2173,'גיליון דאטה להכל'!A:H,5,0)</f>
        <v>#N/A</v>
      </c>
      <c r="R2173" s="78" t="e">
        <f>VLOOKUP(A2173,'לעדכן בסינתזה דאטה אריזה 42+24'!$A:$C,3,0)</f>
        <v>#N/A</v>
      </c>
    </row>
    <row r="2174" spans="17:18" x14ac:dyDescent="0.2">
      <c r="Q2174" s="78" t="e">
        <f>VLOOKUP(A2174,'גיליון דאטה להכל'!A:H,5,0)</f>
        <v>#N/A</v>
      </c>
      <c r="R2174" s="78" t="e">
        <f>VLOOKUP(A2174,'לעדכן בסינתזה דאטה אריזה 42+24'!$A:$C,3,0)</f>
        <v>#N/A</v>
      </c>
    </row>
    <row r="2175" spans="17:18" x14ac:dyDescent="0.2">
      <c r="Q2175" s="78" t="e">
        <f>VLOOKUP(A2175,'גיליון דאטה להכל'!A:H,5,0)</f>
        <v>#N/A</v>
      </c>
      <c r="R2175" s="78" t="e">
        <f>VLOOKUP(A2175,'לעדכן בסינתזה דאטה אריזה 42+24'!$A:$C,3,0)</f>
        <v>#N/A</v>
      </c>
    </row>
    <row r="2176" spans="17:18" x14ac:dyDescent="0.2">
      <c r="Q2176" s="78" t="e">
        <f>VLOOKUP(A2176,'גיליון דאטה להכל'!A:H,5,0)</f>
        <v>#N/A</v>
      </c>
      <c r="R2176" s="78" t="e">
        <f>VLOOKUP(A2176,'לעדכן בסינתזה דאטה אריזה 42+24'!$A:$C,3,0)</f>
        <v>#N/A</v>
      </c>
    </row>
    <row r="2177" spans="17:18" x14ac:dyDescent="0.2">
      <c r="Q2177" s="78" t="e">
        <f>VLOOKUP(A2177,'גיליון דאטה להכל'!A:H,5,0)</f>
        <v>#N/A</v>
      </c>
      <c r="R2177" s="78" t="e">
        <f>VLOOKUP(A2177,'לעדכן בסינתזה דאטה אריזה 42+24'!$A:$C,3,0)</f>
        <v>#N/A</v>
      </c>
    </row>
    <row r="2178" spans="17:18" x14ac:dyDescent="0.2">
      <c r="Q2178" s="78" t="e">
        <f>VLOOKUP(A2178,'גיליון דאטה להכל'!A:H,5,0)</f>
        <v>#N/A</v>
      </c>
      <c r="R2178" s="78" t="e">
        <f>VLOOKUP(A2178,'לעדכן בסינתזה דאטה אריזה 42+24'!$A:$C,3,0)</f>
        <v>#N/A</v>
      </c>
    </row>
    <row r="2179" spans="17:18" x14ac:dyDescent="0.2">
      <c r="Q2179" s="78" t="e">
        <f>VLOOKUP(A2179,'גיליון דאטה להכל'!A:H,5,0)</f>
        <v>#N/A</v>
      </c>
      <c r="R2179" s="78" t="e">
        <f>VLOOKUP(A2179,'לעדכן בסינתזה דאטה אריזה 42+24'!$A:$C,3,0)</f>
        <v>#N/A</v>
      </c>
    </row>
    <row r="2180" spans="17:18" x14ac:dyDescent="0.2">
      <c r="Q2180" s="78" t="e">
        <f>VLOOKUP(A2180,'גיליון דאטה להכל'!A:H,5,0)</f>
        <v>#N/A</v>
      </c>
      <c r="R2180" s="78" t="e">
        <f>VLOOKUP(A2180,'לעדכן בסינתזה דאטה אריזה 42+24'!$A:$C,3,0)</f>
        <v>#N/A</v>
      </c>
    </row>
    <row r="2181" spans="17:18" x14ac:dyDescent="0.2">
      <c r="Q2181" s="78" t="e">
        <f>VLOOKUP(A2181,'גיליון דאטה להכל'!A:H,5,0)</f>
        <v>#N/A</v>
      </c>
      <c r="R2181" s="78" t="e">
        <f>VLOOKUP(A2181,'לעדכן בסינתזה דאטה אריזה 42+24'!$A:$C,3,0)</f>
        <v>#N/A</v>
      </c>
    </row>
    <row r="2182" spans="17:18" x14ac:dyDescent="0.2">
      <c r="Q2182" s="78" t="e">
        <f>VLOOKUP(A2182,'גיליון דאטה להכל'!A:H,5,0)</f>
        <v>#N/A</v>
      </c>
      <c r="R2182" s="78" t="e">
        <f>VLOOKUP(A2182,'לעדכן בסינתזה דאטה אריזה 42+24'!$A:$C,3,0)</f>
        <v>#N/A</v>
      </c>
    </row>
    <row r="2183" spans="17:18" x14ac:dyDescent="0.2">
      <c r="Q2183" s="78" t="e">
        <f>VLOOKUP(A2183,'גיליון דאטה להכל'!A:H,5,0)</f>
        <v>#N/A</v>
      </c>
      <c r="R2183" s="78" t="e">
        <f>VLOOKUP(A2183,'לעדכן בסינתזה דאטה אריזה 42+24'!$A:$C,3,0)</f>
        <v>#N/A</v>
      </c>
    </row>
    <row r="2184" spans="17:18" x14ac:dyDescent="0.2">
      <c r="Q2184" s="78" t="e">
        <f>VLOOKUP(A2184,'גיליון דאטה להכל'!A:H,5,0)</f>
        <v>#N/A</v>
      </c>
      <c r="R2184" s="78" t="e">
        <f>VLOOKUP(A2184,'לעדכן בסינתזה דאטה אריזה 42+24'!$A:$C,3,0)</f>
        <v>#N/A</v>
      </c>
    </row>
    <row r="2185" spans="17:18" x14ac:dyDescent="0.2">
      <c r="Q2185" s="78" t="e">
        <f>VLOOKUP(A2185,'גיליון דאטה להכל'!A:H,5,0)</f>
        <v>#N/A</v>
      </c>
      <c r="R2185" s="78" t="e">
        <f>VLOOKUP(A2185,'לעדכן בסינתזה דאטה אריזה 42+24'!$A:$C,3,0)</f>
        <v>#N/A</v>
      </c>
    </row>
    <row r="2186" spans="17:18" x14ac:dyDescent="0.2">
      <c r="Q2186" s="78" t="e">
        <f>VLOOKUP(A2186,'גיליון דאטה להכל'!A:H,5,0)</f>
        <v>#N/A</v>
      </c>
      <c r="R2186" s="78" t="e">
        <f>VLOOKUP(A2186,'לעדכן בסינתזה דאטה אריזה 42+24'!$A:$C,3,0)</f>
        <v>#N/A</v>
      </c>
    </row>
    <row r="2187" spans="17:18" x14ac:dyDescent="0.2">
      <c r="Q2187" s="78" t="e">
        <f>VLOOKUP(A2187,'גיליון דאטה להכל'!A:H,5,0)</f>
        <v>#N/A</v>
      </c>
      <c r="R2187" s="78" t="e">
        <f>VLOOKUP(A2187,'לעדכן בסינתזה דאטה אריזה 42+24'!$A:$C,3,0)</f>
        <v>#N/A</v>
      </c>
    </row>
    <row r="2188" spans="17:18" x14ac:dyDescent="0.2">
      <c r="Q2188" s="78" t="e">
        <f>VLOOKUP(A2188,'גיליון דאטה להכל'!A:H,5,0)</f>
        <v>#N/A</v>
      </c>
      <c r="R2188" s="78" t="e">
        <f>VLOOKUP(A2188,'לעדכן בסינתזה דאטה אריזה 42+24'!$A:$C,3,0)</f>
        <v>#N/A</v>
      </c>
    </row>
    <row r="2189" spans="17:18" x14ac:dyDescent="0.2">
      <c r="Q2189" s="78" t="e">
        <f>VLOOKUP(A2189,'גיליון דאטה להכל'!A:H,5,0)</f>
        <v>#N/A</v>
      </c>
      <c r="R2189" s="78" t="e">
        <f>VLOOKUP(A2189,'לעדכן בסינתזה דאטה אריזה 42+24'!$A:$C,3,0)</f>
        <v>#N/A</v>
      </c>
    </row>
    <row r="2190" spans="17:18" x14ac:dyDescent="0.2">
      <c r="Q2190" s="78" t="e">
        <f>VLOOKUP(A2190,'גיליון דאטה להכל'!A:H,5,0)</f>
        <v>#N/A</v>
      </c>
      <c r="R2190" s="78" t="e">
        <f>VLOOKUP(A2190,'לעדכן בסינתזה דאטה אריזה 42+24'!$A:$C,3,0)</f>
        <v>#N/A</v>
      </c>
    </row>
    <row r="2191" spans="17:18" x14ac:dyDescent="0.2">
      <c r="Q2191" s="78" t="e">
        <f>VLOOKUP(A2191,'גיליון דאטה להכל'!A:H,5,0)</f>
        <v>#N/A</v>
      </c>
      <c r="R2191" s="78" t="e">
        <f>VLOOKUP(A2191,'לעדכן בסינתזה דאטה אריזה 42+24'!$A:$C,3,0)</f>
        <v>#N/A</v>
      </c>
    </row>
    <row r="2192" spans="17:18" x14ac:dyDescent="0.2">
      <c r="Q2192" s="78" t="e">
        <f>VLOOKUP(A2192,'גיליון דאטה להכל'!A:H,5,0)</f>
        <v>#N/A</v>
      </c>
      <c r="R2192" s="78" t="e">
        <f>VLOOKUP(A2192,'לעדכן בסינתזה דאטה אריזה 42+24'!$A:$C,3,0)</f>
        <v>#N/A</v>
      </c>
    </row>
    <row r="2193" spans="17:18" x14ac:dyDescent="0.2">
      <c r="Q2193" s="78" t="e">
        <f>VLOOKUP(A2193,'גיליון דאטה להכל'!A:H,5,0)</f>
        <v>#N/A</v>
      </c>
      <c r="R2193" s="78" t="e">
        <f>VLOOKUP(A2193,'לעדכן בסינתזה דאטה אריזה 42+24'!$A:$C,3,0)</f>
        <v>#N/A</v>
      </c>
    </row>
    <row r="2194" spans="17:18" x14ac:dyDescent="0.2">
      <c r="Q2194" s="78" t="e">
        <f>VLOOKUP(A2194,'גיליון דאטה להכל'!A:H,5,0)</f>
        <v>#N/A</v>
      </c>
      <c r="R2194" s="78" t="e">
        <f>VLOOKUP(A2194,'לעדכן בסינתזה דאטה אריזה 42+24'!$A:$C,3,0)</f>
        <v>#N/A</v>
      </c>
    </row>
    <row r="2195" spans="17:18" x14ac:dyDescent="0.2">
      <c r="Q2195" s="78" t="e">
        <f>VLOOKUP(A2195,'גיליון דאטה להכל'!A:H,5,0)</f>
        <v>#N/A</v>
      </c>
      <c r="R2195" s="78" t="e">
        <f>VLOOKUP(A2195,'לעדכן בסינתזה דאטה אריזה 42+24'!$A:$C,3,0)</f>
        <v>#N/A</v>
      </c>
    </row>
    <row r="2196" spans="17:18" x14ac:dyDescent="0.2">
      <c r="Q2196" s="78" t="e">
        <f>VLOOKUP(A2196,'גיליון דאטה להכל'!A:H,5,0)</f>
        <v>#N/A</v>
      </c>
      <c r="R2196" s="78" t="e">
        <f>VLOOKUP(A2196,'לעדכן בסינתזה דאטה אריזה 42+24'!$A:$C,3,0)</f>
        <v>#N/A</v>
      </c>
    </row>
    <row r="2197" spans="17:18" x14ac:dyDescent="0.2">
      <c r="Q2197" s="78" t="e">
        <f>VLOOKUP(A2197,'גיליון דאטה להכל'!A:H,5,0)</f>
        <v>#N/A</v>
      </c>
      <c r="R2197" s="78" t="e">
        <f>VLOOKUP(A2197,'לעדכן בסינתזה דאטה אריזה 42+24'!$A:$C,3,0)</f>
        <v>#N/A</v>
      </c>
    </row>
    <row r="2198" spans="17:18" x14ac:dyDescent="0.2">
      <c r="Q2198" s="78" t="e">
        <f>VLOOKUP(A2198,'גיליון דאטה להכל'!A:H,5,0)</f>
        <v>#N/A</v>
      </c>
      <c r="R2198" s="78" t="e">
        <f>VLOOKUP(A2198,'לעדכן בסינתזה דאטה אריזה 42+24'!$A:$C,3,0)</f>
        <v>#N/A</v>
      </c>
    </row>
    <row r="2199" spans="17:18" x14ac:dyDescent="0.2">
      <c r="Q2199" s="78" t="e">
        <f>VLOOKUP(A2199,'גיליון דאטה להכל'!A:H,5,0)</f>
        <v>#N/A</v>
      </c>
      <c r="R2199" s="78" t="e">
        <f>VLOOKUP(A2199,'לעדכן בסינתזה דאטה אריזה 42+24'!$A:$C,3,0)</f>
        <v>#N/A</v>
      </c>
    </row>
    <row r="2200" spans="17:18" x14ac:dyDescent="0.2">
      <c r="Q2200" s="78" t="e">
        <f>VLOOKUP(A2200,'גיליון דאטה להכל'!A:H,5,0)</f>
        <v>#N/A</v>
      </c>
      <c r="R2200" s="78" t="e">
        <f>VLOOKUP(A2200,'לעדכן בסינתזה דאטה אריזה 42+24'!$A:$C,3,0)</f>
        <v>#N/A</v>
      </c>
    </row>
    <row r="2201" spans="17:18" x14ac:dyDescent="0.2">
      <c r="Q2201" s="78" t="e">
        <f>VLOOKUP(A2201,'גיליון דאטה להכל'!A:H,5,0)</f>
        <v>#N/A</v>
      </c>
      <c r="R2201" s="78" t="e">
        <f>VLOOKUP(A2201,'לעדכן בסינתזה דאטה אריזה 42+24'!$A:$C,3,0)</f>
        <v>#N/A</v>
      </c>
    </row>
    <row r="2202" spans="17:18" x14ac:dyDescent="0.2">
      <c r="Q2202" s="78" t="e">
        <f>VLOOKUP(A2202,'גיליון דאטה להכל'!A:H,5,0)</f>
        <v>#N/A</v>
      </c>
      <c r="R2202" s="78" t="e">
        <f>VLOOKUP(A2202,'לעדכן בסינתזה דאטה אריזה 42+24'!$A:$C,3,0)</f>
        <v>#N/A</v>
      </c>
    </row>
    <row r="2203" spans="17:18" x14ac:dyDescent="0.2">
      <c r="Q2203" s="78" t="e">
        <f>VLOOKUP(A2203,'גיליון דאטה להכל'!A:H,5,0)</f>
        <v>#N/A</v>
      </c>
      <c r="R2203" s="78" t="e">
        <f>VLOOKUP(A2203,'לעדכן בסינתזה דאטה אריזה 42+24'!$A:$C,3,0)</f>
        <v>#N/A</v>
      </c>
    </row>
    <row r="2204" spans="17:18" x14ac:dyDescent="0.2">
      <c r="Q2204" s="78" t="e">
        <f>VLOOKUP(A2204,'גיליון דאטה להכל'!A:H,5,0)</f>
        <v>#N/A</v>
      </c>
      <c r="R2204" s="78" t="e">
        <f>VLOOKUP(A2204,'לעדכן בסינתזה דאטה אריזה 42+24'!$A:$C,3,0)</f>
        <v>#N/A</v>
      </c>
    </row>
    <row r="2205" spans="17:18" x14ac:dyDescent="0.2">
      <c r="Q2205" s="78" t="e">
        <f>VLOOKUP(A2205,'גיליון דאטה להכל'!A:H,5,0)</f>
        <v>#N/A</v>
      </c>
      <c r="R2205" s="78" t="e">
        <f>VLOOKUP(A2205,'לעדכן בסינתזה דאטה אריזה 42+24'!$A:$C,3,0)</f>
        <v>#N/A</v>
      </c>
    </row>
    <row r="2206" spans="17:18" x14ac:dyDescent="0.2">
      <c r="Q2206" s="78" t="e">
        <f>VLOOKUP(A2206,'גיליון דאטה להכל'!A:H,5,0)</f>
        <v>#N/A</v>
      </c>
      <c r="R2206" s="78" t="e">
        <f>VLOOKUP(A2206,'לעדכן בסינתזה דאטה אריזה 42+24'!$A:$C,3,0)</f>
        <v>#N/A</v>
      </c>
    </row>
    <row r="2207" spans="17:18" x14ac:dyDescent="0.2">
      <c r="Q2207" s="78" t="e">
        <f>VLOOKUP(A2207,'גיליון דאטה להכל'!A:H,5,0)</f>
        <v>#N/A</v>
      </c>
      <c r="R2207" s="78" t="e">
        <f>VLOOKUP(A2207,'לעדכן בסינתזה דאטה אריזה 42+24'!$A:$C,3,0)</f>
        <v>#N/A</v>
      </c>
    </row>
    <row r="2208" spans="17:18" x14ac:dyDescent="0.2">
      <c r="Q2208" s="78" t="e">
        <f>VLOOKUP(A2208,'גיליון דאטה להכל'!A:H,5,0)</f>
        <v>#N/A</v>
      </c>
      <c r="R2208" s="78" t="e">
        <f>VLOOKUP(A2208,'לעדכן בסינתזה דאטה אריזה 42+24'!$A:$C,3,0)</f>
        <v>#N/A</v>
      </c>
    </row>
    <row r="2209" spans="17:18" x14ac:dyDescent="0.2">
      <c r="Q2209" s="78" t="e">
        <f>VLOOKUP(A2209,'גיליון דאטה להכל'!A:H,5,0)</f>
        <v>#N/A</v>
      </c>
      <c r="R2209" s="78" t="e">
        <f>VLOOKUP(A2209,'לעדכן בסינתזה דאטה אריזה 42+24'!$A:$C,3,0)</f>
        <v>#N/A</v>
      </c>
    </row>
    <row r="2210" spans="17:18" x14ac:dyDescent="0.2">
      <c r="Q2210" s="78" t="e">
        <f>VLOOKUP(A2210,'גיליון דאטה להכל'!A:H,5,0)</f>
        <v>#N/A</v>
      </c>
      <c r="R2210" s="78" t="e">
        <f>VLOOKUP(A2210,'לעדכן בסינתזה דאטה אריזה 42+24'!$A:$C,3,0)</f>
        <v>#N/A</v>
      </c>
    </row>
    <row r="2211" spans="17:18" x14ac:dyDescent="0.2">
      <c r="Q2211" s="78" t="e">
        <f>VLOOKUP(A2211,'גיליון דאטה להכל'!A:H,5,0)</f>
        <v>#N/A</v>
      </c>
      <c r="R2211" s="78" t="e">
        <f>VLOOKUP(A2211,'לעדכן בסינתזה דאטה אריזה 42+24'!$A:$C,3,0)</f>
        <v>#N/A</v>
      </c>
    </row>
    <row r="2212" spans="17:18" x14ac:dyDescent="0.2">
      <c r="Q2212" s="78" t="e">
        <f>VLOOKUP(A2212,'גיליון דאטה להכל'!A:H,5,0)</f>
        <v>#N/A</v>
      </c>
      <c r="R2212" s="78" t="e">
        <f>VLOOKUP(A2212,'לעדכן בסינתזה דאטה אריזה 42+24'!$A:$C,3,0)</f>
        <v>#N/A</v>
      </c>
    </row>
    <row r="2213" spans="17:18" x14ac:dyDescent="0.2">
      <c r="Q2213" s="78" t="e">
        <f>VLOOKUP(A2213,'גיליון דאטה להכל'!A:H,5,0)</f>
        <v>#N/A</v>
      </c>
      <c r="R2213" s="78" t="e">
        <f>VLOOKUP(A2213,'לעדכן בסינתזה דאטה אריזה 42+24'!$A:$C,3,0)</f>
        <v>#N/A</v>
      </c>
    </row>
    <row r="2214" spans="17:18" x14ac:dyDescent="0.2">
      <c r="Q2214" s="78" t="e">
        <f>VLOOKUP(A2214,'גיליון דאטה להכל'!A:H,5,0)</f>
        <v>#N/A</v>
      </c>
      <c r="R2214" s="78" t="e">
        <f>VLOOKUP(A2214,'לעדכן בסינתזה דאטה אריזה 42+24'!$A:$C,3,0)</f>
        <v>#N/A</v>
      </c>
    </row>
    <row r="2215" spans="17:18" x14ac:dyDescent="0.2">
      <c r="Q2215" s="78" t="e">
        <f>VLOOKUP(A2215,'גיליון דאטה להכל'!A:H,5,0)</f>
        <v>#N/A</v>
      </c>
      <c r="R2215" s="78" t="e">
        <f>VLOOKUP(A2215,'לעדכן בסינתזה דאטה אריזה 42+24'!$A:$C,3,0)</f>
        <v>#N/A</v>
      </c>
    </row>
    <row r="2216" spans="17:18" x14ac:dyDescent="0.2">
      <c r="Q2216" s="78" t="e">
        <f>VLOOKUP(A2216,'גיליון דאטה להכל'!A:H,5,0)</f>
        <v>#N/A</v>
      </c>
      <c r="R2216" s="78" t="e">
        <f>VLOOKUP(A2216,'לעדכן בסינתזה דאטה אריזה 42+24'!$A:$C,3,0)</f>
        <v>#N/A</v>
      </c>
    </row>
    <row r="2217" spans="17:18" x14ac:dyDescent="0.2">
      <c r="Q2217" s="78" t="e">
        <f>VLOOKUP(A2217,'גיליון דאטה להכל'!A:H,5,0)</f>
        <v>#N/A</v>
      </c>
      <c r="R2217" s="78" t="e">
        <f>VLOOKUP(A2217,'לעדכן בסינתזה דאטה אריזה 42+24'!$A:$C,3,0)</f>
        <v>#N/A</v>
      </c>
    </row>
    <row r="2218" spans="17:18" x14ac:dyDescent="0.2">
      <c r="Q2218" s="78" t="e">
        <f>VLOOKUP(A2218,'גיליון דאטה להכל'!A:H,5,0)</f>
        <v>#N/A</v>
      </c>
      <c r="R2218" s="78" t="e">
        <f>VLOOKUP(A2218,'לעדכן בסינתזה דאטה אריזה 42+24'!$A:$C,3,0)</f>
        <v>#N/A</v>
      </c>
    </row>
    <row r="2219" spans="17:18" x14ac:dyDescent="0.2">
      <c r="Q2219" s="78" t="e">
        <f>VLOOKUP(A2219,'גיליון דאטה להכל'!A:H,5,0)</f>
        <v>#N/A</v>
      </c>
      <c r="R2219" s="78" t="e">
        <f>VLOOKUP(A2219,'לעדכן בסינתזה דאטה אריזה 42+24'!$A:$C,3,0)</f>
        <v>#N/A</v>
      </c>
    </row>
    <row r="2220" spans="17:18" x14ac:dyDescent="0.2">
      <c r="Q2220" s="78" t="e">
        <f>VLOOKUP(A2220,'גיליון דאטה להכל'!A:H,5,0)</f>
        <v>#N/A</v>
      </c>
      <c r="R2220" s="78" t="e">
        <f>VLOOKUP(A2220,'לעדכן בסינתזה דאטה אריזה 42+24'!$A:$C,3,0)</f>
        <v>#N/A</v>
      </c>
    </row>
    <row r="2221" spans="17:18" x14ac:dyDescent="0.2">
      <c r="Q2221" s="78" t="e">
        <f>VLOOKUP(A2221,'גיליון דאטה להכל'!A:H,5,0)</f>
        <v>#N/A</v>
      </c>
      <c r="R2221" s="78" t="e">
        <f>VLOOKUP(A2221,'לעדכן בסינתזה דאטה אריזה 42+24'!$A:$C,3,0)</f>
        <v>#N/A</v>
      </c>
    </row>
    <row r="2222" spans="17:18" x14ac:dyDescent="0.2">
      <c r="Q2222" s="78" t="e">
        <f>VLOOKUP(A2222,'גיליון דאטה להכל'!A:H,5,0)</f>
        <v>#N/A</v>
      </c>
      <c r="R2222" s="78" t="e">
        <f>VLOOKUP(A2222,'לעדכן בסינתזה דאטה אריזה 42+24'!$A:$C,3,0)</f>
        <v>#N/A</v>
      </c>
    </row>
    <row r="2223" spans="17:18" x14ac:dyDescent="0.2">
      <c r="Q2223" s="78" t="e">
        <f>VLOOKUP(A2223,'גיליון דאטה להכל'!A:H,5,0)</f>
        <v>#N/A</v>
      </c>
      <c r="R2223" s="78" t="e">
        <f>VLOOKUP(A2223,'לעדכן בסינתזה דאטה אריזה 42+24'!$A:$C,3,0)</f>
        <v>#N/A</v>
      </c>
    </row>
    <row r="2224" spans="17:18" x14ac:dyDescent="0.2">
      <c r="Q2224" s="78" t="e">
        <f>VLOOKUP(A2224,'גיליון דאטה להכל'!A:H,5,0)</f>
        <v>#N/A</v>
      </c>
      <c r="R2224" s="78" t="e">
        <f>VLOOKUP(A2224,'לעדכן בסינתזה דאטה אריזה 42+24'!$A:$C,3,0)</f>
        <v>#N/A</v>
      </c>
    </row>
    <row r="2225" spans="17:18" x14ac:dyDescent="0.2">
      <c r="Q2225" s="78" t="e">
        <f>VLOOKUP(A2225,'גיליון דאטה להכל'!A:H,5,0)</f>
        <v>#N/A</v>
      </c>
      <c r="R2225" s="78" t="e">
        <f>VLOOKUP(A2225,'לעדכן בסינתזה דאטה אריזה 42+24'!$A:$C,3,0)</f>
        <v>#N/A</v>
      </c>
    </row>
    <row r="2226" spans="17:18" x14ac:dyDescent="0.2">
      <c r="Q2226" s="78" t="e">
        <f>VLOOKUP(A2226,'גיליון דאטה להכל'!A:H,5,0)</f>
        <v>#N/A</v>
      </c>
      <c r="R2226" s="78" t="e">
        <f>VLOOKUP(A2226,'לעדכן בסינתזה דאטה אריזה 42+24'!$A:$C,3,0)</f>
        <v>#N/A</v>
      </c>
    </row>
    <row r="2227" spans="17:18" x14ac:dyDescent="0.2">
      <c r="Q2227" s="78" t="e">
        <f>VLOOKUP(A2227,'גיליון דאטה להכל'!A:H,5,0)</f>
        <v>#N/A</v>
      </c>
      <c r="R2227" s="78" t="e">
        <f>VLOOKUP(A2227,'לעדכן בסינתזה דאטה אריזה 42+24'!$A:$C,3,0)</f>
        <v>#N/A</v>
      </c>
    </row>
    <row r="2228" spans="17:18" x14ac:dyDescent="0.2">
      <c r="Q2228" s="78" t="e">
        <f>VLOOKUP(A2228,'גיליון דאטה להכל'!A:H,5,0)</f>
        <v>#N/A</v>
      </c>
      <c r="R2228" s="78" t="e">
        <f>VLOOKUP(A2228,'לעדכן בסינתזה דאטה אריזה 42+24'!$A:$C,3,0)</f>
        <v>#N/A</v>
      </c>
    </row>
    <row r="2229" spans="17:18" x14ac:dyDescent="0.2">
      <c r="Q2229" s="78" t="e">
        <f>VLOOKUP(A2229,'גיליון דאטה להכל'!A:H,5,0)</f>
        <v>#N/A</v>
      </c>
      <c r="R2229" s="78" t="e">
        <f>VLOOKUP(A2229,'לעדכן בסינתזה דאטה אריזה 42+24'!$A:$C,3,0)</f>
        <v>#N/A</v>
      </c>
    </row>
    <row r="2230" spans="17:18" x14ac:dyDescent="0.2">
      <c r="Q2230" s="78" t="e">
        <f>VLOOKUP(A2230,'גיליון דאטה להכל'!A:H,5,0)</f>
        <v>#N/A</v>
      </c>
      <c r="R2230" s="78" t="e">
        <f>VLOOKUP(A2230,'לעדכן בסינתזה דאטה אריזה 42+24'!$A:$C,3,0)</f>
        <v>#N/A</v>
      </c>
    </row>
    <row r="2231" spans="17:18" x14ac:dyDescent="0.2">
      <c r="Q2231" s="78" t="e">
        <f>VLOOKUP(A2231,'גיליון דאטה להכל'!A:H,5,0)</f>
        <v>#N/A</v>
      </c>
      <c r="R2231" s="78" t="e">
        <f>VLOOKUP(A2231,'לעדכן בסינתזה דאטה אריזה 42+24'!$A:$C,3,0)</f>
        <v>#N/A</v>
      </c>
    </row>
    <row r="2232" spans="17:18" x14ac:dyDescent="0.2">
      <c r="Q2232" s="78" t="e">
        <f>VLOOKUP(A2232,'גיליון דאטה להכל'!A:H,5,0)</f>
        <v>#N/A</v>
      </c>
      <c r="R2232" s="78" t="e">
        <f>VLOOKUP(A2232,'לעדכן בסינתזה דאטה אריזה 42+24'!$A:$C,3,0)</f>
        <v>#N/A</v>
      </c>
    </row>
    <row r="2233" spans="17:18" x14ac:dyDescent="0.2">
      <c r="Q2233" s="78" t="e">
        <f>VLOOKUP(A2233,'גיליון דאטה להכל'!A:H,5,0)</f>
        <v>#N/A</v>
      </c>
      <c r="R2233" s="78" t="e">
        <f>VLOOKUP(A2233,'לעדכן בסינתזה דאטה אריזה 42+24'!$A:$C,3,0)</f>
        <v>#N/A</v>
      </c>
    </row>
    <row r="2234" spans="17:18" x14ac:dyDescent="0.2">
      <c r="Q2234" s="78" t="e">
        <f>VLOOKUP(A2234,'גיליון דאטה להכל'!A:H,5,0)</f>
        <v>#N/A</v>
      </c>
      <c r="R2234" s="78" t="e">
        <f>VLOOKUP(A2234,'לעדכן בסינתזה דאטה אריזה 42+24'!$A:$C,3,0)</f>
        <v>#N/A</v>
      </c>
    </row>
    <row r="2235" spans="17:18" x14ac:dyDescent="0.2">
      <c r="Q2235" s="78" t="e">
        <f>VLOOKUP(A2235,'גיליון דאטה להכל'!A:H,5,0)</f>
        <v>#N/A</v>
      </c>
      <c r="R2235" s="78" t="e">
        <f>VLOOKUP(A2235,'לעדכן בסינתזה דאטה אריזה 42+24'!$A:$C,3,0)</f>
        <v>#N/A</v>
      </c>
    </row>
    <row r="2236" spans="17:18" x14ac:dyDescent="0.2">
      <c r="Q2236" s="78" t="e">
        <f>VLOOKUP(A2236,'גיליון דאטה להכל'!A:H,5,0)</f>
        <v>#N/A</v>
      </c>
      <c r="R2236" s="78" t="e">
        <f>VLOOKUP(A2236,'לעדכן בסינתזה דאטה אריזה 42+24'!$A:$C,3,0)</f>
        <v>#N/A</v>
      </c>
    </row>
    <row r="2237" spans="17:18" x14ac:dyDescent="0.2">
      <c r="Q2237" s="78" t="e">
        <f>VLOOKUP(A2237,'גיליון דאטה להכל'!A:H,5,0)</f>
        <v>#N/A</v>
      </c>
      <c r="R2237" s="78" t="e">
        <f>VLOOKUP(A2237,'לעדכן בסינתזה דאטה אריזה 42+24'!$A:$C,3,0)</f>
        <v>#N/A</v>
      </c>
    </row>
    <row r="2238" spans="17:18" x14ac:dyDescent="0.2">
      <c r="Q2238" s="78" t="e">
        <f>VLOOKUP(A2238,'גיליון דאטה להכל'!A:H,5,0)</f>
        <v>#N/A</v>
      </c>
      <c r="R2238" s="78" t="e">
        <f>VLOOKUP(A2238,'לעדכן בסינתזה דאטה אריזה 42+24'!$A:$C,3,0)</f>
        <v>#N/A</v>
      </c>
    </row>
    <row r="2239" spans="17:18" x14ac:dyDescent="0.2">
      <c r="Q2239" s="78" t="e">
        <f>VLOOKUP(A2239,'גיליון דאטה להכל'!A:H,5,0)</f>
        <v>#N/A</v>
      </c>
      <c r="R2239" s="78" t="e">
        <f>VLOOKUP(A2239,'לעדכן בסינתזה דאטה אריזה 42+24'!$A:$C,3,0)</f>
        <v>#N/A</v>
      </c>
    </row>
    <row r="2240" spans="17:18" x14ac:dyDescent="0.2">
      <c r="Q2240" s="78" t="e">
        <f>VLOOKUP(A2240,'גיליון דאטה להכל'!A:H,5,0)</f>
        <v>#N/A</v>
      </c>
      <c r="R2240" s="78" t="e">
        <f>VLOOKUP(A2240,'לעדכן בסינתזה דאטה אריזה 42+24'!$A:$C,3,0)</f>
        <v>#N/A</v>
      </c>
    </row>
    <row r="2241" spans="17:18" x14ac:dyDescent="0.2">
      <c r="Q2241" s="78" t="e">
        <f>VLOOKUP(A2241,'גיליון דאטה להכל'!A:H,5,0)</f>
        <v>#N/A</v>
      </c>
      <c r="R2241" s="78" t="e">
        <f>VLOOKUP(A2241,'לעדכן בסינתזה דאטה אריזה 42+24'!$A:$C,3,0)</f>
        <v>#N/A</v>
      </c>
    </row>
    <row r="2242" spans="17:18" x14ac:dyDescent="0.2">
      <c r="Q2242" s="78" t="e">
        <f>VLOOKUP(A2242,'גיליון דאטה להכל'!A:H,5,0)</f>
        <v>#N/A</v>
      </c>
      <c r="R2242" s="78" t="e">
        <f>VLOOKUP(A2242,'לעדכן בסינתזה דאטה אריזה 42+24'!$A:$C,3,0)</f>
        <v>#N/A</v>
      </c>
    </row>
    <row r="2243" spans="17:18" x14ac:dyDescent="0.2">
      <c r="Q2243" s="78" t="e">
        <f>VLOOKUP(A2243,'גיליון דאטה להכל'!A:H,5,0)</f>
        <v>#N/A</v>
      </c>
      <c r="R2243" s="78" t="e">
        <f>VLOOKUP(A2243,'לעדכן בסינתזה דאטה אריזה 42+24'!$A:$C,3,0)</f>
        <v>#N/A</v>
      </c>
    </row>
    <row r="2244" spans="17:18" x14ac:dyDescent="0.2">
      <c r="Q2244" s="78" t="e">
        <f>VLOOKUP(A2244,'גיליון דאטה להכל'!A:H,5,0)</f>
        <v>#N/A</v>
      </c>
      <c r="R2244" s="78" t="e">
        <f>VLOOKUP(A2244,'לעדכן בסינתזה דאטה אריזה 42+24'!$A:$C,3,0)</f>
        <v>#N/A</v>
      </c>
    </row>
    <row r="2245" spans="17:18" x14ac:dyDescent="0.2">
      <c r="Q2245" s="78" t="e">
        <f>VLOOKUP(A2245,'גיליון דאטה להכל'!A:H,5,0)</f>
        <v>#N/A</v>
      </c>
      <c r="R2245" s="78" t="e">
        <f>VLOOKUP(A2245,'לעדכן בסינתזה דאטה אריזה 42+24'!$A:$C,3,0)</f>
        <v>#N/A</v>
      </c>
    </row>
    <row r="2246" spans="17:18" x14ac:dyDescent="0.2">
      <c r="Q2246" s="78" t="e">
        <f>VLOOKUP(A2246,'גיליון דאטה להכל'!A:H,5,0)</f>
        <v>#N/A</v>
      </c>
      <c r="R2246" s="78" t="e">
        <f>VLOOKUP(A2246,'לעדכן בסינתזה דאטה אריזה 42+24'!$A:$C,3,0)</f>
        <v>#N/A</v>
      </c>
    </row>
    <row r="2247" spans="17:18" x14ac:dyDescent="0.2">
      <c r="Q2247" s="78" t="e">
        <f>VLOOKUP(A2247,'גיליון דאטה להכל'!A:H,5,0)</f>
        <v>#N/A</v>
      </c>
      <c r="R2247" s="78" t="e">
        <f>VLOOKUP(A2247,'לעדכן בסינתזה דאטה אריזה 42+24'!$A:$C,3,0)</f>
        <v>#N/A</v>
      </c>
    </row>
    <row r="2248" spans="17:18" x14ac:dyDescent="0.2">
      <c r="Q2248" s="78" t="e">
        <f>VLOOKUP(A2248,'גיליון דאטה להכל'!A:H,5,0)</f>
        <v>#N/A</v>
      </c>
      <c r="R2248" s="78" t="e">
        <f>VLOOKUP(A2248,'לעדכן בסינתזה דאטה אריזה 42+24'!$A:$C,3,0)</f>
        <v>#N/A</v>
      </c>
    </row>
    <row r="2249" spans="17:18" x14ac:dyDescent="0.2">
      <c r="Q2249" s="78" t="e">
        <f>VLOOKUP(A2249,'גיליון דאטה להכל'!A:H,5,0)</f>
        <v>#N/A</v>
      </c>
      <c r="R2249" s="78" t="e">
        <f>VLOOKUP(A2249,'לעדכן בסינתזה דאטה אריזה 42+24'!$A:$C,3,0)</f>
        <v>#N/A</v>
      </c>
    </row>
    <row r="2250" spans="17:18" x14ac:dyDescent="0.2">
      <c r="Q2250" s="78" t="e">
        <f>VLOOKUP(A2250,'גיליון דאטה להכל'!A:H,5,0)</f>
        <v>#N/A</v>
      </c>
      <c r="R2250" s="78" t="e">
        <f>VLOOKUP(A2250,'לעדכן בסינתזה דאטה אריזה 42+24'!$A:$C,3,0)</f>
        <v>#N/A</v>
      </c>
    </row>
    <row r="2251" spans="17:18" x14ac:dyDescent="0.2">
      <c r="Q2251" s="78" t="e">
        <f>VLOOKUP(A2251,'גיליון דאטה להכל'!A:H,5,0)</f>
        <v>#N/A</v>
      </c>
      <c r="R2251" s="78" t="e">
        <f>VLOOKUP(A2251,'לעדכן בסינתזה דאטה אריזה 42+24'!$A:$C,3,0)</f>
        <v>#N/A</v>
      </c>
    </row>
    <row r="2252" spans="17:18" x14ac:dyDescent="0.2">
      <c r="Q2252" s="78" t="e">
        <f>VLOOKUP(A2252,'גיליון דאטה להכל'!A:H,5,0)</f>
        <v>#N/A</v>
      </c>
      <c r="R2252" s="78" t="e">
        <f>VLOOKUP(A2252,'לעדכן בסינתזה דאטה אריזה 42+24'!$A:$C,3,0)</f>
        <v>#N/A</v>
      </c>
    </row>
    <row r="2253" spans="17:18" x14ac:dyDescent="0.2">
      <c r="Q2253" s="78" t="e">
        <f>VLOOKUP(A2253,'גיליון דאטה להכל'!A:H,5,0)</f>
        <v>#N/A</v>
      </c>
      <c r="R2253" s="78" t="e">
        <f>VLOOKUP(A2253,'לעדכן בסינתזה דאטה אריזה 42+24'!$A:$C,3,0)</f>
        <v>#N/A</v>
      </c>
    </row>
    <row r="2254" spans="17:18" x14ac:dyDescent="0.2">
      <c r="Q2254" s="78" t="e">
        <f>VLOOKUP(A2254,'גיליון דאטה להכל'!A:H,5,0)</f>
        <v>#N/A</v>
      </c>
      <c r="R2254" s="78" t="e">
        <f>VLOOKUP(A2254,'לעדכן בסינתזה דאטה אריזה 42+24'!$A:$C,3,0)</f>
        <v>#N/A</v>
      </c>
    </row>
    <row r="2255" spans="17:18" x14ac:dyDescent="0.2">
      <c r="Q2255" s="78" t="e">
        <f>VLOOKUP(A2255,'גיליון דאטה להכל'!A:H,5,0)</f>
        <v>#N/A</v>
      </c>
      <c r="R2255" s="78" t="e">
        <f>VLOOKUP(A2255,'לעדכן בסינתזה דאטה אריזה 42+24'!$A:$C,3,0)</f>
        <v>#N/A</v>
      </c>
    </row>
    <row r="2256" spans="17:18" x14ac:dyDescent="0.2">
      <c r="Q2256" s="78" t="e">
        <f>VLOOKUP(A2256,'גיליון דאטה להכל'!A:H,5,0)</f>
        <v>#N/A</v>
      </c>
      <c r="R2256" s="78" t="e">
        <f>VLOOKUP(A2256,'לעדכן בסינתזה דאטה אריזה 42+24'!$A:$C,3,0)</f>
        <v>#N/A</v>
      </c>
    </row>
    <row r="2257" spans="17:18" x14ac:dyDescent="0.2">
      <c r="Q2257" s="78" t="e">
        <f>VLOOKUP(A2257,'גיליון דאטה להכל'!A:H,5,0)</f>
        <v>#N/A</v>
      </c>
      <c r="R2257" s="78" t="e">
        <f>VLOOKUP(A2257,'לעדכן בסינתזה דאטה אריזה 42+24'!$A:$C,3,0)</f>
        <v>#N/A</v>
      </c>
    </row>
    <row r="2258" spans="17:18" x14ac:dyDescent="0.2">
      <c r="Q2258" s="78" t="e">
        <f>VLOOKUP(A2258,'גיליון דאטה להכל'!A:H,5,0)</f>
        <v>#N/A</v>
      </c>
      <c r="R2258" s="78" t="e">
        <f>VLOOKUP(A2258,'לעדכן בסינתזה דאטה אריזה 42+24'!$A:$C,3,0)</f>
        <v>#N/A</v>
      </c>
    </row>
    <row r="2259" spans="17:18" x14ac:dyDescent="0.2">
      <c r="Q2259" s="78" t="e">
        <f>VLOOKUP(A2259,'גיליון דאטה להכל'!A:H,5,0)</f>
        <v>#N/A</v>
      </c>
      <c r="R2259" s="78" t="e">
        <f>VLOOKUP(A2259,'לעדכן בסינתזה דאטה אריזה 42+24'!$A:$C,3,0)</f>
        <v>#N/A</v>
      </c>
    </row>
    <row r="2260" spans="17:18" x14ac:dyDescent="0.2">
      <c r="Q2260" s="78" t="e">
        <f>VLOOKUP(A2260,'גיליון דאטה להכל'!A:H,5,0)</f>
        <v>#N/A</v>
      </c>
      <c r="R2260" s="78" t="e">
        <f>VLOOKUP(A2260,'לעדכן בסינתזה דאטה אריזה 42+24'!$A:$C,3,0)</f>
        <v>#N/A</v>
      </c>
    </row>
    <row r="2261" spans="17:18" x14ac:dyDescent="0.2">
      <c r="Q2261" s="78" t="e">
        <f>VLOOKUP(A2261,'גיליון דאטה להכל'!A:H,5,0)</f>
        <v>#N/A</v>
      </c>
      <c r="R2261" s="78" t="e">
        <f>VLOOKUP(A2261,'לעדכן בסינתזה דאטה אריזה 42+24'!$A:$C,3,0)</f>
        <v>#N/A</v>
      </c>
    </row>
    <row r="2262" spans="17:18" x14ac:dyDescent="0.2">
      <c r="Q2262" s="78" t="e">
        <f>VLOOKUP(A2262,'גיליון דאטה להכל'!A:H,5,0)</f>
        <v>#N/A</v>
      </c>
      <c r="R2262" s="78" t="e">
        <f>VLOOKUP(A2262,'לעדכן בסינתזה דאטה אריזה 42+24'!$A:$C,3,0)</f>
        <v>#N/A</v>
      </c>
    </row>
    <row r="2263" spans="17:18" x14ac:dyDescent="0.2">
      <c r="Q2263" s="78" t="e">
        <f>VLOOKUP(A2263,'גיליון דאטה להכל'!A:H,5,0)</f>
        <v>#N/A</v>
      </c>
      <c r="R2263" s="78" t="e">
        <f>VLOOKUP(A2263,'לעדכן בסינתזה דאטה אריזה 42+24'!$A:$C,3,0)</f>
        <v>#N/A</v>
      </c>
    </row>
    <row r="2264" spans="17:18" x14ac:dyDescent="0.2">
      <c r="Q2264" s="78" t="e">
        <f>VLOOKUP(A2264,'גיליון דאטה להכל'!A:H,5,0)</f>
        <v>#N/A</v>
      </c>
      <c r="R2264" s="78" t="e">
        <f>VLOOKUP(A2264,'לעדכן בסינתזה דאטה אריזה 42+24'!$A:$C,3,0)</f>
        <v>#N/A</v>
      </c>
    </row>
    <row r="2265" spans="17:18" x14ac:dyDescent="0.2">
      <c r="Q2265" s="78" t="e">
        <f>VLOOKUP(A2265,'גיליון דאטה להכל'!A:H,5,0)</f>
        <v>#N/A</v>
      </c>
      <c r="R2265" s="78" t="e">
        <f>VLOOKUP(A2265,'לעדכן בסינתזה דאטה אריזה 42+24'!$A:$C,3,0)</f>
        <v>#N/A</v>
      </c>
    </row>
    <row r="2266" spans="17:18" x14ac:dyDescent="0.2">
      <c r="Q2266" s="78" t="e">
        <f>VLOOKUP(A2266,'גיליון דאטה להכל'!A:H,5,0)</f>
        <v>#N/A</v>
      </c>
      <c r="R2266" s="78" t="e">
        <f>VLOOKUP(A2266,'לעדכן בסינתזה דאטה אריזה 42+24'!$A:$C,3,0)</f>
        <v>#N/A</v>
      </c>
    </row>
    <row r="2267" spans="17:18" x14ac:dyDescent="0.2">
      <c r="Q2267" s="78" t="e">
        <f>VLOOKUP(A2267,'גיליון דאטה להכל'!A:H,5,0)</f>
        <v>#N/A</v>
      </c>
      <c r="R2267" s="78" t="e">
        <f>VLOOKUP(A2267,'לעדכן בסינתזה דאטה אריזה 42+24'!$A:$C,3,0)</f>
        <v>#N/A</v>
      </c>
    </row>
    <row r="2268" spans="17:18" x14ac:dyDescent="0.2">
      <c r="Q2268" s="78" t="e">
        <f>VLOOKUP(A2268,'גיליון דאטה להכל'!A:H,5,0)</f>
        <v>#N/A</v>
      </c>
      <c r="R2268" s="78" t="e">
        <f>VLOOKUP(A2268,'לעדכן בסינתזה דאטה אריזה 42+24'!$A:$C,3,0)</f>
        <v>#N/A</v>
      </c>
    </row>
    <row r="2269" spans="17:18" x14ac:dyDescent="0.2">
      <c r="Q2269" s="78" t="e">
        <f>VLOOKUP(A2269,'גיליון דאטה להכל'!A:H,5,0)</f>
        <v>#N/A</v>
      </c>
      <c r="R2269" s="78" t="e">
        <f>VLOOKUP(A2269,'לעדכן בסינתזה דאטה אריזה 42+24'!$A:$C,3,0)</f>
        <v>#N/A</v>
      </c>
    </row>
    <row r="2270" spans="17:18" x14ac:dyDescent="0.2">
      <c r="Q2270" s="78" t="e">
        <f>VLOOKUP(A2270,'גיליון דאטה להכל'!A:H,5,0)</f>
        <v>#N/A</v>
      </c>
      <c r="R2270" s="78" t="e">
        <f>VLOOKUP(A2270,'לעדכן בסינתזה דאטה אריזה 42+24'!$A:$C,3,0)</f>
        <v>#N/A</v>
      </c>
    </row>
    <row r="2271" spans="17:18" x14ac:dyDescent="0.2">
      <c r="Q2271" s="78" t="e">
        <f>VLOOKUP(A2271,'גיליון דאטה להכל'!A:H,5,0)</f>
        <v>#N/A</v>
      </c>
      <c r="R2271" s="78" t="e">
        <f>VLOOKUP(A2271,'לעדכן בסינתזה דאטה אריזה 42+24'!$A:$C,3,0)</f>
        <v>#N/A</v>
      </c>
    </row>
    <row r="2272" spans="17:18" x14ac:dyDescent="0.2">
      <c r="Q2272" s="78" t="e">
        <f>VLOOKUP(A2272,'גיליון דאטה להכל'!A:H,5,0)</f>
        <v>#N/A</v>
      </c>
      <c r="R2272" s="78" t="e">
        <f>VLOOKUP(A2272,'לעדכן בסינתזה דאטה אריזה 42+24'!$A:$C,3,0)</f>
        <v>#N/A</v>
      </c>
    </row>
    <row r="2273" spans="17:18" x14ac:dyDescent="0.2">
      <c r="Q2273" s="78" t="e">
        <f>VLOOKUP(A2273,'גיליון דאטה להכל'!A:H,5,0)</f>
        <v>#N/A</v>
      </c>
      <c r="R2273" s="78" t="e">
        <f>VLOOKUP(A2273,'לעדכן בסינתזה דאטה אריזה 42+24'!$A:$C,3,0)</f>
        <v>#N/A</v>
      </c>
    </row>
    <row r="2274" spans="17:18" x14ac:dyDescent="0.2">
      <c r="Q2274" s="78" t="e">
        <f>VLOOKUP(A2274,'גיליון דאטה להכל'!A:H,5,0)</f>
        <v>#N/A</v>
      </c>
      <c r="R2274" s="78" t="e">
        <f>VLOOKUP(A2274,'לעדכן בסינתזה דאטה אריזה 42+24'!$A:$C,3,0)</f>
        <v>#N/A</v>
      </c>
    </row>
    <row r="2275" spans="17:18" x14ac:dyDescent="0.2">
      <c r="Q2275" s="78" t="e">
        <f>VLOOKUP(A2275,'גיליון דאטה להכל'!A:H,5,0)</f>
        <v>#N/A</v>
      </c>
      <c r="R2275" s="78" t="e">
        <f>VLOOKUP(A2275,'לעדכן בסינתזה דאטה אריזה 42+24'!$A:$C,3,0)</f>
        <v>#N/A</v>
      </c>
    </row>
    <row r="2276" spans="17:18" x14ac:dyDescent="0.2">
      <c r="Q2276" s="78" t="e">
        <f>VLOOKUP(A2276,'גיליון דאטה להכל'!A:H,5,0)</f>
        <v>#N/A</v>
      </c>
      <c r="R2276" s="78" t="e">
        <f>VLOOKUP(A2276,'לעדכן בסינתזה דאטה אריזה 42+24'!$A:$C,3,0)</f>
        <v>#N/A</v>
      </c>
    </row>
    <row r="2277" spans="17:18" x14ac:dyDescent="0.2">
      <c r="Q2277" s="78" t="e">
        <f>VLOOKUP(A2277,'גיליון דאטה להכל'!A:H,5,0)</f>
        <v>#N/A</v>
      </c>
      <c r="R2277" s="78" t="e">
        <f>VLOOKUP(A2277,'לעדכן בסינתזה דאטה אריזה 42+24'!$A:$C,3,0)</f>
        <v>#N/A</v>
      </c>
    </row>
    <row r="2278" spans="17:18" x14ac:dyDescent="0.2">
      <c r="Q2278" s="78" t="e">
        <f>VLOOKUP(A2278,'גיליון דאטה להכל'!A:H,5,0)</f>
        <v>#N/A</v>
      </c>
      <c r="R2278" s="78" t="e">
        <f>VLOOKUP(A2278,'לעדכן בסינתזה דאטה אריזה 42+24'!$A:$C,3,0)</f>
        <v>#N/A</v>
      </c>
    </row>
    <row r="2279" spans="17:18" x14ac:dyDescent="0.2">
      <c r="Q2279" s="78" t="e">
        <f>VLOOKUP(A2279,'גיליון דאטה להכל'!A:H,5,0)</f>
        <v>#N/A</v>
      </c>
      <c r="R2279" s="78" t="e">
        <f>VLOOKUP(A2279,'לעדכן בסינתזה דאטה אריזה 42+24'!$A:$C,3,0)</f>
        <v>#N/A</v>
      </c>
    </row>
    <row r="2280" spans="17:18" x14ac:dyDescent="0.2">
      <c r="Q2280" s="78" t="e">
        <f>VLOOKUP(A2280,'גיליון דאטה להכל'!A:H,5,0)</f>
        <v>#N/A</v>
      </c>
      <c r="R2280" s="78" t="e">
        <f>VLOOKUP(A2280,'לעדכן בסינתזה דאטה אריזה 42+24'!$A:$C,3,0)</f>
        <v>#N/A</v>
      </c>
    </row>
    <row r="2281" spans="17:18" x14ac:dyDescent="0.2">
      <c r="Q2281" s="78" t="e">
        <f>VLOOKUP(A2281,'גיליון דאטה להכל'!A:H,5,0)</f>
        <v>#N/A</v>
      </c>
      <c r="R2281" s="78" t="e">
        <f>VLOOKUP(A2281,'לעדכן בסינתזה דאטה אריזה 42+24'!$A:$C,3,0)</f>
        <v>#N/A</v>
      </c>
    </row>
    <row r="2282" spans="17:18" x14ac:dyDescent="0.2">
      <c r="Q2282" s="78" t="e">
        <f>VLOOKUP(A2282,'גיליון דאטה להכל'!A:H,5,0)</f>
        <v>#N/A</v>
      </c>
      <c r="R2282" s="78" t="e">
        <f>VLOOKUP(A2282,'לעדכן בסינתזה דאטה אריזה 42+24'!$A:$C,3,0)</f>
        <v>#N/A</v>
      </c>
    </row>
    <row r="2283" spans="17:18" x14ac:dyDescent="0.2">
      <c r="Q2283" s="78" t="e">
        <f>VLOOKUP(A2283,'גיליון דאטה להכל'!A:H,5,0)</f>
        <v>#N/A</v>
      </c>
      <c r="R2283" s="78" t="e">
        <f>VLOOKUP(A2283,'לעדכן בסינתזה דאטה אריזה 42+24'!$A:$C,3,0)</f>
        <v>#N/A</v>
      </c>
    </row>
    <row r="2284" spans="17:18" x14ac:dyDescent="0.2">
      <c r="Q2284" s="78" t="e">
        <f>VLOOKUP(A2284,'גיליון דאטה להכל'!A:H,5,0)</f>
        <v>#N/A</v>
      </c>
      <c r="R2284" s="78" t="e">
        <f>VLOOKUP(A2284,'לעדכן בסינתזה דאטה אריזה 42+24'!$A:$C,3,0)</f>
        <v>#N/A</v>
      </c>
    </row>
    <row r="2285" spans="17:18" x14ac:dyDescent="0.2">
      <c r="Q2285" s="78" t="e">
        <f>VLOOKUP(A2285,'גיליון דאטה להכל'!A:H,5,0)</f>
        <v>#N/A</v>
      </c>
      <c r="R2285" s="78" t="e">
        <f>VLOOKUP(A2285,'לעדכן בסינתזה דאטה אריזה 42+24'!$A:$C,3,0)</f>
        <v>#N/A</v>
      </c>
    </row>
    <row r="2286" spans="17:18" x14ac:dyDescent="0.2">
      <c r="Q2286" s="78" t="e">
        <f>VLOOKUP(A2286,'גיליון דאטה להכל'!A:H,5,0)</f>
        <v>#N/A</v>
      </c>
      <c r="R2286" s="78" t="e">
        <f>VLOOKUP(A2286,'לעדכן בסינתזה דאטה אריזה 42+24'!$A:$C,3,0)</f>
        <v>#N/A</v>
      </c>
    </row>
    <row r="2287" spans="17:18" x14ac:dyDescent="0.2">
      <c r="Q2287" s="78" t="e">
        <f>VLOOKUP(A2287,'גיליון דאטה להכל'!A:H,5,0)</f>
        <v>#N/A</v>
      </c>
      <c r="R2287" s="78" t="e">
        <f>VLOOKUP(A2287,'לעדכן בסינתזה דאטה אריזה 42+24'!$A:$C,3,0)</f>
        <v>#N/A</v>
      </c>
    </row>
    <row r="2288" spans="17:18" x14ac:dyDescent="0.2">
      <c r="Q2288" s="78" t="e">
        <f>VLOOKUP(A2288,'גיליון דאטה להכל'!A:H,5,0)</f>
        <v>#N/A</v>
      </c>
      <c r="R2288" s="78" t="e">
        <f>VLOOKUP(A2288,'לעדכן בסינתזה דאטה אריזה 42+24'!$A:$C,3,0)</f>
        <v>#N/A</v>
      </c>
    </row>
    <row r="2289" spans="17:18" x14ac:dyDescent="0.2">
      <c r="Q2289" s="78" t="e">
        <f>VLOOKUP(A2289,'גיליון דאטה להכל'!A:H,5,0)</f>
        <v>#N/A</v>
      </c>
      <c r="R2289" s="78" t="e">
        <f>VLOOKUP(A2289,'לעדכן בסינתזה דאטה אריזה 42+24'!$A:$C,3,0)</f>
        <v>#N/A</v>
      </c>
    </row>
    <row r="2290" spans="17:18" x14ac:dyDescent="0.2">
      <c r="Q2290" s="78" t="e">
        <f>VLOOKUP(A2290,'גיליון דאטה להכל'!A:H,5,0)</f>
        <v>#N/A</v>
      </c>
      <c r="R2290" s="78" t="e">
        <f>VLOOKUP(A2290,'לעדכן בסינתזה דאטה אריזה 42+24'!$A:$C,3,0)</f>
        <v>#N/A</v>
      </c>
    </row>
    <row r="2291" spans="17:18" x14ac:dyDescent="0.2">
      <c r="Q2291" s="78" t="e">
        <f>VLOOKUP(A2291,'גיליון דאטה להכל'!A:H,5,0)</f>
        <v>#N/A</v>
      </c>
      <c r="R2291" s="78" t="e">
        <f>VLOOKUP(A2291,'לעדכן בסינתזה דאטה אריזה 42+24'!$A:$C,3,0)</f>
        <v>#N/A</v>
      </c>
    </row>
    <row r="2292" spans="17:18" x14ac:dyDescent="0.2">
      <c r="Q2292" s="78" t="e">
        <f>VLOOKUP(A2292,'גיליון דאטה להכל'!A:H,5,0)</f>
        <v>#N/A</v>
      </c>
      <c r="R2292" s="78" t="e">
        <f>VLOOKUP(A2292,'לעדכן בסינתזה דאטה אריזה 42+24'!$A:$C,3,0)</f>
        <v>#N/A</v>
      </c>
    </row>
    <row r="2293" spans="17:18" x14ac:dyDescent="0.2">
      <c r="Q2293" s="78" t="e">
        <f>VLOOKUP(A2293,'גיליון דאטה להכל'!A:H,5,0)</f>
        <v>#N/A</v>
      </c>
      <c r="R2293" s="78" t="e">
        <f>VLOOKUP(A2293,'לעדכן בסינתזה דאטה אריזה 42+24'!$A:$C,3,0)</f>
        <v>#N/A</v>
      </c>
    </row>
    <row r="2294" spans="17:18" x14ac:dyDescent="0.2">
      <c r="Q2294" s="78" t="e">
        <f>VLOOKUP(A2294,'גיליון דאטה להכל'!A:H,5,0)</f>
        <v>#N/A</v>
      </c>
      <c r="R2294" s="78" t="e">
        <f>VLOOKUP(A2294,'לעדכן בסינתזה דאטה אריזה 42+24'!$A:$C,3,0)</f>
        <v>#N/A</v>
      </c>
    </row>
    <row r="2295" spans="17:18" x14ac:dyDescent="0.2">
      <c r="Q2295" s="78" t="e">
        <f>VLOOKUP(A2295,'גיליון דאטה להכל'!A:H,5,0)</f>
        <v>#N/A</v>
      </c>
      <c r="R2295" s="78" t="e">
        <f>VLOOKUP(A2295,'לעדכן בסינתזה דאטה אריזה 42+24'!$A:$C,3,0)</f>
        <v>#N/A</v>
      </c>
    </row>
    <row r="2296" spans="17:18" x14ac:dyDescent="0.2">
      <c r="Q2296" s="78" t="e">
        <f>VLOOKUP(A2296,'גיליון דאטה להכל'!A:H,5,0)</f>
        <v>#N/A</v>
      </c>
      <c r="R2296" s="78" t="e">
        <f>VLOOKUP(A2296,'לעדכן בסינתזה דאטה אריזה 42+24'!$A:$C,3,0)</f>
        <v>#N/A</v>
      </c>
    </row>
    <row r="2297" spans="17:18" x14ac:dyDescent="0.2">
      <c r="Q2297" s="78" t="e">
        <f>VLOOKUP(A2297,'גיליון דאטה להכל'!A:H,5,0)</f>
        <v>#N/A</v>
      </c>
      <c r="R2297" s="78" t="e">
        <f>VLOOKUP(A2297,'לעדכן בסינתזה דאטה אריזה 42+24'!$A:$C,3,0)</f>
        <v>#N/A</v>
      </c>
    </row>
    <row r="2298" spans="17:18" x14ac:dyDescent="0.2">
      <c r="Q2298" s="78" t="e">
        <f>VLOOKUP(A2298,'גיליון דאטה להכל'!A:H,5,0)</f>
        <v>#N/A</v>
      </c>
      <c r="R2298" s="78" t="e">
        <f>VLOOKUP(A2298,'לעדכן בסינתזה דאטה אריזה 42+24'!$A:$C,3,0)</f>
        <v>#N/A</v>
      </c>
    </row>
    <row r="2299" spans="17:18" x14ac:dyDescent="0.2">
      <c r="Q2299" s="78" t="e">
        <f>VLOOKUP(A2299,'גיליון דאטה להכל'!A:H,5,0)</f>
        <v>#N/A</v>
      </c>
      <c r="R2299" s="78" t="e">
        <f>VLOOKUP(A2299,'לעדכן בסינתזה דאטה אריזה 42+24'!$A:$C,3,0)</f>
        <v>#N/A</v>
      </c>
    </row>
    <row r="2300" spans="17:18" x14ac:dyDescent="0.2">
      <c r="Q2300" s="78" t="e">
        <f>VLOOKUP(A2300,'גיליון דאטה להכל'!A:H,5,0)</f>
        <v>#N/A</v>
      </c>
      <c r="R2300" s="78" t="e">
        <f>VLOOKUP(A2300,'לעדכן בסינתזה דאטה אריזה 42+24'!$A:$C,3,0)</f>
        <v>#N/A</v>
      </c>
    </row>
    <row r="2301" spans="17:18" x14ac:dyDescent="0.2">
      <c r="Q2301" s="78" t="e">
        <f>VLOOKUP(A2301,'גיליון דאטה להכל'!A:H,5,0)</f>
        <v>#N/A</v>
      </c>
      <c r="R2301" s="78" t="e">
        <f>VLOOKUP(A2301,'לעדכן בסינתזה דאטה אריזה 42+24'!$A:$C,3,0)</f>
        <v>#N/A</v>
      </c>
    </row>
    <row r="2302" spans="17:18" x14ac:dyDescent="0.2">
      <c r="Q2302" s="78" t="e">
        <f>VLOOKUP(A2302,'גיליון דאטה להכל'!A:H,5,0)</f>
        <v>#N/A</v>
      </c>
      <c r="R2302" s="78" t="e">
        <f>VLOOKUP(A2302,'לעדכן בסינתזה דאטה אריזה 42+24'!$A:$C,3,0)</f>
        <v>#N/A</v>
      </c>
    </row>
    <row r="2303" spans="17:18" x14ac:dyDescent="0.2">
      <c r="Q2303" s="78" t="e">
        <f>VLOOKUP(A2303,'גיליון דאטה להכל'!A:H,5,0)</f>
        <v>#N/A</v>
      </c>
      <c r="R2303" s="78" t="e">
        <f>VLOOKUP(A2303,'לעדכן בסינתזה דאטה אריזה 42+24'!$A:$C,3,0)</f>
        <v>#N/A</v>
      </c>
    </row>
    <row r="2304" spans="17:18" x14ac:dyDescent="0.2">
      <c r="Q2304" s="78" t="e">
        <f>VLOOKUP(A2304,'גיליון דאטה להכל'!A:H,5,0)</f>
        <v>#N/A</v>
      </c>
      <c r="R2304" s="78" t="e">
        <f>VLOOKUP(A2304,'לעדכן בסינתזה דאטה אריזה 42+24'!$A:$C,3,0)</f>
        <v>#N/A</v>
      </c>
    </row>
    <row r="2305" spans="17:18" x14ac:dyDescent="0.2">
      <c r="Q2305" s="78" t="e">
        <f>VLOOKUP(A2305,'גיליון דאטה להכל'!A:H,5,0)</f>
        <v>#N/A</v>
      </c>
      <c r="R2305" s="78" t="e">
        <f>VLOOKUP(A2305,'לעדכן בסינתזה דאטה אריזה 42+24'!$A:$C,3,0)</f>
        <v>#N/A</v>
      </c>
    </row>
    <row r="2306" spans="17:18" x14ac:dyDescent="0.2">
      <c r="Q2306" s="78" t="e">
        <f>VLOOKUP(A2306,'גיליון דאטה להכל'!A:H,5,0)</f>
        <v>#N/A</v>
      </c>
      <c r="R2306" s="78" t="e">
        <f>VLOOKUP(A2306,'לעדכן בסינתזה דאטה אריזה 42+24'!$A:$C,3,0)</f>
        <v>#N/A</v>
      </c>
    </row>
    <row r="2307" spans="17:18" x14ac:dyDescent="0.2">
      <c r="Q2307" s="78" t="e">
        <f>VLOOKUP(A2307,'גיליון דאטה להכל'!A:H,5,0)</f>
        <v>#N/A</v>
      </c>
      <c r="R2307" s="78" t="e">
        <f>VLOOKUP(A2307,'לעדכן בסינתזה דאטה אריזה 42+24'!$A:$C,3,0)</f>
        <v>#N/A</v>
      </c>
    </row>
    <row r="2308" spans="17:18" x14ac:dyDescent="0.2">
      <c r="Q2308" s="78" t="e">
        <f>VLOOKUP(A2308,'גיליון דאטה להכל'!A:H,5,0)</f>
        <v>#N/A</v>
      </c>
      <c r="R2308" s="78" t="e">
        <f>VLOOKUP(A2308,'לעדכן בסינתזה דאטה אריזה 42+24'!$A:$C,3,0)</f>
        <v>#N/A</v>
      </c>
    </row>
    <row r="2309" spans="17:18" x14ac:dyDescent="0.2">
      <c r="Q2309" s="78" t="e">
        <f>VLOOKUP(A2309,'גיליון דאטה להכל'!A:H,5,0)</f>
        <v>#N/A</v>
      </c>
      <c r="R2309" s="78" t="e">
        <f>VLOOKUP(A2309,'לעדכן בסינתזה דאטה אריזה 42+24'!$A:$C,3,0)</f>
        <v>#N/A</v>
      </c>
    </row>
    <row r="2310" spans="17:18" x14ac:dyDescent="0.2">
      <c r="Q2310" s="78" t="e">
        <f>VLOOKUP(A2310,'גיליון דאטה להכל'!A:H,5,0)</f>
        <v>#N/A</v>
      </c>
      <c r="R2310" s="78" t="e">
        <f>VLOOKUP(A2310,'לעדכן בסינתזה דאטה אריזה 42+24'!$A:$C,3,0)</f>
        <v>#N/A</v>
      </c>
    </row>
    <row r="2311" spans="17:18" x14ac:dyDescent="0.2">
      <c r="Q2311" s="78" t="e">
        <f>VLOOKUP(A2311,'גיליון דאטה להכל'!A:H,5,0)</f>
        <v>#N/A</v>
      </c>
      <c r="R2311" s="78" t="e">
        <f>VLOOKUP(A2311,'לעדכן בסינתזה דאטה אריזה 42+24'!$A:$C,3,0)</f>
        <v>#N/A</v>
      </c>
    </row>
    <row r="2312" spans="17:18" x14ac:dyDescent="0.2">
      <c r="Q2312" s="78" t="e">
        <f>VLOOKUP(A2312,'גיליון דאטה להכל'!A:H,5,0)</f>
        <v>#N/A</v>
      </c>
      <c r="R2312" s="78" t="e">
        <f>VLOOKUP(A2312,'לעדכן בסינתזה דאטה אריזה 42+24'!$A:$C,3,0)</f>
        <v>#N/A</v>
      </c>
    </row>
    <row r="2313" spans="17:18" x14ac:dyDescent="0.2">
      <c r="Q2313" s="78" t="e">
        <f>VLOOKUP(A2313,'גיליון דאטה להכל'!A:H,5,0)</f>
        <v>#N/A</v>
      </c>
      <c r="R2313" s="78" t="e">
        <f>VLOOKUP(A2313,'לעדכן בסינתזה דאטה אריזה 42+24'!$A:$C,3,0)</f>
        <v>#N/A</v>
      </c>
    </row>
    <row r="2314" spans="17:18" x14ac:dyDescent="0.2">
      <c r="Q2314" s="78" t="e">
        <f>VLOOKUP(A2314,'גיליון דאטה להכל'!A:H,5,0)</f>
        <v>#N/A</v>
      </c>
      <c r="R2314" s="78" t="e">
        <f>VLOOKUP(A2314,'לעדכן בסינתזה דאטה אריזה 42+24'!$A:$C,3,0)</f>
        <v>#N/A</v>
      </c>
    </row>
    <row r="2315" spans="17:18" x14ac:dyDescent="0.2">
      <c r="Q2315" s="78" t="e">
        <f>VLOOKUP(A2315,'גיליון דאטה להכל'!A:H,5,0)</f>
        <v>#N/A</v>
      </c>
      <c r="R2315" s="78" t="e">
        <f>VLOOKUP(A2315,'לעדכן בסינתזה דאטה אריזה 42+24'!$A:$C,3,0)</f>
        <v>#N/A</v>
      </c>
    </row>
    <row r="2316" spans="17:18" x14ac:dyDescent="0.2">
      <c r="Q2316" s="78" t="e">
        <f>VLOOKUP(A2316,'גיליון דאטה להכל'!A:H,5,0)</f>
        <v>#N/A</v>
      </c>
      <c r="R2316" s="78" t="e">
        <f>VLOOKUP(A2316,'לעדכן בסינתזה דאטה אריזה 42+24'!$A:$C,3,0)</f>
        <v>#N/A</v>
      </c>
    </row>
    <row r="2317" spans="17:18" x14ac:dyDescent="0.2">
      <c r="Q2317" s="78" t="e">
        <f>VLOOKUP(A2317,'גיליון דאטה להכל'!A:H,5,0)</f>
        <v>#N/A</v>
      </c>
      <c r="R2317" s="78" t="e">
        <f>VLOOKUP(A2317,'לעדכן בסינתזה דאטה אריזה 42+24'!$A:$C,3,0)</f>
        <v>#N/A</v>
      </c>
    </row>
    <row r="2318" spans="17:18" x14ac:dyDescent="0.2">
      <c r="Q2318" s="78" t="e">
        <f>VLOOKUP(A2318,'גיליון דאטה להכל'!A:H,5,0)</f>
        <v>#N/A</v>
      </c>
      <c r="R2318" s="78" t="e">
        <f>VLOOKUP(A2318,'לעדכן בסינתזה דאטה אריזה 42+24'!$A:$C,3,0)</f>
        <v>#N/A</v>
      </c>
    </row>
    <row r="2319" spans="17:18" x14ac:dyDescent="0.2">
      <c r="Q2319" s="78" t="e">
        <f>VLOOKUP(A2319,'גיליון דאטה להכל'!A:H,5,0)</f>
        <v>#N/A</v>
      </c>
      <c r="R2319" s="78" t="e">
        <f>VLOOKUP(A2319,'לעדכן בסינתזה דאטה אריזה 42+24'!$A:$C,3,0)</f>
        <v>#N/A</v>
      </c>
    </row>
    <row r="2320" spans="17:18" x14ac:dyDescent="0.2">
      <c r="Q2320" s="78" t="e">
        <f>VLOOKUP(A2320,'גיליון דאטה להכל'!A:H,5,0)</f>
        <v>#N/A</v>
      </c>
      <c r="R2320" s="78" t="e">
        <f>VLOOKUP(A2320,'לעדכן בסינתזה דאטה אריזה 42+24'!$A:$C,3,0)</f>
        <v>#N/A</v>
      </c>
    </row>
    <row r="2321" spans="17:18" x14ac:dyDescent="0.2">
      <c r="Q2321" s="78" t="e">
        <f>VLOOKUP(A2321,'גיליון דאטה להכל'!A:H,5,0)</f>
        <v>#N/A</v>
      </c>
      <c r="R2321" s="78" t="e">
        <f>VLOOKUP(A2321,'לעדכן בסינתזה דאטה אריזה 42+24'!$A:$C,3,0)</f>
        <v>#N/A</v>
      </c>
    </row>
    <row r="2322" spans="17:18" x14ac:dyDescent="0.2">
      <c r="Q2322" s="78" t="e">
        <f>VLOOKUP(A2322,'גיליון דאטה להכל'!A:H,5,0)</f>
        <v>#N/A</v>
      </c>
      <c r="R2322" s="78" t="e">
        <f>VLOOKUP(A2322,'לעדכן בסינתזה דאטה אריזה 42+24'!$A:$C,3,0)</f>
        <v>#N/A</v>
      </c>
    </row>
    <row r="2323" spans="17:18" x14ac:dyDescent="0.2">
      <c r="Q2323" s="78" t="e">
        <f>VLOOKUP(A2323,'גיליון דאטה להכל'!A:H,5,0)</f>
        <v>#N/A</v>
      </c>
      <c r="R2323" s="78" t="e">
        <f>VLOOKUP(A2323,'לעדכן בסינתזה דאטה אריזה 42+24'!$A:$C,3,0)</f>
        <v>#N/A</v>
      </c>
    </row>
    <row r="2324" spans="17:18" x14ac:dyDescent="0.2">
      <c r="Q2324" s="78" t="e">
        <f>VLOOKUP(A2324,'גיליון דאטה להכל'!A:H,5,0)</f>
        <v>#N/A</v>
      </c>
      <c r="R2324" s="78" t="e">
        <f>VLOOKUP(A2324,'לעדכן בסינתזה דאטה אריזה 42+24'!$A:$C,3,0)</f>
        <v>#N/A</v>
      </c>
    </row>
    <row r="2325" spans="17:18" x14ac:dyDescent="0.2">
      <c r="Q2325" s="78" t="e">
        <f>VLOOKUP(A2325,'גיליון דאטה להכל'!A:H,5,0)</f>
        <v>#N/A</v>
      </c>
      <c r="R2325" s="78" t="e">
        <f>VLOOKUP(A2325,'לעדכן בסינתזה דאטה אריזה 42+24'!$A:$C,3,0)</f>
        <v>#N/A</v>
      </c>
    </row>
    <row r="2326" spans="17:18" x14ac:dyDescent="0.2">
      <c r="Q2326" s="78" t="e">
        <f>VLOOKUP(A2326,'גיליון דאטה להכל'!A:H,5,0)</f>
        <v>#N/A</v>
      </c>
      <c r="R2326" s="78" t="e">
        <f>VLOOKUP(A2326,'לעדכן בסינתזה דאטה אריזה 42+24'!$A:$C,3,0)</f>
        <v>#N/A</v>
      </c>
    </row>
    <row r="2327" spans="17:18" x14ac:dyDescent="0.2">
      <c r="Q2327" s="78" t="e">
        <f>VLOOKUP(A2327,'גיליון דאטה להכל'!A:H,5,0)</f>
        <v>#N/A</v>
      </c>
      <c r="R2327" s="78" t="e">
        <f>VLOOKUP(A2327,'לעדכן בסינתזה דאטה אריזה 42+24'!$A:$C,3,0)</f>
        <v>#N/A</v>
      </c>
    </row>
    <row r="2328" spans="17:18" x14ac:dyDescent="0.2">
      <c r="Q2328" s="78" t="e">
        <f>VLOOKUP(A2328,'גיליון דאטה להכל'!A:H,5,0)</f>
        <v>#N/A</v>
      </c>
      <c r="R2328" s="78" t="e">
        <f>VLOOKUP(A2328,'לעדכן בסינתזה דאטה אריזה 42+24'!$A:$C,3,0)</f>
        <v>#N/A</v>
      </c>
    </row>
    <row r="2329" spans="17:18" x14ac:dyDescent="0.2">
      <c r="Q2329" s="78" t="e">
        <f>VLOOKUP(A2329,'גיליון דאטה להכל'!A:H,5,0)</f>
        <v>#N/A</v>
      </c>
      <c r="R2329" s="78" t="e">
        <f>VLOOKUP(A2329,'לעדכן בסינתזה דאטה אריזה 42+24'!$A:$C,3,0)</f>
        <v>#N/A</v>
      </c>
    </row>
    <row r="2330" spans="17:18" x14ac:dyDescent="0.2">
      <c r="Q2330" s="78" t="e">
        <f>VLOOKUP(A2330,'גיליון דאטה להכל'!A:H,5,0)</f>
        <v>#N/A</v>
      </c>
      <c r="R2330" s="78" t="e">
        <f>VLOOKUP(A2330,'לעדכן בסינתזה דאטה אריזה 42+24'!$A:$C,3,0)</f>
        <v>#N/A</v>
      </c>
    </row>
    <row r="2331" spans="17:18" x14ac:dyDescent="0.2">
      <c r="Q2331" s="78" t="e">
        <f>VLOOKUP(A2331,'גיליון דאטה להכל'!A:H,5,0)</f>
        <v>#N/A</v>
      </c>
      <c r="R2331" s="78" t="e">
        <f>VLOOKUP(A2331,'לעדכן בסינתזה דאטה אריזה 42+24'!$A:$C,3,0)</f>
        <v>#N/A</v>
      </c>
    </row>
    <row r="2332" spans="17:18" x14ac:dyDescent="0.2">
      <c r="Q2332" s="78" t="e">
        <f>VLOOKUP(A2332,'גיליון דאטה להכל'!A:H,5,0)</f>
        <v>#N/A</v>
      </c>
      <c r="R2332" s="78" t="e">
        <f>VLOOKUP(A2332,'לעדכן בסינתזה דאטה אריזה 42+24'!$A:$C,3,0)</f>
        <v>#N/A</v>
      </c>
    </row>
    <row r="2333" spans="17:18" x14ac:dyDescent="0.2">
      <c r="Q2333" s="78" t="e">
        <f>VLOOKUP(A2333,'גיליון דאטה להכל'!A:H,5,0)</f>
        <v>#N/A</v>
      </c>
      <c r="R2333" s="78" t="e">
        <f>VLOOKUP(A2333,'לעדכן בסינתזה דאטה אריזה 42+24'!$A:$C,3,0)</f>
        <v>#N/A</v>
      </c>
    </row>
    <row r="2334" spans="17:18" x14ac:dyDescent="0.2">
      <c r="Q2334" s="78" t="e">
        <f>VLOOKUP(A2334,'גיליון דאטה להכל'!A:H,5,0)</f>
        <v>#N/A</v>
      </c>
      <c r="R2334" s="78" t="e">
        <f>VLOOKUP(A2334,'לעדכן בסינתזה דאטה אריזה 42+24'!$A:$C,3,0)</f>
        <v>#N/A</v>
      </c>
    </row>
    <row r="2335" spans="17:18" x14ac:dyDescent="0.2">
      <c r="Q2335" s="78" t="e">
        <f>VLOOKUP(A2335,'גיליון דאטה להכל'!A:H,5,0)</f>
        <v>#N/A</v>
      </c>
      <c r="R2335" s="78" t="e">
        <f>VLOOKUP(A2335,'לעדכן בסינתזה דאטה אריזה 42+24'!$A:$C,3,0)</f>
        <v>#N/A</v>
      </c>
    </row>
    <row r="2336" spans="17:18" x14ac:dyDescent="0.2">
      <c r="Q2336" s="78" t="e">
        <f>VLOOKUP(A2336,'גיליון דאטה להכל'!A:H,5,0)</f>
        <v>#N/A</v>
      </c>
      <c r="R2336" s="78" t="e">
        <f>VLOOKUP(A2336,'לעדכן בסינתזה דאטה אריזה 42+24'!$A:$C,3,0)</f>
        <v>#N/A</v>
      </c>
    </row>
    <row r="2337" spans="17:18" x14ac:dyDescent="0.2">
      <c r="Q2337" s="78" t="e">
        <f>VLOOKUP(A2337,'גיליון דאטה להכל'!A:H,5,0)</f>
        <v>#N/A</v>
      </c>
      <c r="R2337" s="78" t="e">
        <f>VLOOKUP(A2337,'לעדכן בסינתזה דאטה אריזה 42+24'!$A:$C,3,0)</f>
        <v>#N/A</v>
      </c>
    </row>
    <row r="2338" spans="17:18" x14ac:dyDescent="0.2">
      <c r="Q2338" s="78" t="e">
        <f>VLOOKUP(A2338,'גיליון דאטה להכל'!A:H,5,0)</f>
        <v>#N/A</v>
      </c>
      <c r="R2338" s="78" t="e">
        <f>VLOOKUP(A2338,'לעדכן בסינתזה דאטה אריזה 42+24'!$A:$C,3,0)</f>
        <v>#N/A</v>
      </c>
    </row>
    <row r="2339" spans="17:18" x14ac:dyDescent="0.2">
      <c r="Q2339" s="78" t="e">
        <f>VLOOKUP(A2339,'גיליון דאטה להכל'!A:H,5,0)</f>
        <v>#N/A</v>
      </c>
      <c r="R2339" s="78" t="e">
        <f>VLOOKUP(A2339,'לעדכן בסינתזה דאטה אריזה 42+24'!$A:$C,3,0)</f>
        <v>#N/A</v>
      </c>
    </row>
    <row r="2340" spans="17:18" x14ac:dyDescent="0.2">
      <c r="Q2340" s="78" t="e">
        <f>VLOOKUP(A2340,'גיליון דאטה להכל'!A:H,5,0)</f>
        <v>#N/A</v>
      </c>
      <c r="R2340" s="78" t="e">
        <f>VLOOKUP(A2340,'לעדכן בסינתזה דאטה אריזה 42+24'!$A:$C,3,0)</f>
        <v>#N/A</v>
      </c>
    </row>
    <row r="2341" spans="17:18" x14ac:dyDescent="0.2">
      <c r="Q2341" s="78" t="e">
        <f>VLOOKUP(A2341,'גיליון דאטה להכל'!A:H,5,0)</f>
        <v>#N/A</v>
      </c>
      <c r="R2341" s="78" t="e">
        <f>VLOOKUP(A2341,'לעדכן בסינתזה דאטה אריזה 42+24'!$A:$C,3,0)</f>
        <v>#N/A</v>
      </c>
    </row>
    <row r="2342" spans="17:18" x14ac:dyDescent="0.2">
      <c r="Q2342" s="78" t="e">
        <f>VLOOKUP(A2342,'גיליון דאטה להכל'!A:H,5,0)</f>
        <v>#N/A</v>
      </c>
      <c r="R2342" s="78" t="e">
        <f>VLOOKUP(A2342,'לעדכן בסינתזה דאטה אריזה 42+24'!$A:$C,3,0)</f>
        <v>#N/A</v>
      </c>
    </row>
    <row r="2343" spans="17:18" x14ac:dyDescent="0.2">
      <c r="Q2343" s="78" t="e">
        <f>VLOOKUP(A2343,'גיליון דאטה להכל'!A:H,5,0)</f>
        <v>#N/A</v>
      </c>
      <c r="R2343" s="78" t="e">
        <f>VLOOKUP(A2343,'לעדכן בסינתזה דאטה אריזה 42+24'!$A:$C,3,0)</f>
        <v>#N/A</v>
      </c>
    </row>
    <row r="2344" spans="17:18" x14ac:dyDescent="0.2">
      <c r="Q2344" s="78" t="e">
        <f>VLOOKUP(A2344,'גיליון דאטה להכל'!A:H,5,0)</f>
        <v>#N/A</v>
      </c>
      <c r="R2344" s="78" t="e">
        <f>VLOOKUP(A2344,'לעדכן בסינתזה דאטה אריזה 42+24'!$A:$C,3,0)</f>
        <v>#N/A</v>
      </c>
    </row>
    <row r="2345" spans="17:18" x14ac:dyDescent="0.2">
      <c r="Q2345" s="78" t="e">
        <f>VLOOKUP(A2345,'גיליון דאטה להכל'!A:H,5,0)</f>
        <v>#N/A</v>
      </c>
      <c r="R2345" s="78" t="e">
        <f>VLOOKUP(A2345,'לעדכן בסינתזה דאטה אריזה 42+24'!$A:$C,3,0)</f>
        <v>#N/A</v>
      </c>
    </row>
    <row r="2346" spans="17:18" x14ac:dyDescent="0.2">
      <c r="Q2346" s="78" t="e">
        <f>VLOOKUP(A2346,'גיליון דאטה להכל'!A:H,5,0)</f>
        <v>#N/A</v>
      </c>
      <c r="R2346" s="78" t="e">
        <f>VLOOKUP(A2346,'לעדכן בסינתזה דאטה אריזה 42+24'!$A:$C,3,0)</f>
        <v>#N/A</v>
      </c>
    </row>
    <row r="2347" spans="17:18" x14ac:dyDescent="0.2">
      <c r="Q2347" s="78" t="e">
        <f>VLOOKUP(A2347,'גיליון דאטה להכל'!A:H,5,0)</f>
        <v>#N/A</v>
      </c>
      <c r="R2347" s="78" t="e">
        <f>VLOOKUP(A2347,'לעדכן בסינתזה דאטה אריזה 42+24'!$A:$C,3,0)</f>
        <v>#N/A</v>
      </c>
    </row>
    <row r="2348" spans="17:18" x14ac:dyDescent="0.2">
      <c r="Q2348" s="78" t="e">
        <f>VLOOKUP(A2348,'גיליון דאטה להכל'!A:H,5,0)</f>
        <v>#N/A</v>
      </c>
      <c r="R2348" s="78" t="e">
        <f>VLOOKUP(A2348,'לעדכן בסינתזה דאטה אריזה 42+24'!$A:$C,3,0)</f>
        <v>#N/A</v>
      </c>
    </row>
    <row r="2349" spans="17:18" x14ac:dyDescent="0.2">
      <c r="Q2349" s="78" t="e">
        <f>VLOOKUP(A2349,'גיליון דאטה להכל'!A:H,5,0)</f>
        <v>#N/A</v>
      </c>
      <c r="R2349" s="78" t="e">
        <f>VLOOKUP(A2349,'לעדכן בסינתזה דאטה אריזה 42+24'!$A:$C,3,0)</f>
        <v>#N/A</v>
      </c>
    </row>
    <row r="2350" spans="17:18" x14ac:dyDescent="0.2">
      <c r="Q2350" s="78" t="e">
        <f>VLOOKUP(A2350,'גיליון דאטה להכל'!A:H,5,0)</f>
        <v>#N/A</v>
      </c>
      <c r="R2350" s="78" t="e">
        <f>VLOOKUP(A2350,'לעדכן בסינתזה דאטה אריזה 42+24'!$A:$C,3,0)</f>
        <v>#N/A</v>
      </c>
    </row>
    <row r="2351" spans="17:18" x14ac:dyDescent="0.2">
      <c r="Q2351" s="78" t="e">
        <f>VLOOKUP(A2351,'גיליון דאטה להכל'!A:H,5,0)</f>
        <v>#N/A</v>
      </c>
      <c r="R2351" s="78" t="e">
        <f>VLOOKUP(A2351,'לעדכן בסינתזה דאטה אריזה 42+24'!$A:$C,3,0)</f>
        <v>#N/A</v>
      </c>
    </row>
    <row r="2352" spans="17:18" x14ac:dyDescent="0.2">
      <c r="Q2352" s="78" t="e">
        <f>VLOOKUP(A2352,'גיליון דאטה להכל'!A:H,5,0)</f>
        <v>#N/A</v>
      </c>
      <c r="R2352" s="78" t="e">
        <f>VLOOKUP(A2352,'לעדכן בסינתזה דאטה אריזה 42+24'!$A:$C,3,0)</f>
        <v>#N/A</v>
      </c>
    </row>
    <row r="2353" spans="17:18" x14ac:dyDescent="0.2">
      <c r="Q2353" s="78" t="e">
        <f>VLOOKUP(A2353,'גיליון דאטה להכל'!A:H,5,0)</f>
        <v>#N/A</v>
      </c>
      <c r="R2353" s="78" t="e">
        <f>VLOOKUP(A2353,'לעדכן בסינתזה דאטה אריזה 42+24'!$A:$C,3,0)</f>
        <v>#N/A</v>
      </c>
    </row>
    <row r="2354" spans="17:18" x14ac:dyDescent="0.2">
      <c r="Q2354" s="78" t="e">
        <f>VLOOKUP(A2354,'גיליון דאטה להכל'!A:H,5,0)</f>
        <v>#N/A</v>
      </c>
      <c r="R2354" s="78" t="e">
        <f>VLOOKUP(A2354,'לעדכן בסינתזה דאטה אריזה 42+24'!$A:$C,3,0)</f>
        <v>#N/A</v>
      </c>
    </row>
    <row r="2355" spans="17:18" x14ac:dyDescent="0.2">
      <c r="Q2355" s="78" t="e">
        <f>VLOOKUP(A2355,'גיליון דאטה להכל'!A:H,5,0)</f>
        <v>#N/A</v>
      </c>
      <c r="R2355" s="78" t="e">
        <f>VLOOKUP(A2355,'לעדכן בסינתזה דאטה אריזה 42+24'!$A:$C,3,0)</f>
        <v>#N/A</v>
      </c>
    </row>
    <row r="2356" spans="17:18" x14ac:dyDescent="0.2">
      <c r="Q2356" s="78" t="e">
        <f>VLOOKUP(A2356,'גיליון דאטה להכל'!A:H,5,0)</f>
        <v>#N/A</v>
      </c>
      <c r="R2356" s="78" t="e">
        <f>VLOOKUP(A2356,'לעדכן בסינתזה דאטה אריזה 42+24'!$A:$C,3,0)</f>
        <v>#N/A</v>
      </c>
    </row>
    <row r="2357" spans="17:18" x14ac:dyDescent="0.2">
      <c r="Q2357" s="78" t="e">
        <f>VLOOKUP(A2357,'גיליון דאטה להכל'!A:H,5,0)</f>
        <v>#N/A</v>
      </c>
      <c r="R2357" s="78" t="e">
        <f>VLOOKUP(A2357,'לעדכן בסינתזה דאטה אריזה 42+24'!$A:$C,3,0)</f>
        <v>#N/A</v>
      </c>
    </row>
    <row r="2358" spans="17:18" x14ac:dyDescent="0.2">
      <c r="Q2358" s="78" t="e">
        <f>VLOOKUP(A2358,'גיליון דאטה להכל'!A:H,5,0)</f>
        <v>#N/A</v>
      </c>
      <c r="R2358" s="78" t="e">
        <f>VLOOKUP(A2358,'לעדכן בסינתזה דאטה אריזה 42+24'!$A:$C,3,0)</f>
        <v>#N/A</v>
      </c>
    </row>
    <row r="2359" spans="17:18" x14ac:dyDescent="0.2">
      <c r="Q2359" s="78" t="e">
        <f>VLOOKUP(A2359,'גיליון דאטה להכל'!A:H,5,0)</f>
        <v>#N/A</v>
      </c>
      <c r="R2359" s="78" t="e">
        <f>VLOOKUP(A2359,'לעדכן בסינתזה דאטה אריזה 42+24'!$A:$C,3,0)</f>
        <v>#N/A</v>
      </c>
    </row>
    <row r="2360" spans="17:18" x14ac:dyDescent="0.2">
      <c r="Q2360" s="78" t="e">
        <f>VLOOKUP(A2360,'גיליון דאטה להכל'!A:H,5,0)</f>
        <v>#N/A</v>
      </c>
      <c r="R2360" s="78" t="e">
        <f>VLOOKUP(A2360,'לעדכן בסינתזה דאטה אריזה 42+24'!$A:$C,3,0)</f>
        <v>#N/A</v>
      </c>
    </row>
    <row r="2361" spans="17:18" x14ac:dyDescent="0.2">
      <c r="Q2361" s="78" t="e">
        <f>VLOOKUP(A2361,'גיליון דאטה להכל'!A:H,5,0)</f>
        <v>#N/A</v>
      </c>
      <c r="R2361" s="78" t="e">
        <f>VLOOKUP(A2361,'לעדכן בסינתזה דאטה אריזה 42+24'!$A:$C,3,0)</f>
        <v>#N/A</v>
      </c>
    </row>
    <row r="2362" spans="17:18" x14ac:dyDescent="0.2">
      <c r="Q2362" s="78" t="e">
        <f>VLOOKUP(A2362,'גיליון דאטה להכל'!A:H,5,0)</f>
        <v>#N/A</v>
      </c>
      <c r="R2362" s="78" t="e">
        <f>VLOOKUP(A2362,'לעדכן בסינתזה דאטה אריזה 42+24'!$A:$C,3,0)</f>
        <v>#N/A</v>
      </c>
    </row>
    <row r="2363" spans="17:18" x14ac:dyDescent="0.2">
      <c r="Q2363" s="78" t="e">
        <f>VLOOKUP(A2363,'גיליון דאטה להכל'!A:H,5,0)</f>
        <v>#N/A</v>
      </c>
      <c r="R2363" s="78" t="e">
        <f>VLOOKUP(A2363,'לעדכן בסינתזה דאטה אריזה 42+24'!$A:$C,3,0)</f>
        <v>#N/A</v>
      </c>
    </row>
    <row r="2364" spans="17:18" x14ac:dyDescent="0.2">
      <c r="Q2364" s="78" t="e">
        <f>VLOOKUP(A2364,'גיליון דאטה להכל'!A:H,5,0)</f>
        <v>#N/A</v>
      </c>
      <c r="R2364" s="78" t="e">
        <f>VLOOKUP(A2364,'לעדכן בסינתזה דאטה אריזה 42+24'!$A:$C,3,0)</f>
        <v>#N/A</v>
      </c>
    </row>
    <row r="2365" spans="17:18" x14ac:dyDescent="0.2">
      <c r="Q2365" s="78" t="e">
        <f>VLOOKUP(A2365,'גיליון דאטה להכל'!A:H,5,0)</f>
        <v>#N/A</v>
      </c>
      <c r="R2365" s="78" t="e">
        <f>VLOOKUP(A2365,'לעדכן בסינתזה דאטה אריזה 42+24'!$A:$C,3,0)</f>
        <v>#N/A</v>
      </c>
    </row>
    <row r="2366" spans="17:18" x14ac:dyDescent="0.2">
      <c r="Q2366" s="78" t="e">
        <f>VLOOKUP(A2366,'גיליון דאטה להכל'!A:H,5,0)</f>
        <v>#N/A</v>
      </c>
      <c r="R2366" s="78" t="e">
        <f>VLOOKUP(A2366,'לעדכן בסינתזה דאטה אריזה 42+24'!$A:$C,3,0)</f>
        <v>#N/A</v>
      </c>
    </row>
    <row r="2367" spans="17:18" x14ac:dyDescent="0.2">
      <c r="Q2367" s="78" t="e">
        <f>VLOOKUP(A2367,'גיליון דאטה להכל'!A:H,5,0)</f>
        <v>#N/A</v>
      </c>
      <c r="R2367" s="78" t="e">
        <f>VLOOKUP(A2367,'לעדכן בסינתזה דאטה אריזה 42+24'!$A:$C,3,0)</f>
        <v>#N/A</v>
      </c>
    </row>
    <row r="2368" spans="17:18" x14ac:dyDescent="0.2">
      <c r="Q2368" s="78" t="e">
        <f>VLOOKUP(A2368,'גיליון דאטה להכל'!A:H,5,0)</f>
        <v>#N/A</v>
      </c>
      <c r="R2368" s="78" t="e">
        <f>VLOOKUP(A2368,'לעדכן בסינתזה דאטה אריזה 42+24'!$A:$C,3,0)</f>
        <v>#N/A</v>
      </c>
    </row>
    <row r="2369" spans="17:18" x14ac:dyDescent="0.2">
      <c r="Q2369" s="78" t="e">
        <f>VLOOKUP(A2369,'גיליון דאטה להכל'!A:H,5,0)</f>
        <v>#N/A</v>
      </c>
      <c r="R2369" s="78" t="e">
        <f>VLOOKUP(A2369,'לעדכן בסינתזה דאטה אריזה 42+24'!$A:$C,3,0)</f>
        <v>#N/A</v>
      </c>
    </row>
    <row r="2370" spans="17:18" x14ac:dyDescent="0.2">
      <c r="Q2370" s="78" t="e">
        <f>VLOOKUP(A2370,'גיליון דאטה להכל'!A:H,5,0)</f>
        <v>#N/A</v>
      </c>
      <c r="R2370" s="78" t="e">
        <f>VLOOKUP(A2370,'לעדכן בסינתזה דאטה אריזה 42+24'!$A:$C,3,0)</f>
        <v>#N/A</v>
      </c>
    </row>
    <row r="2371" spans="17:18" x14ac:dyDescent="0.2">
      <c r="Q2371" s="78" t="e">
        <f>VLOOKUP(A2371,'גיליון דאטה להכל'!A:H,5,0)</f>
        <v>#N/A</v>
      </c>
      <c r="R2371" s="78" t="e">
        <f>VLOOKUP(A2371,'לעדכן בסינתזה דאטה אריזה 42+24'!$A:$C,3,0)</f>
        <v>#N/A</v>
      </c>
    </row>
    <row r="2372" spans="17:18" x14ac:dyDescent="0.2">
      <c r="Q2372" s="78" t="e">
        <f>VLOOKUP(A2372,'גיליון דאטה להכל'!A:H,5,0)</f>
        <v>#N/A</v>
      </c>
      <c r="R2372" s="78" t="e">
        <f>VLOOKUP(A2372,'לעדכן בסינתזה דאטה אריזה 42+24'!$A:$C,3,0)</f>
        <v>#N/A</v>
      </c>
    </row>
    <row r="2373" spans="17:18" x14ac:dyDescent="0.2">
      <c r="Q2373" s="78" t="e">
        <f>VLOOKUP(A2373,'גיליון דאטה להכל'!A:H,5,0)</f>
        <v>#N/A</v>
      </c>
      <c r="R2373" s="78" t="e">
        <f>VLOOKUP(A2373,'לעדכן בסינתזה דאטה אריזה 42+24'!$A:$C,3,0)</f>
        <v>#N/A</v>
      </c>
    </row>
    <row r="2374" spans="17:18" x14ac:dyDescent="0.2">
      <c r="Q2374" s="78" t="e">
        <f>VLOOKUP(A2374,'גיליון דאטה להכל'!A:H,5,0)</f>
        <v>#N/A</v>
      </c>
      <c r="R2374" s="78" t="e">
        <f>VLOOKUP(A2374,'לעדכן בסינתזה דאטה אריזה 42+24'!$A:$C,3,0)</f>
        <v>#N/A</v>
      </c>
    </row>
    <row r="2375" spans="17:18" x14ac:dyDescent="0.2">
      <c r="Q2375" s="78" t="e">
        <f>VLOOKUP(A2375,'גיליון דאטה להכל'!A:H,5,0)</f>
        <v>#N/A</v>
      </c>
      <c r="R2375" s="78" t="e">
        <f>VLOOKUP(A2375,'לעדכן בסינתזה דאטה אריזה 42+24'!$A:$C,3,0)</f>
        <v>#N/A</v>
      </c>
    </row>
    <row r="2376" spans="17:18" x14ac:dyDescent="0.2">
      <c r="Q2376" s="78" t="e">
        <f>VLOOKUP(A2376,'גיליון דאטה להכל'!A:H,5,0)</f>
        <v>#N/A</v>
      </c>
      <c r="R2376" s="78" t="e">
        <f>VLOOKUP(A2376,'לעדכן בסינתזה דאטה אריזה 42+24'!$A:$C,3,0)</f>
        <v>#N/A</v>
      </c>
    </row>
    <row r="2377" spans="17:18" x14ac:dyDescent="0.2">
      <c r="Q2377" s="78" t="e">
        <f>VLOOKUP(A2377,'גיליון דאטה להכל'!A:H,5,0)</f>
        <v>#N/A</v>
      </c>
      <c r="R2377" s="78" t="e">
        <f>VLOOKUP(A2377,'לעדכן בסינתזה דאטה אריזה 42+24'!$A:$C,3,0)</f>
        <v>#N/A</v>
      </c>
    </row>
    <row r="2378" spans="17:18" x14ac:dyDescent="0.2">
      <c r="Q2378" s="78" t="e">
        <f>VLOOKUP(A2378,'גיליון דאטה להכל'!A:H,5,0)</f>
        <v>#N/A</v>
      </c>
      <c r="R2378" s="78" t="e">
        <f>VLOOKUP(A2378,'לעדכן בסינתזה דאטה אריזה 42+24'!$A:$C,3,0)</f>
        <v>#N/A</v>
      </c>
    </row>
    <row r="2379" spans="17:18" x14ac:dyDescent="0.2">
      <c r="Q2379" s="78" t="e">
        <f>VLOOKUP(A2379,'גיליון דאטה להכל'!A:H,5,0)</f>
        <v>#N/A</v>
      </c>
      <c r="R2379" s="78" t="e">
        <f>VLOOKUP(A2379,'לעדכן בסינתזה דאטה אריזה 42+24'!$A:$C,3,0)</f>
        <v>#N/A</v>
      </c>
    </row>
    <row r="2380" spans="17:18" x14ac:dyDescent="0.2">
      <c r="Q2380" s="78" t="e">
        <f>VLOOKUP(A2380,'גיליון דאטה להכל'!A:H,5,0)</f>
        <v>#N/A</v>
      </c>
      <c r="R2380" s="78" t="e">
        <f>VLOOKUP(A2380,'לעדכן בסינתזה דאטה אריזה 42+24'!$A:$C,3,0)</f>
        <v>#N/A</v>
      </c>
    </row>
    <row r="2381" spans="17:18" x14ac:dyDescent="0.2">
      <c r="Q2381" s="78" t="e">
        <f>VLOOKUP(A2381,'גיליון דאטה להכל'!A:H,5,0)</f>
        <v>#N/A</v>
      </c>
      <c r="R2381" s="78" t="e">
        <f>VLOOKUP(A2381,'לעדכן בסינתזה דאטה אריזה 42+24'!$A:$C,3,0)</f>
        <v>#N/A</v>
      </c>
    </row>
    <row r="2382" spans="17:18" x14ac:dyDescent="0.2">
      <c r="Q2382" s="78" t="e">
        <f>VLOOKUP(A2382,'גיליון דאטה להכל'!A:H,5,0)</f>
        <v>#N/A</v>
      </c>
      <c r="R2382" s="78" t="e">
        <f>VLOOKUP(A2382,'לעדכן בסינתזה דאטה אריזה 42+24'!$A:$C,3,0)</f>
        <v>#N/A</v>
      </c>
    </row>
    <row r="2383" spans="17:18" x14ac:dyDescent="0.2">
      <c r="Q2383" s="78" t="e">
        <f>VLOOKUP(A2383,'גיליון דאטה להכל'!A:H,5,0)</f>
        <v>#N/A</v>
      </c>
      <c r="R2383" s="78" t="e">
        <f>VLOOKUP(A2383,'לעדכן בסינתזה דאטה אריזה 42+24'!$A:$C,3,0)</f>
        <v>#N/A</v>
      </c>
    </row>
    <row r="2384" spans="17:18" x14ac:dyDescent="0.2">
      <c r="Q2384" s="78" t="e">
        <f>VLOOKUP(A2384,'גיליון דאטה להכל'!A:H,5,0)</f>
        <v>#N/A</v>
      </c>
      <c r="R2384" s="78" t="e">
        <f>VLOOKUP(A2384,'לעדכן בסינתזה דאטה אריזה 42+24'!$A:$C,3,0)</f>
        <v>#N/A</v>
      </c>
    </row>
    <row r="2385" spans="17:18" x14ac:dyDescent="0.2">
      <c r="Q2385" s="78" t="e">
        <f>VLOOKUP(A2385,'גיליון דאטה להכל'!A:H,5,0)</f>
        <v>#N/A</v>
      </c>
      <c r="R2385" s="78" t="e">
        <f>VLOOKUP(A2385,'לעדכן בסינתזה דאטה אריזה 42+24'!$A:$C,3,0)</f>
        <v>#N/A</v>
      </c>
    </row>
    <row r="2386" spans="17:18" x14ac:dyDescent="0.2">
      <c r="Q2386" s="78" t="e">
        <f>VLOOKUP(A2386,'גיליון דאטה להכל'!A:H,5,0)</f>
        <v>#N/A</v>
      </c>
      <c r="R2386" s="78" t="e">
        <f>VLOOKUP(A2386,'לעדכן בסינתזה דאטה אריזה 42+24'!$A:$C,3,0)</f>
        <v>#N/A</v>
      </c>
    </row>
    <row r="2387" spans="17:18" x14ac:dyDescent="0.2">
      <c r="Q2387" s="78" t="e">
        <f>VLOOKUP(A2387,'גיליון דאטה להכל'!A:H,5,0)</f>
        <v>#N/A</v>
      </c>
      <c r="R2387" s="78" t="e">
        <f>VLOOKUP(A2387,'לעדכן בסינתזה דאטה אריזה 42+24'!$A:$C,3,0)</f>
        <v>#N/A</v>
      </c>
    </row>
    <row r="2388" spans="17:18" x14ac:dyDescent="0.2">
      <c r="Q2388" s="78" t="e">
        <f>VLOOKUP(A2388,'גיליון דאטה להכל'!A:H,5,0)</f>
        <v>#N/A</v>
      </c>
      <c r="R2388" s="78" t="e">
        <f>VLOOKUP(A2388,'לעדכן בסינתזה דאטה אריזה 42+24'!$A:$C,3,0)</f>
        <v>#N/A</v>
      </c>
    </row>
    <row r="2389" spans="17:18" x14ac:dyDescent="0.2">
      <c r="Q2389" s="78" t="e">
        <f>VLOOKUP(A2389,'גיליון דאטה להכל'!A:H,5,0)</f>
        <v>#N/A</v>
      </c>
      <c r="R2389" s="78" t="e">
        <f>VLOOKUP(A2389,'לעדכן בסינתזה דאטה אריזה 42+24'!$A:$C,3,0)</f>
        <v>#N/A</v>
      </c>
    </row>
    <row r="2390" spans="17:18" x14ac:dyDescent="0.2">
      <c r="Q2390" s="78" t="e">
        <f>VLOOKUP(A2390,'גיליון דאטה להכל'!A:H,5,0)</f>
        <v>#N/A</v>
      </c>
      <c r="R2390" s="78" t="e">
        <f>VLOOKUP(A2390,'לעדכן בסינתזה דאטה אריזה 42+24'!$A:$C,3,0)</f>
        <v>#N/A</v>
      </c>
    </row>
    <row r="2391" spans="17:18" x14ac:dyDescent="0.2">
      <c r="Q2391" s="78" t="e">
        <f>VLOOKUP(A2391,'גיליון דאטה להכל'!A:H,5,0)</f>
        <v>#N/A</v>
      </c>
      <c r="R2391" s="78" t="e">
        <f>VLOOKUP(A2391,'לעדכן בסינתזה דאטה אריזה 42+24'!$A:$C,3,0)</f>
        <v>#N/A</v>
      </c>
    </row>
    <row r="2392" spans="17:18" x14ac:dyDescent="0.2">
      <c r="Q2392" s="78" t="e">
        <f>VLOOKUP(A2392,'גיליון דאטה להכל'!A:H,5,0)</f>
        <v>#N/A</v>
      </c>
      <c r="R2392" s="78" t="e">
        <f>VLOOKUP(A2392,'לעדכן בסינתזה דאטה אריזה 42+24'!$A:$C,3,0)</f>
        <v>#N/A</v>
      </c>
    </row>
    <row r="2393" spans="17:18" x14ac:dyDescent="0.2">
      <c r="Q2393" s="78" t="e">
        <f>VLOOKUP(A2393,'גיליון דאטה להכל'!A:H,5,0)</f>
        <v>#N/A</v>
      </c>
      <c r="R2393" s="78" t="e">
        <f>VLOOKUP(A2393,'לעדכן בסינתזה דאטה אריזה 42+24'!$A:$C,3,0)</f>
        <v>#N/A</v>
      </c>
    </row>
    <row r="2394" spans="17:18" x14ac:dyDescent="0.2">
      <c r="Q2394" s="78" t="e">
        <f>VLOOKUP(A2394,'גיליון דאטה להכל'!A:H,5,0)</f>
        <v>#N/A</v>
      </c>
      <c r="R2394" s="78" t="e">
        <f>VLOOKUP(A2394,'לעדכן בסינתזה דאטה אריזה 42+24'!$A:$C,3,0)</f>
        <v>#N/A</v>
      </c>
    </row>
    <row r="2395" spans="17:18" x14ac:dyDescent="0.2">
      <c r="Q2395" s="78" t="e">
        <f>VLOOKUP(A2395,'גיליון דאטה להכל'!A:H,5,0)</f>
        <v>#N/A</v>
      </c>
      <c r="R2395" s="78" t="e">
        <f>VLOOKUP(A2395,'לעדכן בסינתזה דאטה אריזה 42+24'!$A:$C,3,0)</f>
        <v>#N/A</v>
      </c>
    </row>
    <row r="2396" spans="17:18" x14ac:dyDescent="0.2">
      <c r="Q2396" s="78" t="e">
        <f>VLOOKUP(A2396,'גיליון דאטה להכל'!A:H,5,0)</f>
        <v>#N/A</v>
      </c>
      <c r="R2396" s="78" t="e">
        <f>VLOOKUP(A2396,'לעדכן בסינתזה דאטה אריזה 42+24'!$A:$C,3,0)</f>
        <v>#N/A</v>
      </c>
    </row>
    <row r="2397" spans="17:18" x14ac:dyDescent="0.2">
      <c r="Q2397" s="78" t="e">
        <f>VLOOKUP(A2397,'גיליון דאטה להכל'!A:H,5,0)</f>
        <v>#N/A</v>
      </c>
      <c r="R2397" s="78" t="e">
        <f>VLOOKUP(A2397,'לעדכן בסינתזה דאטה אריזה 42+24'!$A:$C,3,0)</f>
        <v>#N/A</v>
      </c>
    </row>
    <row r="2398" spans="17:18" x14ac:dyDescent="0.2">
      <c r="Q2398" s="78" t="e">
        <f>VLOOKUP(A2398,'גיליון דאטה להכל'!A:H,5,0)</f>
        <v>#N/A</v>
      </c>
      <c r="R2398" s="78" t="e">
        <f>VLOOKUP(A2398,'לעדכן בסינתזה דאטה אריזה 42+24'!$A:$C,3,0)</f>
        <v>#N/A</v>
      </c>
    </row>
    <row r="2399" spans="17:18" x14ac:dyDescent="0.2">
      <c r="Q2399" s="78" t="e">
        <f>VLOOKUP(A2399,'גיליון דאטה להכל'!A:H,5,0)</f>
        <v>#N/A</v>
      </c>
      <c r="R2399" s="78" t="e">
        <f>VLOOKUP(A2399,'לעדכן בסינתזה דאטה אריזה 42+24'!$A:$C,3,0)</f>
        <v>#N/A</v>
      </c>
    </row>
    <row r="2400" spans="17:18" x14ac:dyDescent="0.2">
      <c r="Q2400" s="78" t="e">
        <f>VLOOKUP(A2400,'גיליון דאטה להכל'!A:H,5,0)</f>
        <v>#N/A</v>
      </c>
      <c r="R2400" s="78" t="e">
        <f>VLOOKUP(A2400,'לעדכן בסינתזה דאטה אריזה 42+24'!$A:$C,3,0)</f>
        <v>#N/A</v>
      </c>
    </row>
    <row r="2401" spans="17:18" x14ac:dyDescent="0.2">
      <c r="Q2401" s="78" t="e">
        <f>VLOOKUP(A2401,'גיליון דאטה להכל'!A:H,5,0)</f>
        <v>#N/A</v>
      </c>
      <c r="R2401" s="78" t="e">
        <f>VLOOKUP(A2401,'לעדכן בסינתזה דאטה אריזה 42+24'!$A:$C,3,0)</f>
        <v>#N/A</v>
      </c>
    </row>
    <row r="2402" spans="17:18" x14ac:dyDescent="0.2">
      <c r="Q2402" s="78" t="e">
        <f>VLOOKUP(A2402,'גיליון דאטה להכל'!A:H,5,0)</f>
        <v>#N/A</v>
      </c>
      <c r="R2402" s="78" t="e">
        <f>VLOOKUP(A2402,'לעדכן בסינתזה דאטה אריזה 42+24'!$A:$C,3,0)</f>
        <v>#N/A</v>
      </c>
    </row>
    <row r="2403" spans="17:18" x14ac:dyDescent="0.2">
      <c r="Q2403" s="78" t="e">
        <f>VLOOKUP(A2403,'גיליון דאטה להכל'!A:H,5,0)</f>
        <v>#N/A</v>
      </c>
      <c r="R2403" s="78" t="e">
        <f>VLOOKUP(A2403,'לעדכן בסינתזה דאטה אריזה 42+24'!$A:$C,3,0)</f>
        <v>#N/A</v>
      </c>
    </row>
    <row r="2404" spans="17:18" x14ac:dyDescent="0.2">
      <c r="Q2404" s="78" t="e">
        <f>VLOOKUP(A2404,'גיליון דאטה להכל'!A:H,5,0)</f>
        <v>#N/A</v>
      </c>
      <c r="R2404" s="78" t="e">
        <f>VLOOKUP(A2404,'לעדכן בסינתזה דאטה אריזה 42+24'!$A:$C,3,0)</f>
        <v>#N/A</v>
      </c>
    </row>
    <row r="2405" spans="17:18" x14ac:dyDescent="0.2">
      <c r="Q2405" s="78" t="e">
        <f>VLOOKUP(A2405,'גיליון דאטה להכל'!A:H,5,0)</f>
        <v>#N/A</v>
      </c>
      <c r="R2405" s="78" t="e">
        <f>VLOOKUP(A2405,'לעדכן בסינתזה דאטה אריזה 42+24'!$A:$C,3,0)</f>
        <v>#N/A</v>
      </c>
    </row>
    <row r="2406" spans="17:18" x14ac:dyDescent="0.2">
      <c r="Q2406" s="78" t="e">
        <f>VLOOKUP(A2406,'גיליון דאטה להכל'!A:H,5,0)</f>
        <v>#N/A</v>
      </c>
      <c r="R2406" s="78" t="e">
        <f>VLOOKUP(A2406,'לעדכן בסינתזה דאטה אריזה 42+24'!$A:$C,3,0)</f>
        <v>#N/A</v>
      </c>
    </row>
    <row r="2407" spans="17:18" x14ac:dyDescent="0.2">
      <c r="Q2407" s="78" t="e">
        <f>VLOOKUP(A2407,'גיליון דאטה להכל'!A:H,5,0)</f>
        <v>#N/A</v>
      </c>
      <c r="R2407" s="78" t="e">
        <f>VLOOKUP(A2407,'לעדכן בסינתזה דאטה אריזה 42+24'!$A:$C,3,0)</f>
        <v>#N/A</v>
      </c>
    </row>
    <row r="2408" spans="17:18" x14ac:dyDescent="0.2">
      <c r="Q2408" s="78" t="e">
        <f>VLOOKUP(A2408,'גיליון דאטה להכל'!A:H,5,0)</f>
        <v>#N/A</v>
      </c>
      <c r="R2408" s="78" t="e">
        <f>VLOOKUP(A2408,'לעדכן בסינתזה דאטה אריזה 42+24'!$A:$C,3,0)</f>
        <v>#N/A</v>
      </c>
    </row>
    <row r="2409" spans="17:18" x14ac:dyDescent="0.2">
      <c r="Q2409" s="78" t="e">
        <f>VLOOKUP(A2409,'גיליון דאטה להכל'!A:H,5,0)</f>
        <v>#N/A</v>
      </c>
      <c r="R2409" s="78" t="e">
        <f>VLOOKUP(A2409,'לעדכן בסינתזה דאטה אריזה 42+24'!$A:$C,3,0)</f>
        <v>#N/A</v>
      </c>
    </row>
    <row r="2410" spans="17:18" x14ac:dyDescent="0.2">
      <c r="Q2410" s="78" t="e">
        <f>VLOOKUP(A2410,'גיליון דאטה להכל'!A:H,5,0)</f>
        <v>#N/A</v>
      </c>
      <c r="R2410" s="78" t="e">
        <f>VLOOKUP(A2410,'לעדכן בסינתזה דאטה אריזה 42+24'!$A:$C,3,0)</f>
        <v>#N/A</v>
      </c>
    </row>
    <row r="2411" spans="17:18" x14ac:dyDescent="0.2">
      <c r="Q2411" s="78" t="e">
        <f>VLOOKUP(A2411,'גיליון דאטה להכל'!A:H,5,0)</f>
        <v>#N/A</v>
      </c>
      <c r="R2411" s="78" t="e">
        <f>VLOOKUP(A2411,'לעדכן בסינתזה דאטה אריזה 42+24'!$A:$C,3,0)</f>
        <v>#N/A</v>
      </c>
    </row>
    <row r="2412" spans="17:18" x14ac:dyDescent="0.2">
      <c r="Q2412" s="78" t="e">
        <f>VLOOKUP(A2412,'גיליון דאטה להכל'!A:H,5,0)</f>
        <v>#N/A</v>
      </c>
      <c r="R2412" s="78" t="e">
        <f>VLOOKUP(A2412,'לעדכן בסינתזה דאטה אריזה 42+24'!$A:$C,3,0)</f>
        <v>#N/A</v>
      </c>
    </row>
    <row r="2413" spans="17:18" x14ac:dyDescent="0.2">
      <c r="Q2413" s="78" t="e">
        <f>VLOOKUP(A2413,'גיליון דאטה להכל'!A:H,5,0)</f>
        <v>#N/A</v>
      </c>
      <c r="R2413" s="78" t="e">
        <f>VLOOKUP(A2413,'לעדכן בסינתזה דאטה אריזה 42+24'!$A:$C,3,0)</f>
        <v>#N/A</v>
      </c>
    </row>
    <row r="2414" spans="17:18" x14ac:dyDescent="0.2">
      <c r="Q2414" s="78" t="e">
        <f>VLOOKUP(A2414,'גיליון דאטה להכל'!A:H,5,0)</f>
        <v>#N/A</v>
      </c>
      <c r="R2414" s="78" t="e">
        <f>VLOOKUP(A2414,'לעדכן בסינתזה דאטה אריזה 42+24'!$A:$C,3,0)</f>
        <v>#N/A</v>
      </c>
    </row>
    <row r="2415" spans="17:18" x14ac:dyDescent="0.2">
      <c r="Q2415" s="78" t="e">
        <f>VLOOKUP(A2415,'גיליון דאטה להכל'!A:H,5,0)</f>
        <v>#N/A</v>
      </c>
      <c r="R2415" s="78" t="e">
        <f>VLOOKUP(A2415,'לעדכן בסינתזה דאטה אריזה 42+24'!$A:$C,3,0)</f>
        <v>#N/A</v>
      </c>
    </row>
    <row r="2416" spans="17:18" x14ac:dyDescent="0.2">
      <c r="Q2416" s="78" t="e">
        <f>VLOOKUP(A2416,'גיליון דאטה להכל'!A:H,5,0)</f>
        <v>#N/A</v>
      </c>
      <c r="R2416" s="78" t="e">
        <f>VLOOKUP(A2416,'לעדכן בסינתזה דאטה אריזה 42+24'!$A:$C,3,0)</f>
        <v>#N/A</v>
      </c>
    </row>
    <row r="2417" spans="17:18" x14ac:dyDescent="0.2">
      <c r="Q2417" s="78" t="e">
        <f>VLOOKUP(A2417,'גיליון דאטה להכל'!A:H,5,0)</f>
        <v>#N/A</v>
      </c>
      <c r="R2417" s="78" t="e">
        <f>VLOOKUP(A2417,'לעדכן בסינתזה דאטה אריזה 42+24'!$A:$C,3,0)</f>
        <v>#N/A</v>
      </c>
    </row>
    <row r="2418" spans="17:18" x14ac:dyDescent="0.2">
      <c r="Q2418" s="78" t="e">
        <f>VLOOKUP(A2418,'גיליון דאטה להכל'!A:H,5,0)</f>
        <v>#N/A</v>
      </c>
      <c r="R2418" s="78" t="e">
        <f>VLOOKUP(A2418,'לעדכן בסינתזה דאטה אריזה 42+24'!$A:$C,3,0)</f>
        <v>#N/A</v>
      </c>
    </row>
    <row r="2419" spans="17:18" x14ac:dyDescent="0.2">
      <c r="Q2419" s="78" t="e">
        <f>VLOOKUP(A2419,'גיליון דאטה להכל'!A:H,5,0)</f>
        <v>#N/A</v>
      </c>
      <c r="R2419" s="78" t="e">
        <f>VLOOKUP(A2419,'לעדכן בסינתזה דאטה אריזה 42+24'!$A:$C,3,0)</f>
        <v>#N/A</v>
      </c>
    </row>
    <row r="2420" spans="17:18" x14ac:dyDescent="0.2">
      <c r="Q2420" s="78" t="e">
        <f>VLOOKUP(A2420,'גיליון דאטה להכל'!A:H,5,0)</f>
        <v>#N/A</v>
      </c>
      <c r="R2420" s="78" t="e">
        <f>VLOOKUP(A2420,'לעדכן בסינתזה דאטה אריזה 42+24'!$A:$C,3,0)</f>
        <v>#N/A</v>
      </c>
    </row>
    <row r="2421" spans="17:18" x14ac:dyDescent="0.2">
      <c r="Q2421" s="78" t="e">
        <f>VLOOKUP(A2421,'גיליון דאטה להכל'!A:H,5,0)</f>
        <v>#N/A</v>
      </c>
      <c r="R2421" s="78" t="e">
        <f>VLOOKUP(A2421,'לעדכן בסינתזה דאטה אריזה 42+24'!$A:$C,3,0)</f>
        <v>#N/A</v>
      </c>
    </row>
    <row r="2422" spans="17:18" x14ac:dyDescent="0.2">
      <c r="Q2422" s="78" t="e">
        <f>VLOOKUP(A2422,'גיליון דאטה להכל'!A:H,5,0)</f>
        <v>#N/A</v>
      </c>
      <c r="R2422" s="78" t="e">
        <f>VLOOKUP(A2422,'לעדכן בסינתזה דאטה אריזה 42+24'!$A:$C,3,0)</f>
        <v>#N/A</v>
      </c>
    </row>
    <row r="2423" spans="17:18" x14ac:dyDescent="0.2">
      <c r="Q2423" s="78" t="e">
        <f>VLOOKUP(A2423,'גיליון דאטה להכל'!A:H,5,0)</f>
        <v>#N/A</v>
      </c>
      <c r="R2423" s="78" t="e">
        <f>VLOOKUP(A2423,'לעדכן בסינתזה דאטה אריזה 42+24'!$A:$C,3,0)</f>
        <v>#N/A</v>
      </c>
    </row>
    <row r="2424" spans="17:18" x14ac:dyDescent="0.2">
      <c r="Q2424" s="78" t="e">
        <f>VLOOKUP(A2424,'גיליון דאטה להכל'!A:H,5,0)</f>
        <v>#N/A</v>
      </c>
      <c r="R2424" s="78" t="e">
        <f>VLOOKUP(A2424,'לעדכן בסינתזה דאטה אריזה 42+24'!$A:$C,3,0)</f>
        <v>#N/A</v>
      </c>
    </row>
    <row r="2425" spans="17:18" x14ac:dyDescent="0.2">
      <c r="Q2425" s="78" t="e">
        <f>VLOOKUP(A2425,'גיליון דאטה להכל'!A:H,5,0)</f>
        <v>#N/A</v>
      </c>
      <c r="R2425" s="78" t="e">
        <f>VLOOKUP(A2425,'לעדכן בסינתזה דאטה אריזה 42+24'!$A:$C,3,0)</f>
        <v>#N/A</v>
      </c>
    </row>
    <row r="2426" spans="17:18" x14ac:dyDescent="0.2">
      <c r="Q2426" s="78" t="e">
        <f>VLOOKUP(A2426,'גיליון דאטה להכל'!A:H,5,0)</f>
        <v>#N/A</v>
      </c>
      <c r="R2426" s="78" t="e">
        <f>VLOOKUP(A2426,'לעדכן בסינתזה דאטה אריזה 42+24'!$A:$C,3,0)</f>
        <v>#N/A</v>
      </c>
    </row>
    <row r="2427" spans="17:18" x14ac:dyDescent="0.2">
      <c r="Q2427" s="78" t="e">
        <f>VLOOKUP(A2427,'גיליון דאטה להכל'!A:H,5,0)</f>
        <v>#N/A</v>
      </c>
      <c r="R2427" s="78" t="e">
        <f>VLOOKUP(A2427,'לעדכן בסינתזה דאטה אריזה 42+24'!$A:$C,3,0)</f>
        <v>#N/A</v>
      </c>
    </row>
    <row r="2428" spans="17:18" x14ac:dyDescent="0.2">
      <c r="Q2428" s="78" t="e">
        <f>VLOOKUP(A2428,'גיליון דאטה להכל'!A:H,5,0)</f>
        <v>#N/A</v>
      </c>
      <c r="R2428" s="78" t="e">
        <f>VLOOKUP(A2428,'לעדכן בסינתזה דאטה אריזה 42+24'!$A:$C,3,0)</f>
        <v>#N/A</v>
      </c>
    </row>
    <row r="2429" spans="17:18" x14ac:dyDescent="0.2">
      <c r="Q2429" s="78" t="e">
        <f>VLOOKUP(A2429,'גיליון דאטה להכל'!A:H,5,0)</f>
        <v>#N/A</v>
      </c>
      <c r="R2429" s="78" t="e">
        <f>VLOOKUP(A2429,'לעדכן בסינתזה דאטה אריזה 42+24'!$A:$C,3,0)</f>
        <v>#N/A</v>
      </c>
    </row>
    <row r="2430" spans="17:18" x14ac:dyDescent="0.2">
      <c r="Q2430" s="78" t="e">
        <f>VLOOKUP(A2430,'גיליון דאטה להכל'!A:H,5,0)</f>
        <v>#N/A</v>
      </c>
      <c r="R2430" s="78" t="e">
        <f>VLOOKUP(A2430,'לעדכן בסינתזה דאטה אריזה 42+24'!$A:$C,3,0)</f>
        <v>#N/A</v>
      </c>
    </row>
    <row r="2431" spans="17:18" x14ac:dyDescent="0.2">
      <c r="Q2431" s="78" t="e">
        <f>VLOOKUP(A2431,'גיליון דאטה להכל'!A:H,5,0)</f>
        <v>#N/A</v>
      </c>
      <c r="R2431" s="78" t="e">
        <f>VLOOKUP(A2431,'לעדכן בסינתזה דאטה אריזה 42+24'!$A:$C,3,0)</f>
        <v>#N/A</v>
      </c>
    </row>
    <row r="2432" spans="17:18" x14ac:dyDescent="0.2">
      <c r="Q2432" s="78" t="e">
        <f>VLOOKUP(A2432,'גיליון דאטה להכל'!A:H,5,0)</f>
        <v>#N/A</v>
      </c>
      <c r="R2432" s="78" t="e">
        <f>VLOOKUP(A2432,'לעדכן בסינתזה דאטה אריזה 42+24'!$A:$C,3,0)</f>
        <v>#N/A</v>
      </c>
    </row>
    <row r="2433" spans="17:18" x14ac:dyDescent="0.2">
      <c r="Q2433" s="78" t="e">
        <f>VLOOKUP(A2433,'גיליון דאטה להכל'!A:H,5,0)</f>
        <v>#N/A</v>
      </c>
      <c r="R2433" s="78" t="e">
        <f>VLOOKUP(A2433,'לעדכן בסינתזה דאטה אריזה 42+24'!$A:$C,3,0)</f>
        <v>#N/A</v>
      </c>
    </row>
    <row r="2434" spans="17:18" x14ac:dyDescent="0.2">
      <c r="Q2434" s="78" t="e">
        <f>VLOOKUP(A2434,'גיליון דאטה להכל'!A:H,5,0)</f>
        <v>#N/A</v>
      </c>
      <c r="R2434" s="78" t="e">
        <f>VLOOKUP(A2434,'לעדכן בסינתזה דאטה אריזה 42+24'!$A:$C,3,0)</f>
        <v>#N/A</v>
      </c>
    </row>
    <row r="2435" spans="17:18" x14ac:dyDescent="0.2">
      <c r="Q2435" s="78" t="e">
        <f>VLOOKUP(A2435,'גיליון דאטה להכל'!A:H,5,0)</f>
        <v>#N/A</v>
      </c>
      <c r="R2435" s="78" t="e">
        <f>VLOOKUP(A2435,'לעדכן בסינתזה דאטה אריזה 42+24'!$A:$C,3,0)</f>
        <v>#N/A</v>
      </c>
    </row>
    <row r="2436" spans="17:18" x14ac:dyDescent="0.2">
      <c r="Q2436" s="78" t="e">
        <f>VLOOKUP(A2436,'גיליון דאטה להכל'!A:H,5,0)</f>
        <v>#N/A</v>
      </c>
      <c r="R2436" s="78" t="e">
        <f>VLOOKUP(A2436,'לעדכן בסינתזה דאטה אריזה 42+24'!$A:$C,3,0)</f>
        <v>#N/A</v>
      </c>
    </row>
    <row r="2437" spans="17:18" x14ac:dyDescent="0.2">
      <c r="Q2437" s="78" t="e">
        <f>VLOOKUP(A2437,'גיליון דאטה להכל'!A:H,5,0)</f>
        <v>#N/A</v>
      </c>
      <c r="R2437" s="78" t="e">
        <f>VLOOKUP(A2437,'לעדכן בסינתזה דאטה אריזה 42+24'!$A:$C,3,0)</f>
        <v>#N/A</v>
      </c>
    </row>
    <row r="2438" spans="17:18" x14ac:dyDescent="0.2">
      <c r="Q2438" s="78" t="e">
        <f>VLOOKUP(A2438,'גיליון דאטה להכל'!A:H,5,0)</f>
        <v>#N/A</v>
      </c>
      <c r="R2438" s="78" t="e">
        <f>VLOOKUP(A2438,'לעדכן בסינתזה דאטה אריזה 42+24'!$A:$C,3,0)</f>
        <v>#N/A</v>
      </c>
    </row>
    <row r="2439" spans="17:18" x14ac:dyDescent="0.2">
      <c r="Q2439" s="78" t="e">
        <f>VLOOKUP(A2439,'גיליון דאטה להכל'!A:H,5,0)</f>
        <v>#N/A</v>
      </c>
      <c r="R2439" s="78" t="e">
        <f>VLOOKUP(A2439,'לעדכן בסינתזה דאטה אריזה 42+24'!$A:$C,3,0)</f>
        <v>#N/A</v>
      </c>
    </row>
    <row r="2440" spans="17:18" x14ac:dyDescent="0.2">
      <c r="Q2440" s="78" t="e">
        <f>VLOOKUP(A2440,'גיליון דאטה להכל'!A:H,5,0)</f>
        <v>#N/A</v>
      </c>
      <c r="R2440" s="78" t="e">
        <f>VLOOKUP(A2440,'לעדכן בסינתזה דאטה אריזה 42+24'!$A:$C,3,0)</f>
        <v>#N/A</v>
      </c>
    </row>
    <row r="2441" spans="17:18" x14ac:dyDescent="0.2">
      <c r="Q2441" s="78" t="e">
        <f>VLOOKUP(A2441,'גיליון דאטה להכל'!A:H,5,0)</f>
        <v>#N/A</v>
      </c>
      <c r="R2441" s="78" t="e">
        <f>VLOOKUP(A2441,'לעדכן בסינתזה דאטה אריזה 42+24'!$A:$C,3,0)</f>
        <v>#N/A</v>
      </c>
    </row>
    <row r="2442" spans="17:18" x14ac:dyDescent="0.2">
      <c r="Q2442" s="78" t="e">
        <f>VLOOKUP(A2442,'גיליון דאטה להכל'!A:H,5,0)</f>
        <v>#N/A</v>
      </c>
      <c r="R2442" s="78" t="e">
        <f>VLOOKUP(A2442,'לעדכן בסינתזה דאטה אריזה 42+24'!$A:$C,3,0)</f>
        <v>#N/A</v>
      </c>
    </row>
    <row r="2443" spans="17:18" x14ac:dyDescent="0.2">
      <c r="Q2443" s="78" t="e">
        <f>VLOOKUP(A2443,'גיליון דאטה להכל'!A:H,5,0)</f>
        <v>#N/A</v>
      </c>
      <c r="R2443" s="78" t="e">
        <f>VLOOKUP(A2443,'לעדכן בסינתזה דאטה אריזה 42+24'!$A:$C,3,0)</f>
        <v>#N/A</v>
      </c>
    </row>
    <row r="2444" spans="17:18" x14ac:dyDescent="0.2">
      <c r="Q2444" s="78" t="e">
        <f>VLOOKUP(A2444,'גיליון דאטה להכל'!A:H,5,0)</f>
        <v>#N/A</v>
      </c>
      <c r="R2444" s="78" t="e">
        <f>VLOOKUP(A2444,'לעדכן בסינתזה דאטה אריזה 42+24'!$A:$C,3,0)</f>
        <v>#N/A</v>
      </c>
    </row>
    <row r="2445" spans="17:18" x14ac:dyDescent="0.2">
      <c r="Q2445" s="78" t="e">
        <f>VLOOKUP(A2445,'גיליון דאטה להכל'!A:H,5,0)</f>
        <v>#N/A</v>
      </c>
      <c r="R2445" s="78" t="e">
        <f>VLOOKUP(A2445,'לעדכן בסינתזה דאטה אריזה 42+24'!$A:$C,3,0)</f>
        <v>#N/A</v>
      </c>
    </row>
    <row r="2446" spans="17:18" x14ac:dyDescent="0.2">
      <c r="Q2446" s="78" t="e">
        <f>VLOOKUP(A2446,'גיליון דאטה להכל'!A:H,5,0)</f>
        <v>#N/A</v>
      </c>
      <c r="R2446" s="78" t="e">
        <f>VLOOKUP(A2446,'לעדכן בסינתזה דאטה אריזה 42+24'!$A:$C,3,0)</f>
        <v>#N/A</v>
      </c>
    </row>
    <row r="2447" spans="17:18" x14ac:dyDescent="0.2">
      <c r="Q2447" s="78" t="e">
        <f>VLOOKUP(A2447,'גיליון דאטה להכל'!A:H,5,0)</f>
        <v>#N/A</v>
      </c>
      <c r="R2447" s="78" t="e">
        <f>VLOOKUP(A2447,'לעדכן בסינתזה דאטה אריזה 42+24'!$A:$C,3,0)</f>
        <v>#N/A</v>
      </c>
    </row>
    <row r="2448" spans="17:18" x14ac:dyDescent="0.2">
      <c r="Q2448" s="78" t="e">
        <f>VLOOKUP(A2448,'גיליון דאטה להכל'!A:H,5,0)</f>
        <v>#N/A</v>
      </c>
      <c r="R2448" s="78" t="e">
        <f>VLOOKUP(A2448,'לעדכן בסינתזה דאטה אריזה 42+24'!$A:$C,3,0)</f>
        <v>#N/A</v>
      </c>
    </row>
    <row r="2449" spans="17:18" x14ac:dyDescent="0.2">
      <c r="Q2449" s="78" t="e">
        <f>VLOOKUP(A2449,'גיליון דאטה להכל'!A:H,5,0)</f>
        <v>#N/A</v>
      </c>
      <c r="R2449" s="78" t="e">
        <f>VLOOKUP(A2449,'לעדכן בסינתזה דאטה אריזה 42+24'!$A:$C,3,0)</f>
        <v>#N/A</v>
      </c>
    </row>
    <row r="2450" spans="17:18" x14ac:dyDescent="0.2">
      <c r="Q2450" s="78" t="e">
        <f>VLOOKUP(A2450,'גיליון דאטה להכל'!A:H,5,0)</f>
        <v>#N/A</v>
      </c>
      <c r="R2450" s="78" t="e">
        <f>VLOOKUP(A2450,'לעדכן בסינתזה דאטה אריזה 42+24'!$A:$C,3,0)</f>
        <v>#N/A</v>
      </c>
    </row>
    <row r="2451" spans="17:18" x14ac:dyDescent="0.2">
      <c r="Q2451" s="78" t="e">
        <f>VLOOKUP(A2451,'גיליון דאטה להכל'!A:H,5,0)</f>
        <v>#N/A</v>
      </c>
      <c r="R2451" s="78" t="e">
        <f>VLOOKUP(A2451,'לעדכן בסינתזה דאטה אריזה 42+24'!$A:$C,3,0)</f>
        <v>#N/A</v>
      </c>
    </row>
    <row r="2452" spans="17:18" x14ac:dyDescent="0.2">
      <c r="Q2452" s="78" t="e">
        <f>VLOOKUP(A2452,'גיליון דאטה להכל'!A:H,5,0)</f>
        <v>#N/A</v>
      </c>
      <c r="R2452" s="78" t="e">
        <f>VLOOKUP(A2452,'לעדכן בסינתזה דאטה אריזה 42+24'!$A:$C,3,0)</f>
        <v>#N/A</v>
      </c>
    </row>
    <row r="2453" spans="17:18" x14ac:dyDescent="0.2">
      <c r="Q2453" s="78" t="e">
        <f>VLOOKUP(A2453,'גיליון דאטה להכל'!A:H,5,0)</f>
        <v>#N/A</v>
      </c>
      <c r="R2453" s="78" t="e">
        <f>VLOOKUP(A2453,'לעדכן בסינתזה דאטה אריזה 42+24'!$A:$C,3,0)</f>
        <v>#N/A</v>
      </c>
    </row>
    <row r="2454" spans="17:18" x14ac:dyDescent="0.2">
      <c r="Q2454" s="78" t="e">
        <f>VLOOKUP(A2454,'גיליון דאטה להכל'!A:H,5,0)</f>
        <v>#N/A</v>
      </c>
      <c r="R2454" s="78" t="e">
        <f>VLOOKUP(A2454,'לעדכן בסינתזה דאטה אריזה 42+24'!$A:$C,3,0)</f>
        <v>#N/A</v>
      </c>
    </row>
    <row r="2455" spans="17:18" x14ac:dyDescent="0.2">
      <c r="Q2455" s="78" t="e">
        <f>VLOOKUP(A2455,'גיליון דאטה להכל'!A:H,5,0)</f>
        <v>#N/A</v>
      </c>
      <c r="R2455" s="78" t="e">
        <f>VLOOKUP(A2455,'לעדכן בסינתזה דאטה אריזה 42+24'!$A:$C,3,0)</f>
        <v>#N/A</v>
      </c>
    </row>
    <row r="2456" spans="17:18" x14ac:dyDescent="0.2">
      <c r="Q2456" s="78" t="e">
        <f>VLOOKUP(A2456,'גיליון דאטה להכל'!A:H,5,0)</f>
        <v>#N/A</v>
      </c>
      <c r="R2456" s="78" t="e">
        <f>VLOOKUP(A2456,'לעדכן בסינתזה דאטה אריזה 42+24'!$A:$C,3,0)</f>
        <v>#N/A</v>
      </c>
    </row>
    <row r="2457" spans="17:18" x14ac:dyDescent="0.2">
      <c r="Q2457" s="78" t="e">
        <f>VLOOKUP(A2457,'גיליון דאטה להכל'!A:H,5,0)</f>
        <v>#N/A</v>
      </c>
      <c r="R2457" s="78" t="e">
        <f>VLOOKUP(A2457,'לעדכן בסינתזה דאטה אריזה 42+24'!$A:$C,3,0)</f>
        <v>#N/A</v>
      </c>
    </row>
    <row r="2458" spans="17:18" x14ac:dyDescent="0.2">
      <c r="Q2458" s="78" t="e">
        <f>VLOOKUP(A2458,'גיליון דאטה להכל'!A:H,5,0)</f>
        <v>#N/A</v>
      </c>
      <c r="R2458" s="78" t="e">
        <f>VLOOKUP(A2458,'לעדכן בסינתזה דאטה אריזה 42+24'!$A:$C,3,0)</f>
        <v>#N/A</v>
      </c>
    </row>
    <row r="2459" spans="17:18" x14ac:dyDescent="0.2">
      <c r="Q2459" s="78" t="e">
        <f>VLOOKUP(A2459,'גיליון דאטה להכל'!A:H,5,0)</f>
        <v>#N/A</v>
      </c>
      <c r="R2459" s="78" t="e">
        <f>VLOOKUP(A2459,'לעדכן בסינתזה דאטה אריזה 42+24'!$A:$C,3,0)</f>
        <v>#N/A</v>
      </c>
    </row>
    <row r="2460" spans="17:18" x14ac:dyDescent="0.2">
      <c r="Q2460" s="78" t="e">
        <f>VLOOKUP(A2460,'גיליון דאטה להכל'!A:H,5,0)</f>
        <v>#N/A</v>
      </c>
      <c r="R2460" s="78" t="e">
        <f>VLOOKUP(A2460,'לעדכן בסינתזה דאטה אריזה 42+24'!$A:$C,3,0)</f>
        <v>#N/A</v>
      </c>
    </row>
    <row r="2461" spans="17:18" x14ac:dyDescent="0.2">
      <c r="Q2461" s="78" t="e">
        <f>VLOOKUP(A2461,'גיליון דאטה להכל'!A:H,5,0)</f>
        <v>#N/A</v>
      </c>
      <c r="R2461" s="78" t="e">
        <f>VLOOKUP(A2461,'לעדכן בסינתזה דאטה אריזה 42+24'!$A:$C,3,0)</f>
        <v>#N/A</v>
      </c>
    </row>
    <row r="2462" spans="17:18" x14ac:dyDescent="0.2">
      <c r="Q2462" s="78" t="e">
        <f>VLOOKUP(A2462,'גיליון דאטה להכל'!A:H,5,0)</f>
        <v>#N/A</v>
      </c>
      <c r="R2462" s="78" t="e">
        <f>VLOOKUP(A2462,'לעדכן בסינתזה דאטה אריזה 42+24'!$A:$C,3,0)</f>
        <v>#N/A</v>
      </c>
    </row>
    <row r="2463" spans="17:18" x14ac:dyDescent="0.2">
      <c r="Q2463" s="78" t="e">
        <f>VLOOKUP(A2463,'גיליון דאטה להכל'!A:H,5,0)</f>
        <v>#N/A</v>
      </c>
      <c r="R2463" s="78" t="e">
        <f>VLOOKUP(A2463,'לעדכן בסינתזה דאטה אריזה 42+24'!$A:$C,3,0)</f>
        <v>#N/A</v>
      </c>
    </row>
    <row r="2464" spans="17:18" x14ac:dyDescent="0.2">
      <c r="Q2464" s="78" t="e">
        <f>VLOOKUP(A2464,'גיליון דאטה להכל'!A:H,5,0)</f>
        <v>#N/A</v>
      </c>
      <c r="R2464" s="78" t="e">
        <f>VLOOKUP(A2464,'לעדכן בסינתזה דאטה אריזה 42+24'!$A:$C,3,0)</f>
        <v>#N/A</v>
      </c>
    </row>
    <row r="2465" spans="17:18" x14ac:dyDescent="0.2">
      <c r="Q2465" s="78" t="e">
        <f>VLOOKUP(A2465,'גיליון דאטה להכל'!A:H,5,0)</f>
        <v>#N/A</v>
      </c>
      <c r="R2465" s="78" t="e">
        <f>VLOOKUP(A2465,'לעדכן בסינתזה דאטה אריזה 42+24'!$A:$C,3,0)</f>
        <v>#N/A</v>
      </c>
    </row>
    <row r="2466" spans="17:18" x14ac:dyDescent="0.2">
      <c r="Q2466" s="78" t="e">
        <f>VLOOKUP(A2466,'גיליון דאטה להכל'!A:H,5,0)</f>
        <v>#N/A</v>
      </c>
      <c r="R2466" s="78" t="e">
        <f>VLOOKUP(A2466,'לעדכן בסינתזה דאטה אריזה 42+24'!$A:$C,3,0)</f>
        <v>#N/A</v>
      </c>
    </row>
    <row r="2467" spans="17:18" x14ac:dyDescent="0.2">
      <c r="Q2467" s="78" t="e">
        <f>VLOOKUP(A2467,'גיליון דאטה להכל'!A:H,5,0)</f>
        <v>#N/A</v>
      </c>
      <c r="R2467" s="78" t="e">
        <f>VLOOKUP(A2467,'לעדכן בסינתזה דאטה אריזה 42+24'!$A:$C,3,0)</f>
        <v>#N/A</v>
      </c>
    </row>
    <row r="2468" spans="17:18" x14ac:dyDescent="0.2">
      <c r="Q2468" s="78" t="e">
        <f>VLOOKUP(A2468,'גיליון דאטה להכל'!A:H,5,0)</f>
        <v>#N/A</v>
      </c>
      <c r="R2468" s="78" t="e">
        <f>VLOOKUP(A2468,'לעדכן בסינתזה דאטה אריזה 42+24'!$A:$C,3,0)</f>
        <v>#N/A</v>
      </c>
    </row>
    <row r="2469" spans="17:18" x14ac:dyDescent="0.2">
      <c r="Q2469" s="78" t="e">
        <f>VLOOKUP(A2469,'גיליון דאטה להכל'!A:H,5,0)</f>
        <v>#N/A</v>
      </c>
      <c r="R2469" s="78" t="e">
        <f>VLOOKUP(A2469,'לעדכן בסינתזה דאטה אריזה 42+24'!$A:$C,3,0)</f>
        <v>#N/A</v>
      </c>
    </row>
    <row r="2470" spans="17:18" x14ac:dyDescent="0.2">
      <c r="Q2470" s="78" t="e">
        <f>VLOOKUP(A2470,'גיליון דאטה להכל'!A:H,5,0)</f>
        <v>#N/A</v>
      </c>
      <c r="R2470" s="78" t="e">
        <f>VLOOKUP(A2470,'לעדכן בסינתזה דאטה אריזה 42+24'!$A:$C,3,0)</f>
        <v>#N/A</v>
      </c>
    </row>
    <row r="2471" spans="17:18" x14ac:dyDescent="0.2">
      <c r="Q2471" s="78" t="e">
        <f>VLOOKUP(A2471,'גיליון דאטה להכל'!A:H,5,0)</f>
        <v>#N/A</v>
      </c>
      <c r="R2471" s="78" t="e">
        <f>VLOOKUP(A2471,'לעדכן בסינתזה דאטה אריזה 42+24'!$A:$C,3,0)</f>
        <v>#N/A</v>
      </c>
    </row>
    <row r="2472" spans="17:18" x14ac:dyDescent="0.2">
      <c r="Q2472" s="78" t="e">
        <f>VLOOKUP(A2472,'גיליון דאטה להכל'!A:H,5,0)</f>
        <v>#N/A</v>
      </c>
      <c r="R2472" s="78" t="e">
        <f>VLOOKUP(A2472,'לעדכן בסינתזה דאטה אריזה 42+24'!$A:$C,3,0)</f>
        <v>#N/A</v>
      </c>
    </row>
    <row r="2473" spans="17:18" x14ac:dyDescent="0.2">
      <c r="Q2473" s="78" t="e">
        <f>VLOOKUP(A2473,'גיליון דאטה להכל'!A:H,5,0)</f>
        <v>#N/A</v>
      </c>
      <c r="R2473" s="78" t="e">
        <f>VLOOKUP(A2473,'לעדכן בסינתזה דאטה אריזה 42+24'!$A:$C,3,0)</f>
        <v>#N/A</v>
      </c>
    </row>
    <row r="2474" spans="17:18" x14ac:dyDescent="0.2">
      <c r="Q2474" s="78" t="e">
        <f>VLOOKUP(A2474,'גיליון דאטה להכל'!A:H,5,0)</f>
        <v>#N/A</v>
      </c>
      <c r="R2474" s="78" t="e">
        <f>VLOOKUP(A2474,'לעדכן בסינתזה דאטה אריזה 42+24'!$A:$C,3,0)</f>
        <v>#N/A</v>
      </c>
    </row>
    <row r="2475" spans="17:18" x14ac:dyDescent="0.2">
      <c r="Q2475" s="78" t="e">
        <f>VLOOKUP(A2475,'גיליון דאטה להכל'!A:H,5,0)</f>
        <v>#N/A</v>
      </c>
      <c r="R2475" s="78" t="e">
        <f>VLOOKUP(A2475,'לעדכן בסינתזה דאטה אריזה 42+24'!$A:$C,3,0)</f>
        <v>#N/A</v>
      </c>
    </row>
    <row r="2476" spans="17:18" x14ac:dyDescent="0.2">
      <c r="Q2476" s="78" t="e">
        <f>VLOOKUP(A2476,'גיליון דאטה להכל'!A:H,5,0)</f>
        <v>#N/A</v>
      </c>
      <c r="R2476" s="78" t="e">
        <f>VLOOKUP(A2476,'לעדכן בסינתזה דאטה אריזה 42+24'!$A:$C,3,0)</f>
        <v>#N/A</v>
      </c>
    </row>
    <row r="2477" spans="17:18" x14ac:dyDescent="0.2">
      <c r="Q2477" s="78" t="e">
        <f>VLOOKUP(A2477,'גיליון דאטה להכל'!A:H,5,0)</f>
        <v>#N/A</v>
      </c>
      <c r="R2477" s="78" t="e">
        <f>VLOOKUP(A2477,'לעדכן בסינתזה דאטה אריזה 42+24'!$A:$C,3,0)</f>
        <v>#N/A</v>
      </c>
    </row>
    <row r="2478" spans="17:18" x14ac:dyDescent="0.2">
      <c r="Q2478" s="78" t="e">
        <f>VLOOKUP(A2478,'גיליון דאטה להכל'!A:H,5,0)</f>
        <v>#N/A</v>
      </c>
      <c r="R2478" s="78" t="e">
        <f>VLOOKUP(A2478,'לעדכן בסינתזה דאטה אריזה 42+24'!$A:$C,3,0)</f>
        <v>#N/A</v>
      </c>
    </row>
    <row r="2479" spans="17:18" x14ac:dyDescent="0.2">
      <c r="Q2479" s="78" t="e">
        <f>VLOOKUP(A2479,'גיליון דאטה להכל'!A:H,5,0)</f>
        <v>#N/A</v>
      </c>
      <c r="R2479" s="78" t="e">
        <f>VLOOKUP(A2479,'לעדכן בסינתזה דאטה אריזה 42+24'!$A:$C,3,0)</f>
        <v>#N/A</v>
      </c>
    </row>
    <row r="2480" spans="17:18" x14ac:dyDescent="0.2">
      <c r="Q2480" s="78" t="e">
        <f>VLOOKUP(A2480,'גיליון דאטה להכל'!A:H,5,0)</f>
        <v>#N/A</v>
      </c>
      <c r="R2480" s="78" t="e">
        <f>VLOOKUP(A2480,'לעדכן בסינתזה דאטה אריזה 42+24'!$A:$C,3,0)</f>
        <v>#N/A</v>
      </c>
    </row>
    <row r="2481" spans="17:18" x14ac:dyDescent="0.2">
      <c r="Q2481" s="78" t="e">
        <f>VLOOKUP(A2481,'גיליון דאטה להכל'!A:H,5,0)</f>
        <v>#N/A</v>
      </c>
      <c r="R2481" s="78" t="e">
        <f>VLOOKUP(A2481,'לעדכן בסינתזה דאטה אריזה 42+24'!$A:$C,3,0)</f>
        <v>#N/A</v>
      </c>
    </row>
    <row r="2482" spans="17:18" x14ac:dyDescent="0.2">
      <c r="Q2482" s="78" t="e">
        <f>VLOOKUP(A2482,'גיליון דאטה להכל'!A:H,5,0)</f>
        <v>#N/A</v>
      </c>
      <c r="R2482" s="78" t="e">
        <f>VLOOKUP(A2482,'לעדכן בסינתזה דאטה אריזה 42+24'!$A:$C,3,0)</f>
        <v>#N/A</v>
      </c>
    </row>
    <row r="2483" spans="17:18" x14ac:dyDescent="0.2">
      <c r="Q2483" s="78" t="e">
        <f>VLOOKUP(A2483,'גיליון דאטה להכל'!A:H,5,0)</f>
        <v>#N/A</v>
      </c>
      <c r="R2483" s="78" t="e">
        <f>VLOOKUP(A2483,'לעדכן בסינתזה דאטה אריזה 42+24'!$A:$C,3,0)</f>
        <v>#N/A</v>
      </c>
    </row>
    <row r="2484" spans="17:18" x14ac:dyDescent="0.2">
      <c r="Q2484" s="78" t="e">
        <f>VLOOKUP(A2484,'גיליון דאטה להכל'!A:H,5,0)</f>
        <v>#N/A</v>
      </c>
      <c r="R2484" s="78" t="e">
        <f>VLOOKUP(A2484,'לעדכן בסינתזה דאטה אריזה 42+24'!$A:$C,3,0)</f>
        <v>#N/A</v>
      </c>
    </row>
    <row r="2485" spans="17:18" x14ac:dyDescent="0.2">
      <c r="Q2485" s="78" t="e">
        <f>VLOOKUP(A2485,'גיליון דאטה להכל'!A:H,5,0)</f>
        <v>#N/A</v>
      </c>
      <c r="R2485" s="78" t="e">
        <f>VLOOKUP(A2485,'לעדכן בסינתזה דאטה אריזה 42+24'!$A:$C,3,0)</f>
        <v>#N/A</v>
      </c>
    </row>
    <row r="2486" spans="17:18" x14ac:dyDescent="0.2">
      <c r="Q2486" s="78" t="e">
        <f>VLOOKUP(A2486,'גיליון דאטה להכל'!A:H,5,0)</f>
        <v>#N/A</v>
      </c>
      <c r="R2486" s="78" t="e">
        <f>VLOOKUP(A2486,'לעדכן בסינתזה דאטה אריזה 42+24'!$A:$C,3,0)</f>
        <v>#N/A</v>
      </c>
    </row>
    <row r="2487" spans="17:18" x14ac:dyDescent="0.2">
      <c r="Q2487" s="78" t="e">
        <f>VLOOKUP(A2487,'גיליון דאטה להכל'!A:H,5,0)</f>
        <v>#N/A</v>
      </c>
      <c r="R2487" s="78" t="e">
        <f>VLOOKUP(A2487,'לעדכן בסינתזה דאטה אריזה 42+24'!$A:$C,3,0)</f>
        <v>#N/A</v>
      </c>
    </row>
    <row r="2488" spans="17:18" x14ac:dyDescent="0.2">
      <c r="Q2488" s="78" t="e">
        <f>VLOOKUP(A2488,'גיליון דאטה להכל'!A:H,5,0)</f>
        <v>#N/A</v>
      </c>
      <c r="R2488" s="78" t="e">
        <f>VLOOKUP(A2488,'לעדכן בסינתזה דאטה אריזה 42+24'!$A:$C,3,0)</f>
        <v>#N/A</v>
      </c>
    </row>
    <row r="2489" spans="17:18" x14ac:dyDescent="0.2">
      <c r="Q2489" s="78" t="e">
        <f>VLOOKUP(A2489,'גיליון דאטה להכל'!A:H,5,0)</f>
        <v>#N/A</v>
      </c>
      <c r="R2489" s="78" t="e">
        <f>VLOOKUP(A2489,'לעדכן בסינתזה דאטה אריזה 42+24'!$A:$C,3,0)</f>
        <v>#N/A</v>
      </c>
    </row>
    <row r="2490" spans="17:18" x14ac:dyDescent="0.2">
      <c r="Q2490" s="78" t="e">
        <f>VLOOKUP(A2490,'גיליון דאטה להכל'!A:H,5,0)</f>
        <v>#N/A</v>
      </c>
      <c r="R2490" s="78" t="e">
        <f>VLOOKUP(A2490,'לעדכן בסינתזה דאטה אריזה 42+24'!$A:$C,3,0)</f>
        <v>#N/A</v>
      </c>
    </row>
    <row r="2491" spans="17:18" x14ac:dyDescent="0.2">
      <c r="Q2491" s="78" t="e">
        <f>VLOOKUP(A2491,'גיליון דאטה להכל'!A:H,5,0)</f>
        <v>#N/A</v>
      </c>
      <c r="R2491" s="78" t="e">
        <f>VLOOKUP(A2491,'לעדכן בסינתזה דאטה אריזה 42+24'!$A:$C,3,0)</f>
        <v>#N/A</v>
      </c>
    </row>
    <row r="2492" spans="17:18" x14ac:dyDescent="0.2">
      <c r="Q2492" s="78" t="e">
        <f>VLOOKUP(A2492,'גיליון דאטה להכל'!A:H,5,0)</f>
        <v>#N/A</v>
      </c>
      <c r="R2492" s="78" t="e">
        <f>VLOOKUP(A2492,'לעדכן בסינתזה דאטה אריזה 42+24'!$A:$C,3,0)</f>
        <v>#N/A</v>
      </c>
    </row>
    <row r="2493" spans="17:18" x14ac:dyDescent="0.2">
      <c r="Q2493" s="78" t="e">
        <f>VLOOKUP(A2493,'גיליון דאטה להכל'!A:H,5,0)</f>
        <v>#N/A</v>
      </c>
      <c r="R2493" s="78" t="e">
        <f>VLOOKUP(A2493,'לעדכן בסינתזה דאטה אריזה 42+24'!$A:$C,3,0)</f>
        <v>#N/A</v>
      </c>
    </row>
    <row r="2494" spans="17:18" x14ac:dyDescent="0.2">
      <c r="Q2494" s="78" t="e">
        <f>VLOOKUP(A2494,'גיליון דאטה להכל'!A:H,5,0)</f>
        <v>#N/A</v>
      </c>
      <c r="R2494" s="78" t="e">
        <f>VLOOKUP(A2494,'לעדכן בסינתזה דאטה אריזה 42+24'!$A:$C,3,0)</f>
        <v>#N/A</v>
      </c>
    </row>
    <row r="2495" spans="17:18" x14ac:dyDescent="0.2">
      <c r="Q2495" s="78" t="e">
        <f>VLOOKUP(A2495,'גיליון דאטה להכל'!A:H,5,0)</f>
        <v>#N/A</v>
      </c>
      <c r="R2495" s="78" t="e">
        <f>VLOOKUP(A2495,'לעדכן בסינתזה דאטה אריזה 42+24'!$A:$C,3,0)</f>
        <v>#N/A</v>
      </c>
    </row>
    <row r="2496" spans="17:18" x14ac:dyDescent="0.2">
      <c r="Q2496" s="78" t="e">
        <f>VLOOKUP(A2496,'גיליון דאטה להכל'!A:H,5,0)</f>
        <v>#N/A</v>
      </c>
      <c r="R2496" s="78" t="e">
        <f>VLOOKUP(A2496,'לעדכן בסינתזה דאטה אריזה 42+24'!$A:$C,3,0)</f>
        <v>#N/A</v>
      </c>
    </row>
    <row r="2497" spans="17:18" x14ac:dyDescent="0.2">
      <c r="Q2497" s="78" t="e">
        <f>VLOOKUP(A2497,'גיליון דאטה להכל'!A:H,5,0)</f>
        <v>#N/A</v>
      </c>
      <c r="R2497" s="78" t="e">
        <f>VLOOKUP(A2497,'לעדכן בסינתזה דאטה אריזה 42+24'!$A:$C,3,0)</f>
        <v>#N/A</v>
      </c>
    </row>
    <row r="2498" spans="17:18" x14ac:dyDescent="0.2">
      <c r="Q2498" s="78" t="e">
        <f>VLOOKUP(A2498,'גיליון דאטה להכל'!A:H,5,0)</f>
        <v>#N/A</v>
      </c>
      <c r="R2498" s="78" t="e">
        <f>VLOOKUP(A2498,'לעדכן בסינתזה דאטה אריזה 42+24'!$A:$C,3,0)</f>
        <v>#N/A</v>
      </c>
    </row>
    <row r="2499" spans="17:18" x14ac:dyDescent="0.2">
      <c r="Q2499" s="78" t="e">
        <f>VLOOKUP(A2499,'גיליון דאטה להכל'!A:H,5,0)</f>
        <v>#N/A</v>
      </c>
      <c r="R2499" s="78" t="e">
        <f>VLOOKUP(A2499,'לעדכן בסינתזה דאטה אריזה 42+24'!$A:$C,3,0)</f>
        <v>#N/A</v>
      </c>
    </row>
    <row r="2500" spans="17:18" x14ac:dyDescent="0.2">
      <c r="Q2500" s="78" t="e">
        <f>VLOOKUP(A2500,'גיליון דאטה להכל'!A:H,5,0)</f>
        <v>#N/A</v>
      </c>
      <c r="R2500" s="78" t="e">
        <f>VLOOKUP(A2500,'לעדכן בסינתזה דאטה אריזה 42+24'!$A:$C,3,0)</f>
        <v>#N/A</v>
      </c>
    </row>
    <row r="2501" spans="17:18" x14ac:dyDescent="0.2">
      <c r="Q2501" s="78" t="e">
        <f>VLOOKUP(A2501,'גיליון דאטה להכל'!A:H,5,0)</f>
        <v>#N/A</v>
      </c>
      <c r="R2501" s="78" t="e">
        <f>VLOOKUP(A2501,'לעדכן בסינתזה דאטה אריזה 42+24'!$A:$C,3,0)</f>
        <v>#N/A</v>
      </c>
    </row>
    <row r="2502" spans="17:18" x14ac:dyDescent="0.2">
      <c r="Q2502" s="78" t="e">
        <f>VLOOKUP(A2502,'גיליון דאטה להכל'!A:H,5,0)</f>
        <v>#N/A</v>
      </c>
      <c r="R2502" s="78" t="e">
        <f>VLOOKUP(A2502,'לעדכן בסינתזה דאטה אריזה 42+24'!$A:$C,3,0)</f>
        <v>#N/A</v>
      </c>
    </row>
    <row r="2503" spans="17:18" x14ac:dyDescent="0.2">
      <c r="Q2503" s="78" t="e">
        <f>VLOOKUP(A2503,'גיליון דאטה להכל'!A:H,5,0)</f>
        <v>#N/A</v>
      </c>
      <c r="R2503" s="78" t="e">
        <f>VLOOKUP(A2503,'לעדכן בסינתזה דאטה אריזה 42+24'!$A:$C,3,0)</f>
        <v>#N/A</v>
      </c>
    </row>
    <row r="2504" spans="17:18" x14ac:dyDescent="0.2">
      <c r="Q2504" s="78" t="e">
        <f>VLOOKUP(A2504,'גיליון דאטה להכל'!A:H,5,0)</f>
        <v>#N/A</v>
      </c>
      <c r="R2504" s="78" t="e">
        <f>VLOOKUP(A2504,'לעדכן בסינתזה דאטה אריזה 42+24'!$A:$C,3,0)</f>
        <v>#N/A</v>
      </c>
    </row>
    <row r="2505" spans="17:18" x14ac:dyDescent="0.2">
      <c r="Q2505" s="78" t="e">
        <f>VLOOKUP(A2505,'גיליון דאטה להכל'!A:H,5,0)</f>
        <v>#N/A</v>
      </c>
      <c r="R2505" s="78" t="e">
        <f>VLOOKUP(A2505,'לעדכן בסינתזה דאטה אריזה 42+24'!$A:$C,3,0)</f>
        <v>#N/A</v>
      </c>
    </row>
    <row r="2506" spans="17:18" x14ac:dyDescent="0.2">
      <c r="Q2506" s="78" t="e">
        <f>VLOOKUP(A2506,'גיליון דאטה להכל'!A:H,5,0)</f>
        <v>#N/A</v>
      </c>
      <c r="R2506" s="78" t="e">
        <f>VLOOKUP(A2506,'לעדכן בסינתזה דאטה אריזה 42+24'!$A:$C,3,0)</f>
        <v>#N/A</v>
      </c>
    </row>
    <row r="2507" spans="17:18" x14ac:dyDescent="0.2">
      <c r="Q2507" s="78" t="e">
        <f>VLOOKUP(A2507,'גיליון דאטה להכל'!A:H,5,0)</f>
        <v>#N/A</v>
      </c>
      <c r="R2507" s="78" t="e">
        <f>VLOOKUP(A2507,'לעדכן בסינתזה דאטה אריזה 42+24'!$A:$C,3,0)</f>
        <v>#N/A</v>
      </c>
    </row>
    <row r="2508" spans="17:18" x14ac:dyDescent="0.2">
      <c r="Q2508" s="78" t="e">
        <f>VLOOKUP(A2508,'גיליון דאטה להכל'!A:H,5,0)</f>
        <v>#N/A</v>
      </c>
      <c r="R2508" s="78" t="e">
        <f>VLOOKUP(A2508,'לעדכן בסינתזה דאטה אריזה 42+24'!$A:$C,3,0)</f>
        <v>#N/A</v>
      </c>
    </row>
    <row r="2509" spans="17:18" x14ac:dyDescent="0.2">
      <c r="Q2509" s="78" t="e">
        <f>VLOOKUP(A2509,'גיליון דאטה להכל'!A:H,5,0)</f>
        <v>#N/A</v>
      </c>
      <c r="R2509" s="78" t="e">
        <f>VLOOKUP(A2509,'לעדכן בסינתזה דאטה אריזה 42+24'!$A:$C,3,0)</f>
        <v>#N/A</v>
      </c>
    </row>
    <row r="2510" spans="17:18" x14ac:dyDescent="0.2">
      <c r="Q2510" s="78" t="e">
        <f>VLOOKUP(A2510,'גיליון דאטה להכל'!A:H,5,0)</f>
        <v>#N/A</v>
      </c>
      <c r="R2510" s="78" t="e">
        <f>VLOOKUP(A2510,'לעדכן בסינתזה דאטה אריזה 42+24'!$A:$C,3,0)</f>
        <v>#N/A</v>
      </c>
    </row>
    <row r="2511" spans="17:18" x14ac:dyDescent="0.2">
      <c r="Q2511" s="78" t="e">
        <f>VLOOKUP(A2511,'גיליון דאטה להכל'!A:H,5,0)</f>
        <v>#N/A</v>
      </c>
      <c r="R2511" s="78" t="e">
        <f>VLOOKUP(A2511,'לעדכן בסינתזה דאטה אריזה 42+24'!$A:$C,3,0)</f>
        <v>#N/A</v>
      </c>
    </row>
    <row r="2512" spans="17:18" x14ac:dyDescent="0.2">
      <c r="Q2512" s="78" t="e">
        <f>VLOOKUP(A2512,'גיליון דאטה להכל'!A:H,5,0)</f>
        <v>#N/A</v>
      </c>
      <c r="R2512" s="78" t="e">
        <f>VLOOKUP(A2512,'לעדכן בסינתזה דאטה אריזה 42+24'!$A:$C,3,0)</f>
        <v>#N/A</v>
      </c>
    </row>
    <row r="2513" spans="17:18" x14ac:dyDescent="0.2">
      <c r="Q2513" s="78" t="e">
        <f>VLOOKUP(A2513,'גיליון דאטה להכל'!A:H,5,0)</f>
        <v>#N/A</v>
      </c>
      <c r="R2513" s="78" t="e">
        <f>VLOOKUP(A2513,'לעדכן בסינתזה דאטה אריזה 42+24'!$A:$C,3,0)</f>
        <v>#N/A</v>
      </c>
    </row>
    <row r="2514" spans="17:18" x14ac:dyDescent="0.2">
      <c r="Q2514" s="78" t="e">
        <f>VLOOKUP(A2514,'גיליון דאטה להכל'!A:H,5,0)</f>
        <v>#N/A</v>
      </c>
      <c r="R2514" s="78" t="e">
        <f>VLOOKUP(A2514,'לעדכן בסינתזה דאטה אריזה 42+24'!$A:$C,3,0)</f>
        <v>#N/A</v>
      </c>
    </row>
    <row r="2515" spans="17:18" x14ac:dyDescent="0.2">
      <c r="Q2515" s="78" t="e">
        <f>VLOOKUP(A2515,'גיליון דאטה להכל'!A:H,5,0)</f>
        <v>#N/A</v>
      </c>
      <c r="R2515" s="78" t="e">
        <f>VLOOKUP(A2515,'לעדכן בסינתזה דאטה אריזה 42+24'!$A:$C,3,0)</f>
        <v>#N/A</v>
      </c>
    </row>
    <row r="2516" spans="17:18" x14ac:dyDescent="0.2">
      <c r="Q2516" s="78" t="e">
        <f>VLOOKUP(A2516,'גיליון דאטה להכל'!A:H,5,0)</f>
        <v>#N/A</v>
      </c>
      <c r="R2516" s="78" t="e">
        <f>VLOOKUP(A2516,'לעדכן בסינתזה דאטה אריזה 42+24'!$A:$C,3,0)</f>
        <v>#N/A</v>
      </c>
    </row>
    <row r="2517" spans="17:18" x14ac:dyDescent="0.2">
      <c r="Q2517" s="78" t="e">
        <f>VLOOKUP(A2517,'גיליון דאטה להכל'!A:H,5,0)</f>
        <v>#N/A</v>
      </c>
      <c r="R2517" s="78" t="e">
        <f>VLOOKUP(A2517,'לעדכן בסינתזה דאטה אריזה 42+24'!$A:$C,3,0)</f>
        <v>#N/A</v>
      </c>
    </row>
    <row r="2518" spans="17:18" x14ac:dyDescent="0.2">
      <c r="Q2518" s="78" t="e">
        <f>VLOOKUP(A2518,'גיליון דאטה להכל'!A:H,5,0)</f>
        <v>#N/A</v>
      </c>
      <c r="R2518" s="78" t="e">
        <f>VLOOKUP(A2518,'לעדכן בסינתזה דאטה אריזה 42+24'!$A:$C,3,0)</f>
        <v>#N/A</v>
      </c>
    </row>
    <row r="2519" spans="17:18" x14ac:dyDescent="0.2">
      <c r="Q2519" s="78" t="e">
        <f>VLOOKUP(A2519,'גיליון דאטה להכל'!A:H,5,0)</f>
        <v>#N/A</v>
      </c>
      <c r="R2519" s="78" t="e">
        <f>VLOOKUP(A2519,'לעדכן בסינתזה דאטה אריזה 42+24'!$A:$C,3,0)</f>
        <v>#N/A</v>
      </c>
    </row>
    <row r="2520" spans="17:18" x14ac:dyDescent="0.2">
      <c r="Q2520" s="78" t="e">
        <f>VLOOKUP(A2520,'גיליון דאטה להכל'!A:H,5,0)</f>
        <v>#N/A</v>
      </c>
      <c r="R2520" s="78" t="e">
        <f>VLOOKUP(A2520,'לעדכן בסינתזה דאטה אריזה 42+24'!$A:$C,3,0)</f>
        <v>#N/A</v>
      </c>
    </row>
    <row r="2521" spans="17:18" x14ac:dyDescent="0.2">
      <c r="Q2521" s="78" t="e">
        <f>VLOOKUP(A2521,'גיליון דאטה להכל'!A:H,5,0)</f>
        <v>#N/A</v>
      </c>
      <c r="R2521" s="78" t="e">
        <f>VLOOKUP(A2521,'לעדכן בסינתזה דאטה אריזה 42+24'!$A:$C,3,0)</f>
        <v>#N/A</v>
      </c>
    </row>
    <row r="2522" spans="17:18" x14ac:dyDescent="0.2">
      <c r="Q2522" s="78" t="e">
        <f>VLOOKUP(A2522,'גיליון דאטה להכל'!A:H,5,0)</f>
        <v>#N/A</v>
      </c>
      <c r="R2522" s="78" t="e">
        <f>VLOOKUP(A2522,'לעדכן בסינתזה דאטה אריזה 42+24'!$A:$C,3,0)</f>
        <v>#N/A</v>
      </c>
    </row>
    <row r="2523" spans="17:18" x14ac:dyDescent="0.2">
      <c r="Q2523" s="78" t="e">
        <f>VLOOKUP(A2523,'גיליון דאטה להכל'!A:H,5,0)</f>
        <v>#N/A</v>
      </c>
      <c r="R2523" s="78" t="e">
        <f>VLOOKUP(A2523,'לעדכן בסינתזה דאטה אריזה 42+24'!$A:$C,3,0)</f>
        <v>#N/A</v>
      </c>
    </row>
    <row r="2524" spans="17:18" x14ac:dyDescent="0.2">
      <c r="Q2524" s="78" t="e">
        <f>VLOOKUP(A2524,'גיליון דאטה להכל'!A:H,5,0)</f>
        <v>#N/A</v>
      </c>
      <c r="R2524" s="78" t="e">
        <f>VLOOKUP(A2524,'לעדכן בסינתזה דאטה אריזה 42+24'!$A:$C,3,0)</f>
        <v>#N/A</v>
      </c>
    </row>
    <row r="2525" spans="17:18" x14ac:dyDescent="0.2">
      <c r="Q2525" s="78" t="e">
        <f>VLOOKUP(A2525,'גיליון דאטה להכל'!A:H,5,0)</f>
        <v>#N/A</v>
      </c>
      <c r="R2525" s="78" t="e">
        <f>VLOOKUP(A2525,'לעדכן בסינתזה דאטה אריזה 42+24'!$A:$C,3,0)</f>
        <v>#N/A</v>
      </c>
    </row>
    <row r="2526" spans="17:18" x14ac:dyDescent="0.2">
      <c r="Q2526" s="78" t="e">
        <f>VLOOKUP(A2526,'גיליון דאטה להכל'!A:H,5,0)</f>
        <v>#N/A</v>
      </c>
      <c r="R2526" s="78" t="e">
        <f>VLOOKUP(A2526,'לעדכן בסינתזה דאטה אריזה 42+24'!$A:$C,3,0)</f>
        <v>#N/A</v>
      </c>
    </row>
    <row r="2527" spans="17:18" x14ac:dyDescent="0.2">
      <c r="Q2527" s="78" t="e">
        <f>VLOOKUP(A2527,'גיליון דאטה להכל'!A:H,5,0)</f>
        <v>#N/A</v>
      </c>
      <c r="R2527" s="78" t="e">
        <f>VLOOKUP(A2527,'לעדכן בסינתזה דאטה אריזה 42+24'!$A:$C,3,0)</f>
        <v>#N/A</v>
      </c>
    </row>
    <row r="2528" spans="17:18" x14ac:dyDescent="0.2">
      <c r="Q2528" s="78" t="e">
        <f>VLOOKUP(A2528,'גיליון דאטה להכל'!A:H,5,0)</f>
        <v>#N/A</v>
      </c>
      <c r="R2528" s="78" t="e">
        <f>VLOOKUP(A2528,'לעדכן בסינתזה דאטה אריזה 42+24'!$A:$C,3,0)</f>
        <v>#N/A</v>
      </c>
    </row>
    <row r="2529" spans="17:18" x14ac:dyDescent="0.2">
      <c r="Q2529" s="78" t="e">
        <f>VLOOKUP(A2529,'גיליון דאטה להכל'!A:H,5,0)</f>
        <v>#N/A</v>
      </c>
      <c r="R2529" s="78" t="e">
        <f>VLOOKUP(A2529,'לעדכן בסינתזה דאטה אריזה 42+24'!$A:$C,3,0)</f>
        <v>#N/A</v>
      </c>
    </row>
    <row r="2530" spans="17:18" x14ac:dyDescent="0.2">
      <c r="Q2530" s="78" t="e">
        <f>VLOOKUP(A2530,'גיליון דאטה להכל'!A:H,5,0)</f>
        <v>#N/A</v>
      </c>
      <c r="R2530" s="78" t="e">
        <f>VLOOKUP(A2530,'לעדכן בסינתזה דאטה אריזה 42+24'!$A:$C,3,0)</f>
        <v>#N/A</v>
      </c>
    </row>
    <row r="2531" spans="17:18" x14ac:dyDescent="0.2">
      <c r="Q2531" s="78" t="e">
        <f>VLOOKUP(A2531,'גיליון דאטה להכל'!A:H,5,0)</f>
        <v>#N/A</v>
      </c>
      <c r="R2531" s="78" t="e">
        <f>VLOOKUP(A2531,'לעדכן בסינתזה דאטה אריזה 42+24'!$A:$C,3,0)</f>
        <v>#N/A</v>
      </c>
    </row>
    <row r="2532" spans="17:18" x14ac:dyDescent="0.2">
      <c r="Q2532" s="78" t="e">
        <f>VLOOKUP(A2532,'גיליון דאטה להכל'!A:H,5,0)</f>
        <v>#N/A</v>
      </c>
      <c r="R2532" s="78" t="e">
        <f>VLOOKUP(A2532,'לעדכן בסינתזה דאטה אריזה 42+24'!$A:$C,3,0)</f>
        <v>#N/A</v>
      </c>
    </row>
    <row r="2533" spans="17:18" x14ac:dyDescent="0.2">
      <c r="Q2533" s="78" t="e">
        <f>VLOOKUP(A2533,'גיליון דאטה להכל'!A:H,5,0)</f>
        <v>#N/A</v>
      </c>
      <c r="R2533" s="78" t="e">
        <f>VLOOKUP(A2533,'לעדכן בסינתזה דאטה אריזה 42+24'!$A:$C,3,0)</f>
        <v>#N/A</v>
      </c>
    </row>
    <row r="2534" spans="17:18" x14ac:dyDescent="0.2">
      <c r="Q2534" s="78" t="e">
        <f>VLOOKUP(A2534,'גיליון דאטה להכל'!A:H,5,0)</f>
        <v>#N/A</v>
      </c>
      <c r="R2534" s="78" t="e">
        <f>VLOOKUP(A2534,'לעדכן בסינתזה דאטה אריזה 42+24'!$A:$C,3,0)</f>
        <v>#N/A</v>
      </c>
    </row>
    <row r="2535" spans="17:18" x14ac:dyDescent="0.2">
      <c r="Q2535" s="78" t="e">
        <f>VLOOKUP(A2535,'גיליון דאטה להכל'!A:H,5,0)</f>
        <v>#N/A</v>
      </c>
      <c r="R2535" s="78" t="e">
        <f>VLOOKUP(A2535,'לעדכן בסינתזה דאטה אריזה 42+24'!$A:$C,3,0)</f>
        <v>#N/A</v>
      </c>
    </row>
    <row r="2536" spans="17:18" x14ac:dyDescent="0.2">
      <c r="Q2536" s="78" t="e">
        <f>VLOOKUP(A2536,'גיליון דאטה להכל'!A:H,5,0)</f>
        <v>#N/A</v>
      </c>
      <c r="R2536" s="78" t="e">
        <f>VLOOKUP(A2536,'לעדכן בסינתזה דאטה אריזה 42+24'!$A:$C,3,0)</f>
        <v>#N/A</v>
      </c>
    </row>
    <row r="2537" spans="17:18" x14ac:dyDescent="0.2">
      <c r="Q2537" s="78" t="e">
        <f>VLOOKUP(A2537,'גיליון דאטה להכל'!A:H,5,0)</f>
        <v>#N/A</v>
      </c>
      <c r="R2537" s="78" t="e">
        <f>VLOOKUP(A2537,'לעדכן בסינתזה דאטה אריזה 42+24'!$A:$C,3,0)</f>
        <v>#N/A</v>
      </c>
    </row>
    <row r="2538" spans="17:18" x14ac:dyDescent="0.2">
      <c r="Q2538" s="78" t="e">
        <f>VLOOKUP(A2538,'גיליון דאטה להכל'!A:H,5,0)</f>
        <v>#N/A</v>
      </c>
      <c r="R2538" s="78" t="e">
        <f>VLOOKUP(A2538,'לעדכן בסינתזה דאטה אריזה 42+24'!$A:$C,3,0)</f>
        <v>#N/A</v>
      </c>
    </row>
    <row r="2539" spans="17:18" x14ac:dyDescent="0.2">
      <c r="Q2539" s="78" t="e">
        <f>VLOOKUP(A2539,'גיליון דאטה להכל'!A:H,5,0)</f>
        <v>#N/A</v>
      </c>
      <c r="R2539" s="78" t="e">
        <f>VLOOKUP(A2539,'לעדכן בסינתזה דאטה אריזה 42+24'!$A:$C,3,0)</f>
        <v>#N/A</v>
      </c>
    </row>
  </sheetData>
  <autoFilter ref="A1:R1879" xr:uid="{00000000-0001-0000-0000-000000000000}"/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74104-D245-484F-89CF-2FD185A606A5}">
  <sheetPr codeName="גיליון5"/>
  <dimension ref="A1:F229"/>
  <sheetViews>
    <sheetView rightToLeft="1" workbookViewId="0">
      <pane ySplit="1" topLeftCell="A43" activePane="bottomLeft" state="frozen"/>
      <selection pane="bottomLeft" activeCell="A86" sqref="A86:XFD89"/>
    </sheetView>
  </sheetViews>
  <sheetFormatPr defaultRowHeight="12.75" x14ac:dyDescent="0.2"/>
  <cols>
    <col min="1" max="1" width="51.28515625" bestFit="1" customWidth="1"/>
    <col min="2" max="3" width="10.140625" bestFit="1" customWidth="1"/>
  </cols>
  <sheetData>
    <row r="1" spans="1:4" ht="25.5" x14ac:dyDescent="0.2">
      <c r="A1" s="28" t="s">
        <v>16</v>
      </c>
      <c r="B1" s="29" t="s">
        <v>89</v>
      </c>
      <c r="C1" s="29" t="s">
        <v>88</v>
      </c>
    </row>
    <row r="2" spans="1:4" x14ac:dyDescent="0.2">
      <c r="A2" s="28" t="s">
        <v>71</v>
      </c>
      <c r="B2" s="30">
        <f>SUMIF('גיליון להדבקת Last day'!Q:Q,A2,'גיליון להדבקת Last day'!H:H)/1000</f>
        <v>0</v>
      </c>
      <c r="C2" s="30">
        <f>SUMIF('גיליון להדבקת production'!Q:Q,A2,'גיליון להדבקת production'!H:H)/1000</f>
        <v>0</v>
      </c>
      <c r="D2" s="30"/>
    </row>
    <row r="3" spans="1:4" x14ac:dyDescent="0.2">
      <c r="A3" s="28" t="s">
        <v>72</v>
      </c>
      <c r="B3" s="30">
        <f>SUMIF('גיליון להדבקת Last day'!Q:Q,A3,'גיליון להדבקת Last day'!H:H)/1000</f>
        <v>0</v>
      </c>
      <c r="C3" s="30">
        <f>SUMIF('גיליון להדבקת production'!Q:Q,A3,'גיליון להדבקת production'!H:H)/1000</f>
        <v>0</v>
      </c>
    </row>
    <row r="4" spans="1:4" x14ac:dyDescent="0.2">
      <c r="A4" s="28" t="s">
        <v>84</v>
      </c>
      <c r="B4" s="30">
        <f>SUMIF('גיליון להדבקת Last day'!Q:Q,A4,'גיליון להדבקת Last day'!H:H)/1000</f>
        <v>0</v>
      </c>
      <c r="C4" s="30">
        <f>SUMIF('גיליון להדבקת production'!Q:Q,A4,'גיליון להדבקת production'!H:H)/1000</f>
        <v>0</v>
      </c>
    </row>
    <row r="5" spans="1:4" x14ac:dyDescent="0.2">
      <c r="A5" s="28" t="s">
        <v>73</v>
      </c>
      <c r="B5" s="30">
        <f>SUMIF('גיליון להדבקת Last day'!Q:Q,A5,'גיליון להדבקת Last day'!H:H)/1000</f>
        <v>0</v>
      </c>
      <c r="C5" s="30">
        <f>SUMIF('גיליון להדבקת production'!Q:Q,A5,'גיליון להדבקת production'!H:H)/1000</f>
        <v>0</v>
      </c>
    </row>
    <row r="6" spans="1:4" x14ac:dyDescent="0.2">
      <c r="A6" s="28" t="s">
        <v>74</v>
      </c>
      <c r="B6" s="30">
        <f>SUMIF('גיליון להדבקת Last day'!Q:Q,A6,'גיליון להדבקת Last day'!H:H)/1000</f>
        <v>0</v>
      </c>
      <c r="C6" s="30">
        <f>SUMIF('גיליון להדבקת production'!Q:Q,A6,'גיליון להדבקת production'!H:H)/1000</f>
        <v>0</v>
      </c>
    </row>
    <row r="7" spans="1:4" x14ac:dyDescent="0.2">
      <c r="A7" s="28" t="s">
        <v>75</v>
      </c>
      <c r="B7" s="30">
        <f>SUMIF('גיליון להדבקת Last day'!Q:Q,A7,'גיליון להדבקת Last day'!H:H)/1000</f>
        <v>0</v>
      </c>
      <c r="C7" s="30">
        <f>SUMIF('גיליון להדבקת production'!Q:Q,A7,'גיליון להדבקת production'!H:H)/1000</f>
        <v>0</v>
      </c>
    </row>
    <row r="8" spans="1:4" x14ac:dyDescent="0.2">
      <c r="A8" s="28" t="s">
        <v>76</v>
      </c>
      <c r="B8" s="30">
        <f>SUMIF('גיליון להדבקת Last day'!Q:Q,A8,'גיליון להדבקת Last day'!H:H)/1000</f>
        <v>1.7</v>
      </c>
      <c r="C8" s="30">
        <f>SUMIF('גיליון להדבקת production'!Q:Q,A8,'גיליון להדבקת production'!H:H)/1000</f>
        <v>1.7</v>
      </c>
    </row>
    <row r="9" spans="1:4" x14ac:dyDescent="0.2">
      <c r="A9" s="28" t="s">
        <v>85</v>
      </c>
      <c r="B9" s="30">
        <f>SUMIF('גיליון להדבקת Last day'!Q:Q,A9,'גיליון להדבקת Last day'!H:H)/1000</f>
        <v>0</v>
      </c>
      <c r="C9" s="30">
        <f>SUMIF('גיליון להדבקת production'!Q:Q,A9,'גיליון להדבקת production'!H:H)/1000</f>
        <v>0</v>
      </c>
    </row>
    <row r="10" spans="1:4" x14ac:dyDescent="0.2">
      <c r="A10" s="28" t="s">
        <v>77</v>
      </c>
      <c r="B10" s="30">
        <f>SUMIF('גיליון להדבקת Last day'!Q:Q,A10,'גיליון להדבקת Last day'!H:H)/1000</f>
        <v>4.8</v>
      </c>
      <c r="C10" s="30">
        <f>SUMIF('גיליון להדבקת production'!Q:Q,A10,'גיליון להדבקת production'!H:H)/1000</f>
        <v>4.8</v>
      </c>
    </row>
    <row r="11" spans="1:4" x14ac:dyDescent="0.2">
      <c r="A11" s="28" t="s">
        <v>78</v>
      </c>
      <c r="B11" s="30">
        <f>SUMIF('גיליון להדבקת Last day'!Q:Q,A11,'גיליון להדבקת Last day'!H:H)/1000</f>
        <v>0</v>
      </c>
      <c r="C11" s="30">
        <f>SUMIF('גיליון להדבקת production'!Q:Q,A11,'גיליון להדבקת production'!H:H)/1000</f>
        <v>0</v>
      </c>
    </row>
    <row r="12" spans="1:4" x14ac:dyDescent="0.2">
      <c r="A12" s="28" t="s">
        <v>79</v>
      </c>
      <c r="B12" s="30">
        <f>SUMIF('גיליון להדבקת Last day'!Q:Q,A12,'גיליון להדבקת Last day'!H:H)/1000</f>
        <v>0</v>
      </c>
      <c r="C12" s="30">
        <f>SUMIF('גיליון להדבקת production'!Q:Q,A12,'גיליון להדבקת production'!H:H)/1000</f>
        <v>0</v>
      </c>
    </row>
    <row r="13" spans="1:4" x14ac:dyDescent="0.2">
      <c r="A13" s="28" t="s">
        <v>80</v>
      </c>
      <c r="B13" s="30">
        <f>SUMIF('גיליון להדבקת Last day'!Q:Q,A13,'גיליון להדבקת Last day'!H:H)/1000</f>
        <v>2.1</v>
      </c>
      <c r="C13" s="30">
        <f>SUMIF('גיליון להדבקת production'!Q:Q,A13,'גיליון להדבקת production'!H:H)/1000</f>
        <v>2.1</v>
      </c>
    </row>
    <row r="14" spans="1:4" x14ac:dyDescent="0.2">
      <c r="A14" s="28" t="s">
        <v>81</v>
      </c>
      <c r="B14" s="30">
        <f>SUMIF('גיליון להדבקת Last day'!Q:Q,A14,'גיליון להדבקת Last day'!H:H)/1000</f>
        <v>26.4</v>
      </c>
      <c r="C14" s="30">
        <f>SUMIF('גיליון להדבקת production'!Q:Q,A14,'גיליון להדבקת production'!H:H)/1000</f>
        <v>26.4</v>
      </c>
    </row>
    <row r="15" spans="1:4" x14ac:dyDescent="0.2">
      <c r="A15" s="28" t="s">
        <v>82</v>
      </c>
      <c r="B15" s="30">
        <f>SUMIF('גיליון להדבקת Last day'!Q:Q,A15,'גיליון להדבקת Last day'!H:H)/1000</f>
        <v>9.9</v>
      </c>
      <c r="C15" s="30">
        <f>SUMIF('גיליון להדבקת production'!Q:Q,A15,'גיליון להדבקת production'!H:H)/1000</f>
        <v>9.9</v>
      </c>
    </row>
    <row r="16" spans="1:4" x14ac:dyDescent="0.2">
      <c r="A16" s="28" t="s">
        <v>83</v>
      </c>
      <c r="B16" s="30">
        <f>SUMIF('גיליון להדבקת Last day'!Q:Q,A16,'גיליון להדבקת Last day'!H:H)/1000</f>
        <v>0</v>
      </c>
      <c r="C16" s="30">
        <f>SUMIF('גיליון להדבקת production'!Q:Q,A16,'גיליון להדבקת production'!H:H)/1000</f>
        <v>0</v>
      </c>
    </row>
    <row r="17" spans="1:3" x14ac:dyDescent="0.2">
      <c r="A17" s="28" t="s">
        <v>18</v>
      </c>
      <c r="B17" s="30">
        <f>SUMIF('גיליון להדבקת Last day'!Q:Q,A17,'גיליון להדבקת Last day'!H:H)/1000</f>
        <v>0</v>
      </c>
      <c r="C17" s="30">
        <f>SUMIF('גיליון להדבקת production'!Q:Q,A17,'גיליון להדבקת production'!H:H)/1000</f>
        <v>0</v>
      </c>
    </row>
    <row r="18" spans="1:3" x14ac:dyDescent="0.2">
      <c r="A18" s="28" t="s">
        <v>2064</v>
      </c>
      <c r="B18" s="30">
        <f>SUMIF('גיליון להדבקת Last day'!Q:Q,A18,'גיליון להדבקת Last day'!H:H)/1000</f>
        <v>0</v>
      </c>
      <c r="C18" s="30">
        <f>SUMIF('גיליון להדבקת production'!Q:Q,A18,'גיליון להדבקת production'!H:H)/1000</f>
        <v>0</v>
      </c>
    </row>
    <row r="19" spans="1:3" x14ac:dyDescent="0.2">
      <c r="A19" s="28" t="s">
        <v>87</v>
      </c>
      <c r="B19" s="30">
        <f>SUMIF('גיליון להדבקת Last day'!Q:Q,A19,'גיליון להדבקת Last day'!H:H)/1000</f>
        <v>0</v>
      </c>
      <c r="C19" s="30">
        <f>SUMIF('גיליון להדבקת production'!Q:Q,A19,'גיליון להדבקת production'!H:H)/1000</f>
        <v>0</v>
      </c>
    </row>
    <row r="20" spans="1:3" x14ac:dyDescent="0.2">
      <c r="A20" s="28" t="s">
        <v>68</v>
      </c>
      <c r="B20" s="30">
        <f>SUMIF('גיליון להדבקת Last day'!Q:Q,A20,'גיליון להדבקת Last day'!H:H)/1000</f>
        <v>0</v>
      </c>
      <c r="C20" s="30">
        <f>SUMIF('גיליון להדבקת production'!Q:Q,A20,'גיליון להדבקת production'!H:H)/1000</f>
        <v>0</v>
      </c>
    </row>
    <row r="21" spans="1:3" x14ac:dyDescent="0.2">
      <c r="A21" s="28" t="s">
        <v>82</v>
      </c>
      <c r="B21" s="30">
        <f>SUMIF('גיליון להדבקת Last day'!Q:Q,A21,'גיליון להדבקת Last day'!H:H)/1000</f>
        <v>9.9</v>
      </c>
      <c r="C21" s="30">
        <f>SUMIF('גיליון להדבקת production'!Q:Q,A21,'גיליון להדבקת production'!H:H)/1000</f>
        <v>9.9</v>
      </c>
    </row>
    <row r="22" spans="1:3" x14ac:dyDescent="0.2">
      <c r="A22" s="28" t="s">
        <v>90</v>
      </c>
      <c r="B22" s="30">
        <f>SUMIF('גיליון להדבקת Last day'!Q:Q,A22,'גיליון להדבקת Last day'!H:H)/1000</f>
        <v>0</v>
      </c>
      <c r="C22" s="30">
        <f>SUMIF('גיליון להדבקת production'!Q:Q,A22,'גיליון להדבקת production'!H:H)/1000</f>
        <v>0</v>
      </c>
    </row>
    <row r="23" spans="1:3" x14ac:dyDescent="0.2">
      <c r="A23" s="28" t="s">
        <v>91</v>
      </c>
      <c r="B23" s="30">
        <f>SUMIF('גיליון להדבקת Last day'!Q:Q,A23,'גיליון להדבקת Last day'!H:H)/1000</f>
        <v>2.415</v>
      </c>
      <c r="C23" s="30">
        <f>SUMIF('גיליון להדבקת production'!Q:Q,A23,'גיליון להדבקת production'!H:H)/1000</f>
        <v>2.415</v>
      </c>
    </row>
    <row r="24" spans="1:3" x14ac:dyDescent="0.2">
      <c r="A24" s="28" t="s">
        <v>1581</v>
      </c>
      <c r="B24" s="30">
        <f>SUMIF('גיליון להדבקת Last day'!Q:Q,A24,'גיליון להדבקת Last day'!H:H)/1000</f>
        <v>0</v>
      </c>
      <c r="C24" s="30">
        <f>SUMIF('גיליון להדבקת production'!Q:Q,A24,'גיליון להדבקת production'!H:H)/1000</f>
        <v>0</v>
      </c>
    </row>
    <row r="25" spans="1:3" x14ac:dyDescent="0.2">
      <c r="A25" s="28" t="s">
        <v>92</v>
      </c>
      <c r="B25" s="30">
        <f>SUMIF('גיליון להדבקת Last day'!Q:Q,A25,'גיליון להדבקת Last day'!H:H)/1000</f>
        <v>0</v>
      </c>
      <c r="C25" s="30">
        <f>SUMIF('גיליון להדבקת production'!Q:Q,A25,'גיליון להדבקת production'!H:H)/1000</f>
        <v>0</v>
      </c>
    </row>
    <row r="26" spans="1:3" x14ac:dyDescent="0.2">
      <c r="A26" s="28" t="s">
        <v>93</v>
      </c>
      <c r="B26" s="30">
        <f>SUMIF('גיליון להדבקת Last day'!Q:Q,A26,'גיליון להדבקת Last day'!H:H)/1000</f>
        <v>0</v>
      </c>
      <c r="C26" s="30">
        <f>SUMIF('גיליון להדבקת production'!Q:Q,A26,'גיליון להדבקת production'!H:H)/1000</f>
        <v>0</v>
      </c>
    </row>
    <row r="27" spans="1:3" x14ac:dyDescent="0.2">
      <c r="A27" s="28" t="s">
        <v>77</v>
      </c>
      <c r="B27" s="30">
        <f>SUMIF('גיליון להדבקת Last day'!Q:Q,A27,'גיליון להדבקת Last day'!H:H)/1000</f>
        <v>4.8</v>
      </c>
      <c r="C27" s="30">
        <f>SUMIF('גיליון להדבקת production'!Q:Q,A27,'גיליון להדבקת production'!H:H)/1000</f>
        <v>4.8</v>
      </c>
    </row>
    <row r="28" spans="1:3" x14ac:dyDescent="0.2">
      <c r="A28" s="28" t="s">
        <v>65</v>
      </c>
      <c r="B28" s="30">
        <f>SUMIF('גיליון להדבקת Last day'!Q:Q,A28,'גיליון להדבקת Last day'!H:H)/1000</f>
        <v>0</v>
      </c>
      <c r="C28" s="30">
        <f>SUMIF('גיליון להדבקת production'!Q:Q,A28,'גיליון להדבקת production'!H:H)/1000</f>
        <v>0</v>
      </c>
    </row>
    <row r="29" spans="1:3" x14ac:dyDescent="0.2">
      <c r="A29" s="28">
        <v>5</v>
      </c>
      <c r="B29" s="30">
        <f>SUMIF('גיליון להדבקת Last day'!Q:Q,A29,'גיליון להדבקת Last day'!H:H)/1000</f>
        <v>0</v>
      </c>
      <c r="C29" s="30">
        <f>SUMIF('גיליון להדבקת production'!Q:Q,A29,'גיליון להדבקת production'!H:H)/1000</f>
        <v>0</v>
      </c>
    </row>
    <row r="30" spans="1:3" x14ac:dyDescent="0.2">
      <c r="A30" s="28">
        <v>1</v>
      </c>
      <c r="B30" s="30">
        <f>SUMIF('גיליון להדבקת Last day'!Q:Q,A30,'גיליון להדבקת Last day'!H:H)/1000</f>
        <v>0</v>
      </c>
      <c r="C30" s="30">
        <f>SUMIF('גיליון להדבקת production'!Q:Q,A30,'גיליון להדבקת production'!H:H)/1000</f>
        <v>0</v>
      </c>
    </row>
    <row r="31" spans="1:3" x14ac:dyDescent="0.2">
      <c r="A31" s="28">
        <v>10</v>
      </c>
      <c r="B31" s="30">
        <f>SUMIF('גיליון להדבקת Last day'!Q:Q,A31,'גיליון להדבקת Last day'!H:H)/1000</f>
        <v>0</v>
      </c>
      <c r="C31" s="30">
        <f>SUMIF('גיליון להדבקת production'!Q:Q,A31,'גיליון להדבקת production'!H:H)/1000</f>
        <v>0</v>
      </c>
    </row>
    <row r="32" spans="1:3" x14ac:dyDescent="0.2">
      <c r="A32" s="28">
        <v>20</v>
      </c>
      <c r="B32" s="30">
        <f>SUMIF('גיליון להדבקת Last day'!Q:Q,A32,'גיליון להדבקת Last day'!H:H)/1000</f>
        <v>0</v>
      </c>
      <c r="C32" s="30">
        <f>SUMIF('גיליון להדבקת production'!Q:Q,A32,'גיליון להדבקת production'!H:H)/1000</f>
        <v>0</v>
      </c>
    </row>
    <row r="33" spans="1:3" x14ac:dyDescent="0.2">
      <c r="A33" s="31" t="s">
        <v>94</v>
      </c>
      <c r="B33" s="30">
        <f>B32+B31</f>
        <v>0</v>
      </c>
      <c r="C33" s="30">
        <f>C32+C31</f>
        <v>0</v>
      </c>
    </row>
    <row r="34" spans="1:3" x14ac:dyDescent="0.2">
      <c r="A34" s="31" t="s">
        <v>1624</v>
      </c>
      <c r="B34" s="30">
        <f>SUMIF('גיליון להדבקת Last day'!Q:Q,A34,'גיליון להדבקת Last day'!H:H)/1000</f>
        <v>0</v>
      </c>
      <c r="C34" s="30">
        <f>SUMIF('גיליון להדבקת production'!Q:Q,A34,'גיליון להדבקת production'!H:H)/1000</f>
        <v>0</v>
      </c>
    </row>
    <row r="35" spans="1:3" x14ac:dyDescent="0.2">
      <c r="A35" s="28">
        <v>19</v>
      </c>
      <c r="B35" s="30">
        <f>SUMIF('גיליון להדבקת Last day'!Q:Q,A35,'גיליון להדבקת Last day'!H:H)/1000</f>
        <v>0</v>
      </c>
      <c r="C35" s="30">
        <f>SUMIF('גיליון להדבקת production'!Q:Q,A35,'גיליון להדבקת production'!H:H)/1000</f>
        <v>0</v>
      </c>
    </row>
    <row r="36" spans="1:3" x14ac:dyDescent="0.2">
      <c r="A36" s="28">
        <v>23</v>
      </c>
      <c r="B36" s="30">
        <f>SUMIF('גיליון להדבקת Last day'!Q:Q,A36,'גיליון להדבקת Last day'!H:H)/1000</f>
        <v>44.456000000000003</v>
      </c>
      <c r="C36" s="30">
        <f>SUMIF('גיליון להדבקת production'!Q:Q,A36,'גיליון להדבקת production'!H:H)/1000</f>
        <v>44.456000000000003</v>
      </c>
    </row>
    <row r="37" spans="1:3" x14ac:dyDescent="0.2">
      <c r="A37" s="28">
        <v>28</v>
      </c>
      <c r="B37" s="30">
        <f>SUMIF('גיליון להדבקת Last day'!Q:Q,A37,'גיליון להדבקת Last day'!H:H)/1000</f>
        <v>65</v>
      </c>
      <c r="C37" s="30">
        <f>SUMIF('גיליון להדבקת production'!Q:Q,A37,'גיליון להדבקת production'!H:H)/1000</f>
        <v>65</v>
      </c>
    </row>
    <row r="38" spans="1:3" x14ac:dyDescent="0.2">
      <c r="A38" s="28">
        <v>7079</v>
      </c>
      <c r="B38" s="30">
        <f>SUMIF('גיליון להדבקת Last day'!O:O,A38,'גיליון להדבקת Last day'!H:H)/1000</f>
        <v>0</v>
      </c>
      <c r="C38" s="30">
        <f>SUMIF('גיליון להדבקת production'!O:O,A38,'גיליון להדבקת production'!H:H)/1000</f>
        <v>0</v>
      </c>
    </row>
    <row r="39" spans="1:3" ht="14.25" x14ac:dyDescent="0.2">
      <c r="A39" s="130" t="s">
        <v>1646</v>
      </c>
      <c r="B39" s="30">
        <f>SUMIF('גיליון להדבקת Last day'!Q:Q,A39,'גיליון להדבקת Last day'!H:H)/1000</f>
        <v>5.37</v>
      </c>
      <c r="C39" s="30">
        <f>SUMIF('גיליון להדבקת production'!Q:Q,A39,'גיליון להדבקת production'!H:H)/1000</f>
        <v>5.37</v>
      </c>
    </row>
    <row r="40" spans="1:3" ht="14.25" x14ac:dyDescent="0.2">
      <c r="A40" s="130" t="s">
        <v>2119</v>
      </c>
      <c r="B40" s="30">
        <f>SUMIF('גיליון להדבקת Last day'!Q:Q,A40,'גיליון להדבקת Last day'!H:H)/1000</f>
        <v>0</v>
      </c>
      <c r="C40" s="30">
        <f>SUMIF('גיליון להדבקת production'!Q:Q,A40,'גיליון להדבקת production'!H:H)/1000</f>
        <v>0</v>
      </c>
    </row>
    <row r="41" spans="1:3" ht="14.25" x14ac:dyDescent="0.2">
      <c r="A41" s="130" t="s">
        <v>296</v>
      </c>
      <c r="B41" s="30">
        <f>SUMIF('גיליון להדבקת Last day'!Q:Q,A41,'גיליון להדבקת Last day'!H:H)/1000</f>
        <v>0</v>
      </c>
      <c r="C41" s="30">
        <f>SUMIF('גיליון להדבקת production'!Q:Q,A41,'גיליון להדבקת production'!H:H)/1000</f>
        <v>0</v>
      </c>
    </row>
    <row r="42" spans="1:3" x14ac:dyDescent="0.2">
      <c r="A42" s="28" t="s">
        <v>1652</v>
      </c>
      <c r="B42" s="30">
        <f>SUMIF('גיליון להדבקת Last day'!Q:Q,A42,'גיליון להדבקת Last day'!H:H)/1000</f>
        <v>0</v>
      </c>
      <c r="C42" s="30">
        <f>SUMIF('גיליון להדבקת production'!Q:Q,A42,'גיליון להדבקת production'!H:H)/1000</f>
        <v>0</v>
      </c>
    </row>
    <row r="43" spans="1:3" x14ac:dyDescent="0.2">
      <c r="A43" s="28">
        <v>5090</v>
      </c>
      <c r="B43" s="30">
        <f>SUMIF('גיליון להדבקת Last day'!O:O,A43,'גיליון להדבקת Last day'!H:H)/1000</f>
        <v>0</v>
      </c>
      <c r="C43" s="30">
        <f>SUMIF('גיליון להדבקת production'!O:O,A43,'גיליון להדבקת production'!H:H)/1000</f>
        <v>0</v>
      </c>
    </row>
    <row r="44" spans="1:3" x14ac:dyDescent="0.2">
      <c r="A44" s="32" t="s">
        <v>2042</v>
      </c>
      <c r="B44" s="131">
        <f>SUM(B45:B47)</f>
        <v>0</v>
      </c>
      <c r="C44" s="131">
        <f>SUM(C45:C47)</f>
        <v>0</v>
      </c>
    </row>
    <row r="45" spans="1:3" x14ac:dyDescent="0.2">
      <c r="A45" s="28">
        <v>1543</v>
      </c>
      <c r="B45" s="30">
        <f>SUMIF('גיליון להדבקת Last day'!O:O,A45,'גיליון להדבקת Last day'!H:H)/1000</f>
        <v>0</v>
      </c>
      <c r="C45" s="30">
        <f>SUMIF('גיליון להדבקת production'!O:O,A45,'גיליון להדבקת production'!H:H)/1000</f>
        <v>0</v>
      </c>
    </row>
    <row r="46" spans="1:3" x14ac:dyDescent="0.2">
      <c r="A46" s="28">
        <v>1143</v>
      </c>
      <c r="B46" s="30">
        <f>SUMIF('גיליון להדבקת Last day'!O:O,A46,'גיליון להדבקת Last day'!H:H)/1000</f>
        <v>0</v>
      </c>
      <c r="C46" s="30">
        <f>SUMIF('גיליון להדבקת production'!O:O,A46,'גיליון להדבקת production'!H:H)/1000</f>
        <v>0</v>
      </c>
    </row>
    <row r="47" spans="1:3" x14ac:dyDescent="0.2">
      <c r="A47" s="28">
        <v>1243</v>
      </c>
      <c r="B47" s="30">
        <f>SUMIF('גיליון להדבקת Last day'!O:O,A47,'גיליון להדבקת Last day'!H:H)/1000</f>
        <v>0</v>
      </c>
      <c r="C47" s="30">
        <f>SUMIF('גיליון להדבקת production'!O:O,A47,'גיליון להדבקת production'!H:H)/1000</f>
        <v>0</v>
      </c>
    </row>
    <row r="49" spans="1:6" x14ac:dyDescent="0.2">
      <c r="A49" s="107" t="s">
        <v>1738</v>
      </c>
      <c r="C49" s="98"/>
      <c r="D49" t="s">
        <v>1596</v>
      </c>
      <c r="E49" s="106" t="s">
        <v>1592</v>
      </c>
      <c r="F49" s="106" t="s">
        <v>1593</v>
      </c>
    </row>
    <row r="50" spans="1:6" x14ac:dyDescent="0.2">
      <c r="A50" s="109" t="s">
        <v>1753</v>
      </c>
      <c r="B50" s="30">
        <f>SUMIF('מלאי לא תקין'!AH:AH,A50,'מלאי לא תקין'!AG:AG)</f>
        <v>0</v>
      </c>
      <c r="E50" s="112">
        <f>B52</f>
        <v>0</v>
      </c>
      <c r="F50" s="112">
        <f>B50+B51+B53+B54</f>
        <v>0</v>
      </c>
    </row>
    <row r="51" spans="1:6" hidden="1" x14ac:dyDescent="0.2">
      <c r="A51" s="108" t="s">
        <v>1882</v>
      </c>
      <c r="B51" s="30">
        <f>SUMIF('מלאי לא תקין'!AH:AH,A51,'מלאי לא תקין'!AG:AG)</f>
        <v>0</v>
      </c>
    </row>
    <row r="52" spans="1:6" hidden="1" x14ac:dyDescent="0.2">
      <c r="A52" s="108" t="s">
        <v>1747</v>
      </c>
      <c r="B52" s="30">
        <f>SUMIF('מלאי לא תקין'!AH:AH,A52,'מלאי לא תקין'!AG:AG)</f>
        <v>0</v>
      </c>
    </row>
    <row r="53" spans="1:6" hidden="1" x14ac:dyDescent="0.2">
      <c r="A53" s="108" t="s">
        <v>1739</v>
      </c>
      <c r="B53" s="30">
        <f>SUMIF('מלאי לא תקין'!AH:AH,A53,'מלאי לא תקין'!AG:AG)</f>
        <v>0</v>
      </c>
    </row>
    <row r="54" spans="1:6" hidden="1" x14ac:dyDescent="0.2">
      <c r="A54" s="108" t="s">
        <v>1817</v>
      </c>
      <c r="B54" s="30">
        <f>SUMIF('מלאי לא תקין'!AH:AH,A54,'מלאי לא תקין'!AG:AG)</f>
        <v>0</v>
      </c>
    </row>
    <row r="55" spans="1:6" x14ac:dyDescent="0.2">
      <c r="A55" s="109" t="s">
        <v>1741</v>
      </c>
      <c r="B55" s="30">
        <f>SUMIF('מלאי לא תקין'!AH:AH,A55,'מלאי לא תקין'!AG:AG)</f>
        <v>0</v>
      </c>
      <c r="E55" s="112">
        <f>B57</f>
        <v>0</v>
      </c>
      <c r="F55" s="112">
        <f>B55+B56+B58+B59</f>
        <v>0</v>
      </c>
    </row>
    <row r="56" spans="1:6" hidden="1" x14ac:dyDescent="0.2">
      <c r="A56" s="108" t="s">
        <v>1884</v>
      </c>
      <c r="B56" s="30">
        <f>SUMIF('מלאי לא תקין'!AH:AH,A56,'מלאי לא תקין'!AG:AG)</f>
        <v>0</v>
      </c>
    </row>
    <row r="57" spans="1:6" hidden="1" x14ac:dyDescent="0.2">
      <c r="A57" s="108" t="s">
        <v>1915</v>
      </c>
      <c r="B57" s="30">
        <f>SUMIF('מלאי לא תקין'!AH:AH,A57,'מלאי לא תקין'!AG:AG)</f>
        <v>0</v>
      </c>
    </row>
    <row r="58" spans="1:6" hidden="1" x14ac:dyDescent="0.2">
      <c r="A58" s="108" t="s">
        <v>1785</v>
      </c>
      <c r="B58" s="30">
        <f>SUMIF('מלאי לא תקין'!AH:AH,A58,'מלאי לא תקין'!AG:AG)</f>
        <v>0</v>
      </c>
    </row>
    <row r="59" spans="1:6" hidden="1" x14ac:dyDescent="0.2">
      <c r="A59" s="108" t="s">
        <v>1819</v>
      </c>
      <c r="B59" s="30">
        <f>SUMIF('מלאי לא תקין'!AH:AH,A59,'מלאי לא תקין'!AG:AG)</f>
        <v>0</v>
      </c>
    </row>
    <row r="60" spans="1:6" x14ac:dyDescent="0.2">
      <c r="A60" s="109" t="s">
        <v>1851</v>
      </c>
      <c r="B60" s="30">
        <f>SUMIF('מלאי לא תקין'!AH:AH,A60,'מלאי לא תקין'!AG:AG)</f>
        <v>0</v>
      </c>
      <c r="E60" s="112">
        <f>B62</f>
        <v>0</v>
      </c>
      <c r="F60" s="112">
        <f>B60+B61+B63+B64</f>
        <v>0</v>
      </c>
    </row>
    <row r="61" spans="1:6" hidden="1" x14ac:dyDescent="0.2">
      <c r="A61" s="108" t="s">
        <v>1883</v>
      </c>
      <c r="B61" s="30">
        <f>SUMIF('מלאי לא תקין'!AH:AH,A61,'מלאי לא תקין'!AG:AG)</f>
        <v>0</v>
      </c>
    </row>
    <row r="62" spans="1:6" hidden="1" x14ac:dyDescent="0.2">
      <c r="A62" s="108" t="s">
        <v>1914</v>
      </c>
      <c r="B62" s="30">
        <f>SUMIF('מלאי לא תקין'!AH:AH,A62,'מלאי לא תקין'!AG:AG)</f>
        <v>0</v>
      </c>
    </row>
    <row r="63" spans="1:6" hidden="1" x14ac:dyDescent="0.2">
      <c r="A63" s="108" t="s">
        <v>1784</v>
      </c>
      <c r="B63" s="30">
        <f>SUMIF('מלאי לא תקין'!AH:AH,A63,'מלאי לא תקין'!AG:AG)</f>
        <v>0</v>
      </c>
    </row>
    <row r="64" spans="1:6" hidden="1" x14ac:dyDescent="0.2">
      <c r="A64" s="108" t="s">
        <v>1818</v>
      </c>
      <c r="B64" s="30">
        <f>SUMIF('מלאי לא תקין'!AH:AH,A64,'מלאי לא תקין'!AG:AG)</f>
        <v>0</v>
      </c>
    </row>
    <row r="65" spans="1:6" x14ac:dyDescent="0.2">
      <c r="A65" s="109" t="s">
        <v>1849</v>
      </c>
      <c r="B65" s="30">
        <f>SUMIF('מלאי לא תקין'!AH:AH,A65,'מלאי לא תקין'!AG:AG)</f>
        <v>0</v>
      </c>
      <c r="E65" s="114">
        <f>B67+E70</f>
        <v>0</v>
      </c>
      <c r="F65" s="114">
        <f>B65+B66+B68+B69+F70</f>
        <v>0</v>
      </c>
    </row>
    <row r="66" spans="1:6" hidden="1" x14ac:dyDescent="0.2">
      <c r="A66" s="108" t="s">
        <v>1879</v>
      </c>
      <c r="B66" s="30">
        <f>SUMIF('מלאי לא תקין'!AH:AH,A66,'מלאי לא תקין'!AG:AG)</f>
        <v>0</v>
      </c>
    </row>
    <row r="67" spans="1:6" hidden="1" x14ac:dyDescent="0.2">
      <c r="A67" s="108" t="s">
        <v>1912</v>
      </c>
      <c r="B67" s="30">
        <f>SUMIF('מלאי לא תקין'!AH:AH,A67,'מלאי לא תקין'!AG:AG)</f>
        <v>0</v>
      </c>
    </row>
    <row r="68" spans="1:6" hidden="1" x14ac:dyDescent="0.2">
      <c r="A68" s="108" t="s">
        <v>1782</v>
      </c>
      <c r="B68" s="30">
        <f>SUMIF('מלאי לא תקין'!AH:AH,A68,'מלאי לא תקין'!AG:AG)</f>
        <v>0</v>
      </c>
    </row>
    <row r="69" spans="1:6" hidden="1" x14ac:dyDescent="0.2">
      <c r="A69" s="108" t="s">
        <v>1814</v>
      </c>
      <c r="B69" s="30">
        <f>SUMIF('מלאי לא תקין'!AH:AH,A69,'מלאי לא תקין'!AG:AG)</f>
        <v>0</v>
      </c>
    </row>
    <row r="70" spans="1:6" x14ac:dyDescent="0.2">
      <c r="A70" s="110" t="s">
        <v>1850</v>
      </c>
      <c r="B70" s="30">
        <f>SUMIF('מלאי לא תקין'!AH:AH,A70,'מלאי לא תקין'!AG:AG)</f>
        <v>0</v>
      </c>
      <c r="E70" s="112">
        <f>B72</f>
        <v>0</v>
      </c>
      <c r="F70" s="112">
        <f>B70+B71+B73+B74</f>
        <v>0</v>
      </c>
    </row>
    <row r="71" spans="1:6" hidden="1" x14ac:dyDescent="0.2">
      <c r="A71" s="111" t="s">
        <v>1880</v>
      </c>
      <c r="B71" s="30">
        <f>SUMIF('מלאי לא תקין'!AH:AH,A71,'מלאי לא תקין'!AG:AG)</f>
        <v>0</v>
      </c>
    </row>
    <row r="72" spans="1:6" hidden="1" x14ac:dyDescent="0.2">
      <c r="A72" s="111" t="s">
        <v>1913</v>
      </c>
      <c r="B72" s="30">
        <f>SUMIF('מלאי לא תקין'!AH:AH,A72,'מלאי לא תקין'!AG:AG)</f>
        <v>0</v>
      </c>
    </row>
    <row r="73" spans="1:6" hidden="1" x14ac:dyDescent="0.2">
      <c r="A73" s="111" t="s">
        <v>1783</v>
      </c>
      <c r="B73" s="30">
        <f>SUMIF('מלאי לא תקין'!AH:AH,A73,'מלאי לא תקין'!AG:AG)</f>
        <v>0</v>
      </c>
    </row>
    <row r="74" spans="1:6" hidden="1" x14ac:dyDescent="0.2">
      <c r="A74" s="111" t="s">
        <v>1815</v>
      </c>
      <c r="B74" s="30">
        <f>SUMIF('מלאי לא תקין'!AH:AH,A74,'מלאי לא תקין'!AG:AG)</f>
        <v>0</v>
      </c>
    </row>
    <row r="75" spans="1:6" x14ac:dyDescent="0.2">
      <c r="A75" s="109" t="s">
        <v>1750</v>
      </c>
      <c r="B75" s="30">
        <f>SUMIF('מלאי לא תקין'!AH:AH,A75,'מלאי לא תקין'!AG:AG)</f>
        <v>0</v>
      </c>
      <c r="E75" s="112">
        <f>B77</f>
        <v>0</v>
      </c>
      <c r="F75" s="112">
        <f>B75+B76+B78+B79</f>
        <v>0</v>
      </c>
    </row>
    <row r="76" spans="1:6" hidden="1" x14ac:dyDescent="0.2">
      <c r="A76" s="108" t="s">
        <v>1881</v>
      </c>
      <c r="B76" s="30">
        <f>SUMIF('מלאי לא תקין'!AH:AH,A76,'מלאי לא תקין'!AG:AG)</f>
        <v>0</v>
      </c>
    </row>
    <row r="77" spans="1:6" hidden="1" x14ac:dyDescent="0.2">
      <c r="A77" s="108" t="s">
        <v>1743</v>
      </c>
      <c r="B77" s="30">
        <f>SUMIF('מלאי לא תקין'!AH:AH,A77,'מלאי לא תקין'!AG:AG)</f>
        <v>0</v>
      </c>
    </row>
    <row r="78" spans="1:6" hidden="1" x14ac:dyDescent="0.2">
      <c r="A78" s="108" t="s">
        <v>1744</v>
      </c>
      <c r="B78" s="30">
        <f>SUMIF('מלאי לא תקין'!AH:AH,A78,'מלאי לא תקין'!AG:AG)</f>
        <v>0</v>
      </c>
    </row>
    <row r="79" spans="1:6" hidden="1" x14ac:dyDescent="0.2">
      <c r="A79" s="108" t="s">
        <v>1816</v>
      </c>
      <c r="B79" s="30">
        <f>SUMIF('מלאי לא תקין'!AH:AH,A79,'מלאי לא תקין'!AG:AG)</f>
        <v>0</v>
      </c>
    </row>
    <row r="80" spans="1:6" x14ac:dyDescent="0.2">
      <c r="A80" s="109" t="s">
        <v>1855</v>
      </c>
      <c r="B80" s="30">
        <f>SUMIF('מלאי לא תקין'!AH:AH,A80,'מלאי לא תקין'!AG:AG)</f>
        <v>0</v>
      </c>
      <c r="E80" s="112">
        <f>B82</f>
        <v>0</v>
      </c>
      <c r="F80" s="112">
        <f>B80+B81+B83+B84</f>
        <v>0</v>
      </c>
    </row>
    <row r="81" spans="1:6" hidden="1" x14ac:dyDescent="0.2">
      <c r="A81" s="108" t="s">
        <v>1888</v>
      </c>
      <c r="B81" s="30">
        <f>SUMIF('מלאי לא תקין'!AH:AH,A81,'מלאי לא תקין'!AG:AG)</f>
        <v>0</v>
      </c>
    </row>
    <row r="82" spans="1:6" hidden="1" x14ac:dyDescent="0.2">
      <c r="A82" s="108" t="s">
        <v>1748</v>
      </c>
      <c r="B82" s="30">
        <f>SUMIF('מלאי לא תקין'!AH:AH,A82,'מלאי לא תקין'!AG:AG)</f>
        <v>0</v>
      </c>
    </row>
    <row r="83" spans="1:6" hidden="1" x14ac:dyDescent="0.2">
      <c r="A83" s="108" t="s">
        <v>1742</v>
      </c>
      <c r="B83" s="30">
        <f>SUMIF('מלאי לא תקין'!AH:AH,A83,'מלאי לא תקין'!AG:AG)</f>
        <v>0</v>
      </c>
    </row>
    <row r="84" spans="1:6" hidden="1" x14ac:dyDescent="0.2">
      <c r="A84" s="108" t="s">
        <v>1822</v>
      </c>
      <c r="B84" s="30">
        <f>SUMIF('מלאי לא תקין'!AH:AH,A84,'מלאי לא תקין'!AG:AG)</f>
        <v>0</v>
      </c>
    </row>
    <row r="85" spans="1:6" x14ac:dyDescent="0.2">
      <c r="A85" s="109" t="s">
        <v>1853</v>
      </c>
      <c r="B85" s="30">
        <f>SUMIF('מלאי לא תקין'!AH:AH,A85,'מלאי לא תקין'!AG:AG)</f>
        <v>0</v>
      </c>
      <c r="E85" s="112">
        <f>B87</f>
        <v>0</v>
      </c>
      <c r="F85" s="112">
        <f>B85+B86+B88+B89</f>
        <v>0</v>
      </c>
    </row>
    <row r="86" spans="1:6" hidden="1" x14ac:dyDescent="0.2">
      <c r="A86" s="108" t="s">
        <v>1886</v>
      </c>
      <c r="B86" s="30">
        <f>SUMIF('מלאי לא תקין'!AH:AH,A86,'מלאי לא תקין'!AG:AG)</f>
        <v>0</v>
      </c>
    </row>
    <row r="87" spans="1:6" hidden="1" x14ac:dyDescent="0.2">
      <c r="A87" s="108" t="s">
        <v>1916</v>
      </c>
      <c r="B87" s="30">
        <f>SUMIF('מלאי לא תקין'!AH:AH,A87,'מלאי לא תקין'!AG:AG)</f>
        <v>0</v>
      </c>
    </row>
    <row r="88" spans="1:6" hidden="1" x14ac:dyDescent="0.2">
      <c r="A88" s="108" t="s">
        <v>1786</v>
      </c>
      <c r="B88" s="30">
        <f>SUMIF('מלאי לא תקין'!AH:AH,A88,'מלאי לא תקין'!AG:AG)</f>
        <v>0</v>
      </c>
    </row>
    <row r="89" spans="1:6" hidden="1" x14ac:dyDescent="0.2">
      <c r="A89" s="108" t="s">
        <v>1820</v>
      </c>
      <c r="B89" s="30">
        <f>SUMIF('מלאי לא תקין'!AH:AH,A89,'מלאי לא תקין'!AG:AG)</f>
        <v>0</v>
      </c>
    </row>
    <row r="90" spans="1:6" x14ac:dyDescent="0.2">
      <c r="A90" s="109" t="s">
        <v>1852</v>
      </c>
      <c r="B90" s="30">
        <f>SUMIF('מלאי לא תקין'!AH:AH,A90,'מלאי לא תקין'!AG:AG)</f>
        <v>0</v>
      </c>
      <c r="E90" s="112">
        <f>B92</f>
        <v>0</v>
      </c>
      <c r="F90" s="112">
        <f>B90+B91+B93+B94</f>
        <v>0</v>
      </c>
    </row>
    <row r="91" spans="1:6" hidden="1" x14ac:dyDescent="0.2">
      <c r="A91" s="108" t="s">
        <v>1885</v>
      </c>
      <c r="B91" s="30">
        <f>SUMIF('מלאי לא תקין'!AH:AH,A91,'מלאי לא תקין'!AG:AG)</f>
        <v>0</v>
      </c>
    </row>
    <row r="92" spans="1:6" hidden="1" x14ac:dyDescent="0.2">
      <c r="A92" s="108" t="s">
        <v>1745</v>
      </c>
      <c r="B92" s="30">
        <f>SUMIF('מלאי לא תקין'!AH:AH,A92,'מלאי לא תקין'!AG:AG)</f>
        <v>0</v>
      </c>
    </row>
    <row r="93" spans="1:6" hidden="1" x14ac:dyDescent="0.2">
      <c r="A93" s="108" t="s">
        <v>1746</v>
      </c>
      <c r="B93" s="30">
        <f>SUMIF('מלאי לא תקין'!AH:AH,A93,'מלאי לא תקין'!AG:AG)</f>
        <v>0</v>
      </c>
    </row>
    <row r="94" spans="1:6" hidden="1" x14ac:dyDescent="0.2">
      <c r="A94" s="108" t="s">
        <v>1754</v>
      </c>
      <c r="B94" s="30">
        <f>SUMIF('מלאי לא תקין'!AH:AH,A94,'מלאי לא תקין'!AG:AG)</f>
        <v>0</v>
      </c>
    </row>
    <row r="95" spans="1:6" x14ac:dyDescent="0.2">
      <c r="A95" s="109" t="s">
        <v>1824</v>
      </c>
      <c r="B95" s="30">
        <f>SUMIF('מלאי לא תקין'!AH:AH,A95,'מלאי לא תקין'!AG:AG)</f>
        <v>0</v>
      </c>
      <c r="E95" s="112">
        <f>B97</f>
        <v>0</v>
      </c>
      <c r="F95" s="112">
        <f>B95+B96+B98+B99</f>
        <v>0</v>
      </c>
    </row>
    <row r="96" spans="1:6" hidden="1" x14ac:dyDescent="0.2">
      <c r="A96" s="108" t="s">
        <v>1857</v>
      </c>
      <c r="B96" s="30">
        <f>SUMIF('מלאי לא תקין'!AH:AH,A96,'מלאי לא תקין'!AG:AG)</f>
        <v>0</v>
      </c>
    </row>
    <row r="97" spans="1:6" hidden="1" x14ac:dyDescent="0.2">
      <c r="A97" s="108" t="s">
        <v>1890</v>
      </c>
      <c r="B97" s="30">
        <f>SUMIF('מלאי לא תקין'!AH:AH,A97,'מלאי לא תקין'!AG:AG)</f>
        <v>0</v>
      </c>
    </row>
    <row r="98" spans="1:6" hidden="1" x14ac:dyDescent="0.2">
      <c r="A98" s="108" t="s">
        <v>1762</v>
      </c>
      <c r="B98" s="30">
        <f>SUMIF('מלאי לא תקין'!AH:AH,A98,'מלאי לא תקין'!AG:AG)</f>
        <v>0</v>
      </c>
    </row>
    <row r="99" spans="1:6" hidden="1" x14ac:dyDescent="0.2">
      <c r="A99" s="108" t="s">
        <v>1789</v>
      </c>
      <c r="B99" s="30">
        <f>SUMIF('מלאי לא תקין'!AH:AH,A99,'מלאי לא תקין'!AG:AG)</f>
        <v>0</v>
      </c>
    </row>
    <row r="100" spans="1:6" x14ac:dyDescent="0.2">
      <c r="A100" s="109" t="s">
        <v>1825</v>
      </c>
      <c r="B100" s="30">
        <f>SUMIF('מלאי לא תקין'!AH:AH,A100,'מלאי לא תקין'!AG:AG)</f>
        <v>0</v>
      </c>
      <c r="E100" s="112">
        <f>B102</f>
        <v>0</v>
      </c>
      <c r="F100" s="112">
        <f>B100+B101+B103+B104</f>
        <v>0</v>
      </c>
    </row>
    <row r="101" spans="1:6" hidden="1" x14ac:dyDescent="0.2">
      <c r="A101" s="108" t="s">
        <v>1858</v>
      </c>
      <c r="B101" s="30">
        <f>SUMIF('מלאי לא תקין'!AH:AH,A101,'מלאי לא תקין'!AG:AG)</f>
        <v>0</v>
      </c>
    </row>
    <row r="102" spans="1:6" hidden="1" x14ac:dyDescent="0.2">
      <c r="A102" s="108" t="s">
        <v>1891</v>
      </c>
      <c r="B102" s="30">
        <f>SUMIF('מלאי לא תקין'!AH:AH,A102,'מלאי לא תקין'!AG:AG)</f>
        <v>0</v>
      </c>
    </row>
    <row r="103" spans="1:6" hidden="1" x14ac:dyDescent="0.2">
      <c r="A103" s="108" t="s">
        <v>1763</v>
      </c>
      <c r="B103" s="30">
        <f>SUMIF('מלאי לא תקין'!AH:AH,A103,'מלאי לא תקין'!AG:AG)</f>
        <v>0</v>
      </c>
    </row>
    <row r="104" spans="1:6" hidden="1" x14ac:dyDescent="0.2">
      <c r="A104" s="108" t="s">
        <v>1790</v>
      </c>
      <c r="B104" s="30">
        <f>SUMIF('מלאי לא תקין'!AH:AH,A104,'מלאי לא תקין'!AG:AG)</f>
        <v>0</v>
      </c>
    </row>
    <row r="105" spans="1:6" x14ac:dyDescent="0.2">
      <c r="A105" s="109" t="s">
        <v>1827</v>
      </c>
      <c r="B105" s="30">
        <f>SUMIF('מלאי לא תקין'!AH:AH,A105,'מלאי לא תקין'!AG:AG)</f>
        <v>0</v>
      </c>
      <c r="E105" s="112">
        <f>B107</f>
        <v>0</v>
      </c>
      <c r="F105" s="112">
        <f>B105+B106+B108+B109</f>
        <v>0</v>
      </c>
    </row>
    <row r="106" spans="1:6" hidden="1" x14ac:dyDescent="0.2">
      <c r="A106" s="108" t="s">
        <v>1760</v>
      </c>
      <c r="B106" s="30">
        <f>SUMIF('מלאי לא תקין'!AH:AH,A106,'מלאי לא תקין'!AG:AG)</f>
        <v>0</v>
      </c>
      <c r="E106" s="106"/>
      <c r="F106" s="106"/>
    </row>
    <row r="107" spans="1:6" hidden="1" x14ac:dyDescent="0.2">
      <c r="A107" s="108" t="s">
        <v>1893</v>
      </c>
      <c r="B107" s="30">
        <f>SUMIF('מלאי לא תקין'!AH:AH,A107,'מלאי לא תקין'!AG:AG)</f>
        <v>0</v>
      </c>
    </row>
    <row r="108" spans="1:6" hidden="1" x14ac:dyDescent="0.2">
      <c r="A108" s="108" t="s">
        <v>1765</v>
      </c>
      <c r="B108" s="30">
        <f>SUMIF('מלאי לא תקין'!AH:AH,A108,'מלאי לא תקין'!AG:AG)</f>
        <v>0</v>
      </c>
    </row>
    <row r="109" spans="1:6" hidden="1" x14ac:dyDescent="0.2">
      <c r="A109" s="108" t="s">
        <v>1792</v>
      </c>
      <c r="B109" s="30">
        <f>SUMIF('מלאי לא תקין'!AH:AH,A109,'מלאי לא תקין'!AG:AG)</f>
        <v>0</v>
      </c>
    </row>
    <row r="110" spans="1:6" x14ac:dyDescent="0.2">
      <c r="A110" s="109" t="s">
        <v>1828</v>
      </c>
      <c r="B110" s="30">
        <f>SUMIF('מלאי לא תקין'!AH:AH,A110,'מלאי לא תקין'!AG:AG)</f>
        <v>0</v>
      </c>
      <c r="E110" s="112">
        <f>B112</f>
        <v>0</v>
      </c>
      <c r="F110" s="112">
        <f>B110+B111+B113+B114</f>
        <v>0</v>
      </c>
    </row>
    <row r="111" spans="1:6" hidden="1" x14ac:dyDescent="0.2">
      <c r="A111" s="108" t="s">
        <v>1758</v>
      </c>
      <c r="B111" s="30">
        <f>SUMIF('מלאי לא תקין'!AH:AH,A111,'מלאי לא תקין'!AG:AG)</f>
        <v>0</v>
      </c>
    </row>
    <row r="112" spans="1:6" hidden="1" x14ac:dyDescent="0.2">
      <c r="A112" s="108" t="s">
        <v>1894</v>
      </c>
      <c r="B112" s="30">
        <f>SUMIF('מלאי לא תקין'!AH:AH,A112,'מלאי לא תקין'!AG:AG)</f>
        <v>0</v>
      </c>
    </row>
    <row r="113" spans="1:6" hidden="1" x14ac:dyDescent="0.2">
      <c r="A113" s="108" t="s">
        <v>1759</v>
      </c>
      <c r="B113" s="30">
        <f>SUMIF('מלאי לא תקין'!AH:AH,A113,'מלאי לא תקין'!AG:AG)</f>
        <v>0</v>
      </c>
    </row>
    <row r="114" spans="1:6" hidden="1" x14ac:dyDescent="0.2">
      <c r="A114" s="108" t="s">
        <v>1793</v>
      </c>
      <c r="B114" s="30">
        <f>SUMIF('מלאי לא תקין'!AH:AH,A114,'מלאי לא תקין'!AG:AG)</f>
        <v>0</v>
      </c>
    </row>
    <row r="115" spans="1:6" x14ac:dyDescent="0.2">
      <c r="A115" s="109" t="s">
        <v>1835</v>
      </c>
      <c r="B115" s="30">
        <f>SUMIF('מלאי לא תקין'!AH:AH,A115,'מלאי לא תקין'!AG:AG)</f>
        <v>0</v>
      </c>
      <c r="E115" s="112">
        <f>B117</f>
        <v>0</v>
      </c>
      <c r="F115" s="112">
        <f>B115+B116+B118+B119</f>
        <v>0</v>
      </c>
    </row>
    <row r="116" spans="1:6" hidden="1" x14ac:dyDescent="0.2">
      <c r="A116" s="108" t="s">
        <v>1866</v>
      </c>
      <c r="B116" s="30">
        <f>SUMIF('מלאי לא תקין'!AH:AH,A116,'מלאי לא תקין'!AG:AG)</f>
        <v>0</v>
      </c>
    </row>
    <row r="117" spans="1:6" hidden="1" x14ac:dyDescent="0.2">
      <c r="A117" s="108" t="s">
        <v>1751</v>
      </c>
      <c r="B117" s="30">
        <f>SUMIF('מלאי לא תקין'!AH:AH,A117,'מלאי לא תקין'!AG:AG)</f>
        <v>0</v>
      </c>
    </row>
    <row r="118" spans="1:6" hidden="1" x14ac:dyDescent="0.2">
      <c r="A118" s="108" t="s">
        <v>1752</v>
      </c>
      <c r="B118" s="30">
        <f>SUMIF('מלאי לא תקין'!AH:AH,A118,'מלאי לא תקין'!AG:AG)</f>
        <v>0</v>
      </c>
    </row>
    <row r="119" spans="1:6" hidden="1" x14ac:dyDescent="0.2">
      <c r="A119" s="108" t="s">
        <v>1800</v>
      </c>
      <c r="B119" s="30">
        <f>SUMIF('מלאי לא תקין'!AH:AH,A119,'מלאי לא תקין'!AG:AG)</f>
        <v>0</v>
      </c>
    </row>
    <row r="120" spans="1:6" x14ac:dyDescent="0.2">
      <c r="A120" s="109" t="s">
        <v>1829</v>
      </c>
      <c r="B120" s="30">
        <f>SUMIF('מלאי לא תקין'!AH:AH,A120,'מלאי לא תקין'!AG:AG)</f>
        <v>0</v>
      </c>
      <c r="E120" s="112">
        <f>B122</f>
        <v>0</v>
      </c>
      <c r="F120" s="112">
        <f>B120+B121+B123+B124</f>
        <v>0</v>
      </c>
    </row>
    <row r="121" spans="1:6" hidden="1" x14ac:dyDescent="0.2">
      <c r="A121" s="108" t="s">
        <v>1860</v>
      </c>
      <c r="B121" s="30">
        <f>SUMIF('מלאי לא תקין'!AH:AH,A121,'מלאי לא תקין'!AG:AG)</f>
        <v>0</v>
      </c>
    </row>
    <row r="122" spans="1:6" hidden="1" x14ac:dyDescent="0.2">
      <c r="A122" s="108" t="s">
        <v>1895</v>
      </c>
      <c r="B122" s="30">
        <f>SUMIF('מלאי לא תקין'!AH:AH,A122,'מלאי לא תקין'!AG:AG)</f>
        <v>0</v>
      </c>
    </row>
    <row r="123" spans="1:6" hidden="1" x14ac:dyDescent="0.2">
      <c r="A123" s="108" t="s">
        <v>1740</v>
      </c>
      <c r="B123" s="30">
        <f>SUMIF('מלאי לא תקין'!AH:AH,A123,'מלאי לא תקין'!AG:AG)</f>
        <v>0</v>
      </c>
    </row>
    <row r="124" spans="1:6" hidden="1" x14ac:dyDescent="0.2">
      <c r="A124" s="108" t="s">
        <v>1794</v>
      </c>
      <c r="B124" s="30">
        <f>SUMIF('מלאי לא תקין'!AH:AH,A124,'מלאי לא תקין'!AG:AG)</f>
        <v>0</v>
      </c>
    </row>
    <row r="125" spans="1:6" ht="15" x14ac:dyDescent="0.2">
      <c r="A125" s="109" t="s">
        <v>1830</v>
      </c>
      <c r="B125" s="30">
        <f>SUMIF('מלאי לא תקין'!AH:AH,A125,'מלאי לא תקין'!AG:AG)</f>
        <v>0</v>
      </c>
      <c r="E125" s="113">
        <f>B127</f>
        <v>0</v>
      </c>
      <c r="F125" s="113">
        <f>B125+B126+B128+B129</f>
        <v>0</v>
      </c>
    </row>
    <row r="126" spans="1:6" hidden="1" x14ac:dyDescent="0.2">
      <c r="A126" s="108" t="s">
        <v>1861</v>
      </c>
      <c r="B126" s="30">
        <f>SUMIF('מלאי לא תקין'!AH:AH,A126,'מלאי לא תקין'!AG:AG)</f>
        <v>0</v>
      </c>
    </row>
    <row r="127" spans="1:6" hidden="1" x14ac:dyDescent="0.2">
      <c r="A127" s="108" t="s">
        <v>1896</v>
      </c>
      <c r="B127" s="30">
        <f>SUMIF('מלאי לא תקין'!AH:AH,A127,'מלאי לא תקין'!AG:AG)</f>
        <v>0</v>
      </c>
    </row>
    <row r="128" spans="1:6" hidden="1" x14ac:dyDescent="0.2">
      <c r="A128" s="108" t="s">
        <v>1755</v>
      </c>
      <c r="B128" s="30">
        <f>SUMIF('מלאי לא תקין'!AH:AH,A128,'מלאי לא תקין'!AG:AG)</f>
        <v>0</v>
      </c>
    </row>
    <row r="129" spans="1:6" hidden="1" x14ac:dyDescent="0.2">
      <c r="A129" s="108" t="s">
        <v>1795</v>
      </c>
      <c r="B129" s="30">
        <f>SUMIF('מלאי לא תקין'!AH:AH,A129,'מלאי לא תקין'!AG:AG)</f>
        <v>0</v>
      </c>
    </row>
    <row r="130" spans="1:6" ht="15" x14ac:dyDescent="0.2">
      <c r="A130" s="109" t="s">
        <v>1841</v>
      </c>
      <c r="B130" s="30">
        <f>SUMIF('מלאי לא תקין'!AH:AH,A130,'מלאי לא תקין'!AG:AG)</f>
        <v>0</v>
      </c>
      <c r="E130" s="113">
        <f>B132</f>
        <v>0</v>
      </c>
      <c r="F130" s="113">
        <f>B130+B131+B133+B134</f>
        <v>0</v>
      </c>
    </row>
    <row r="131" spans="1:6" hidden="1" x14ac:dyDescent="0.2">
      <c r="A131" s="108" t="s">
        <v>1871</v>
      </c>
      <c r="B131" s="30">
        <f>SUMIF('מלאי לא תקין'!AH:AH,A131,'מלאי לא תקין'!AG:AG)</f>
        <v>0</v>
      </c>
    </row>
    <row r="132" spans="1:6" hidden="1" x14ac:dyDescent="0.2">
      <c r="A132" s="108" t="s">
        <v>1749</v>
      </c>
      <c r="B132" s="30">
        <f>SUMIF('מלאי לא תקין'!AH:AH,A132,'מלאי לא תקין'!AG:AG)</f>
        <v>0</v>
      </c>
    </row>
    <row r="133" spans="1:6" hidden="1" x14ac:dyDescent="0.2">
      <c r="A133" s="108" t="s">
        <v>1774</v>
      </c>
      <c r="B133" s="30">
        <f>SUMIF('מלאי לא תקין'!AH:AH,A133,'מלאי לא תקין'!AG:AG)</f>
        <v>0</v>
      </c>
    </row>
    <row r="134" spans="1:6" hidden="1" x14ac:dyDescent="0.2">
      <c r="A134" s="108" t="s">
        <v>1806</v>
      </c>
      <c r="B134" s="30">
        <f>SUMIF('מלאי לא תקין'!AH:AH,A134,'מלאי לא תקין'!AG:AG)</f>
        <v>0</v>
      </c>
    </row>
    <row r="135" spans="1:6" ht="15" x14ac:dyDescent="0.2">
      <c r="A135" s="109" t="s">
        <v>1837</v>
      </c>
      <c r="B135" s="30">
        <f>SUMIF('מלאי לא תקין'!AH:AH,A135,'מלאי לא תקין'!AG:AG)</f>
        <v>0</v>
      </c>
      <c r="E135" s="113">
        <f>B137</f>
        <v>0</v>
      </c>
      <c r="F135" s="113">
        <f>B135+B136+B138+B139</f>
        <v>0</v>
      </c>
    </row>
    <row r="136" spans="1:6" hidden="1" x14ac:dyDescent="0.2">
      <c r="A136" s="108" t="s">
        <v>1868</v>
      </c>
      <c r="B136" s="30">
        <f>SUMIF('מלאי לא תקין'!AH:AH,A136,'מלאי לא תקין'!AG:AG)</f>
        <v>0</v>
      </c>
    </row>
    <row r="137" spans="1:6" hidden="1" x14ac:dyDescent="0.2">
      <c r="A137" s="108" t="s">
        <v>1902</v>
      </c>
      <c r="B137" s="30">
        <f>SUMIF('מלאי לא תקין'!AH:AH,A137,'מלאי לא תקין'!AG:AG)</f>
        <v>0</v>
      </c>
    </row>
    <row r="138" spans="1:6" hidden="1" x14ac:dyDescent="0.2">
      <c r="A138" s="108" t="s">
        <v>1770</v>
      </c>
      <c r="B138" s="30">
        <f>SUMIF('מלאי לא תקין'!AH:AH,A138,'מלאי לא תקין'!AG:AG)</f>
        <v>0</v>
      </c>
    </row>
    <row r="139" spans="1:6" hidden="1" x14ac:dyDescent="0.2">
      <c r="A139" s="108" t="s">
        <v>1802</v>
      </c>
      <c r="B139" s="30">
        <f>SUMIF('מלאי לא תקין'!AH:AH,A139,'מלאי לא תקין'!AG:AG)</f>
        <v>0</v>
      </c>
    </row>
    <row r="140" spans="1:6" ht="15" x14ac:dyDescent="0.2">
      <c r="A140" s="109" t="s">
        <v>1832</v>
      </c>
      <c r="B140" s="30">
        <f>SUMIF('מלאי לא תקין'!AH:AH,A140,'מלאי לא תקין'!AG:AG)</f>
        <v>0</v>
      </c>
      <c r="E140" s="113">
        <f>B142</f>
        <v>0</v>
      </c>
      <c r="F140" s="113">
        <f>B140+B141+B143+B144</f>
        <v>0</v>
      </c>
    </row>
    <row r="141" spans="1:6" hidden="1" x14ac:dyDescent="0.2">
      <c r="A141" s="108" t="s">
        <v>1863</v>
      </c>
      <c r="B141" s="30">
        <f>SUMIF('מלאי לא תקין'!AH:AH,A141,'מלאי לא תקין'!AG:AG)</f>
        <v>0</v>
      </c>
    </row>
    <row r="142" spans="1:6" hidden="1" x14ac:dyDescent="0.2">
      <c r="A142" s="108" t="s">
        <v>1898</v>
      </c>
      <c r="B142" s="30">
        <f>SUMIF('מלאי לא תקין'!AH:AH,A142,'מלאי לא תקין'!AG:AG)</f>
        <v>0</v>
      </c>
    </row>
    <row r="143" spans="1:6" hidden="1" x14ac:dyDescent="0.2">
      <c r="A143" s="108" t="s">
        <v>1767</v>
      </c>
      <c r="B143" s="30">
        <f>SUMIF('מלאי לא תקין'!AH:AH,A143,'מלאי לא תקין'!AG:AG)</f>
        <v>0</v>
      </c>
    </row>
    <row r="144" spans="1:6" hidden="1" x14ac:dyDescent="0.2">
      <c r="A144" s="108" t="s">
        <v>1797</v>
      </c>
      <c r="B144" s="30">
        <f>SUMIF('מלאי לא תקין'!AH:AH,A144,'מלאי לא תקין'!AG:AG)</f>
        <v>0</v>
      </c>
    </row>
    <row r="145" spans="1:6" ht="15" x14ac:dyDescent="0.2">
      <c r="A145" s="109" t="s">
        <v>1833</v>
      </c>
      <c r="B145" s="30">
        <f>SUMIF('מלאי לא תקין'!AH:AH,A145,'מלאי לא תקין'!AG:AG)</f>
        <v>0</v>
      </c>
      <c r="E145" s="113">
        <f>B147</f>
        <v>0</v>
      </c>
      <c r="F145" s="113">
        <f>B145+B146+B148+B149</f>
        <v>0</v>
      </c>
    </row>
    <row r="146" spans="1:6" hidden="1" x14ac:dyDescent="0.2">
      <c r="A146" s="108" t="s">
        <v>1864</v>
      </c>
      <c r="B146" s="30">
        <f>SUMIF('מלאי לא תקין'!AH:AH,A146,'מלאי לא תקין'!AG:AG)</f>
        <v>0</v>
      </c>
    </row>
    <row r="147" spans="1:6" hidden="1" x14ac:dyDescent="0.2">
      <c r="A147" s="108" t="s">
        <v>1899</v>
      </c>
      <c r="B147" s="30">
        <f>SUMIF('מלאי לא תקין'!AH:AH,A147,'מלאי לא תקין'!AG:AG)</f>
        <v>0</v>
      </c>
    </row>
    <row r="148" spans="1:6" hidden="1" x14ac:dyDescent="0.2">
      <c r="A148" s="108" t="s">
        <v>1768</v>
      </c>
      <c r="B148" s="30">
        <f>SUMIF('מלאי לא תקין'!AH:AH,A148,'מלאי לא תקין'!AG:AG)</f>
        <v>0</v>
      </c>
    </row>
    <row r="149" spans="1:6" hidden="1" x14ac:dyDescent="0.2">
      <c r="A149" s="108" t="s">
        <v>1798</v>
      </c>
      <c r="B149" s="30">
        <f>SUMIF('מלאי לא תקין'!AH:AH,A149,'מלאי לא תקין'!AG:AG)</f>
        <v>0</v>
      </c>
    </row>
    <row r="150" spans="1:6" ht="15" x14ac:dyDescent="0.2">
      <c r="A150" s="109" t="s">
        <v>1834</v>
      </c>
      <c r="B150" s="30">
        <f>SUMIF('מלאי לא תקין'!AH:AH,A150,'מלאי לא תקין'!AG:AG)</f>
        <v>0</v>
      </c>
      <c r="E150" s="113">
        <f>B152</f>
        <v>0</v>
      </c>
      <c r="F150" s="113">
        <f>B150+B151+B153+B154</f>
        <v>0</v>
      </c>
    </row>
    <row r="151" spans="1:6" hidden="1" x14ac:dyDescent="0.2">
      <c r="A151" s="108" t="s">
        <v>1865</v>
      </c>
      <c r="B151" s="30">
        <f>SUMIF('מלאי לא תקין'!AH:AH,A151,'מלאי לא תקין'!AG:AG)</f>
        <v>0</v>
      </c>
    </row>
    <row r="152" spans="1:6" hidden="1" x14ac:dyDescent="0.2">
      <c r="A152" s="108" t="s">
        <v>1900</v>
      </c>
      <c r="B152" s="30">
        <f>SUMIF('מלאי לא תקין'!AH:AH,A152,'מלאי לא תקין'!AG:AG)</f>
        <v>0</v>
      </c>
    </row>
    <row r="153" spans="1:6" hidden="1" x14ac:dyDescent="0.2">
      <c r="A153" s="108" t="s">
        <v>1761</v>
      </c>
      <c r="B153" s="30">
        <f>SUMIF('מלאי לא תקין'!AH:AH,A153,'מלאי לא תקין'!AG:AG)</f>
        <v>0</v>
      </c>
    </row>
    <row r="154" spans="1:6" hidden="1" x14ac:dyDescent="0.2">
      <c r="A154" s="108" t="s">
        <v>1799</v>
      </c>
      <c r="B154" s="30">
        <f>SUMIF('מלאי לא תקין'!AH:AH,A154,'מלאי לא תקין'!AG:AG)</f>
        <v>0</v>
      </c>
    </row>
    <row r="155" spans="1:6" ht="15" x14ac:dyDescent="0.2">
      <c r="A155" s="109" t="s">
        <v>1856</v>
      </c>
      <c r="B155" s="30">
        <f>SUMIF('מלאי לא תקין'!AH:AH,A155,'מלאי לא תקין'!AG:AG)</f>
        <v>0</v>
      </c>
      <c r="E155" s="113">
        <f>B157</f>
        <v>0</v>
      </c>
      <c r="F155" s="113">
        <f>B155+B156+B158+B159</f>
        <v>0</v>
      </c>
    </row>
    <row r="156" spans="1:6" hidden="1" x14ac:dyDescent="0.2">
      <c r="A156" s="108" t="s">
        <v>1889</v>
      </c>
      <c r="B156" s="30">
        <f>SUMIF('מלאי לא תקין'!AH:AH,A156,'מלאי לא תקין'!AG:AG)</f>
        <v>0</v>
      </c>
    </row>
    <row r="157" spans="1:6" hidden="1" x14ac:dyDescent="0.2">
      <c r="A157" s="108" t="s">
        <v>1918</v>
      </c>
      <c r="B157" s="30">
        <f>SUMIF('מלאי לא תקין'!AH:AH,A157,'מלאי לא תקין'!AG:AG)</f>
        <v>0</v>
      </c>
    </row>
    <row r="158" spans="1:6" hidden="1" x14ac:dyDescent="0.2">
      <c r="A158" s="108" t="s">
        <v>1788</v>
      </c>
      <c r="B158" s="30">
        <f>SUMIF('מלאי לא תקין'!AH:AH,A158,'מלאי לא תקין'!AG:AG)</f>
        <v>0</v>
      </c>
    </row>
    <row r="159" spans="1:6" hidden="1" x14ac:dyDescent="0.2">
      <c r="A159" s="108" t="s">
        <v>1823</v>
      </c>
      <c r="B159" s="30">
        <f>SUMIF('מלאי לא תקין'!AH:AH,A159,'מלאי לא תקין'!AG:AG)</f>
        <v>0</v>
      </c>
    </row>
    <row r="160" spans="1:6" ht="15" x14ac:dyDescent="0.2">
      <c r="A160" s="109" t="s">
        <v>1842</v>
      </c>
      <c r="B160" s="30">
        <f>SUMIF('מלאי לא תקין'!AH:AH,A160,'מלאי לא תקין'!AG:AG)</f>
        <v>0</v>
      </c>
      <c r="E160" s="113">
        <f>B162</f>
        <v>0</v>
      </c>
      <c r="F160" s="113">
        <f>B160+B161+B163+B164</f>
        <v>0</v>
      </c>
    </row>
    <row r="161" spans="1:6" hidden="1" x14ac:dyDescent="0.2">
      <c r="A161" s="108" t="s">
        <v>1872</v>
      </c>
      <c r="B161" s="30">
        <f>SUMIF('מלאי לא תקין'!AH:AH,A161,'מלאי לא תקין'!AG:AG)</f>
        <v>0</v>
      </c>
    </row>
    <row r="162" spans="1:6" hidden="1" x14ac:dyDescent="0.2">
      <c r="A162" s="108" t="s">
        <v>1905</v>
      </c>
      <c r="B162" s="30">
        <f>SUMIF('מלאי לא תקין'!AH:AH,A162,'מלאי לא תקין'!AG:AG)</f>
        <v>0</v>
      </c>
    </row>
    <row r="163" spans="1:6" hidden="1" x14ac:dyDescent="0.2">
      <c r="A163" s="108" t="s">
        <v>1775</v>
      </c>
      <c r="B163" s="30">
        <f>SUMIF('מלאי לא תקין'!AH:AH,A163,'מלאי לא תקין'!AG:AG)</f>
        <v>0</v>
      </c>
    </row>
    <row r="164" spans="1:6" hidden="1" x14ac:dyDescent="0.2">
      <c r="A164" s="108" t="s">
        <v>1807</v>
      </c>
      <c r="B164" s="30">
        <f>SUMIF('מלאי לא תקין'!AH:AH,A164,'מלאי לא תקין'!AG:AG)</f>
        <v>0</v>
      </c>
    </row>
    <row r="165" spans="1:6" ht="15" x14ac:dyDescent="0.2">
      <c r="A165" s="109" t="s">
        <v>1838</v>
      </c>
      <c r="B165" s="30">
        <f>SUMIF('מלאי לא תקין'!AH:AH,A165,'מלאי לא תקין'!AG:AG)</f>
        <v>0</v>
      </c>
      <c r="E165" s="113">
        <f>B167</f>
        <v>0</v>
      </c>
      <c r="F165" s="113">
        <f>B165+B166+B168+B169</f>
        <v>0</v>
      </c>
    </row>
    <row r="166" spans="1:6" hidden="1" x14ac:dyDescent="0.2">
      <c r="A166" s="108" t="s">
        <v>1869</v>
      </c>
      <c r="B166" s="30">
        <f>SUMIF('מלאי לא תקין'!AH:AH,A166,'מלאי לא תקין'!AG:AG)</f>
        <v>0</v>
      </c>
    </row>
    <row r="167" spans="1:6" hidden="1" x14ac:dyDescent="0.2">
      <c r="A167" s="108" t="s">
        <v>1903</v>
      </c>
      <c r="B167" s="30">
        <f>SUMIF('מלאי לא תקין'!AH:AH,A167,'מלאי לא תקין'!AG:AG)</f>
        <v>0</v>
      </c>
    </row>
    <row r="168" spans="1:6" hidden="1" x14ac:dyDescent="0.2">
      <c r="A168" s="108" t="s">
        <v>1771</v>
      </c>
      <c r="B168" s="30">
        <f>SUMIF('מלאי לא תקין'!AH:AH,A168,'מלאי לא תקין'!AG:AG)</f>
        <v>0</v>
      </c>
    </row>
    <row r="169" spans="1:6" hidden="1" x14ac:dyDescent="0.2">
      <c r="A169" s="108" t="s">
        <v>1803</v>
      </c>
      <c r="B169" s="30">
        <f>SUMIF('מלאי לא תקין'!AH:AH,A169,'מלאי לא תקין'!AG:AG)</f>
        <v>0</v>
      </c>
    </row>
    <row r="170" spans="1:6" ht="15" x14ac:dyDescent="0.2">
      <c r="A170" s="109" t="s">
        <v>1831</v>
      </c>
      <c r="B170" s="30">
        <f>SUMIF('מלאי לא תקין'!AH:AH,A170,'מלאי לא תקין'!AG:AG)</f>
        <v>0</v>
      </c>
      <c r="E170" s="113">
        <f>B172</f>
        <v>0</v>
      </c>
      <c r="F170" s="113">
        <f>B170+B171+B173+B174</f>
        <v>0</v>
      </c>
    </row>
    <row r="171" spans="1:6" hidden="1" x14ac:dyDescent="0.2">
      <c r="A171" s="108" t="s">
        <v>1862</v>
      </c>
      <c r="B171" s="30">
        <f>SUMIF('מלאי לא תקין'!AH:AH,A171,'מלאי לא תקין'!AG:AG)</f>
        <v>0</v>
      </c>
    </row>
    <row r="172" spans="1:6" hidden="1" x14ac:dyDescent="0.2">
      <c r="A172" s="108" t="s">
        <v>1897</v>
      </c>
      <c r="B172" s="30">
        <f>SUMIF('מלאי לא תקין'!AH:AH,A172,'מלאי לא תקין'!AG:AG)</f>
        <v>0</v>
      </c>
    </row>
    <row r="173" spans="1:6" hidden="1" x14ac:dyDescent="0.2">
      <c r="A173" s="108" t="s">
        <v>1766</v>
      </c>
      <c r="B173" s="30">
        <f>SUMIF('מלאי לא תקין'!AH:AH,A173,'מלאי לא תקין'!AG:AG)</f>
        <v>0</v>
      </c>
    </row>
    <row r="174" spans="1:6" hidden="1" x14ac:dyDescent="0.2">
      <c r="A174" s="108" t="s">
        <v>1796</v>
      </c>
      <c r="B174" s="30">
        <f>SUMIF('מלאי לא תקין'!AH:AH,A174,'מלאי לא תקין'!AG:AG)</f>
        <v>0</v>
      </c>
    </row>
    <row r="175" spans="1:6" ht="15" x14ac:dyDescent="0.2">
      <c r="A175" s="109" t="s">
        <v>1839</v>
      </c>
      <c r="B175" s="30">
        <f>SUMIF('מלאי לא תקין'!AH:AH,A175,'מלאי לא תקין'!AG:AG)</f>
        <v>0</v>
      </c>
      <c r="E175" s="113">
        <f>B177</f>
        <v>0</v>
      </c>
      <c r="F175" s="113">
        <f>B175+B176+B178+B179</f>
        <v>0</v>
      </c>
    </row>
    <row r="176" spans="1:6" hidden="1" x14ac:dyDescent="0.2">
      <c r="A176" s="108" t="s">
        <v>1870</v>
      </c>
      <c r="B176" s="30">
        <f>SUMIF('מלאי לא תקין'!AH:AH,A176,'מלאי לא תקין'!AG:AG)</f>
        <v>0</v>
      </c>
    </row>
    <row r="177" spans="1:6" hidden="1" x14ac:dyDescent="0.2">
      <c r="A177" s="108" t="s">
        <v>1904</v>
      </c>
      <c r="B177" s="30">
        <f>SUMIF('מלאי לא תקין'!AH:AH,A177,'מלאי לא תקין'!AG:AG)</f>
        <v>0</v>
      </c>
    </row>
    <row r="178" spans="1:6" hidden="1" x14ac:dyDescent="0.2">
      <c r="A178" s="108" t="s">
        <v>1772</v>
      </c>
      <c r="B178" s="30">
        <f>SUMIF('מלאי לא תקין'!AH:AH,A178,'מלאי לא תקין'!AG:AG)</f>
        <v>0</v>
      </c>
    </row>
    <row r="179" spans="1:6" hidden="1" x14ac:dyDescent="0.2">
      <c r="A179" s="108" t="s">
        <v>1804</v>
      </c>
      <c r="B179" s="30">
        <f>SUMIF('מלאי לא תקין'!AH:AH,A179,'מלאי לא תקין'!AG:AG)</f>
        <v>0</v>
      </c>
    </row>
    <row r="180" spans="1:6" ht="15" x14ac:dyDescent="0.2">
      <c r="A180" s="109" t="s">
        <v>1840</v>
      </c>
      <c r="B180" s="30">
        <f>SUMIF('מלאי לא תקין'!AH:AH,A180,'מלאי לא תקין'!AG:AG)</f>
        <v>0</v>
      </c>
      <c r="E180" s="113">
        <f>B182</f>
        <v>0</v>
      </c>
      <c r="F180" s="113">
        <f>B180+B181+B183+B184</f>
        <v>0</v>
      </c>
    </row>
    <row r="181" spans="1:6" hidden="1" x14ac:dyDescent="0.2">
      <c r="A181" s="108" t="s">
        <v>1757</v>
      </c>
      <c r="B181" s="30">
        <f>SUMIF('מלאי לא תקין'!AH:AH,A181,'מלאי לא תקין'!AG:AG)</f>
        <v>0</v>
      </c>
    </row>
    <row r="182" spans="1:6" hidden="1" x14ac:dyDescent="0.2">
      <c r="A182" s="108" t="s">
        <v>1756</v>
      </c>
      <c r="B182" s="30">
        <f>SUMIF('מלאי לא תקין'!AH:AH,A182,'מלאי לא תקין'!AG:AG)</f>
        <v>0</v>
      </c>
    </row>
    <row r="183" spans="1:6" hidden="1" x14ac:dyDescent="0.2">
      <c r="A183" s="108" t="s">
        <v>1773</v>
      </c>
      <c r="B183" s="30">
        <f>SUMIF('מלאי לא תקין'!AH:AH,A183,'מלאי לא תקין'!AG:AG)</f>
        <v>0</v>
      </c>
    </row>
    <row r="184" spans="1:6" hidden="1" x14ac:dyDescent="0.2">
      <c r="A184" s="108" t="s">
        <v>1805</v>
      </c>
      <c r="B184" s="30">
        <f>SUMIF('מלאי לא תקין'!AH:AH,A184,'מלאי לא תקין'!AG:AG)</f>
        <v>0</v>
      </c>
    </row>
    <row r="185" spans="1:6" ht="15" x14ac:dyDescent="0.2">
      <c r="A185" s="109" t="s">
        <v>1836</v>
      </c>
      <c r="B185" s="30">
        <f>SUMIF('מלאי לא תקין'!AH:AH,A185,'מלאי לא תקין'!AG:AG)</f>
        <v>0</v>
      </c>
      <c r="E185" s="113">
        <f>B187</f>
        <v>0</v>
      </c>
      <c r="F185" s="113">
        <f>B185+B186+B188+B189</f>
        <v>0</v>
      </c>
    </row>
    <row r="186" spans="1:6" hidden="1" x14ac:dyDescent="0.2">
      <c r="A186" s="108" t="s">
        <v>1867</v>
      </c>
      <c r="B186" s="30">
        <f>SUMIF('מלאי לא תקין'!AH:AH,A186,'מלאי לא תקין'!AG:AG)</f>
        <v>0</v>
      </c>
    </row>
    <row r="187" spans="1:6" hidden="1" x14ac:dyDescent="0.2">
      <c r="A187" s="108" t="s">
        <v>1901</v>
      </c>
      <c r="B187" s="30">
        <f>SUMIF('מלאי לא תקין'!AH:AH,A187,'מלאי לא תקין'!AG:AG)</f>
        <v>0</v>
      </c>
    </row>
    <row r="188" spans="1:6" hidden="1" x14ac:dyDescent="0.2">
      <c r="A188" s="108" t="s">
        <v>1769</v>
      </c>
      <c r="B188" s="30">
        <f>SUMIF('מלאי לא תקין'!AH:AH,A188,'מלאי לא תקין'!AG:AG)</f>
        <v>0</v>
      </c>
    </row>
    <row r="189" spans="1:6" hidden="1" x14ac:dyDescent="0.2">
      <c r="A189" s="108" t="s">
        <v>1801</v>
      </c>
      <c r="B189" s="30">
        <f>SUMIF('מלאי לא תקין'!AH:AH,A189,'מלאי לא תקין'!AG:AG)</f>
        <v>0</v>
      </c>
    </row>
    <row r="190" spans="1:6" ht="15" x14ac:dyDescent="0.2">
      <c r="A190" s="109" t="s">
        <v>1844</v>
      </c>
      <c r="B190" s="30">
        <f>SUMIF('מלאי לא תקין'!AH:AH,A190,'מלאי לא תקין'!AG:AG)</f>
        <v>0</v>
      </c>
      <c r="E190" s="113">
        <f>B192</f>
        <v>0</v>
      </c>
      <c r="F190" s="113">
        <f>B190+B191+B193+B194</f>
        <v>0</v>
      </c>
    </row>
    <row r="191" spans="1:6" hidden="1" x14ac:dyDescent="0.2">
      <c r="A191" s="108" t="s">
        <v>1874</v>
      </c>
      <c r="B191" s="30">
        <f>SUMIF('מלאי לא תקין'!AH:AH,A191,'מלאי לא תקין'!AG:AG)</f>
        <v>0</v>
      </c>
    </row>
    <row r="192" spans="1:6" hidden="1" x14ac:dyDescent="0.2">
      <c r="A192" s="108" t="s">
        <v>1907</v>
      </c>
      <c r="B192" s="30">
        <f>SUMIF('מלאי לא תקין'!AH:AH,A192,'מלאי לא תקין'!AG:AG)</f>
        <v>0</v>
      </c>
    </row>
    <row r="193" spans="1:6" hidden="1" x14ac:dyDescent="0.2">
      <c r="A193" s="108" t="s">
        <v>1777</v>
      </c>
      <c r="B193" s="30">
        <f>SUMIF('מלאי לא תקין'!AH:AH,A193,'מלאי לא תקין'!AG:AG)</f>
        <v>0</v>
      </c>
    </row>
    <row r="194" spans="1:6" hidden="1" x14ac:dyDescent="0.2">
      <c r="A194" s="108" t="s">
        <v>1809</v>
      </c>
      <c r="B194" s="30">
        <f>SUMIF('מלאי לא תקין'!AH:AH,A194,'מלאי לא תקין'!AG:AG)</f>
        <v>0</v>
      </c>
    </row>
    <row r="195" spans="1:6" ht="15" x14ac:dyDescent="0.2">
      <c r="A195" s="109" t="s">
        <v>1843</v>
      </c>
      <c r="B195" s="30">
        <f>SUMIF('מלאי לא תקין'!AH:AH,A195,'מלאי לא תקין'!AG:AG)</f>
        <v>0</v>
      </c>
      <c r="E195" s="113">
        <f>B197</f>
        <v>0</v>
      </c>
      <c r="F195" s="113">
        <f>B195+B196+B198+B199</f>
        <v>0</v>
      </c>
    </row>
    <row r="196" spans="1:6" hidden="1" x14ac:dyDescent="0.2">
      <c r="A196" s="108" t="s">
        <v>1873</v>
      </c>
      <c r="B196" s="30">
        <f>SUMIF('מלאי לא תקין'!AH:AH,A196,'מלאי לא תקין'!AG:AG)</f>
        <v>0</v>
      </c>
    </row>
    <row r="197" spans="1:6" hidden="1" x14ac:dyDescent="0.2">
      <c r="A197" s="108" t="s">
        <v>1906</v>
      </c>
      <c r="B197" s="30">
        <f>SUMIF('מלאי לא תקין'!AH:AH,A197,'מלאי לא תקין'!AG:AG)</f>
        <v>0</v>
      </c>
    </row>
    <row r="198" spans="1:6" hidden="1" x14ac:dyDescent="0.2">
      <c r="A198" s="108" t="s">
        <v>1776</v>
      </c>
      <c r="B198" s="30">
        <f>SUMIF('מלאי לא תקין'!AH:AH,A198,'מלאי לא תקין'!AG:AG)</f>
        <v>0</v>
      </c>
    </row>
    <row r="199" spans="1:6" hidden="1" x14ac:dyDescent="0.2">
      <c r="A199" s="108" t="s">
        <v>1808</v>
      </c>
      <c r="B199" s="30">
        <f>SUMIF('מלאי לא תקין'!AH:AH,A199,'מלאי לא תקין'!AG:AG)</f>
        <v>0</v>
      </c>
    </row>
    <row r="200" spans="1:6" ht="15" x14ac:dyDescent="0.2">
      <c r="A200" s="109" t="s">
        <v>1845</v>
      </c>
      <c r="B200" s="30">
        <f>SUMIF('מלאי לא תקין'!AH:AH,A200,'מלאי לא תקין'!AG:AG)</f>
        <v>0</v>
      </c>
      <c r="E200" s="113">
        <f>B202</f>
        <v>0</v>
      </c>
      <c r="F200" s="113">
        <f>B200+B201+B203+B204</f>
        <v>0</v>
      </c>
    </row>
    <row r="201" spans="1:6" hidden="1" x14ac:dyDescent="0.2">
      <c r="A201" s="108" t="s">
        <v>1875</v>
      </c>
      <c r="B201" s="30">
        <f>SUMIF('מלאי לא תקין'!AH:AH,A201,'מלאי לא תקין'!AG:AG)</f>
        <v>0</v>
      </c>
    </row>
    <row r="202" spans="1:6" hidden="1" x14ac:dyDescent="0.2">
      <c r="A202" s="108" t="s">
        <v>1908</v>
      </c>
      <c r="B202" s="30">
        <f>SUMIF('מלאי לא תקין'!AH:AH,A202,'מלאי לא תקין'!AG:AG)</f>
        <v>0</v>
      </c>
    </row>
    <row r="203" spans="1:6" hidden="1" x14ac:dyDescent="0.2">
      <c r="A203" s="108" t="s">
        <v>1778</v>
      </c>
      <c r="B203" s="30">
        <f>SUMIF('מלאי לא תקין'!AH:AH,A203,'מלאי לא תקין'!AG:AG)</f>
        <v>0</v>
      </c>
    </row>
    <row r="204" spans="1:6" hidden="1" x14ac:dyDescent="0.2">
      <c r="A204" s="108" t="s">
        <v>1810</v>
      </c>
      <c r="B204" s="30">
        <f>SUMIF('מלאי לא תקין'!AH:AH,A204,'מלאי לא תקין'!AG:AG)</f>
        <v>0</v>
      </c>
    </row>
    <row r="205" spans="1:6" ht="15" x14ac:dyDescent="0.2">
      <c r="A205" s="109" t="s">
        <v>1846</v>
      </c>
      <c r="B205" s="30">
        <f>SUMIF('מלאי לא תקין'!AH:AH,A205,'מלאי לא תקין'!AG:AG)</f>
        <v>0</v>
      </c>
      <c r="E205" s="113">
        <f>B207</f>
        <v>0</v>
      </c>
      <c r="F205" s="113">
        <f>B205+B206+B208+B209</f>
        <v>0</v>
      </c>
    </row>
    <row r="206" spans="1:6" hidden="1" x14ac:dyDescent="0.2">
      <c r="A206" s="108" t="s">
        <v>1876</v>
      </c>
      <c r="B206" s="30">
        <f>SUMIF('מלאי לא תקין'!AH:AH,A206,'מלאי לא תקין'!AG:AG)</f>
        <v>0</v>
      </c>
    </row>
    <row r="207" spans="1:6" hidden="1" x14ac:dyDescent="0.2">
      <c r="A207" s="108" t="s">
        <v>1909</v>
      </c>
      <c r="B207" s="30">
        <f>SUMIF('מלאי לא תקין'!AH:AH,A207,'מלאי לא תקין'!AG:AG)</f>
        <v>0</v>
      </c>
    </row>
    <row r="208" spans="1:6" hidden="1" x14ac:dyDescent="0.2">
      <c r="A208" s="108" t="s">
        <v>1779</v>
      </c>
      <c r="B208" s="30">
        <f>SUMIF('מלאי לא תקין'!AH:AH,A208,'מלאי לא תקין'!AG:AG)</f>
        <v>0</v>
      </c>
    </row>
    <row r="209" spans="1:6" hidden="1" x14ac:dyDescent="0.2">
      <c r="A209" s="108" t="s">
        <v>1811</v>
      </c>
      <c r="B209" s="30">
        <f>SUMIF('מלאי לא תקין'!AH:AH,A209,'מלאי לא תקין'!AG:AG)</f>
        <v>0</v>
      </c>
    </row>
    <row r="210" spans="1:6" ht="15" x14ac:dyDescent="0.2">
      <c r="A210" s="109" t="s">
        <v>1847</v>
      </c>
      <c r="B210" s="30">
        <f>SUMIF('מלאי לא תקין'!AH:AH,A210,'מלאי לא תקין'!AG:AG)</f>
        <v>0</v>
      </c>
      <c r="E210" s="113">
        <f>B212</f>
        <v>0</v>
      </c>
      <c r="F210" s="113">
        <f>B210+B211+B213+B214</f>
        <v>0</v>
      </c>
    </row>
    <row r="211" spans="1:6" hidden="1" x14ac:dyDescent="0.2">
      <c r="A211" s="108" t="s">
        <v>1877</v>
      </c>
      <c r="B211" s="30">
        <f>SUMIF('מלאי לא תקין'!AH:AH,A211,'מלאי לא תקין'!AG:AG)</f>
        <v>0</v>
      </c>
    </row>
    <row r="212" spans="1:6" hidden="1" x14ac:dyDescent="0.2">
      <c r="A212" s="108" t="s">
        <v>1910</v>
      </c>
      <c r="B212" s="30">
        <f>SUMIF('מלאי לא תקין'!AH:AH,A212,'מלאי לא תקין'!AG:AG)</f>
        <v>0</v>
      </c>
    </row>
    <row r="213" spans="1:6" hidden="1" x14ac:dyDescent="0.2">
      <c r="A213" s="108" t="s">
        <v>1780</v>
      </c>
      <c r="B213" s="30">
        <f>SUMIF('מלאי לא תקין'!AH:AH,A213,'מלאי לא תקין'!AG:AG)</f>
        <v>0</v>
      </c>
    </row>
    <row r="214" spans="1:6" hidden="1" x14ac:dyDescent="0.2">
      <c r="A214" s="108" t="s">
        <v>1812</v>
      </c>
      <c r="B214" s="30">
        <f>SUMIF('מלאי לא תקין'!AH:AH,A214,'מלאי לא תקין'!AG:AG)</f>
        <v>0</v>
      </c>
    </row>
    <row r="215" spans="1:6" ht="15" x14ac:dyDescent="0.2">
      <c r="A215" s="109" t="s">
        <v>1854</v>
      </c>
      <c r="B215" s="30">
        <f>SUMIF('מלאי לא תקין'!AH:AH,A215,'מלאי לא תקין'!AG:AG)</f>
        <v>0</v>
      </c>
      <c r="E215" s="113">
        <f>B217</f>
        <v>0</v>
      </c>
      <c r="F215" s="113">
        <f>B215+B216+B218+B219</f>
        <v>0</v>
      </c>
    </row>
    <row r="216" spans="1:6" hidden="1" x14ac:dyDescent="0.2">
      <c r="A216" s="108" t="s">
        <v>1887</v>
      </c>
      <c r="B216" s="30">
        <f>SUMIF('מלאי לא תקין'!AH:AH,A216,'מלאי לא תקין'!AG:AG)</f>
        <v>0</v>
      </c>
    </row>
    <row r="217" spans="1:6" hidden="1" x14ac:dyDescent="0.2">
      <c r="A217" s="108" t="s">
        <v>1917</v>
      </c>
      <c r="B217" s="30">
        <f>SUMIF('מלאי לא תקין'!AH:AH,A217,'מלאי לא תקין'!AG:AG)</f>
        <v>0</v>
      </c>
    </row>
    <row r="218" spans="1:6" hidden="1" x14ac:dyDescent="0.2">
      <c r="A218" s="108" t="s">
        <v>1787</v>
      </c>
      <c r="B218" s="30">
        <f>SUMIF('מלאי לא תקין'!AH:AH,A218,'מלאי לא תקין'!AG:AG)</f>
        <v>0</v>
      </c>
    </row>
    <row r="219" spans="1:6" hidden="1" x14ac:dyDescent="0.2">
      <c r="A219" s="108" t="s">
        <v>1821</v>
      </c>
      <c r="B219" s="30">
        <f>SUMIF('מלאי לא תקין'!AH:AH,A219,'מלאי לא תקין'!AG:AG)</f>
        <v>0</v>
      </c>
    </row>
    <row r="220" spans="1:6" ht="15" x14ac:dyDescent="0.2">
      <c r="A220" s="109" t="s">
        <v>1848</v>
      </c>
      <c r="B220" s="30">
        <f>SUMIF('מלאי לא תקין'!AH:AH,A220,'מלאי לא תקין'!AG:AG)</f>
        <v>0</v>
      </c>
      <c r="E220" s="113">
        <f>B222</f>
        <v>0</v>
      </c>
      <c r="F220" s="113">
        <f>B220+B221+B223+B224</f>
        <v>0</v>
      </c>
    </row>
    <row r="221" spans="1:6" hidden="1" x14ac:dyDescent="0.2">
      <c r="A221" s="108" t="s">
        <v>1878</v>
      </c>
      <c r="B221" s="30">
        <f>SUMIF('מלאי לא תקין'!AH:AH,A221,'מלאי לא תקין'!AG:AG)</f>
        <v>0</v>
      </c>
    </row>
    <row r="222" spans="1:6" hidden="1" x14ac:dyDescent="0.2">
      <c r="A222" s="108" t="s">
        <v>1911</v>
      </c>
      <c r="B222" s="30">
        <f>SUMIF('מלאי לא תקין'!AH:AH,A222,'מלאי לא תקין'!AG:AG)</f>
        <v>0</v>
      </c>
    </row>
    <row r="223" spans="1:6" hidden="1" x14ac:dyDescent="0.2">
      <c r="A223" s="108" t="s">
        <v>1781</v>
      </c>
      <c r="B223" s="30">
        <f>SUMIF('מלאי לא תקין'!AH:AH,A223,'מלאי לא תקין'!AG:AG)</f>
        <v>0</v>
      </c>
    </row>
    <row r="224" spans="1:6" hidden="1" x14ac:dyDescent="0.2">
      <c r="A224" s="108" t="s">
        <v>1813</v>
      </c>
      <c r="B224" s="30">
        <f>SUMIF('מלאי לא תקין'!AH:AH,A224,'מלאי לא תקין'!AG:AG)</f>
        <v>0</v>
      </c>
    </row>
    <row r="225" spans="1:6" ht="15" x14ac:dyDescent="0.2">
      <c r="A225" s="109" t="s">
        <v>1826</v>
      </c>
      <c r="B225" s="30">
        <f>SUMIF('מלאי לא תקין'!AH:AH,A225,'מלאי לא תקין'!AG:AG)</f>
        <v>0</v>
      </c>
      <c r="E225" s="113">
        <f>B227</f>
        <v>0</v>
      </c>
      <c r="F225" s="113">
        <f>B225+B226+B228+B229</f>
        <v>0</v>
      </c>
    </row>
    <row r="226" spans="1:6" hidden="1" x14ac:dyDescent="0.2">
      <c r="A226" s="108" t="s">
        <v>1859</v>
      </c>
      <c r="B226" s="30">
        <f>SUMIF('מלאי לא תקין'!AH:AH,A226,'מלאי לא תקין'!AG:AG)</f>
        <v>0</v>
      </c>
    </row>
    <row r="227" spans="1:6" hidden="1" x14ac:dyDescent="0.2">
      <c r="A227" s="108" t="s">
        <v>1892</v>
      </c>
      <c r="B227" s="30">
        <f>SUMIF('מלאי לא תקין'!AH:AH,A227,'מלאי לא תקין'!AG:AG)</f>
        <v>0</v>
      </c>
    </row>
    <row r="228" spans="1:6" hidden="1" x14ac:dyDescent="0.2">
      <c r="A228" s="108" t="s">
        <v>1764</v>
      </c>
      <c r="B228" s="30">
        <f>SUMIF('מלאי לא תקין'!AH:AH,A228,'מלאי לא תקין'!AG:AG)</f>
        <v>0</v>
      </c>
    </row>
    <row r="229" spans="1:6" hidden="1" x14ac:dyDescent="0.2">
      <c r="A229" s="108" t="s">
        <v>1791</v>
      </c>
      <c r="B229" s="30">
        <f>SUMIF('מלאי לא תקין'!AH:AH,A229,'מלאי לא תקין'!AG:AG)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12</vt:i4>
      </vt:variant>
      <vt:variant>
        <vt:lpstr>טווחים בעלי שם</vt:lpstr>
      </vt:variant>
      <vt:variant>
        <vt:i4>1</vt:i4>
      </vt:variant>
    </vt:vector>
  </HeadingPairs>
  <TitlesOfParts>
    <vt:vector size="13" baseType="lpstr">
      <vt:lpstr>מלאי לא תקין</vt:lpstr>
      <vt:lpstr>מתקן ופירוט לצורך בדיקה</vt:lpstr>
      <vt:lpstr>מתקן</vt:lpstr>
      <vt:lpstr>פיוות ביצוע יומי</vt:lpstr>
      <vt:lpstr>משפחת מוצר (2)</vt:lpstr>
      <vt:lpstr>לעדכן בסינתזה דאטה אריזה 42+24</vt:lpstr>
      <vt:lpstr>42</vt:lpstr>
      <vt:lpstr>Sum</vt:lpstr>
      <vt:lpstr>גיליון להדבקת production</vt:lpstr>
      <vt:lpstr>גיליון דאטה להכל</vt:lpstr>
      <vt:lpstr>גיליון להדבקת Last day</vt:lpstr>
      <vt:lpstr>sumif</vt:lpstr>
      <vt:lpstr>Sum!WPrint_Area_W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Yaniv Barak</cp:lastModifiedBy>
  <cp:revision>1</cp:revision>
  <cp:lastPrinted>2026-08-02T07:01:08Z</cp:lastPrinted>
  <dcterms:created xsi:type="dcterms:W3CDTF">2023-08-02T09:22:03Z</dcterms:created>
  <dcterms:modified xsi:type="dcterms:W3CDTF">2026-08-02T13:03:36Z</dcterms:modified>
  <cp:category/>
</cp:coreProperties>
</file>